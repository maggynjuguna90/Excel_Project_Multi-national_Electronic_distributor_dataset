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8108" firstSheet="8" activeTab="12"/>
  </bookViews>
  <sheets>
    <sheet name="Brief" sheetId="2" r:id="rId1"/>
    <sheet name="COHORT ANALYSIS" sheetId="29" r:id="rId2"/>
    <sheet name="REVENUE&amp;ORDER" sheetId="34" r:id="rId3"/>
    <sheet name="MONTH &amp;ORDER" sheetId="35" r:id="rId4"/>
    <sheet name="SALES PERSON PRODUCTIVITY" sheetId="36" r:id="rId5"/>
    <sheet name="CHANNEL MIX&amp;CANNIBILIZATION" sheetId="37" r:id="rId6"/>
    <sheet name="DISC&gt;20%SALESP" sheetId="40" r:id="rId7"/>
    <sheet name="REVENUE BY MONTH" sheetId="41" r:id="rId8"/>
    <sheet name="Profit by region and channel" sheetId="42" r:id="rId9"/>
    <sheet name="Top 10 SKU" sheetId="43" r:id="rId10"/>
    <sheet name="ABC ANALYSIS" sheetId="45" r:id="rId11"/>
    <sheet name="Data" sheetId="1" r:id="rId12"/>
    <sheet name="DASHBOARD" sheetId="44" r:id="rId13"/>
  </sheets>
  <definedNames>
    <definedName name="_xlnm._FilterDatabase" localSheetId="11" hidden="1">Data!$O$1:$O$632</definedName>
    <definedName name="Slicer_Channel_corrected">#N/A</definedName>
    <definedName name="Slicer_Country">#N/A</definedName>
    <definedName name="Slicer_MONTH">#N/A</definedName>
    <definedName name="Slicer_ProductCategory_std">#N/A</definedName>
    <definedName name="Slicer_Region">#N/A</definedName>
    <definedName name="Slicer_Salesperson_cleaned">#N/A</definedName>
  </definedNames>
  <calcPr calcId="162913"/>
  <pivotCaches>
    <pivotCache cacheId="0" r:id="rId14"/>
    <pivotCache cacheId="1" r:id="rId15"/>
    <pivotCache cacheId="2" r:id="rId16"/>
    <pivotCache cacheId="3"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Z2" i="1" l="1"/>
  <c r="Y2" i="1"/>
  <c r="C5" i="45" l="1"/>
  <c r="C6" i="45"/>
  <c r="C7" i="45"/>
  <c r="C8" i="45"/>
  <c r="C9" i="45"/>
  <c r="C10" i="45"/>
  <c r="C11" i="45"/>
  <c r="C12" i="45"/>
  <c r="C13" i="45"/>
  <c r="C14" i="45"/>
  <c r="C15" i="45"/>
  <c r="C16" i="45"/>
  <c r="C17" i="45"/>
  <c r="C18" i="45"/>
  <c r="C19" i="45"/>
  <c r="C20" i="45"/>
  <c r="C21" i="45"/>
  <c r="C22" i="45"/>
  <c r="C23" i="45"/>
  <c r="C24" i="45"/>
  <c r="C25" i="45"/>
  <c r="C26" i="45"/>
  <c r="C27" i="45"/>
  <c r="C28" i="45"/>
  <c r="C29" i="45"/>
  <c r="C30" i="45"/>
  <c r="C31" i="45"/>
  <c r="C32" i="45"/>
  <c r="C33" i="45"/>
  <c r="C34" i="45"/>
  <c r="C35" i="45"/>
  <c r="C36" i="45"/>
  <c r="C37" i="45"/>
  <c r="C38" i="45"/>
  <c r="C39" i="45"/>
  <c r="C40" i="45"/>
  <c r="C41" i="45"/>
  <c r="C42" i="45"/>
  <c r="C43" i="45"/>
  <c r="C44" i="45"/>
  <c r="C45" i="45"/>
  <c r="C46" i="45"/>
  <c r="C47" i="45"/>
  <c r="C48" i="45"/>
  <c r="C49" i="45"/>
  <c r="C50" i="45"/>
  <c r="C51" i="45"/>
  <c r="C52" i="45"/>
  <c r="C53" i="45"/>
  <c r="C54" i="45"/>
  <c r="C55" i="45"/>
  <c r="C56" i="45"/>
  <c r="C57" i="45"/>
  <c r="C58" i="45"/>
  <c r="C59" i="45"/>
  <c r="C60" i="45"/>
  <c r="C61" i="45"/>
  <c r="C62" i="45"/>
  <c r="C63" i="45"/>
  <c r="C64" i="45"/>
  <c r="C65" i="45"/>
  <c r="C66" i="45"/>
  <c r="C67" i="45"/>
  <c r="C68" i="45"/>
  <c r="C69" i="45"/>
  <c r="C70" i="45"/>
  <c r="C71" i="45"/>
  <c r="C72" i="45"/>
  <c r="C73" i="45"/>
  <c r="C74" i="45"/>
  <c r="C75" i="45"/>
  <c r="C76" i="45"/>
  <c r="C77" i="45"/>
  <c r="C78" i="45"/>
  <c r="C79" i="45"/>
  <c r="C80" i="45"/>
  <c r="C81" i="45"/>
  <c r="C82" i="45"/>
  <c r="C83" i="45"/>
  <c r="C84" i="45"/>
  <c r="C85" i="45"/>
  <c r="C86" i="45"/>
  <c r="C87" i="45"/>
  <c r="C88" i="45"/>
  <c r="C89" i="45"/>
  <c r="C90" i="45"/>
  <c r="C91" i="45"/>
  <c r="C92" i="45"/>
  <c r="C93" i="45"/>
  <c r="C94" i="45"/>
  <c r="C95" i="45"/>
  <c r="C96" i="45"/>
  <c r="C97" i="45"/>
  <c r="C98" i="45"/>
  <c r="C99" i="45"/>
  <c r="C100" i="45"/>
  <c r="C101" i="45"/>
  <c r="C102" i="45"/>
  <c r="C103" i="45"/>
  <c r="C104" i="45"/>
  <c r="C105" i="45"/>
  <c r="C106" i="45"/>
  <c r="C107" i="45"/>
  <c r="C108" i="45"/>
  <c r="C109" i="45"/>
  <c r="C110" i="45"/>
  <c r="C111" i="45"/>
  <c r="C112" i="45"/>
  <c r="C113" i="45"/>
  <c r="C114" i="45"/>
  <c r="C115" i="45"/>
  <c r="C116" i="45"/>
  <c r="C117" i="45"/>
  <c r="C118" i="45"/>
  <c r="C119" i="45"/>
  <c r="C120" i="45"/>
  <c r="C121" i="45"/>
  <c r="C122" i="45"/>
  <c r="C123" i="45"/>
  <c r="C124" i="45"/>
  <c r="C125" i="45"/>
  <c r="C126" i="45"/>
  <c r="C127" i="45"/>
  <c r="C128" i="45"/>
  <c r="C129" i="45"/>
  <c r="C130" i="45"/>
  <c r="C131" i="45"/>
  <c r="C132" i="45"/>
  <c r="C133" i="45"/>
  <c r="C134" i="45"/>
  <c r="C135" i="45"/>
  <c r="C136" i="45"/>
  <c r="C137" i="45"/>
  <c r="C138" i="45"/>
  <c r="C139" i="45"/>
  <c r="C140" i="45"/>
  <c r="C141" i="45"/>
  <c r="C142" i="45"/>
  <c r="C143" i="45"/>
  <c r="C144" i="45"/>
  <c r="C145" i="45"/>
  <c r="C146" i="45"/>
  <c r="C147" i="45"/>
  <c r="C148" i="45"/>
  <c r="C149" i="45"/>
  <c r="C150" i="45"/>
  <c r="C151" i="45"/>
  <c r="C152" i="45"/>
  <c r="C153" i="45"/>
  <c r="C154" i="45"/>
  <c r="C155" i="45"/>
  <c r="C156" i="45"/>
  <c r="C157" i="45"/>
  <c r="C158" i="45"/>
  <c r="C159" i="45"/>
  <c r="C160" i="45"/>
  <c r="C161" i="45"/>
  <c r="C162" i="45"/>
  <c r="C163" i="45"/>
  <c r="C164" i="45"/>
  <c r="C165" i="45"/>
  <c r="C166" i="45"/>
  <c r="C167" i="45"/>
  <c r="C168" i="45"/>
  <c r="C169" i="45"/>
  <c r="C170" i="45"/>
  <c r="C171" i="45"/>
  <c r="C172" i="45"/>
  <c r="C173" i="45"/>
  <c r="C174" i="45"/>
  <c r="C175" i="45"/>
  <c r="C176" i="45"/>
  <c r="C177" i="45"/>
  <c r="C178" i="45"/>
  <c r="C179" i="45"/>
  <c r="C180" i="45"/>
  <c r="C181" i="45"/>
  <c r="C182" i="45"/>
  <c r="C183" i="45"/>
  <c r="C184" i="45"/>
  <c r="C185" i="45"/>
  <c r="C186" i="45"/>
  <c r="C187" i="45"/>
  <c r="C188" i="45"/>
  <c r="C189" i="45"/>
  <c r="C190" i="45"/>
  <c r="C191" i="45"/>
  <c r="C192" i="45"/>
  <c r="C193" i="45"/>
  <c r="C194" i="45"/>
  <c r="C195" i="45"/>
  <c r="C196" i="45"/>
  <c r="C197" i="45"/>
  <c r="C198" i="45"/>
  <c r="C199" i="45"/>
  <c r="C200" i="45"/>
  <c r="C201" i="45"/>
  <c r="C202" i="45"/>
  <c r="C203" i="45"/>
  <c r="C204" i="45"/>
  <c r="C205" i="45"/>
  <c r="C206" i="45"/>
  <c r="C207" i="45"/>
  <c r="C208" i="45"/>
  <c r="C209" i="45"/>
  <c r="C210" i="45"/>
  <c r="C211" i="45"/>
  <c r="C212" i="45"/>
  <c r="C213" i="45"/>
  <c r="C214" i="45"/>
  <c r="C215" i="45"/>
  <c r="C216" i="45"/>
  <c r="C217" i="45"/>
  <c r="C218" i="45"/>
  <c r="C219" i="45"/>
  <c r="C220" i="45"/>
  <c r="C221" i="45"/>
  <c r="C222" i="45"/>
  <c r="C223" i="45"/>
  <c r="C224" i="45"/>
  <c r="C225" i="45"/>
  <c r="C226" i="45"/>
  <c r="C227" i="45"/>
  <c r="C228" i="45"/>
  <c r="C229" i="45"/>
  <c r="C230" i="45"/>
  <c r="C231" i="45"/>
  <c r="C232" i="45"/>
  <c r="C233" i="45"/>
  <c r="C234" i="45"/>
  <c r="C235" i="45"/>
  <c r="C236" i="45"/>
  <c r="C237" i="45"/>
  <c r="C238" i="45"/>
  <c r="C239" i="45"/>
  <c r="C240" i="45"/>
  <c r="C241" i="45"/>
  <c r="C242" i="45"/>
  <c r="C243" i="45"/>
  <c r="C244" i="45"/>
  <c r="C245" i="45"/>
  <c r="C246" i="45"/>
  <c r="C247" i="45"/>
  <c r="C248" i="45"/>
  <c r="C249" i="45"/>
  <c r="C250" i="45"/>
  <c r="C251" i="45"/>
  <c r="C252" i="45"/>
  <c r="C253" i="45"/>
  <c r="C254" i="45"/>
  <c r="C255" i="45"/>
  <c r="C256" i="45"/>
  <c r="C257" i="45"/>
  <c r="C258" i="45"/>
  <c r="C259" i="45"/>
  <c r="C260" i="45"/>
  <c r="C261" i="45"/>
  <c r="C262" i="45"/>
  <c r="C263" i="45"/>
  <c r="C264" i="45"/>
  <c r="C265" i="45"/>
  <c r="C266" i="45"/>
  <c r="C267" i="45"/>
  <c r="C268" i="45"/>
  <c r="C269" i="45"/>
  <c r="C270" i="45"/>
  <c r="C271" i="45"/>
  <c r="C272" i="45"/>
  <c r="C273" i="45"/>
  <c r="C274" i="45"/>
  <c r="C275" i="45"/>
  <c r="C276" i="45"/>
  <c r="C277" i="45"/>
  <c r="C278" i="45"/>
  <c r="C279" i="45"/>
  <c r="C280" i="45"/>
  <c r="C281" i="45"/>
  <c r="C282" i="45"/>
  <c r="C283" i="45"/>
  <c r="C284" i="45"/>
  <c r="C285" i="45"/>
  <c r="C286" i="45"/>
  <c r="C287" i="45"/>
  <c r="C288" i="45"/>
  <c r="C289" i="45"/>
  <c r="C290" i="45"/>
  <c r="C291" i="45"/>
  <c r="C292" i="45"/>
  <c r="C293" i="45"/>
  <c r="C294" i="45"/>
  <c r="C295" i="45"/>
  <c r="C296" i="45"/>
  <c r="C297" i="45"/>
  <c r="C298" i="45"/>
  <c r="C299" i="45"/>
  <c r="C300" i="45"/>
  <c r="C301" i="45"/>
  <c r="C302" i="45"/>
  <c r="C303" i="45"/>
  <c r="C304" i="45"/>
  <c r="C305" i="45"/>
  <c r="C306" i="45"/>
  <c r="C307" i="45"/>
  <c r="C308" i="45"/>
  <c r="C309" i="45"/>
  <c r="C310" i="45"/>
  <c r="C311" i="45"/>
  <c r="C312" i="45"/>
  <c r="C313" i="45"/>
  <c r="C314" i="45"/>
  <c r="C315" i="45"/>
  <c r="C316" i="45"/>
  <c r="C317" i="45"/>
  <c r="C318" i="45"/>
  <c r="C319" i="45"/>
  <c r="C320" i="45"/>
  <c r="C321" i="45"/>
  <c r="C322" i="45"/>
  <c r="C323" i="45"/>
  <c r="C324" i="45"/>
  <c r="C325" i="45"/>
  <c r="C326" i="45"/>
  <c r="C327" i="45"/>
  <c r="C328" i="45"/>
  <c r="C329" i="45"/>
  <c r="C330" i="45"/>
  <c r="C331" i="45"/>
  <c r="C332" i="45"/>
  <c r="C333" i="45"/>
  <c r="C334" i="45"/>
  <c r="C335" i="45"/>
  <c r="C336" i="45"/>
  <c r="C337" i="45"/>
  <c r="C338" i="45"/>
  <c r="C339" i="45"/>
  <c r="C340" i="45"/>
  <c r="C341" i="45"/>
  <c r="C342" i="45"/>
  <c r="C343" i="45"/>
  <c r="C344" i="45"/>
  <c r="C345" i="45"/>
  <c r="C346" i="45"/>
  <c r="C347" i="45"/>
  <c r="C348" i="45"/>
  <c r="C349" i="45"/>
  <c r="C350" i="45"/>
  <c r="C351" i="45"/>
  <c r="C352" i="45"/>
  <c r="C353" i="45"/>
  <c r="C354" i="45"/>
  <c r="C355" i="45"/>
  <c r="C356" i="45"/>
  <c r="C357" i="45"/>
  <c r="C358" i="45"/>
  <c r="C359" i="45"/>
  <c r="C360" i="45"/>
  <c r="C361" i="45"/>
  <c r="C362" i="45"/>
  <c r="C363" i="45"/>
  <c r="C364" i="45"/>
  <c r="C365" i="45"/>
  <c r="C366" i="45"/>
  <c r="C367" i="45"/>
  <c r="C368" i="45"/>
  <c r="C369" i="45"/>
  <c r="C370" i="45"/>
  <c r="C371" i="45"/>
  <c r="C372" i="45"/>
  <c r="C373" i="45"/>
  <c r="C374" i="45"/>
  <c r="C375" i="45"/>
  <c r="C376" i="45"/>
  <c r="C377" i="45"/>
  <c r="C378" i="45"/>
  <c r="C379" i="45"/>
  <c r="C380" i="45"/>
  <c r="C381" i="45"/>
  <c r="C382" i="45"/>
  <c r="C383" i="45"/>
  <c r="C384" i="45"/>
  <c r="C385" i="45"/>
  <c r="C386" i="45"/>
  <c r="C387" i="45"/>
  <c r="C388" i="45"/>
  <c r="C389" i="45"/>
  <c r="C390" i="45"/>
  <c r="C391" i="45"/>
  <c r="C392" i="45"/>
  <c r="C393" i="45"/>
  <c r="C394" i="45"/>
  <c r="C395" i="45"/>
  <c r="C396" i="45"/>
  <c r="C397" i="45"/>
  <c r="C398" i="45"/>
  <c r="C399" i="45"/>
  <c r="C400" i="45"/>
  <c r="C401" i="45"/>
  <c r="C402" i="45"/>
  <c r="C403" i="45"/>
  <c r="C404" i="45"/>
  <c r="C405" i="45"/>
  <c r="C406" i="45"/>
  <c r="C407" i="45"/>
  <c r="C408" i="45"/>
  <c r="C409" i="45"/>
  <c r="C410" i="45"/>
  <c r="C411" i="45"/>
  <c r="C412" i="45"/>
  <c r="C413" i="45"/>
  <c r="C414" i="45"/>
  <c r="C415" i="45"/>
  <c r="C416" i="45"/>
  <c r="C417" i="45"/>
  <c r="C418" i="45"/>
  <c r="C419" i="45"/>
  <c r="C420" i="45"/>
  <c r="C421" i="45"/>
  <c r="C422" i="45"/>
  <c r="C423" i="45"/>
  <c r="C424" i="45"/>
  <c r="C425" i="45"/>
  <c r="C426" i="45"/>
  <c r="C427" i="45"/>
  <c r="C428" i="45"/>
  <c r="C429" i="45"/>
  <c r="C430" i="45"/>
  <c r="C431" i="45"/>
  <c r="C432" i="45"/>
  <c r="C433" i="45"/>
  <c r="C434" i="45"/>
  <c r="C435" i="45"/>
  <c r="C436" i="45"/>
  <c r="C437" i="45"/>
  <c r="C438" i="45"/>
  <c r="C439" i="45"/>
  <c r="C440" i="45"/>
  <c r="C441" i="45"/>
  <c r="C442" i="45"/>
  <c r="C443" i="45"/>
  <c r="C444" i="45"/>
  <c r="C445" i="45"/>
  <c r="C446" i="45"/>
  <c r="C447" i="45"/>
  <c r="C448" i="45"/>
  <c r="C449" i="45"/>
  <c r="C450" i="45"/>
  <c r="C451" i="45"/>
  <c r="C452" i="45"/>
  <c r="C453" i="45"/>
  <c r="C454" i="45"/>
  <c r="C455" i="45"/>
  <c r="C456" i="45"/>
  <c r="C457" i="45"/>
  <c r="C458" i="45"/>
  <c r="C459" i="45"/>
  <c r="C460" i="45"/>
  <c r="C461" i="45"/>
  <c r="C462" i="45"/>
  <c r="C463" i="45"/>
  <c r="C464" i="45"/>
  <c r="C465" i="45"/>
  <c r="C466" i="45"/>
  <c r="C467" i="45"/>
  <c r="C468" i="45"/>
  <c r="C469" i="45"/>
  <c r="C470" i="45"/>
  <c r="C471" i="45"/>
  <c r="C472" i="45"/>
  <c r="C473" i="45"/>
  <c r="C474" i="45"/>
  <c r="C475" i="45"/>
  <c r="C476" i="45"/>
  <c r="C477" i="45"/>
  <c r="C478" i="45"/>
  <c r="C479" i="45"/>
  <c r="C480" i="45"/>
  <c r="C481" i="45"/>
  <c r="C482" i="45"/>
  <c r="C483" i="45"/>
  <c r="C484" i="45"/>
  <c r="C485" i="45"/>
  <c r="C486" i="45"/>
  <c r="C487" i="45"/>
  <c r="C488" i="45"/>
  <c r="C489" i="45"/>
  <c r="C490" i="45"/>
  <c r="C491" i="45"/>
  <c r="C492" i="45"/>
  <c r="C493" i="45"/>
  <c r="C494" i="45"/>
  <c r="C495" i="45"/>
  <c r="C496" i="45"/>
  <c r="C497" i="45"/>
  <c r="C498" i="45"/>
  <c r="C499" i="45"/>
  <c r="C500" i="45"/>
  <c r="C501" i="45"/>
  <c r="C502" i="45"/>
  <c r="C503" i="45"/>
  <c r="C504" i="45"/>
  <c r="C505" i="45"/>
  <c r="C506" i="45"/>
  <c r="C507" i="45"/>
  <c r="C508" i="45"/>
  <c r="C509" i="45"/>
  <c r="C510" i="45"/>
  <c r="C511" i="45"/>
  <c r="C512" i="45"/>
  <c r="C513" i="45"/>
  <c r="C514" i="45"/>
  <c r="C515" i="45"/>
  <c r="C516" i="45"/>
  <c r="C517" i="45"/>
  <c r="C518" i="45"/>
  <c r="C519" i="45"/>
  <c r="C520" i="45"/>
  <c r="C521" i="45"/>
  <c r="C522" i="45"/>
  <c r="C523" i="45"/>
  <c r="C524" i="45"/>
  <c r="C525" i="45"/>
  <c r="C526" i="45"/>
  <c r="C527" i="45"/>
  <c r="C528" i="45"/>
  <c r="C529" i="45"/>
  <c r="C530" i="45"/>
  <c r="C531" i="45"/>
  <c r="C532" i="45"/>
  <c r="C533" i="45"/>
  <c r="C534" i="45"/>
  <c r="C535" i="45"/>
  <c r="C536" i="45"/>
  <c r="C537" i="45"/>
  <c r="C538" i="45"/>
  <c r="C539" i="45"/>
  <c r="C540" i="45"/>
  <c r="C541" i="45"/>
  <c r="C542" i="45"/>
  <c r="C543" i="45"/>
  <c r="C544" i="45"/>
  <c r="C545" i="45"/>
  <c r="C546" i="45"/>
  <c r="C547" i="45"/>
  <c r="C548" i="45"/>
  <c r="C549" i="45"/>
  <c r="C550" i="45"/>
  <c r="C551" i="45"/>
  <c r="C552" i="45"/>
  <c r="C553" i="45"/>
  <c r="C554" i="45"/>
  <c r="C555" i="45"/>
  <c r="C556" i="45"/>
  <c r="C557" i="45"/>
  <c r="C558" i="45"/>
  <c r="C559" i="45"/>
  <c r="C560" i="45"/>
  <c r="C561" i="45"/>
  <c r="C562" i="45"/>
  <c r="C563" i="45"/>
  <c r="C564" i="45"/>
  <c r="C565" i="45"/>
  <c r="C566" i="45"/>
  <c r="C567" i="45"/>
  <c r="C568" i="45"/>
  <c r="C569" i="45"/>
  <c r="C570" i="45"/>
  <c r="C571" i="45"/>
  <c r="C572" i="45"/>
  <c r="C573" i="45"/>
  <c r="C574" i="45"/>
  <c r="C575" i="45"/>
  <c r="C576" i="45"/>
  <c r="C577" i="45"/>
  <c r="C578" i="45"/>
  <c r="C579" i="45"/>
  <c r="C580" i="45"/>
  <c r="C581" i="45"/>
  <c r="C582" i="45"/>
  <c r="C583" i="45"/>
  <c r="C584" i="45"/>
  <c r="C585" i="45"/>
  <c r="C586" i="45"/>
  <c r="C587" i="45"/>
  <c r="C588" i="45"/>
  <c r="C589" i="45"/>
  <c r="C590" i="45"/>
  <c r="C591" i="45"/>
  <c r="C592" i="45"/>
  <c r="C593" i="45"/>
  <c r="C594" i="45"/>
  <c r="C595" i="45"/>
  <c r="C596" i="45"/>
  <c r="C597" i="45"/>
  <c r="C598" i="45"/>
  <c r="C599" i="45"/>
  <c r="C600" i="45"/>
  <c r="C601" i="45"/>
  <c r="C602" i="45"/>
  <c r="C603" i="45"/>
  <c r="C604" i="45"/>
  <c r="C605" i="45"/>
  <c r="C606" i="45"/>
  <c r="C607" i="45"/>
  <c r="C608" i="45"/>
  <c r="C609" i="45"/>
  <c r="C610" i="45"/>
  <c r="C611" i="45"/>
  <c r="C612" i="45"/>
  <c r="C613" i="45"/>
  <c r="C614" i="45"/>
  <c r="C615" i="45"/>
  <c r="C616" i="45"/>
  <c r="C617" i="45"/>
  <c r="C618" i="45"/>
  <c r="C619" i="45"/>
  <c r="C620" i="45"/>
  <c r="C621" i="45"/>
  <c r="C622" i="45"/>
  <c r="C623" i="45"/>
  <c r="C624" i="45"/>
  <c r="C625" i="45"/>
  <c r="C626" i="45"/>
  <c r="C627" i="45"/>
  <c r="C628" i="45"/>
  <c r="C629" i="45"/>
  <c r="C630" i="45"/>
  <c r="C631" i="45"/>
  <c r="C632" i="45"/>
  <c r="C633" i="45"/>
  <c r="C634" i="45"/>
  <c r="C635" i="45"/>
  <c r="C636" i="45"/>
  <c r="C637" i="45"/>
  <c r="C638" i="45"/>
  <c r="C639" i="45"/>
  <c r="C640" i="45"/>
  <c r="C641" i="45"/>
  <c r="C642" i="45"/>
  <c r="C643" i="45"/>
  <c r="C644" i="45"/>
  <c r="C645" i="45"/>
  <c r="C646" i="45"/>
  <c r="C647" i="45"/>
  <c r="C648" i="45"/>
  <c r="C649" i="45"/>
  <c r="C650" i="45"/>
  <c r="C651" i="45"/>
  <c r="C652" i="45"/>
  <c r="C653" i="45"/>
  <c r="C654" i="45"/>
  <c r="C655" i="45"/>
  <c r="C656" i="45"/>
  <c r="C657" i="45"/>
  <c r="C658" i="45"/>
  <c r="C659" i="45"/>
  <c r="C660" i="45"/>
  <c r="C661" i="45"/>
  <c r="C662" i="45"/>
  <c r="C663" i="45"/>
  <c r="C664" i="45"/>
  <c r="C665" i="45"/>
  <c r="C666" i="45"/>
  <c r="C667" i="45"/>
  <c r="C668" i="45"/>
  <c r="C669" i="45"/>
  <c r="C670" i="45"/>
  <c r="C671" i="45"/>
  <c r="C672" i="45"/>
  <c r="C673" i="45"/>
  <c r="C674" i="45"/>
  <c r="C675" i="45"/>
  <c r="C676" i="45"/>
  <c r="C677" i="45"/>
  <c r="C678" i="45"/>
  <c r="C679" i="45"/>
  <c r="C680" i="45"/>
  <c r="C681" i="45"/>
  <c r="C682" i="45"/>
  <c r="C683" i="45"/>
  <c r="C684" i="45"/>
  <c r="C685" i="45"/>
  <c r="C686" i="45"/>
  <c r="C687" i="45"/>
  <c r="C688" i="45"/>
  <c r="C689" i="45"/>
  <c r="C690" i="45"/>
  <c r="C691" i="45"/>
  <c r="C692" i="45"/>
  <c r="C693" i="45"/>
  <c r="C694" i="45"/>
  <c r="C695" i="45"/>
  <c r="C696" i="45"/>
  <c r="C697" i="45"/>
  <c r="C698" i="45"/>
  <c r="C699" i="45"/>
  <c r="C700" i="45"/>
  <c r="C701" i="45"/>
  <c r="C702" i="45"/>
  <c r="C703" i="45"/>
  <c r="C704" i="45"/>
  <c r="C705" i="45"/>
  <c r="C706" i="45"/>
  <c r="C707" i="45"/>
  <c r="C708" i="45"/>
  <c r="C709" i="45"/>
  <c r="C710" i="45"/>
  <c r="C711" i="45"/>
  <c r="C712" i="45"/>
  <c r="C713" i="45"/>
  <c r="C714" i="45"/>
  <c r="C715" i="45"/>
  <c r="C716" i="45"/>
  <c r="C717" i="45"/>
  <c r="C718" i="45"/>
  <c r="C719" i="45"/>
  <c r="C720" i="45"/>
  <c r="C721" i="45"/>
  <c r="C722" i="45"/>
  <c r="C723" i="45"/>
  <c r="C724" i="45"/>
  <c r="C725" i="45"/>
  <c r="C726" i="45"/>
  <c r="C727" i="45"/>
  <c r="C728" i="45"/>
  <c r="C729" i="45"/>
  <c r="C730" i="45"/>
  <c r="C731" i="45"/>
  <c r="C732" i="45"/>
  <c r="C733" i="45"/>
  <c r="C734" i="45"/>
  <c r="C735" i="45"/>
  <c r="C736" i="45"/>
  <c r="C737" i="45"/>
  <c r="C738" i="45"/>
  <c r="C739" i="45"/>
  <c r="C740" i="45"/>
  <c r="C741" i="45"/>
  <c r="C742" i="45"/>
  <c r="C743" i="45"/>
  <c r="C744" i="45"/>
  <c r="C745" i="45"/>
  <c r="C746" i="45"/>
  <c r="C747" i="45"/>
  <c r="C748" i="45"/>
  <c r="C749" i="45"/>
  <c r="C750" i="45"/>
  <c r="C751" i="45"/>
  <c r="C752" i="45"/>
  <c r="C753" i="45"/>
  <c r="C754" i="45"/>
  <c r="C755" i="45"/>
  <c r="C756" i="45"/>
  <c r="C757" i="45"/>
  <c r="C758" i="45"/>
  <c r="C759" i="45"/>
  <c r="C760" i="45"/>
  <c r="C761" i="45"/>
  <c r="C762" i="45"/>
  <c r="C763" i="45"/>
  <c r="C764" i="45"/>
  <c r="C765" i="45"/>
  <c r="C766" i="45"/>
  <c r="C767" i="45"/>
  <c r="C768" i="45"/>
  <c r="C769" i="45"/>
  <c r="C770" i="45"/>
  <c r="C771" i="45"/>
  <c r="C772" i="45"/>
  <c r="C773" i="45"/>
  <c r="C774" i="45"/>
  <c r="C775" i="45"/>
  <c r="C776" i="45"/>
  <c r="C777" i="45"/>
  <c r="C778" i="45"/>
  <c r="C779" i="45"/>
  <c r="C780" i="45"/>
  <c r="C781" i="45"/>
  <c r="C782" i="45"/>
  <c r="C783" i="45"/>
  <c r="C784" i="45"/>
  <c r="C785" i="45"/>
  <c r="C786" i="45"/>
  <c r="C787" i="45"/>
  <c r="C788" i="45"/>
  <c r="C789" i="45"/>
  <c r="C790" i="45"/>
  <c r="C791" i="45"/>
  <c r="C792" i="45"/>
  <c r="C793" i="45"/>
  <c r="C794" i="45"/>
  <c r="C795" i="45"/>
  <c r="C796" i="45"/>
  <c r="C797" i="45"/>
  <c r="C798" i="45"/>
  <c r="C799" i="45"/>
  <c r="C800" i="45"/>
  <c r="C801" i="45"/>
  <c r="C802" i="45"/>
  <c r="C803" i="45"/>
  <c r="C804" i="45"/>
  <c r="C805" i="45"/>
  <c r="C806" i="45"/>
  <c r="C807" i="45"/>
  <c r="C808" i="45"/>
  <c r="C809" i="45"/>
  <c r="C810" i="45"/>
  <c r="C811" i="45"/>
  <c r="C812" i="45"/>
  <c r="C813" i="45"/>
  <c r="C814" i="45"/>
  <c r="C815" i="45"/>
  <c r="C816" i="45"/>
  <c r="C817" i="45"/>
  <c r="C818" i="45"/>
  <c r="C819" i="45"/>
  <c r="C820" i="45"/>
  <c r="C821" i="45"/>
  <c r="C822" i="45"/>
  <c r="C823" i="45"/>
  <c r="C824" i="45"/>
  <c r="C825" i="45"/>
  <c r="C826" i="45"/>
  <c r="C827" i="45"/>
  <c r="C828" i="45"/>
  <c r="C829" i="45"/>
  <c r="C830" i="45"/>
  <c r="C831" i="45"/>
  <c r="C832" i="45"/>
  <c r="C833" i="45"/>
  <c r="C834" i="45"/>
  <c r="C835" i="45"/>
  <c r="C836" i="45"/>
  <c r="C837" i="45"/>
  <c r="C838" i="45"/>
  <c r="C839" i="45"/>
  <c r="C840" i="45"/>
  <c r="C841" i="45"/>
  <c r="C842" i="45"/>
  <c r="C843" i="45"/>
  <c r="C844" i="45"/>
  <c r="C845" i="45"/>
  <c r="C846" i="45"/>
  <c r="C847" i="45"/>
  <c r="C848" i="45"/>
  <c r="C849" i="45"/>
  <c r="C850" i="45"/>
  <c r="C851" i="45"/>
  <c r="C852" i="45"/>
  <c r="C853" i="45"/>
  <c r="C854" i="45"/>
  <c r="C855" i="45"/>
  <c r="C856" i="45"/>
  <c r="C857" i="45"/>
  <c r="C858" i="45"/>
  <c r="C859" i="45"/>
  <c r="C860" i="45"/>
  <c r="C861" i="45"/>
  <c r="C862" i="45"/>
  <c r="C863" i="45"/>
  <c r="C864" i="45"/>
  <c r="C865" i="45"/>
  <c r="C866" i="45"/>
  <c r="C867" i="45"/>
  <c r="C868" i="45"/>
  <c r="C869" i="45"/>
  <c r="C870" i="45"/>
  <c r="C871" i="45"/>
  <c r="C872" i="45"/>
  <c r="C873" i="45"/>
  <c r="C874" i="45"/>
  <c r="C875" i="45"/>
  <c r="C876" i="45"/>
  <c r="C877" i="45"/>
  <c r="C878" i="45"/>
  <c r="C879" i="45"/>
  <c r="C880" i="45"/>
  <c r="C881" i="45"/>
  <c r="C882" i="45"/>
  <c r="C883" i="45"/>
  <c r="C884" i="45"/>
  <c r="C885" i="45"/>
  <c r="C886" i="45"/>
  <c r="C887" i="45"/>
  <c r="C888" i="45"/>
  <c r="C889" i="45"/>
  <c r="C890" i="45"/>
  <c r="C891" i="45"/>
  <c r="C892" i="45"/>
  <c r="C893" i="45"/>
  <c r="C894" i="45"/>
  <c r="C895" i="45"/>
  <c r="C896" i="45"/>
  <c r="C897" i="45"/>
  <c r="C898" i="45"/>
  <c r="C899" i="45"/>
  <c r="C900" i="45"/>
  <c r="C901" i="45"/>
  <c r="C902" i="45"/>
  <c r="C903" i="45"/>
  <c r="C904" i="45"/>
  <c r="C905" i="45"/>
  <c r="C906" i="45"/>
  <c r="C907" i="45"/>
  <c r="C908" i="45"/>
  <c r="C909" i="45"/>
  <c r="C910" i="45"/>
  <c r="C911" i="45"/>
  <c r="C912" i="45"/>
  <c r="C913" i="45"/>
  <c r="C914" i="45"/>
  <c r="C915" i="45"/>
  <c r="C916" i="45"/>
  <c r="C917" i="45"/>
  <c r="C918" i="45"/>
  <c r="C919" i="45"/>
  <c r="C920" i="45"/>
  <c r="C921" i="45"/>
  <c r="C922" i="45"/>
  <c r="C923" i="45"/>
  <c r="C924" i="45"/>
  <c r="C925" i="45"/>
  <c r="C926" i="45"/>
  <c r="C927" i="45"/>
  <c r="C928" i="45"/>
  <c r="C929" i="45"/>
  <c r="C930" i="45"/>
  <c r="C931" i="45"/>
  <c r="C932" i="45"/>
  <c r="C933" i="45"/>
  <c r="C934" i="45"/>
  <c r="C935" i="45"/>
  <c r="C936" i="45"/>
  <c r="C937" i="45"/>
  <c r="C938" i="45"/>
  <c r="C939" i="45"/>
  <c r="C940" i="45"/>
  <c r="C941" i="45"/>
  <c r="C942" i="45"/>
  <c r="C943" i="45"/>
  <c r="C944" i="45"/>
  <c r="C945" i="45"/>
  <c r="C946" i="45"/>
  <c r="C947" i="45"/>
  <c r="C948" i="45"/>
  <c r="C949" i="45"/>
  <c r="C950" i="45"/>
  <c r="C951" i="45"/>
  <c r="C952" i="45"/>
  <c r="C953" i="45"/>
  <c r="C954" i="45"/>
  <c r="C955" i="45"/>
  <c r="C956" i="45"/>
  <c r="C957" i="45"/>
  <c r="C958" i="45"/>
  <c r="C959" i="45"/>
  <c r="C960" i="45"/>
  <c r="C961" i="45"/>
  <c r="C962" i="45"/>
  <c r="C963" i="45"/>
  <c r="C964" i="45"/>
  <c r="C965" i="45"/>
  <c r="C966" i="45"/>
  <c r="C967" i="45"/>
  <c r="C968" i="45"/>
  <c r="C969" i="45"/>
  <c r="C970" i="45"/>
  <c r="C971" i="45"/>
  <c r="C972" i="45"/>
  <c r="C973" i="45"/>
  <c r="C974" i="45"/>
  <c r="C975" i="45"/>
  <c r="C976" i="45"/>
  <c r="C977" i="45"/>
  <c r="C978" i="45"/>
  <c r="C979" i="45"/>
  <c r="C980" i="45"/>
  <c r="C981" i="45"/>
  <c r="C982" i="45"/>
  <c r="C983" i="45"/>
  <c r="C984" i="45"/>
  <c r="C985" i="45"/>
  <c r="C986" i="45"/>
  <c r="C987" i="45"/>
  <c r="C988" i="45"/>
  <c r="C989" i="45"/>
  <c r="C990" i="45"/>
  <c r="C991" i="45"/>
  <c r="C992" i="45"/>
  <c r="C993" i="45"/>
  <c r="C994" i="45"/>
  <c r="C995" i="45"/>
  <c r="C996" i="45"/>
  <c r="C997" i="45"/>
  <c r="C998" i="45"/>
  <c r="C999" i="45"/>
  <c r="C1000" i="45"/>
  <c r="C1001" i="45"/>
  <c r="C1002" i="45"/>
  <c r="C1003" i="45"/>
  <c r="C1004" i="45"/>
  <c r="C1005" i="45"/>
  <c r="C1006" i="45"/>
  <c r="C1007" i="45"/>
  <c r="C1008" i="45"/>
  <c r="C1009" i="45"/>
  <c r="C1010" i="45"/>
  <c r="C1011" i="45"/>
  <c r="C1012" i="45"/>
  <c r="C1013" i="45"/>
  <c r="C1014" i="45"/>
  <c r="C1015" i="45"/>
  <c r="C1016" i="45"/>
  <c r="C1017" i="45"/>
  <c r="C1018" i="45"/>
  <c r="C1019" i="45"/>
  <c r="C1020" i="45"/>
  <c r="C1021" i="45"/>
  <c r="C1022" i="45"/>
  <c r="C1023" i="45"/>
  <c r="C1024" i="45"/>
  <c r="C1025" i="45"/>
  <c r="C1026" i="45"/>
  <c r="C1027" i="45"/>
  <c r="C1028" i="45"/>
  <c r="C1029" i="45"/>
  <c r="C1030" i="45"/>
  <c r="C1031" i="45"/>
  <c r="C1032" i="45"/>
  <c r="C1033" i="45"/>
  <c r="C1034" i="45"/>
  <c r="C1035" i="45"/>
  <c r="C1036" i="45"/>
  <c r="C1037" i="45"/>
  <c r="C1038" i="45"/>
  <c r="C1039" i="45"/>
  <c r="C1040" i="45"/>
  <c r="C1041" i="45"/>
  <c r="C1042" i="45"/>
  <c r="C1043" i="45"/>
  <c r="C1044" i="45"/>
  <c r="C1045" i="45"/>
  <c r="C1046" i="45"/>
  <c r="C1047" i="45"/>
  <c r="C1048" i="45"/>
  <c r="C1049" i="45"/>
  <c r="C1050" i="45"/>
  <c r="C1051" i="45"/>
  <c r="C1052" i="45"/>
  <c r="C1053" i="45"/>
  <c r="C1054" i="45"/>
  <c r="C1055" i="45"/>
  <c r="C1056" i="45"/>
  <c r="C1057" i="45"/>
  <c r="C1058" i="45"/>
  <c r="C1059" i="45"/>
  <c r="C1060" i="45"/>
  <c r="C1061" i="45"/>
  <c r="C1062" i="45"/>
  <c r="C1063" i="45"/>
  <c r="C1064" i="45"/>
  <c r="C1065" i="45"/>
  <c r="C1066" i="45"/>
  <c r="C1067" i="45"/>
  <c r="C1068" i="45"/>
  <c r="C1069" i="45"/>
  <c r="C1070" i="45"/>
  <c r="C1071" i="45"/>
  <c r="C1072" i="45"/>
  <c r="C1073" i="45"/>
  <c r="C1074" i="45"/>
  <c r="C1075" i="45"/>
  <c r="C1076" i="45"/>
  <c r="C1077" i="45"/>
  <c r="C1078" i="45"/>
  <c r="C1079" i="45"/>
  <c r="C1080" i="45"/>
  <c r="C1081" i="45"/>
  <c r="C1082" i="45"/>
  <c r="C1083" i="45"/>
  <c r="C1084" i="45"/>
  <c r="C1085" i="45"/>
  <c r="C1086" i="45"/>
  <c r="C1087" i="45"/>
  <c r="C1088" i="45"/>
  <c r="C1089" i="45"/>
  <c r="C1090" i="45"/>
  <c r="C1091" i="45"/>
  <c r="C1092" i="45"/>
  <c r="C1093" i="45"/>
  <c r="C1094" i="45"/>
  <c r="C1095" i="45"/>
  <c r="C1096" i="45"/>
  <c r="C1097" i="45"/>
  <c r="C1098" i="45"/>
  <c r="C1099" i="45"/>
  <c r="C1100" i="45"/>
  <c r="C1101" i="45"/>
  <c r="C1102" i="45"/>
  <c r="C1103" i="45"/>
  <c r="C1104" i="45"/>
  <c r="C1105" i="45"/>
  <c r="C1106" i="45"/>
  <c r="C1107" i="45"/>
  <c r="C1108" i="45"/>
  <c r="C1109" i="45"/>
  <c r="C1110" i="45"/>
  <c r="C1111" i="45"/>
  <c r="C1112" i="45"/>
  <c r="C1113" i="45"/>
  <c r="C1114" i="45"/>
  <c r="C1115" i="45"/>
  <c r="C1116" i="45"/>
  <c r="C1117" i="45"/>
  <c r="C1118" i="45"/>
  <c r="C1119" i="45"/>
  <c r="C1120" i="45"/>
  <c r="C1121" i="45"/>
  <c r="C1122" i="45"/>
  <c r="C1123" i="45"/>
  <c r="C1124" i="45"/>
  <c r="C1125" i="45"/>
  <c r="C1126" i="45"/>
  <c r="C1127" i="45"/>
  <c r="C1128" i="45"/>
  <c r="C1129" i="45"/>
  <c r="C1130" i="45"/>
  <c r="C1131" i="45"/>
  <c r="C1132" i="45"/>
  <c r="C1133" i="45"/>
  <c r="C1134" i="45"/>
  <c r="C1135" i="45"/>
  <c r="C1136" i="45"/>
  <c r="C1137" i="45"/>
  <c r="C1138" i="45"/>
  <c r="C1139" i="45"/>
  <c r="C1140" i="45"/>
  <c r="C1141" i="45"/>
  <c r="C1142" i="45"/>
  <c r="C1143" i="45"/>
  <c r="C1144" i="45"/>
  <c r="C1145" i="45"/>
  <c r="C1146" i="45"/>
  <c r="C1147" i="45"/>
  <c r="C1148" i="45"/>
  <c r="C1149" i="45"/>
  <c r="C1150" i="45"/>
  <c r="C1151" i="45"/>
  <c r="C1152" i="45"/>
  <c r="C1153" i="45"/>
  <c r="C1154" i="45"/>
  <c r="C1155" i="45"/>
  <c r="C1156" i="45"/>
  <c r="C1157" i="45"/>
  <c r="C1158" i="45"/>
  <c r="C1159" i="45"/>
  <c r="C1160" i="45"/>
  <c r="C1161" i="45"/>
  <c r="C1162" i="45"/>
  <c r="C1163" i="45"/>
  <c r="C1164" i="45"/>
  <c r="C1165" i="45"/>
  <c r="C1166" i="45"/>
  <c r="C1167" i="45"/>
  <c r="C1168" i="45"/>
  <c r="C1169" i="45"/>
  <c r="C1170" i="45"/>
  <c r="C1171" i="45"/>
  <c r="C1172" i="45"/>
  <c r="C1173" i="45"/>
  <c r="C1174" i="45"/>
  <c r="C1175" i="45"/>
  <c r="C1176" i="45"/>
  <c r="C1177" i="45"/>
  <c r="C1178" i="45"/>
  <c r="C1179" i="45"/>
  <c r="C1180" i="45"/>
  <c r="C1181" i="45"/>
  <c r="C1182" i="45"/>
  <c r="C1183" i="45"/>
  <c r="C1184" i="45"/>
  <c r="C1185" i="45"/>
  <c r="C1186" i="45"/>
  <c r="C1187" i="45"/>
  <c r="C1188" i="45"/>
  <c r="C1189" i="45"/>
  <c r="C1190" i="45"/>
  <c r="C1191" i="45"/>
  <c r="C1192" i="45"/>
  <c r="C1193" i="45"/>
  <c r="C1194" i="45"/>
  <c r="C1195" i="45"/>
  <c r="C1196" i="45"/>
  <c r="C1197" i="45"/>
  <c r="C1198" i="45"/>
  <c r="C1199" i="45"/>
  <c r="C1200" i="45"/>
  <c r="C1201" i="45"/>
  <c r="C1202" i="45"/>
  <c r="C1203" i="45"/>
  <c r="C1204" i="45"/>
  <c r="C1205" i="45"/>
  <c r="C1206" i="45"/>
  <c r="C1207" i="45"/>
  <c r="C1208" i="45"/>
  <c r="C1209" i="45"/>
  <c r="C1210" i="45"/>
  <c r="C1211" i="45"/>
  <c r="C1212" i="45"/>
  <c r="C1213" i="45"/>
  <c r="C1214" i="45"/>
  <c r="C1215" i="45"/>
  <c r="C1216" i="45"/>
  <c r="C1217" i="45"/>
  <c r="C1218" i="45"/>
  <c r="C1219" i="45"/>
  <c r="C1220" i="45"/>
  <c r="C1221" i="45"/>
  <c r="C1222" i="45"/>
  <c r="C1223" i="45"/>
  <c r="C1224" i="45"/>
  <c r="C1225" i="45"/>
  <c r="C1226" i="45"/>
  <c r="C1227" i="45"/>
  <c r="C1228" i="45"/>
  <c r="C1229" i="45"/>
  <c r="C1230" i="45"/>
  <c r="C1231" i="45"/>
  <c r="C1232" i="45"/>
  <c r="C1233" i="45"/>
  <c r="C1234" i="45"/>
  <c r="C1235" i="45"/>
  <c r="C1236" i="45"/>
  <c r="C1237" i="45"/>
  <c r="C1238" i="45"/>
  <c r="C1239" i="45"/>
  <c r="C1240" i="45"/>
  <c r="C1241" i="45"/>
  <c r="C1242" i="45"/>
  <c r="C1243" i="45"/>
  <c r="C1244" i="45"/>
  <c r="C1245" i="45"/>
  <c r="C1246" i="45"/>
  <c r="C1247" i="45"/>
  <c r="C1248" i="45"/>
  <c r="C1249" i="45"/>
  <c r="C1250" i="45"/>
  <c r="C1251" i="45"/>
  <c r="C4" i="45"/>
  <c r="D4" i="45" s="1"/>
  <c r="E4" i="45" s="1"/>
  <c r="D5" i="45" l="1"/>
  <c r="E5" i="45" s="1"/>
  <c r="D6" i="45"/>
  <c r="E6" i="45" s="1"/>
  <c r="D7" i="45"/>
  <c r="E7" i="45" s="1"/>
  <c r="D8" i="45"/>
  <c r="E8" i="45" s="1"/>
  <c r="D9" i="45"/>
  <c r="E9" i="45" s="1"/>
  <c r="D10" i="45"/>
  <c r="E10" i="45" s="1"/>
  <c r="D11" i="45"/>
  <c r="E11" i="45" s="1"/>
  <c r="D12" i="45"/>
  <c r="E12" i="45" s="1"/>
  <c r="D13" i="45"/>
  <c r="E13" i="45" s="1"/>
  <c r="D14" i="45"/>
  <c r="E14" i="45" s="1"/>
  <c r="D15" i="45"/>
  <c r="E15" i="45" s="1"/>
  <c r="D16" i="45"/>
  <c r="E16" i="45" s="1"/>
  <c r="D17" i="45"/>
  <c r="E17" i="45" s="1"/>
  <c r="D18" i="45"/>
  <c r="E18" i="45" s="1"/>
  <c r="D19" i="45"/>
  <c r="E19" i="45" s="1"/>
  <c r="D20" i="45"/>
  <c r="E20" i="45" s="1"/>
  <c r="D21" i="45"/>
  <c r="E21" i="45" s="1"/>
  <c r="D22" i="45"/>
  <c r="E22" i="45" s="1"/>
  <c r="D23" i="45"/>
  <c r="E23" i="45" s="1"/>
  <c r="D24" i="45"/>
  <c r="E24" i="45" s="1"/>
  <c r="D25" i="45"/>
  <c r="E25" i="45" s="1"/>
  <c r="D26" i="45"/>
  <c r="E26" i="45" s="1"/>
  <c r="D27" i="45"/>
  <c r="E27" i="45" s="1"/>
  <c r="D28" i="45"/>
  <c r="E28" i="45" s="1"/>
  <c r="D29" i="45"/>
  <c r="E29" i="45" s="1"/>
  <c r="D30" i="45"/>
  <c r="E30" i="45" s="1"/>
  <c r="D31" i="45"/>
  <c r="E31" i="45" s="1"/>
  <c r="D32" i="45"/>
  <c r="E32" i="45" s="1"/>
  <c r="D33" i="45"/>
  <c r="E33" i="45" s="1"/>
  <c r="D34" i="45"/>
  <c r="E34" i="45" s="1"/>
  <c r="D35" i="45"/>
  <c r="E35" i="45" s="1"/>
  <c r="D36" i="45"/>
  <c r="E36" i="45" s="1"/>
  <c r="D37" i="45"/>
  <c r="E37" i="45" s="1"/>
  <c r="D38" i="45"/>
  <c r="E38" i="45" s="1"/>
  <c r="D39" i="45"/>
  <c r="E39" i="45" s="1"/>
  <c r="D40" i="45"/>
  <c r="E40" i="45" s="1"/>
  <c r="D41" i="45"/>
  <c r="E41" i="45" s="1"/>
  <c r="D42" i="45"/>
  <c r="E42" i="45" s="1"/>
  <c r="D43" i="45"/>
  <c r="E43" i="45" s="1"/>
  <c r="D44" i="45"/>
  <c r="E44" i="45" s="1"/>
  <c r="D45" i="45"/>
  <c r="E45" i="45" s="1"/>
  <c r="D46" i="45"/>
  <c r="E46" i="45" s="1"/>
  <c r="D47" i="45"/>
  <c r="E47" i="45" s="1"/>
  <c r="D48" i="45"/>
  <c r="E48" i="45" s="1"/>
  <c r="D49" i="45"/>
  <c r="E49" i="45" s="1"/>
  <c r="D50" i="45"/>
  <c r="E50" i="45" s="1"/>
  <c r="D51" i="45"/>
  <c r="E51" i="45" s="1"/>
  <c r="D52" i="45"/>
  <c r="E52" i="45" s="1"/>
  <c r="D53" i="45"/>
  <c r="E53" i="45" s="1"/>
  <c r="D54" i="45"/>
  <c r="E54" i="45" s="1"/>
  <c r="D55" i="45"/>
  <c r="E55" i="45" s="1"/>
  <c r="D56" i="45"/>
  <c r="E56" i="45" s="1"/>
  <c r="D57" i="45"/>
  <c r="E57" i="45" s="1"/>
  <c r="D58" i="45"/>
  <c r="E58" i="45" s="1"/>
  <c r="D59" i="45"/>
  <c r="E59" i="45" s="1"/>
  <c r="D60" i="45"/>
  <c r="E60" i="45" s="1"/>
  <c r="D61" i="45"/>
  <c r="E61" i="45" s="1"/>
  <c r="D62" i="45"/>
  <c r="E62" i="45" s="1"/>
  <c r="D63" i="45"/>
  <c r="E63" i="45" s="1"/>
  <c r="D64" i="45"/>
  <c r="E64" i="45" s="1"/>
  <c r="D65" i="45"/>
  <c r="E65" i="45" s="1"/>
  <c r="D66" i="45"/>
  <c r="E66" i="45" s="1"/>
  <c r="D67" i="45"/>
  <c r="E67" i="45" s="1"/>
  <c r="D68" i="45"/>
  <c r="E68" i="45" s="1"/>
  <c r="D69" i="45"/>
  <c r="E69" i="45" s="1"/>
  <c r="D70" i="45"/>
  <c r="E70" i="45" s="1"/>
  <c r="D71" i="45"/>
  <c r="E71" i="45" s="1"/>
  <c r="D72" i="45"/>
  <c r="E72" i="45" s="1"/>
  <c r="D73" i="45"/>
  <c r="E73" i="45" s="1"/>
  <c r="D74" i="45"/>
  <c r="E74" i="45" s="1"/>
  <c r="D75" i="45"/>
  <c r="E75" i="45" s="1"/>
  <c r="D76" i="45"/>
  <c r="E76" i="45" s="1"/>
  <c r="D77" i="45"/>
  <c r="E77" i="45" s="1"/>
  <c r="D78" i="45"/>
  <c r="E78" i="45" s="1"/>
  <c r="D79" i="45"/>
  <c r="E79" i="45" s="1"/>
  <c r="D80" i="45"/>
  <c r="E80" i="45" s="1"/>
  <c r="D81" i="45"/>
  <c r="E81" i="45" s="1"/>
  <c r="D82" i="45"/>
  <c r="E82" i="45" s="1"/>
  <c r="D83" i="45"/>
  <c r="E83" i="45" s="1"/>
  <c r="D84" i="45"/>
  <c r="E84" i="45" s="1"/>
  <c r="D85" i="45"/>
  <c r="E85" i="45" s="1"/>
  <c r="D86" i="45"/>
  <c r="E86" i="45" s="1"/>
  <c r="D87" i="45"/>
  <c r="E87" i="45" s="1"/>
  <c r="D88" i="45"/>
  <c r="E88" i="45" s="1"/>
  <c r="D89" i="45"/>
  <c r="E89" i="45" s="1"/>
  <c r="D90" i="45"/>
  <c r="E90" i="45" s="1"/>
  <c r="D91" i="45"/>
  <c r="E91" i="45" s="1"/>
  <c r="D92" i="45"/>
  <c r="E92" i="45" s="1"/>
  <c r="D93" i="45"/>
  <c r="E93" i="45" s="1"/>
  <c r="D94" i="45"/>
  <c r="E94" i="45" s="1"/>
  <c r="D95" i="45"/>
  <c r="E95" i="45" s="1"/>
  <c r="D96" i="45"/>
  <c r="E96" i="45" s="1"/>
  <c r="D97" i="45"/>
  <c r="E97" i="45" s="1"/>
  <c r="D98" i="45"/>
  <c r="E98" i="45" s="1"/>
  <c r="D99" i="45"/>
  <c r="E99" i="45" s="1"/>
  <c r="D100" i="45"/>
  <c r="E100" i="45" s="1"/>
  <c r="D101" i="45"/>
  <c r="E101" i="45" s="1"/>
  <c r="D102" i="45"/>
  <c r="E102" i="45" s="1"/>
  <c r="D103" i="45"/>
  <c r="E103" i="45" s="1"/>
  <c r="D104" i="45"/>
  <c r="E104" i="45" s="1"/>
  <c r="D105" i="45"/>
  <c r="E105" i="45" s="1"/>
  <c r="D106" i="45"/>
  <c r="E106" i="45" s="1"/>
  <c r="D107" i="45"/>
  <c r="E107" i="45" s="1"/>
  <c r="D108" i="45"/>
  <c r="E108" i="45" s="1"/>
  <c r="D109" i="45"/>
  <c r="E109" i="45" s="1"/>
  <c r="D110" i="45"/>
  <c r="E110" i="45" s="1"/>
  <c r="D111" i="45"/>
  <c r="E111" i="45" s="1"/>
  <c r="D112" i="45"/>
  <c r="E112" i="45" s="1"/>
  <c r="D113" i="45"/>
  <c r="E113" i="45" s="1"/>
  <c r="D114" i="45"/>
  <c r="E114" i="45" s="1"/>
  <c r="D115" i="45"/>
  <c r="E115" i="45" s="1"/>
  <c r="D116" i="45"/>
  <c r="E116" i="45" s="1"/>
  <c r="D117" i="45"/>
  <c r="E117" i="45" s="1"/>
  <c r="D118" i="45"/>
  <c r="E118" i="45" s="1"/>
  <c r="D119" i="45"/>
  <c r="E119" i="45" s="1"/>
  <c r="D120" i="45"/>
  <c r="E120" i="45" s="1"/>
  <c r="D121" i="45"/>
  <c r="E121" i="45" s="1"/>
  <c r="D122" i="45"/>
  <c r="E122" i="45" s="1"/>
  <c r="D123" i="45"/>
  <c r="E123" i="45" s="1"/>
  <c r="D124" i="45"/>
  <c r="E124" i="45" s="1"/>
  <c r="D125" i="45"/>
  <c r="E125" i="45" s="1"/>
  <c r="D126" i="45"/>
  <c r="E126" i="45" s="1"/>
  <c r="D127" i="45"/>
  <c r="E127" i="45" s="1"/>
  <c r="D128" i="45"/>
  <c r="E128" i="45" s="1"/>
  <c r="D129" i="45"/>
  <c r="E129" i="45" s="1"/>
  <c r="D130" i="45"/>
  <c r="E130" i="45" s="1"/>
  <c r="D131" i="45"/>
  <c r="E131" i="45" s="1"/>
  <c r="D132" i="45"/>
  <c r="E132" i="45" s="1"/>
  <c r="D133" i="45"/>
  <c r="E133" i="45" s="1"/>
  <c r="D134" i="45"/>
  <c r="E134" i="45" s="1"/>
  <c r="D135" i="45"/>
  <c r="E135" i="45" s="1"/>
  <c r="D136" i="45"/>
  <c r="E136" i="45" s="1"/>
  <c r="D137" i="45"/>
  <c r="E137" i="45" s="1"/>
  <c r="D138" i="45"/>
  <c r="E138" i="45" s="1"/>
  <c r="D139" i="45"/>
  <c r="E139" i="45" s="1"/>
  <c r="D140" i="45"/>
  <c r="E140" i="45" s="1"/>
  <c r="D141" i="45"/>
  <c r="E141" i="45" s="1"/>
  <c r="D142" i="45"/>
  <c r="E142" i="45" s="1"/>
  <c r="D143" i="45"/>
  <c r="E143" i="45" s="1"/>
  <c r="D144" i="45"/>
  <c r="E144" i="45" s="1"/>
  <c r="D145" i="45"/>
  <c r="E145" i="45" s="1"/>
  <c r="D146" i="45"/>
  <c r="E146" i="45" s="1"/>
  <c r="D147" i="45"/>
  <c r="E147" i="45" s="1"/>
  <c r="D148" i="45"/>
  <c r="E148" i="45" s="1"/>
  <c r="D149" i="45"/>
  <c r="E149" i="45" s="1"/>
  <c r="D150" i="45"/>
  <c r="E150" i="45" s="1"/>
  <c r="D151" i="45"/>
  <c r="E151" i="45" s="1"/>
  <c r="D152" i="45"/>
  <c r="E152" i="45" s="1"/>
  <c r="D153" i="45"/>
  <c r="E153" i="45" s="1"/>
  <c r="D154" i="45"/>
  <c r="E154" i="45" s="1"/>
  <c r="D155" i="45"/>
  <c r="E155" i="45" s="1"/>
  <c r="D156" i="45"/>
  <c r="E156" i="45" s="1"/>
  <c r="D157" i="45"/>
  <c r="E157" i="45" s="1"/>
  <c r="D158" i="45"/>
  <c r="E158" i="45" s="1"/>
  <c r="D159" i="45"/>
  <c r="E159" i="45" s="1"/>
  <c r="D160" i="45"/>
  <c r="E160" i="45" s="1"/>
  <c r="D161" i="45"/>
  <c r="E161" i="45" s="1"/>
  <c r="D162" i="45"/>
  <c r="E162" i="45" s="1"/>
  <c r="D163" i="45"/>
  <c r="E163" i="45" s="1"/>
  <c r="D164" i="45"/>
  <c r="E164" i="45" s="1"/>
  <c r="D165" i="45"/>
  <c r="E165" i="45" s="1"/>
  <c r="D166" i="45"/>
  <c r="E166" i="45" s="1"/>
  <c r="D167" i="45"/>
  <c r="E167" i="45" s="1"/>
  <c r="D168" i="45"/>
  <c r="E168" i="45" s="1"/>
  <c r="D169" i="45"/>
  <c r="E169" i="45" s="1"/>
  <c r="D170" i="45"/>
  <c r="E170" i="45" s="1"/>
  <c r="D171" i="45"/>
  <c r="E171" i="45" s="1"/>
  <c r="D172" i="45"/>
  <c r="E172" i="45" s="1"/>
  <c r="D173" i="45"/>
  <c r="E173" i="45" s="1"/>
  <c r="D174" i="45"/>
  <c r="E174" i="45" s="1"/>
  <c r="D175" i="45"/>
  <c r="E175" i="45" s="1"/>
  <c r="D176" i="45"/>
  <c r="E176" i="45" s="1"/>
  <c r="D177" i="45"/>
  <c r="E177" i="45" s="1"/>
  <c r="D178" i="45"/>
  <c r="E178" i="45" s="1"/>
  <c r="D179" i="45"/>
  <c r="E179" i="45" s="1"/>
  <c r="D180" i="45"/>
  <c r="E180" i="45" s="1"/>
  <c r="D181" i="45"/>
  <c r="E181" i="45" s="1"/>
  <c r="D182" i="45"/>
  <c r="E182" i="45" s="1"/>
  <c r="D183" i="45"/>
  <c r="E183" i="45" s="1"/>
  <c r="D184" i="45"/>
  <c r="E184" i="45" s="1"/>
  <c r="D185" i="45"/>
  <c r="E185" i="45" s="1"/>
  <c r="D186" i="45"/>
  <c r="E186" i="45" s="1"/>
  <c r="D187" i="45"/>
  <c r="E187" i="45" s="1"/>
  <c r="D188" i="45"/>
  <c r="E188" i="45" s="1"/>
  <c r="D189" i="45"/>
  <c r="E189" i="45" s="1"/>
  <c r="D190" i="45"/>
  <c r="E190" i="45" s="1"/>
  <c r="D191" i="45"/>
  <c r="E191" i="45" s="1"/>
  <c r="D192" i="45"/>
  <c r="E192" i="45" s="1"/>
  <c r="D193" i="45"/>
  <c r="E193" i="45" s="1"/>
  <c r="D194" i="45"/>
  <c r="E194" i="45" s="1"/>
  <c r="D195" i="45"/>
  <c r="E195" i="45" s="1"/>
  <c r="D196" i="45"/>
  <c r="E196" i="45" s="1"/>
  <c r="D197" i="45"/>
  <c r="E197" i="45" s="1"/>
  <c r="D198" i="45"/>
  <c r="E198" i="45" s="1"/>
  <c r="D199" i="45"/>
  <c r="E199" i="45" s="1"/>
  <c r="D200" i="45"/>
  <c r="E200" i="45" s="1"/>
  <c r="D201" i="45"/>
  <c r="E201" i="45" s="1"/>
  <c r="D202" i="45"/>
  <c r="E202" i="45" s="1"/>
  <c r="D203" i="45"/>
  <c r="E203" i="45" s="1"/>
  <c r="D204" i="45"/>
  <c r="E204" i="45" s="1"/>
  <c r="D205" i="45"/>
  <c r="E205" i="45" s="1"/>
  <c r="D206" i="45"/>
  <c r="E206" i="45" s="1"/>
  <c r="D207" i="45"/>
  <c r="E207" i="45" s="1"/>
  <c r="D208" i="45"/>
  <c r="E208" i="45" s="1"/>
  <c r="D209" i="45"/>
  <c r="E209" i="45" s="1"/>
  <c r="D210" i="45"/>
  <c r="E210" i="45" s="1"/>
  <c r="D211" i="45"/>
  <c r="E211" i="45" s="1"/>
  <c r="D212" i="45"/>
  <c r="E212" i="45" s="1"/>
  <c r="D213" i="45"/>
  <c r="E213" i="45" s="1"/>
  <c r="D214" i="45"/>
  <c r="E214" i="45" s="1"/>
  <c r="D215" i="45"/>
  <c r="E215" i="45" s="1"/>
  <c r="D216" i="45"/>
  <c r="E216" i="45" s="1"/>
  <c r="D217" i="45"/>
  <c r="E217" i="45" s="1"/>
  <c r="D218" i="45"/>
  <c r="E218" i="45" s="1"/>
  <c r="D219" i="45"/>
  <c r="E219" i="45" s="1"/>
  <c r="D220" i="45"/>
  <c r="E220" i="45" s="1"/>
  <c r="D221" i="45"/>
  <c r="E221" i="45" s="1"/>
  <c r="D222" i="45"/>
  <c r="E222" i="45" s="1"/>
  <c r="D223" i="45"/>
  <c r="E223" i="45" s="1"/>
  <c r="D224" i="45"/>
  <c r="E224" i="45" s="1"/>
  <c r="D225" i="45"/>
  <c r="E225" i="45" s="1"/>
  <c r="D226" i="45"/>
  <c r="E226" i="45" s="1"/>
  <c r="D227" i="45"/>
  <c r="E227" i="45" s="1"/>
  <c r="D228" i="45"/>
  <c r="E228" i="45" s="1"/>
  <c r="D229" i="45"/>
  <c r="E229" i="45" s="1"/>
  <c r="D230" i="45"/>
  <c r="E230" i="45" s="1"/>
  <c r="D231" i="45"/>
  <c r="E231" i="45" s="1"/>
  <c r="D232" i="45"/>
  <c r="E232" i="45" s="1"/>
  <c r="D233" i="45"/>
  <c r="E233" i="45" s="1"/>
  <c r="D234" i="45"/>
  <c r="E234" i="45" s="1"/>
  <c r="D235" i="45"/>
  <c r="E235" i="45" s="1"/>
  <c r="D236" i="45"/>
  <c r="E236" i="45" s="1"/>
  <c r="D237" i="45"/>
  <c r="E237" i="45" s="1"/>
  <c r="D238" i="45"/>
  <c r="E238" i="45" s="1"/>
  <c r="D239" i="45"/>
  <c r="E239" i="45" s="1"/>
  <c r="D240" i="45"/>
  <c r="E240" i="45" s="1"/>
  <c r="D241" i="45"/>
  <c r="E241" i="45" s="1"/>
  <c r="D242" i="45"/>
  <c r="E242" i="45" s="1"/>
  <c r="D243" i="45"/>
  <c r="E243" i="45" s="1"/>
  <c r="D244" i="45"/>
  <c r="E244" i="45" s="1"/>
  <c r="D245" i="45"/>
  <c r="E245" i="45" s="1"/>
  <c r="D246" i="45"/>
  <c r="E246" i="45" s="1"/>
  <c r="D247" i="45"/>
  <c r="E247" i="45" s="1"/>
  <c r="D248" i="45"/>
  <c r="E248" i="45" s="1"/>
  <c r="D249" i="45"/>
  <c r="E249" i="45" s="1"/>
  <c r="D250" i="45"/>
  <c r="E250" i="45" s="1"/>
  <c r="D251" i="45"/>
  <c r="E251" i="45" s="1"/>
  <c r="D252" i="45"/>
  <c r="E252" i="45" s="1"/>
  <c r="D253" i="45"/>
  <c r="E253" i="45" s="1"/>
  <c r="D254" i="45"/>
  <c r="E254" i="45" s="1"/>
  <c r="D255" i="45"/>
  <c r="E255" i="45" s="1"/>
  <c r="D256" i="45"/>
  <c r="E256" i="45" s="1"/>
  <c r="D257" i="45"/>
  <c r="E257" i="45" s="1"/>
  <c r="D258" i="45"/>
  <c r="E258" i="45" s="1"/>
  <c r="D259" i="45"/>
  <c r="E259" i="45" s="1"/>
  <c r="D260" i="45"/>
  <c r="E260" i="45" s="1"/>
  <c r="D261" i="45"/>
  <c r="E261" i="45" s="1"/>
  <c r="D262" i="45"/>
  <c r="E262" i="45" s="1"/>
  <c r="D263" i="45"/>
  <c r="E263" i="45" s="1"/>
  <c r="D264" i="45"/>
  <c r="E264" i="45" s="1"/>
  <c r="D265" i="45"/>
  <c r="E265" i="45" s="1"/>
  <c r="D266" i="45"/>
  <c r="E266" i="45" s="1"/>
  <c r="D267" i="45"/>
  <c r="E267" i="45" s="1"/>
  <c r="D268" i="45"/>
  <c r="E268" i="45" s="1"/>
  <c r="D269" i="45"/>
  <c r="E269" i="45" s="1"/>
  <c r="D270" i="45"/>
  <c r="E270" i="45" s="1"/>
  <c r="D271" i="45"/>
  <c r="E271" i="45" s="1"/>
  <c r="D272" i="45"/>
  <c r="E272" i="45" s="1"/>
  <c r="D273" i="45"/>
  <c r="E273" i="45" s="1"/>
  <c r="D274" i="45"/>
  <c r="E274" i="45" s="1"/>
  <c r="D275" i="45"/>
  <c r="E275" i="45" s="1"/>
  <c r="D276" i="45"/>
  <c r="E276" i="45" s="1"/>
  <c r="D277" i="45"/>
  <c r="E277" i="45" s="1"/>
  <c r="D278" i="45"/>
  <c r="E278" i="45" s="1"/>
  <c r="D279" i="45"/>
  <c r="E279" i="45" s="1"/>
  <c r="D280" i="45"/>
  <c r="E280" i="45" s="1"/>
  <c r="D281" i="45"/>
  <c r="E281" i="45" s="1"/>
  <c r="D282" i="45"/>
  <c r="E282" i="45" s="1"/>
  <c r="D283" i="45"/>
  <c r="E283" i="45" s="1"/>
  <c r="D284" i="45"/>
  <c r="E284" i="45" s="1"/>
  <c r="D285" i="45"/>
  <c r="E285" i="45" s="1"/>
  <c r="D286" i="45"/>
  <c r="E286" i="45" s="1"/>
  <c r="D287" i="45"/>
  <c r="E287" i="45" s="1"/>
  <c r="D288" i="45"/>
  <c r="E288" i="45" s="1"/>
  <c r="D289" i="45"/>
  <c r="E289" i="45" s="1"/>
  <c r="D290" i="45"/>
  <c r="E290" i="45" s="1"/>
  <c r="D291" i="45"/>
  <c r="E291" i="45" s="1"/>
  <c r="D292" i="45"/>
  <c r="E292" i="45" s="1"/>
  <c r="D293" i="45"/>
  <c r="E293" i="45" s="1"/>
  <c r="D294" i="45"/>
  <c r="E294" i="45" s="1"/>
  <c r="D295" i="45"/>
  <c r="E295" i="45" s="1"/>
  <c r="D296" i="45"/>
  <c r="E296" i="45" s="1"/>
  <c r="D297" i="45"/>
  <c r="E297" i="45" s="1"/>
  <c r="D298" i="45"/>
  <c r="E298" i="45" s="1"/>
  <c r="D299" i="45"/>
  <c r="E299" i="45" s="1"/>
  <c r="D300" i="45"/>
  <c r="E300" i="45" s="1"/>
  <c r="D301" i="45"/>
  <c r="E301" i="45" s="1"/>
  <c r="D302" i="45"/>
  <c r="E302" i="45" s="1"/>
  <c r="D303" i="45"/>
  <c r="E303" i="45" s="1"/>
  <c r="D304" i="45"/>
  <c r="E304" i="45" s="1"/>
  <c r="D305" i="45"/>
  <c r="E305" i="45" s="1"/>
  <c r="D306" i="45"/>
  <c r="E306" i="45" s="1"/>
  <c r="D307" i="45"/>
  <c r="E307" i="45" s="1"/>
  <c r="D308" i="45"/>
  <c r="E308" i="45" s="1"/>
  <c r="D309" i="45"/>
  <c r="E309" i="45" s="1"/>
  <c r="D310" i="45"/>
  <c r="E310" i="45" s="1"/>
  <c r="D311" i="45"/>
  <c r="E311" i="45" s="1"/>
  <c r="D312" i="45"/>
  <c r="E312" i="45" s="1"/>
  <c r="D313" i="45"/>
  <c r="E313" i="45" s="1"/>
  <c r="D314" i="45"/>
  <c r="E314" i="45" s="1"/>
  <c r="D315" i="45"/>
  <c r="E315" i="45" s="1"/>
  <c r="D316" i="45"/>
  <c r="E316" i="45" s="1"/>
  <c r="D317" i="45"/>
  <c r="E317" i="45" s="1"/>
  <c r="D318" i="45"/>
  <c r="E318" i="45" s="1"/>
  <c r="D319" i="45"/>
  <c r="E319" i="45" s="1"/>
  <c r="D320" i="45"/>
  <c r="E320" i="45" s="1"/>
  <c r="D321" i="45"/>
  <c r="E321" i="45" s="1"/>
  <c r="D322" i="45"/>
  <c r="E322" i="45" s="1"/>
  <c r="D323" i="45"/>
  <c r="E323" i="45" s="1"/>
  <c r="D324" i="45"/>
  <c r="E324" i="45" s="1"/>
  <c r="D325" i="45"/>
  <c r="E325" i="45" s="1"/>
  <c r="D326" i="45"/>
  <c r="E326" i="45" s="1"/>
  <c r="D327" i="45"/>
  <c r="E327" i="45" s="1"/>
  <c r="D328" i="45"/>
  <c r="E328" i="45" s="1"/>
  <c r="D329" i="45"/>
  <c r="E329" i="45" s="1"/>
  <c r="D330" i="45"/>
  <c r="E330" i="45" s="1"/>
  <c r="D331" i="45"/>
  <c r="E331" i="45" s="1"/>
  <c r="D332" i="45"/>
  <c r="E332" i="45" s="1"/>
  <c r="D333" i="45"/>
  <c r="E333" i="45" s="1"/>
  <c r="D334" i="45"/>
  <c r="E334" i="45" s="1"/>
  <c r="D335" i="45"/>
  <c r="E335" i="45" s="1"/>
  <c r="D336" i="45"/>
  <c r="E336" i="45" s="1"/>
  <c r="D337" i="45"/>
  <c r="E337" i="45" s="1"/>
  <c r="D338" i="45"/>
  <c r="E338" i="45" s="1"/>
  <c r="D339" i="45"/>
  <c r="E339" i="45" s="1"/>
  <c r="D340" i="45"/>
  <c r="E340" i="45" s="1"/>
  <c r="D341" i="45"/>
  <c r="E341" i="45" s="1"/>
  <c r="D342" i="45"/>
  <c r="E342" i="45" s="1"/>
  <c r="D343" i="45"/>
  <c r="E343" i="45" s="1"/>
  <c r="D344" i="45"/>
  <c r="E344" i="45" s="1"/>
  <c r="D345" i="45"/>
  <c r="E345" i="45" s="1"/>
  <c r="D346" i="45"/>
  <c r="E346" i="45" s="1"/>
  <c r="D347" i="45"/>
  <c r="E347" i="45" s="1"/>
  <c r="D348" i="45"/>
  <c r="E348" i="45" s="1"/>
  <c r="D349" i="45"/>
  <c r="E349" i="45" s="1"/>
  <c r="D350" i="45"/>
  <c r="E350" i="45" s="1"/>
  <c r="D351" i="45"/>
  <c r="E351" i="45" s="1"/>
  <c r="D352" i="45"/>
  <c r="E352" i="45" s="1"/>
  <c r="D353" i="45"/>
  <c r="E353" i="45" s="1"/>
  <c r="D354" i="45"/>
  <c r="E354" i="45" s="1"/>
  <c r="D355" i="45"/>
  <c r="E355" i="45" s="1"/>
  <c r="D356" i="45"/>
  <c r="E356" i="45" s="1"/>
  <c r="D357" i="45"/>
  <c r="E357" i="45" s="1"/>
  <c r="D358" i="45"/>
  <c r="E358" i="45" s="1"/>
  <c r="D359" i="45"/>
  <c r="E359" i="45" s="1"/>
  <c r="D360" i="45"/>
  <c r="E360" i="45" s="1"/>
  <c r="D361" i="45"/>
  <c r="E361" i="45" s="1"/>
  <c r="D362" i="45"/>
  <c r="E362" i="45" s="1"/>
  <c r="D363" i="45"/>
  <c r="E363" i="45" s="1"/>
  <c r="D364" i="45"/>
  <c r="E364" i="45" s="1"/>
  <c r="D365" i="45"/>
  <c r="E365" i="45" s="1"/>
  <c r="D366" i="45"/>
  <c r="E366" i="45" s="1"/>
  <c r="D367" i="45"/>
  <c r="E367" i="45" s="1"/>
  <c r="D368" i="45"/>
  <c r="E368" i="45" s="1"/>
  <c r="D369" i="45"/>
  <c r="E369" i="45" s="1"/>
  <c r="D370" i="45"/>
  <c r="E370" i="45" s="1"/>
  <c r="D371" i="45"/>
  <c r="E371" i="45" s="1"/>
  <c r="D372" i="45"/>
  <c r="E372" i="45" s="1"/>
  <c r="D373" i="45"/>
  <c r="E373" i="45" s="1"/>
  <c r="D374" i="45"/>
  <c r="E374" i="45" s="1"/>
  <c r="D375" i="45"/>
  <c r="E375" i="45" s="1"/>
  <c r="D376" i="45"/>
  <c r="E376" i="45" s="1"/>
  <c r="D377" i="45"/>
  <c r="E377" i="45" s="1"/>
  <c r="D378" i="45"/>
  <c r="E378" i="45" s="1"/>
  <c r="D379" i="45"/>
  <c r="E379" i="45" s="1"/>
  <c r="D380" i="45"/>
  <c r="E380" i="45" s="1"/>
  <c r="D381" i="45"/>
  <c r="E381" i="45" s="1"/>
  <c r="D382" i="45"/>
  <c r="E382" i="45" s="1"/>
  <c r="D383" i="45"/>
  <c r="E383" i="45" s="1"/>
  <c r="D384" i="45"/>
  <c r="E384" i="45" s="1"/>
  <c r="D385" i="45"/>
  <c r="E385" i="45" s="1"/>
  <c r="D386" i="45"/>
  <c r="E386" i="45" s="1"/>
  <c r="D387" i="45"/>
  <c r="E387" i="45" s="1"/>
  <c r="D388" i="45"/>
  <c r="E388" i="45" s="1"/>
  <c r="D389" i="45"/>
  <c r="E389" i="45" s="1"/>
  <c r="D390" i="45"/>
  <c r="E390" i="45" s="1"/>
  <c r="D391" i="45"/>
  <c r="E391" i="45" s="1"/>
  <c r="D392" i="45"/>
  <c r="E392" i="45" s="1"/>
  <c r="D393" i="45"/>
  <c r="E393" i="45" s="1"/>
  <c r="D394" i="45"/>
  <c r="E394" i="45" s="1"/>
  <c r="D395" i="45"/>
  <c r="E395" i="45" s="1"/>
  <c r="D396" i="45"/>
  <c r="E396" i="45" s="1"/>
  <c r="D397" i="45"/>
  <c r="E397" i="45" s="1"/>
  <c r="D398" i="45"/>
  <c r="E398" i="45" s="1"/>
  <c r="D399" i="45"/>
  <c r="E399" i="45" s="1"/>
  <c r="D400" i="45"/>
  <c r="E400" i="45" s="1"/>
  <c r="D401" i="45"/>
  <c r="E401" i="45" s="1"/>
  <c r="D402" i="45"/>
  <c r="E402" i="45" s="1"/>
  <c r="D403" i="45"/>
  <c r="E403" i="45" s="1"/>
  <c r="D404" i="45"/>
  <c r="E404" i="45" s="1"/>
  <c r="D405" i="45"/>
  <c r="E405" i="45" s="1"/>
  <c r="D406" i="45"/>
  <c r="E406" i="45" s="1"/>
  <c r="D407" i="45"/>
  <c r="E407" i="45" s="1"/>
  <c r="D408" i="45"/>
  <c r="E408" i="45" s="1"/>
  <c r="D409" i="45"/>
  <c r="E409" i="45" s="1"/>
  <c r="D410" i="45"/>
  <c r="E410" i="45" s="1"/>
  <c r="D411" i="45"/>
  <c r="E411" i="45" s="1"/>
  <c r="D412" i="45"/>
  <c r="E412" i="45" s="1"/>
  <c r="D413" i="45"/>
  <c r="E413" i="45" s="1"/>
  <c r="D414" i="45"/>
  <c r="E414" i="45" s="1"/>
  <c r="D415" i="45"/>
  <c r="E415" i="45" s="1"/>
  <c r="D416" i="45"/>
  <c r="E416" i="45" s="1"/>
  <c r="D417" i="45"/>
  <c r="E417" i="45" s="1"/>
  <c r="D418" i="45"/>
  <c r="E418" i="45" s="1"/>
  <c r="D419" i="45"/>
  <c r="E419" i="45" s="1"/>
  <c r="D420" i="45"/>
  <c r="E420" i="45" s="1"/>
  <c r="D421" i="45"/>
  <c r="E421" i="45" s="1"/>
  <c r="D422" i="45"/>
  <c r="E422" i="45" s="1"/>
  <c r="D423" i="45"/>
  <c r="E423" i="45" s="1"/>
  <c r="D424" i="45"/>
  <c r="E424" i="45" s="1"/>
  <c r="D425" i="45"/>
  <c r="E425" i="45" s="1"/>
  <c r="D426" i="45"/>
  <c r="E426" i="45" s="1"/>
  <c r="D427" i="45"/>
  <c r="E427" i="45" s="1"/>
  <c r="D428" i="45"/>
  <c r="E428" i="45" s="1"/>
  <c r="D429" i="45"/>
  <c r="E429" i="45" s="1"/>
  <c r="D430" i="45"/>
  <c r="E430" i="45" s="1"/>
  <c r="D431" i="45"/>
  <c r="E431" i="45" s="1"/>
  <c r="D432" i="45"/>
  <c r="E432" i="45" s="1"/>
  <c r="D433" i="45"/>
  <c r="E433" i="45" s="1"/>
  <c r="D434" i="45"/>
  <c r="E434" i="45" s="1"/>
  <c r="D435" i="45"/>
  <c r="E435" i="45" s="1"/>
  <c r="D436" i="45"/>
  <c r="E436" i="45" s="1"/>
  <c r="D437" i="45"/>
  <c r="E437" i="45" s="1"/>
  <c r="D438" i="45"/>
  <c r="E438" i="45" s="1"/>
  <c r="D439" i="45"/>
  <c r="E439" i="45" s="1"/>
  <c r="D440" i="45"/>
  <c r="E440" i="45" s="1"/>
  <c r="D441" i="45"/>
  <c r="E441" i="45" s="1"/>
  <c r="D442" i="45"/>
  <c r="E442" i="45" s="1"/>
  <c r="D443" i="45"/>
  <c r="E443" i="45" s="1"/>
  <c r="D444" i="45"/>
  <c r="E444" i="45" s="1"/>
  <c r="D445" i="45"/>
  <c r="E445" i="45" s="1"/>
  <c r="D446" i="45"/>
  <c r="E446" i="45" s="1"/>
  <c r="D447" i="45"/>
  <c r="E447" i="45" s="1"/>
  <c r="D448" i="45"/>
  <c r="E448" i="45" s="1"/>
  <c r="D449" i="45"/>
  <c r="E449" i="45" s="1"/>
  <c r="D450" i="45"/>
  <c r="E450" i="45" s="1"/>
  <c r="D451" i="45"/>
  <c r="E451" i="45" s="1"/>
  <c r="D452" i="45"/>
  <c r="E452" i="45" s="1"/>
  <c r="D453" i="45"/>
  <c r="E453" i="45" s="1"/>
  <c r="D454" i="45"/>
  <c r="E454" i="45" s="1"/>
  <c r="D455" i="45"/>
  <c r="E455" i="45" s="1"/>
  <c r="D456" i="45"/>
  <c r="E456" i="45" s="1"/>
  <c r="D457" i="45"/>
  <c r="E457" i="45" s="1"/>
  <c r="D458" i="45"/>
  <c r="E458" i="45" s="1"/>
  <c r="D459" i="45"/>
  <c r="E459" i="45" s="1"/>
  <c r="D460" i="45"/>
  <c r="E460" i="45" s="1"/>
  <c r="D461" i="45"/>
  <c r="E461" i="45" s="1"/>
  <c r="D462" i="45"/>
  <c r="E462" i="45" s="1"/>
  <c r="D463" i="45"/>
  <c r="E463" i="45" s="1"/>
  <c r="D464" i="45"/>
  <c r="E464" i="45" s="1"/>
  <c r="D465" i="45"/>
  <c r="E465" i="45" s="1"/>
  <c r="D466" i="45"/>
  <c r="E466" i="45" s="1"/>
  <c r="D467" i="45"/>
  <c r="E467" i="45" s="1"/>
  <c r="D468" i="45"/>
  <c r="E468" i="45" s="1"/>
  <c r="D469" i="45"/>
  <c r="E469" i="45" s="1"/>
  <c r="D470" i="45"/>
  <c r="E470" i="45" s="1"/>
  <c r="D471" i="45"/>
  <c r="E471" i="45" s="1"/>
  <c r="D472" i="45"/>
  <c r="E472" i="45" s="1"/>
  <c r="D473" i="45"/>
  <c r="E473" i="45" s="1"/>
  <c r="D474" i="45"/>
  <c r="E474" i="45" s="1"/>
  <c r="D475" i="45"/>
  <c r="E475" i="45" s="1"/>
  <c r="D476" i="45"/>
  <c r="E476" i="45" s="1"/>
  <c r="D477" i="45"/>
  <c r="E477" i="45" s="1"/>
  <c r="D478" i="45"/>
  <c r="E478" i="45" s="1"/>
  <c r="D479" i="45"/>
  <c r="E479" i="45" s="1"/>
  <c r="D480" i="45"/>
  <c r="E480" i="45" s="1"/>
  <c r="D481" i="45"/>
  <c r="E481" i="45" s="1"/>
  <c r="D482" i="45"/>
  <c r="E482" i="45" s="1"/>
  <c r="D483" i="45"/>
  <c r="E483" i="45" s="1"/>
  <c r="D484" i="45"/>
  <c r="E484" i="45" s="1"/>
  <c r="D485" i="45"/>
  <c r="E485" i="45" s="1"/>
  <c r="D486" i="45"/>
  <c r="E486" i="45" s="1"/>
  <c r="D487" i="45"/>
  <c r="E487" i="45" s="1"/>
  <c r="D488" i="45"/>
  <c r="E488" i="45" s="1"/>
  <c r="D489" i="45"/>
  <c r="E489" i="45" s="1"/>
  <c r="D490" i="45"/>
  <c r="E490" i="45" s="1"/>
  <c r="D491" i="45"/>
  <c r="E491" i="45" s="1"/>
  <c r="D492" i="45"/>
  <c r="E492" i="45" s="1"/>
  <c r="D493" i="45"/>
  <c r="E493" i="45" s="1"/>
  <c r="D494" i="45"/>
  <c r="E494" i="45" s="1"/>
  <c r="D495" i="45"/>
  <c r="E495" i="45" s="1"/>
  <c r="D496" i="45"/>
  <c r="E496" i="45" s="1"/>
  <c r="D497" i="45"/>
  <c r="E497" i="45" s="1"/>
  <c r="D498" i="45"/>
  <c r="E498" i="45" s="1"/>
  <c r="D499" i="45"/>
  <c r="E499" i="45" s="1"/>
  <c r="D500" i="45"/>
  <c r="E500" i="45" s="1"/>
  <c r="D501" i="45"/>
  <c r="E501" i="45" s="1"/>
  <c r="D502" i="45"/>
  <c r="E502" i="45" s="1"/>
  <c r="D503" i="45"/>
  <c r="E503" i="45" s="1"/>
  <c r="D504" i="45"/>
  <c r="E504" i="45" s="1"/>
  <c r="D505" i="45"/>
  <c r="E505" i="45" s="1"/>
  <c r="D506" i="45"/>
  <c r="E506" i="45" s="1"/>
  <c r="D507" i="45"/>
  <c r="E507" i="45" s="1"/>
  <c r="D508" i="45"/>
  <c r="E508" i="45" s="1"/>
  <c r="D509" i="45"/>
  <c r="E509" i="45" s="1"/>
  <c r="D510" i="45"/>
  <c r="E510" i="45" s="1"/>
  <c r="D511" i="45"/>
  <c r="E511" i="45" s="1"/>
  <c r="D512" i="45"/>
  <c r="E512" i="45" s="1"/>
  <c r="D513" i="45"/>
  <c r="E513" i="45" s="1"/>
  <c r="D514" i="45"/>
  <c r="E514" i="45" s="1"/>
  <c r="D515" i="45"/>
  <c r="E515" i="45" s="1"/>
  <c r="D516" i="45"/>
  <c r="E516" i="45" s="1"/>
  <c r="D517" i="45"/>
  <c r="E517" i="45" s="1"/>
  <c r="D518" i="45"/>
  <c r="E518" i="45" s="1"/>
  <c r="D519" i="45"/>
  <c r="E519" i="45" s="1"/>
  <c r="D520" i="45"/>
  <c r="E520" i="45" s="1"/>
  <c r="D521" i="45"/>
  <c r="E521" i="45" s="1"/>
  <c r="D522" i="45"/>
  <c r="E522" i="45" s="1"/>
  <c r="D523" i="45"/>
  <c r="E523" i="45" s="1"/>
  <c r="D524" i="45"/>
  <c r="E524" i="45" s="1"/>
  <c r="D525" i="45"/>
  <c r="E525" i="45" s="1"/>
  <c r="D526" i="45"/>
  <c r="E526" i="45" s="1"/>
  <c r="D527" i="45"/>
  <c r="E527" i="45" s="1"/>
  <c r="D528" i="45"/>
  <c r="E528" i="45" s="1"/>
  <c r="D529" i="45"/>
  <c r="E529" i="45" s="1"/>
  <c r="D530" i="45"/>
  <c r="E530" i="45" s="1"/>
  <c r="D531" i="45"/>
  <c r="E531" i="45" s="1"/>
  <c r="D532" i="45"/>
  <c r="E532" i="45" s="1"/>
  <c r="D533" i="45"/>
  <c r="E533" i="45" s="1"/>
  <c r="D534" i="45"/>
  <c r="E534" i="45" s="1"/>
  <c r="D535" i="45"/>
  <c r="E535" i="45" s="1"/>
  <c r="D536" i="45"/>
  <c r="E536" i="45" s="1"/>
  <c r="D537" i="45"/>
  <c r="E537" i="45" s="1"/>
  <c r="D538" i="45"/>
  <c r="E538" i="45" s="1"/>
  <c r="D539" i="45"/>
  <c r="E539" i="45" s="1"/>
  <c r="D540" i="45"/>
  <c r="E540" i="45" s="1"/>
  <c r="D541" i="45"/>
  <c r="E541" i="45" s="1"/>
  <c r="D542" i="45"/>
  <c r="E542" i="45" s="1"/>
  <c r="D543" i="45"/>
  <c r="E543" i="45" s="1"/>
  <c r="D544" i="45"/>
  <c r="E544" i="45" s="1"/>
  <c r="D545" i="45"/>
  <c r="E545" i="45" s="1"/>
  <c r="D546" i="45"/>
  <c r="E546" i="45" s="1"/>
  <c r="D547" i="45"/>
  <c r="E547" i="45" s="1"/>
  <c r="D548" i="45"/>
  <c r="E548" i="45" s="1"/>
  <c r="D549" i="45"/>
  <c r="E549" i="45" s="1"/>
  <c r="D550" i="45"/>
  <c r="E550" i="45" s="1"/>
  <c r="D551" i="45"/>
  <c r="E551" i="45" s="1"/>
  <c r="D552" i="45"/>
  <c r="E552" i="45" s="1"/>
  <c r="D553" i="45"/>
  <c r="E553" i="45" s="1"/>
  <c r="D554" i="45"/>
  <c r="E554" i="45" s="1"/>
  <c r="D555" i="45"/>
  <c r="E555" i="45" s="1"/>
  <c r="D556" i="45"/>
  <c r="E556" i="45" s="1"/>
  <c r="D557" i="45"/>
  <c r="E557" i="45" s="1"/>
  <c r="D558" i="45"/>
  <c r="E558" i="45" s="1"/>
  <c r="D559" i="45"/>
  <c r="E559" i="45" s="1"/>
  <c r="D560" i="45"/>
  <c r="E560" i="45" s="1"/>
  <c r="D561" i="45"/>
  <c r="E561" i="45" s="1"/>
  <c r="D562" i="45"/>
  <c r="E562" i="45" s="1"/>
  <c r="D563" i="45"/>
  <c r="E563" i="45" s="1"/>
  <c r="D564" i="45"/>
  <c r="E564" i="45" s="1"/>
  <c r="D565" i="45"/>
  <c r="E565" i="45" s="1"/>
  <c r="D566" i="45"/>
  <c r="E566" i="45" s="1"/>
  <c r="D567" i="45"/>
  <c r="E567" i="45" s="1"/>
  <c r="D568" i="45"/>
  <c r="E568" i="45" s="1"/>
  <c r="D569" i="45"/>
  <c r="E569" i="45" s="1"/>
  <c r="D570" i="45"/>
  <c r="E570" i="45" s="1"/>
  <c r="D571" i="45"/>
  <c r="E571" i="45" s="1"/>
  <c r="D572" i="45"/>
  <c r="E572" i="45" s="1"/>
  <c r="D573" i="45"/>
  <c r="E573" i="45" s="1"/>
  <c r="D574" i="45"/>
  <c r="E574" i="45" s="1"/>
  <c r="D575" i="45"/>
  <c r="E575" i="45" s="1"/>
  <c r="D576" i="45"/>
  <c r="E576" i="45" s="1"/>
  <c r="D577" i="45"/>
  <c r="E577" i="45" s="1"/>
  <c r="D578" i="45"/>
  <c r="E578" i="45" s="1"/>
  <c r="D579" i="45"/>
  <c r="E579" i="45" s="1"/>
  <c r="D580" i="45"/>
  <c r="E580" i="45" s="1"/>
  <c r="D581" i="45"/>
  <c r="E581" i="45" s="1"/>
  <c r="D582" i="45"/>
  <c r="E582" i="45" s="1"/>
  <c r="D583" i="45"/>
  <c r="E583" i="45" s="1"/>
  <c r="D584" i="45"/>
  <c r="E584" i="45" s="1"/>
  <c r="D585" i="45"/>
  <c r="E585" i="45" s="1"/>
  <c r="D586" i="45"/>
  <c r="E586" i="45" s="1"/>
  <c r="D587" i="45"/>
  <c r="E587" i="45" s="1"/>
  <c r="D588" i="45"/>
  <c r="E588" i="45" s="1"/>
  <c r="D589" i="45"/>
  <c r="E589" i="45" s="1"/>
  <c r="D590" i="45"/>
  <c r="E590" i="45" s="1"/>
  <c r="D591" i="45"/>
  <c r="E591" i="45" s="1"/>
  <c r="D592" i="45"/>
  <c r="E592" i="45" s="1"/>
  <c r="D593" i="45"/>
  <c r="E593" i="45" s="1"/>
  <c r="D594" i="45"/>
  <c r="E594" i="45" s="1"/>
  <c r="D595" i="45"/>
  <c r="E595" i="45" s="1"/>
  <c r="D596" i="45"/>
  <c r="E596" i="45" s="1"/>
  <c r="D597" i="45"/>
  <c r="E597" i="45" s="1"/>
  <c r="D598" i="45"/>
  <c r="E598" i="45" s="1"/>
  <c r="D599" i="45"/>
  <c r="E599" i="45" s="1"/>
  <c r="D600" i="45"/>
  <c r="E600" i="45" s="1"/>
  <c r="D601" i="45"/>
  <c r="E601" i="45" s="1"/>
  <c r="D602" i="45"/>
  <c r="E602" i="45" s="1"/>
  <c r="D603" i="45"/>
  <c r="E603" i="45" s="1"/>
  <c r="D604" i="45"/>
  <c r="E604" i="45" s="1"/>
  <c r="D605" i="45"/>
  <c r="E605" i="45" s="1"/>
  <c r="D606" i="45"/>
  <c r="E606" i="45" s="1"/>
  <c r="D607" i="45"/>
  <c r="E607" i="45" s="1"/>
  <c r="D608" i="45"/>
  <c r="E608" i="45" s="1"/>
  <c r="D609" i="45"/>
  <c r="E609" i="45" s="1"/>
  <c r="D610" i="45"/>
  <c r="E610" i="45" s="1"/>
  <c r="D611" i="45"/>
  <c r="E611" i="45" s="1"/>
  <c r="D612" i="45"/>
  <c r="E612" i="45" s="1"/>
  <c r="D613" i="45"/>
  <c r="E613" i="45" s="1"/>
  <c r="D614" i="45"/>
  <c r="E614" i="45" s="1"/>
  <c r="D615" i="45"/>
  <c r="E615" i="45" s="1"/>
  <c r="D616" i="45"/>
  <c r="E616" i="45" s="1"/>
  <c r="D617" i="45"/>
  <c r="E617" i="45" s="1"/>
  <c r="D618" i="45"/>
  <c r="E618" i="45" s="1"/>
  <c r="D619" i="45"/>
  <c r="E619" i="45" s="1"/>
  <c r="D620" i="45"/>
  <c r="E620" i="45" s="1"/>
  <c r="D621" i="45"/>
  <c r="E621" i="45" s="1"/>
  <c r="D622" i="45"/>
  <c r="E622" i="45" s="1"/>
  <c r="D623" i="45"/>
  <c r="E623" i="45" s="1"/>
  <c r="D624" i="45"/>
  <c r="E624" i="45" s="1"/>
  <c r="D625" i="45"/>
  <c r="E625" i="45" s="1"/>
  <c r="D626" i="45"/>
  <c r="E626" i="45" s="1"/>
  <c r="D627" i="45"/>
  <c r="E627" i="45" s="1"/>
  <c r="D628" i="45"/>
  <c r="E628" i="45" s="1"/>
  <c r="D629" i="45"/>
  <c r="E629" i="45" s="1"/>
  <c r="D630" i="45"/>
  <c r="E630" i="45" s="1"/>
  <c r="D631" i="45"/>
  <c r="E631" i="45" s="1"/>
  <c r="D632" i="45"/>
  <c r="E632" i="45" s="1"/>
  <c r="D633" i="45"/>
  <c r="E633" i="45" s="1"/>
  <c r="D634" i="45"/>
  <c r="E634" i="45" s="1"/>
  <c r="D635" i="45"/>
  <c r="E635" i="45" s="1"/>
  <c r="D636" i="45"/>
  <c r="E636" i="45" s="1"/>
  <c r="D637" i="45"/>
  <c r="E637" i="45" s="1"/>
  <c r="D638" i="45"/>
  <c r="E638" i="45" s="1"/>
  <c r="D639" i="45"/>
  <c r="E639" i="45" s="1"/>
  <c r="D640" i="45"/>
  <c r="E640" i="45" s="1"/>
  <c r="D641" i="45"/>
  <c r="E641" i="45" s="1"/>
  <c r="D642" i="45"/>
  <c r="E642" i="45" s="1"/>
  <c r="D643" i="45"/>
  <c r="E643" i="45" s="1"/>
  <c r="D644" i="45"/>
  <c r="E644" i="45" s="1"/>
  <c r="D645" i="45"/>
  <c r="E645" i="45" s="1"/>
  <c r="D646" i="45"/>
  <c r="E646" i="45" s="1"/>
  <c r="D647" i="45"/>
  <c r="E647" i="45" s="1"/>
  <c r="D648" i="45"/>
  <c r="E648" i="45" s="1"/>
  <c r="D649" i="45"/>
  <c r="E649" i="45" s="1"/>
  <c r="D650" i="45"/>
  <c r="E650" i="45" s="1"/>
  <c r="D651" i="45"/>
  <c r="E651" i="45" s="1"/>
  <c r="D652" i="45"/>
  <c r="E652" i="45" s="1"/>
  <c r="D653" i="45"/>
  <c r="E653" i="45" s="1"/>
  <c r="D654" i="45"/>
  <c r="E654" i="45" s="1"/>
  <c r="D655" i="45"/>
  <c r="E655" i="45" s="1"/>
  <c r="D656" i="45"/>
  <c r="E656" i="45" s="1"/>
  <c r="D657" i="45"/>
  <c r="E657" i="45" s="1"/>
  <c r="D658" i="45"/>
  <c r="E658" i="45" s="1"/>
  <c r="D659" i="45"/>
  <c r="E659" i="45" s="1"/>
  <c r="D660" i="45"/>
  <c r="E660" i="45" s="1"/>
  <c r="D661" i="45"/>
  <c r="E661" i="45" s="1"/>
  <c r="D662" i="45"/>
  <c r="E662" i="45" s="1"/>
  <c r="D663" i="45"/>
  <c r="E663" i="45" s="1"/>
  <c r="D664" i="45"/>
  <c r="E664" i="45" s="1"/>
  <c r="D665" i="45"/>
  <c r="E665" i="45" s="1"/>
  <c r="D666" i="45"/>
  <c r="E666" i="45" s="1"/>
  <c r="D667" i="45"/>
  <c r="E667" i="45" s="1"/>
  <c r="D668" i="45"/>
  <c r="E668" i="45" s="1"/>
  <c r="D669" i="45"/>
  <c r="E669" i="45" s="1"/>
  <c r="D670" i="45"/>
  <c r="E670" i="45" s="1"/>
  <c r="D671" i="45"/>
  <c r="E671" i="45" s="1"/>
  <c r="D672" i="45"/>
  <c r="E672" i="45" s="1"/>
  <c r="D673" i="45"/>
  <c r="E673" i="45" s="1"/>
  <c r="D674" i="45"/>
  <c r="E674" i="45" s="1"/>
  <c r="D675" i="45"/>
  <c r="E675" i="45" s="1"/>
  <c r="D676" i="45"/>
  <c r="E676" i="45" s="1"/>
  <c r="D677" i="45"/>
  <c r="E677" i="45" s="1"/>
  <c r="D678" i="45"/>
  <c r="E678" i="45" s="1"/>
  <c r="D679" i="45"/>
  <c r="E679" i="45" s="1"/>
  <c r="D680" i="45"/>
  <c r="E680" i="45" s="1"/>
  <c r="D681" i="45"/>
  <c r="E681" i="45" s="1"/>
  <c r="D682" i="45"/>
  <c r="E682" i="45" s="1"/>
  <c r="D683" i="45"/>
  <c r="E683" i="45" s="1"/>
  <c r="D684" i="45"/>
  <c r="E684" i="45" s="1"/>
  <c r="D685" i="45"/>
  <c r="E685" i="45" s="1"/>
  <c r="D686" i="45"/>
  <c r="E686" i="45" s="1"/>
  <c r="D687" i="45"/>
  <c r="E687" i="45" s="1"/>
  <c r="D688" i="45"/>
  <c r="E688" i="45" s="1"/>
  <c r="D689" i="45"/>
  <c r="E689" i="45" s="1"/>
  <c r="D690" i="45"/>
  <c r="E690" i="45" s="1"/>
  <c r="D691" i="45"/>
  <c r="E691" i="45" s="1"/>
  <c r="D692" i="45"/>
  <c r="E692" i="45" s="1"/>
  <c r="D693" i="45"/>
  <c r="E693" i="45" s="1"/>
  <c r="D694" i="45"/>
  <c r="E694" i="45" s="1"/>
  <c r="D695" i="45"/>
  <c r="E695" i="45" s="1"/>
  <c r="D696" i="45"/>
  <c r="E696" i="45" s="1"/>
  <c r="D697" i="45"/>
  <c r="E697" i="45" s="1"/>
  <c r="D698" i="45"/>
  <c r="E698" i="45" s="1"/>
  <c r="D699" i="45"/>
  <c r="E699" i="45" s="1"/>
  <c r="D700" i="45"/>
  <c r="E700" i="45" s="1"/>
  <c r="D701" i="45"/>
  <c r="E701" i="45" s="1"/>
  <c r="D702" i="45"/>
  <c r="E702" i="45" s="1"/>
  <c r="D703" i="45"/>
  <c r="E703" i="45" s="1"/>
  <c r="D704" i="45"/>
  <c r="E704" i="45" s="1"/>
  <c r="D705" i="45"/>
  <c r="E705" i="45" s="1"/>
  <c r="D706" i="45"/>
  <c r="E706" i="45" s="1"/>
  <c r="D707" i="45"/>
  <c r="E707" i="45" s="1"/>
  <c r="D708" i="45"/>
  <c r="E708" i="45" s="1"/>
  <c r="D709" i="45"/>
  <c r="E709" i="45" s="1"/>
  <c r="D710" i="45"/>
  <c r="E710" i="45" s="1"/>
  <c r="D711" i="45"/>
  <c r="E711" i="45" s="1"/>
  <c r="D712" i="45"/>
  <c r="E712" i="45" s="1"/>
  <c r="D713" i="45"/>
  <c r="E713" i="45" s="1"/>
  <c r="D714" i="45"/>
  <c r="E714" i="45" s="1"/>
  <c r="D715" i="45"/>
  <c r="E715" i="45" s="1"/>
  <c r="D716" i="45"/>
  <c r="E716" i="45" s="1"/>
  <c r="D717" i="45"/>
  <c r="E717" i="45" s="1"/>
  <c r="D718" i="45"/>
  <c r="E718" i="45" s="1"/>
  <c r="D719" i="45"/>
  <c r="E719" i="45" s="1"/>
  <c r="D720" i="45"/>
  <c r="E720" i="45" s="1"/>
  <c r="D721" i="45"/>
  <c r="E721" i="45" s="1"/>
  <c r="D722" i="45"/>
  <c r="E722" i="45" s="1"/>
  <c r="D723" i="45"/>
  <c r="E723" i="45" s="1"/>
  <c r="D724" i="45"/>
  <c r="E724" i="45" s="1"/>
  <c r="D725" i="45"/>
  <c r="E725" i="45" s="1"/>
  <c r="D726" i="45"/>
  <c r="E726" i="45" s="1"/>
  <c r="D727" i="45"/>
  <c r="E727" i="45" s="1"/>
  <c r="D728" i="45"/>
  <c r="E728" i="45" s="1"/>
  <c r="D729" i="45"/>
  <c r="E729" i="45" s="1"/>
  <c r="D730" i="45"/>
  <c r="E730" i="45" s="1"/>
  <c r="D731" i="45"/>
  <c r="E731" i="45" s="1"/>
  <c r="D732" i="45"/>
  <c r="E732" i="45" s="1"/>
  <c r="D733" i="45"/>
  <c r="E733" i="45" s="1"/>
  <c r="D734" i="45"/>
  <c r="E734" i="45" s="1"/>
  <c r="D735" i="45"/>
  <c r="E735" i="45" s="1"/>
  <c r="D736" i="45"/>
  <c r="E736" i="45" s="1"/>
  <c r="D737" i="45"/>
  <c r="E737" i="45" s="1"/>
  <c r="D738" i="45"/>
  <c r="E738" i="45" s="1"/>
  <c r="D739" i="45"/>
  <c r="E739" i="45" s="1"/>
  <c r="D740" i="45"/>
  <c r="E740" i="45" s="1"/>
  <c r="D741" i="45"/>
  <c r="E741" i="45" s="1"/>
  <c r="D742" i="45"/>
  <c r="E742" i="45" s="1"/>
  <c r="D743" i="45"/>
  <c r="E743" i="45" s="1"/>
  <c r="D744" i="45"/>
  <c r="E744" i="45" s="1"/>
  <c r="D745" i="45"/>
  <c r="E745" i="45" s="1"/>
  <c r="D746" i="45"/>
  <c r="E746" i="45" s="1"/>
  <c r="D747" i="45"/>
  <c r="E747" i="45" s="1"/>
  <c r="D748" i="45"/>
  <c r="E748" i="45" s="1"/>
  <c r="D749" i="45"/>
  <c r="E749" i="45" s="1"/>
  <c r="D750" i="45"/>
  <c r="E750" i="45" s="1"/>
  <c r="D751" i="45"/>
  <c r="E751" i="45" s="1"/>
  <c r="D752" i="45"/>
  <c r="E752" i="45" s="1"/>
  <c r="D753" i="45"/>
  <c r="E753" i="45" s="1"/>
  <c r="D754" i="45"/>
  <c r="E754" i="45" s="1"/>
  <c r="D755" i="45"/>
  <c r="E755" i="45" s="1"/>
  <c r="D756" i="45"/>
  <c r="E756" i="45" s="1"/>
  <c r="D757" i="45"/>
  <c r="E757" i="45" s="1"/>
  <c r="D758" i="45"/>
  <c r="E758" i="45" s="1"/>
  <c r="D759" i="45"/>
  <c r="E759" i="45" s="1"/>
  <c r="D760" i="45"/>
  <c r="E760" i="45" s="1"/>
  <c r="D761" i="45"/>
  <c r="E761" i="45" s="1"/>
  <c r="D762" i="45"/>
  <c r="E762" i="45" s="1"/>
  <c r="D763" i="45"/>
  <c r="E763" i="45" s="1"/>
  <c r="D764" i="45"/>
  <c r="E764" i="45" s="1"/>
  <c r="D765" i="45"/>
  <c r="E765" i="45" s="1"/>
  <c r="D766" i="45"/>
  <c r="E766" i="45" s="1"/>
  <c r="D767" i="45"/>
  <c r="E767" i="45" s="1"/>
  <c r="D768" i="45"/>
  <c r="E768" i="45" s="1"/>
  <c r="D769" i="45"/>
  <c r="E769" i="45" s="1"/>
  <c r="D770" i="45"/>
  <c r="E770" i="45" s="1"/>
  <c r="D771" i="45"/>
  <c r="E771" i="45" s="1"/>
  <c r="D772" i="45"/>
  <c r="E772" i="45" s="1"/>
  <c r="D773" i="45"/>
  <c r="E773" i="45" s="1"/>
  <c r="D774" i="45"/>
  <c r="E774" i="45" s="1"/>
  <c r="D775" i="45"/>
  <c r="E775" i="45" s="1"/>
  <c r="D776" i="45"/>
  <c r="E776" i="45" s="1"/>
  <c r="D777" i="45"/>
  <c r="E777" i="45" s="1"/>
  <c r="D778" i="45"/>
  <c r="E778" i="45" s="1"/>
  <c r="D779" i="45"/>
  <c r="E779" i="45" s="1"/>
  <c r="D780" i="45"/>
  <c r="E780" i="45" s="1"/>
  <c r="D781" i="45"/>
  <c r="E781" i="45" s="1"/>
  <c r="D782" i="45"/>
  <c r="E782" i="45" s="1"/>
  <c r="D783" i="45"/>
  <c r="E783" i="45" s="1"/>
  <c r="D784" i="45"/>
  <c r="E784" i="45" s="1"/>
  <c r="D785" i="45"/>
  <c r="E785" i="45" s="1"/>
  <c r="D786" i="45"/>
  <c r="E786" i="45" s="1"/>
  <c r="D787" i="45"/>
  <c r="E787" i="45" s="1"/>
  <c r="D788" i="45"/>
  <c r="E788" i="45" s="1"/>
  <c r="D789" i="45"/>
  <c r="E789" i="45" s="1"/>
  <c r="D790" i="45"/>
  <c r="E790" i="45" s="1"/>
  <c r="D791" i="45"/>
  <c r="E791" i="45" s="1"/>
  <c r="D792" i="45"/>
  <c r="E792" i="45" s="1"/>
  <c r="D793" i="45"/>
  <c r="E793" i="45" s="1"/>
  <c r="D794" i="45"/>
  <c r="E794" i="45" s="1"/>
  <c r="D795" i="45"/>
  <c r="E795" i="45" s="1"/>
  <c r="D796" i="45"/>
  <c r="E796" i="45" s="1"/>
  <c r="D797" i="45"/>
  <c r="E797" i="45" s="1"/>
  <c r="D798" i="45"/>
  <c r="E798" i="45" s="1"/>
  <c r="D799" i="45"/>
  <c r="E799" i="45" s="1"/>
  <c r="D800" i="45"/>
  <c r="E800" i="45" s="1"/>
  <c r="D801" i="45"/>
  <c r="E801" i="45" s="1"/>
  <c r="D802" i="45"/>
  <c r="E802" i="45" s="1"/>
  <c r="D803" i="45"/>
  <c r="E803" i="45" s="1"/>
  <c r="D804" i="45"/>
  <c r="E804" i="45" s="1"/>
  <c r="D805" i="45"/>
  <c r="E805" i="45" s="1"/>
  <c r="D806" i="45"/>
  <c r="E806" i="45" s="1"/>
  <c r="D807" i="45"/>
  <c r="E807" i="45" s="1"/>
  <c r="D808" i="45"/>
  <c r="E808" i="45" s="1"/>
  <c r="D809" i="45"/>
  <c r="E809" i="45" s="1"/>
  <c r="D810" i="45"/>
  <c r="E810" i="45" s="1"/>
  <c r="D811" i="45"/>
  <c r="E811" i="45" s="1"/>
  <c r="D812" i="45"/>
  <c r="E812" i="45" s="1"/>
  <c r="D813" i="45"/>
  <c r="E813" i="45" s="1"/>
  <c r="D814" i="45"/>
  <c r="E814" i="45" s="1"/>
  <c r="D815" i="45"/>
  <c r="E815" i="45" s="1"/>
  <c r="D816" i="45"/>
  <c r="E816" i="45" s="1"/>
  <c r="D817" i="45"/>
  <c r="E817" i="45" s="1"/>
  <c r="D818" i="45"/>
  <c r="E818" i="45" s="1"/>
  <c r="D819" i="45"/>
  <c r="E819" i="45" s="1"/>
  <c r="D820" i="45"/>
  <c r="E820" i="45" s="1"/>
  <c r="D821" i="45"/>
  <c r="E821" i="45" s="1"/>
  <c r="D822" i="45"/>
  <c r="E822" i="45" s="1"/>
  <c r="D823" i="45"/>
  <c r="E823" i="45" s="1"/>
  <c r="D824" i="45"/>
  <c r="E824" i="45" s="1"/>
  <c r="D825" i="45"/>
  <c r="E825" i="45" s="1"/>
  <c r="D826" i="45"/>
  <c r="E826" i="45" s="1"/>
  <c r="D827" i="45"/>
  <c r="E827" i="45" s="1"/>
  <c r="D828" i="45"/>
  <c r="E828" i="45" s="1"/>
  <c r="D829" i="45"/>
  <c r="E829" i="45" s="1"/>
  <c r="D830" i="45"/>
  <c r="E830" i="45" s="1"/>
  <c r="D831" i="45"/>
  <c r="E831" i="45" s="1"/>
  <c r="D832" i="45"/>
  <c r="E832" i="45" s="1"/>
  <c r="D833" i="45"/>
  <c r="E833" i="45" s="1"/>
  <c r="D834" i="45"/>
  <c r="E834" i="45" s="1"/>
  <c r="D835" i="45"/>
  <c r="E835" i="45" s="1"/>
  <c r="D836" i="45"/>
  <c r="E836" i="45" s="1"/>
  <c r="D837" i="45"/>
  <c r="E837" i="45" s="1"/>
  <c r="D838" i="45"/>
  <c r="E838" i="45" s="1"/>
  <c r="D839" i="45"/>
  <c r="E839" i="45" s="1"/>
  <c r="D840" i="45"/>
  <c r="E840" i="45" s="1"/>
  <c r="D841" i="45"/>
  <c r="E841" i="45" s="1"/>
  <c r="D842" i="45"/>
  <c r="E842" i="45" s="1"/>
  <c r="D843" i="45"/>
  <c r="E843" i="45" s="1"/>
  <c r="D844" i="45"/>
  <c r="E844" i="45" s="1"/>
  <c r="D845" i="45"/>
  <c r="E845" i="45" s="1"/>
  <c r="D846" i="45"/>
  <c r="E846" i="45" s="1"/>
  <c r="D847" i="45"/>
  <c r="E847" i="45" s="1"/>
  <c r="D848" i="45"/>
  <c r="E848" i="45" s="1"/>
  <c r="D849" i="45"/>
  <c r="E849" i="45" s="1"/>
  <c r="D850" i="45"/>
  <c r="E850" i="45" s="1"/>
  <c r="D851" i="45"/>
  <c r="E851" i="45" s="1"/>
  <c r="D852" i="45"/>
  <c r="E852" i="45" s="1"/>
  <c r="D853" i="45"/>
  <c r="E853" i="45" s="1"/>
  <c r="D854" i="45"/>
  <c r="E854" i="45" s="1"/>
  <c r="D855" i="45"/>
  <c r="E855" i="45" s="1"/>
  <c r="D856" i="45"/>
  <c r="E856" i="45" s="1"/>
  <c r="D857" i="45"/>
  <c r="E857" i="45" s="1"/>
  <c r="D858" i="45"/>
  <c r="E858" i="45" s="1"/>
  <c r="D859" i="45"/>
  <c r="E859" i="45" s="1"/>
  <c r="D860" i="45"/>
  <c r="E860" i="45" s="1"/>
  <c r="D861" i="45"/>
  <c r="E861" i="45" s="1"/>
  <c r="D862" i="45"/>
  <c r="E862" i="45" s="1"/>
  <c r="D863" i="45"/>
  <c r="E863" i="45" s="1"/>
  <c r="D864" i="45"/>
  <c r="E864" i="45" s="1"/>
  <c r="D865" i="45"/>
  <c r="E865" i="45" s="1"/>
  <c r="D866" i="45"/>
  <c r="E866" i="45" s="1"/>
  <c r="D867" i="45"/>
  <c r="E867" i="45" s="1"/>
  <c r="D868" i="45"/>
  <c r="E868" i="45" s="1"/>
  <c r="D869" i="45"/>
  <c r="E869" i="45" s="1"/>
  <c r="D870" i="45"/>
  <c r="E870" i="45" s="1"/>
  <c r="D871" i="45"/>
  <c r="E871" i="45" s="1"/>
  <c r="D872" i="45"/>
  <c r="E872" i="45" s="1"/>
  <c r="D873" i="45"/>
  <c r="E873" i="45" s="1"/>
  <c r="D874" i="45"/>
  <c r="E874" i="45" s="1"/>
  <c r="D875" i="45"/>
  <c r="E875" i="45" s="1"/>
  <c r="D876" i="45"/>
  <c r="E876" i="45" s="1"/>
  <c r="D877" i="45"/>
  <c r="E877" i="45" s="1"/>
  <c r="D878" i="45"/>
  <c r="E878" i="45" s="1"/>
  <c r="D879" i="45"/>
  <c r="E879" i="45" s="1"/>
  <c r="D880" i="45"/>
  <c r="E880" i="45" s="1"/>
  <c r="D881" i="45"/>
  <c r="E881" i="45" s="1"/>
  <c r="D882" i="45"/>
  <c r="E882" i="45" s="1"/>
  <c r="D883" i="45"/>
  <c r="E883" i="45" s="1"/>
  <c r="D884" i="45"/>
  <c r="E884" i="45" s="1"/>
  <c r="D885" i="45"/>
  <c r="E885" i="45" s="1"/>
  <c r="D886" i="45"/>
  <c r="E886" i="45" s="1"/>
  <c r="D887" i="45"/>
  <c r="E887" i="45" s="1"/>
  <c r="D888" i="45"/>
  <c r="E888" i="45" s="1"/>
  <c r="D889" i="45"/>
  <c r="E889" i="45" s="1"/>
  <c r="D890" i="45"/>
  <c r="E890" i="45" s="1"/>
  <c r="D891" i="45"/>
  <c r="E891" i="45" s="1"/>
  <c r="D892" i="45"/>
  <c r="E892" i="45" s="1"/>
  <c r="D893" i="45"/>
  <c r="E893" i="45" s="1"/>
  <c r="D894" i="45"/>
  <c r="E894" i="45" s="1"/>
  <c r="D895" i="45"/>
  <c r="E895" i="45" s="1"/>
  <c r="D896" i="45"/>
  <c r="E896" i="45" s="1"/>
  <c r="D897" i="45"/>
  <c r="E897" i="45" s="1"/>
  <c r="D898" i="45"/>
  <c r="E898" i="45" s="1"/>
  <c r="D899" i="45"/>
  <c r="E899" i="45" s="1"/>
  <c r="D900" i="45"/>
  <c r="E900" i="45" s="1"/>
  <c r="D901" i="45"/>
  <c r="E901" i="45" s="1"/>
  <c r="D902" i="45"/>
  <c r="E902" i="45" s="1"/>
  <c r="D903" i="45"/>
  <c r="E903" i="45" s="1"/>
  <c r="D904" i="45"/>
  <c r="E904" i="45" s="1"/>
  <c r="D905" i="45"/>
  <c r="E905" i="45" s="1"/>
  <c r="D906" i="45"/>
  <c r="E906" i="45" s="1"/>
  <c r="D907" i="45"/>
  <c r="E907" i="45" s="1"/>
  <c r="D908" i="45"/>
  <c r="E908" i="45" s="1"/>
  <c r="D909" i="45"/>
  <c r="E909" i="45" s="1"/>
  <c r="D910" i="45"/>
  <c r="E910" i="45" s="1"/>
  <c r="D911" i="45"/>
  <c r="E911" i="45" s="1"/>
  <c r="D912" i="45"/>
  <c r="E912" i="45" s="1"/>
  <c r="D913" i="45"/>
  <c r="E913" i="45" s="1"/>
  <c r="D914" i="45"/>
  <c r="E914" i="45" s="1"/>
  <c r="D915" i="45"/>
  <c r="E915" i="45" s="1"/>
  <c r="D916" i="45"/>
  <c r="E916" i="45" s="1"/>
  <c r="D917" i="45"/>
  <c r="E917" i="45" s="1"/>
  <c r="D918" i="45"/>
  <c r="E918" i="45" s="1"/>
  <c r="D919" i="45"/>
  <c r="E919" i="45" s="1"/>
  <c r="D920" i="45"/>
  <c r="E920" i="45" s="1"/>
  <c r="D921" i="45"/>
  <c r="E921" i="45" s="1"/>
  <c r="D922" i="45"/>
  <c r="E922" i="45" s="1"/>
  <c r="D923" i="45"/>
  <c r="E923" i="45" s="1"/>
  <c r="D924" i="45"/>
  <c r="E924" i="45" s="1"/>
  <c r="D925" i="45"/>
  <c r="E925" i="45" s="1"/>
  <c r="D926" i="45"/>
  <c r="E926" i="45" s="1"/>
  <c r="D927" i="45"/>
  <c r="E927" i="45" s="1"/>
  <c r="D928" i="45"/>
  <c r="E928" i="45" s="1"/>
  <c r="D929" i="45"/>
  <c r="E929" i="45" s="1"/>
  <c r="D930" i="45"/>
  <c r="E930" i="45" s="1"/>
  <c r="D931" i="45"/>
  <c r="E931" i="45" s="1"/>
  <c r="D932" i="45"/>
  <c r="E932" i="45" s="1"/>
  <c r="D933" i="45"/>
  <c r="E933" i="45" s="1"/>
  <c r="D934" i="45"/>
  <c r="E934" i="45" s="1"/>
  <c r="D935" i="45"/>
  <c r="E935" i="45" s="1"/>
  <c r="D936" i="45"/>
  <c r="E936" i="45" s="1"/>
  <c r="D937" i="45"/>
  <c r="E937" i="45" s="1"/>
  <c r="D938" i="45"/>
  <c r="E938" i="45" s="1"/>
  <c r="D939" i="45"/>
  <c r="E939" i="45" s="1"/>
  <c r="D940" i="45"/>
  <c r="E940" i="45" s="1"/>
  <c r="D941" i="45"/>
  <c r="E941" i="45" s="1"/>
  <c r="D942" i="45"/>
  <c r="E942" i="45" s="1"/>
  <c r="D943" i="45"/>
  <c r="E943" i="45" s="1"/>
  <c r="D944" i="45"/>
  <c r="E944" i="45" s="1"/>
  <c r="D945" i="45"/>
  <c r="E945" i="45" s="1"/>
  <c r="D946" i="45"/>
  <c r="E946" i="45" s="1"/>
  <c r="D947" i="45"/>
  <c r="E947" i="45" s="1"/>
  <c r="D948" i="45"/>
  <c r="E948" i="45" s="1"/>
  <c r="D949" i="45"/>
  <c r="E949" i="45" s="1"/>
  <c r="D950" i="45"/>
  <c r="E950" i="45" s="1"/>
  <c r="D951" i="45"/>
  <c r="E951" i="45" s="1"/>
  <c r="D952" i="45"/>
  <c r="E952" i="45" s="1"/>
  <c r="D953" i="45"/>
  <c r="E953" i="45" s="1"/>
  <c r="D954" i="45"/>
  <c r="E954" i="45" s="1"/>
  <c r="D955" i="45"/>
  <c r="E955" i="45" s="1"/>
  <c r="D956" i="45"/>
  <c r="E956" i="45" s="1"/>
  <c r="D957" i="45"/>
  <c r="E957" i="45" s="1"/>
  <c r="D958" i="45"/>
  <c r="E958" i="45" s="1"/>
  <c r="D959" i="45"/>
  <c r="E959" i="45" s="1"/>
  <c r="D960" i="45"/>
  <c r="E960" i="45" s="1"/>
  <c r="D961" i="45"/>
  <c r="E961" i="45" s="1"/>
  <c r="D962" i="45"/>
  <c r="E962" i="45" s="1"/>
  <c r="D963" i="45"/>
  <c r="E963" i="45" s="1"/>
  <c r="D964" i="45"/>
  <c r="E964" i="45" s="1"/>
  <c r="D965" i="45"/>
  <c r="E965" i="45" s="1"/>
  <c r="D966" i="45"/>
  <c r="E966" i="45" s="1"/>
  <c r="D967" i="45"/>
  <c r="E967" i="45" s="1"/>
  <c r="D968" i="45"/>
  <c r="E968" i="45" s="1"/>
  <c r="D969" i="45"/>
  <c r="E969" i="45" s="1"/>
  <c r="D970" i="45"/>
  <c r="E970" i="45" s="1"/>
  <c r="D971" i="45"/>
  <c r="E971" i="45" s="1"/>
  <c r="D972" i="45"/>
  <c r="E972" i="45" s="1"/>
  <c r="D973" i="45"/>
  <c r="E973" i="45" s="1"/>
  <c r="D974" i="45"/>
  <c r="E974" i="45" s="1"/>
  <c r="D975" i="45"/>
  <c r="E975" i="45" s="1"/>
  <c r="D976" i="45"/>
  <c r="E976" i="45" s="1"/>
  <c r="D977" i="45"/>
  <c r="E977" i="45" s="1"/>
  <c r="D978" i="45"/>
  <c r="E978" i="45" s="1"/>
  <c r="D979" i="45"/>
  <c r="E979" i="45" s="1"/>
  <c r="D980" i="45"/>
  <c r="E980" i="45" s="1"/>
  <c r="D981" i="45"/>
  <c r="E981" i="45" s="1"/>
  <c r="D982" i="45"/>
  <c r="E982" i="45" s="1"/>
  <c r="D983" i="45"/>
  <c r="E983" i="45" s="1"/>
  <c r="D984" i="45"/>
  <c r="E984" i="45" s="1"/>
  <c r="D985" i="45"/>
  <c r="E985" i="45" s="1"/>
  <c r="D986" i="45"/>
  <c r="E986" i="45" s="1"/>
  <c r="D987" i="45"/>
  <c r="E987" i="45" s="1"/>
  <c r="D988" i="45"/>
  <c r="E988" i="45" s="1"/>
  <c r="D989" i="45"/>
  <c r="E989" i="45" s="1"/>
  <c r="D990" i="45"/>
  <c r="E990" i="45" s="1"/>
  <c r="D991" i="45"/>
  <c r="E991" i="45" s="1"/>
  <c r="D992" i="45"/>
  <c r="E992" i="45" s="1"/>
  <c r="D993" i="45"/>
  <c r="E993" i="45" s="1"/>
  <c r="D994" i="45"/>
  <c r="E994" i="45" s="1"/>
  <c r="D995" i="45"/>
  <c r="E995" i="45" s="1"/>
  <c r="D996" i="45"/>
  <c r="E996" i="45" s="1"/>
  <c r="D997" i="45"/>
  <c r="E997" i="45" s="1"/>
  <c r="D998" i="45"/>
  <c r="E998" i="45" s="1"/>
  <c r="D999" i="45"/>
  <c r="E999" i="45" s="1"/>
  <c r="D1000" i="45"/>
  <c r="E1000" i="45" s="1"/>
  <c r="D1001" i="45"/>
  <c r="E1001" i="45" s="1"/>
  <c r="D1002" i="45"/>
  <c r="E1002" i="45" s="1"/>
  <c r="D1003" i="45"/>
  <c r="E1003" i="45" s="1"/>
  <c r="D1004" i="45"/>
  <c r="E1004" i="45" s="1"/>
  <c r="D1005" i="45"/>
  <c r="E1005" i="45" s="1"/>
  <c r="D1006" i="45"/>
  <c r="E1006" i="45" s="1"/>
  <c r="D1007" i="45"/>
  <c r="E1007" i="45" s="1"/>
  <c r="D1008" i="45"/>
  <c r="E1008" i="45" s="1"/>
  <c r="D1009" i="45"/>
  <c r="E1009" i="45" s="1"/>
  <c r="D1010" i="45"/>
  <c r="E1010" i="45" s="1"/>
  <c r="D1011" i="45"/>
  <c r="E1011" i="45" s="1"/>
  <c r="D1012" i="45"/>
  <c r="E1012" i="45" s="1"/>
  <c r="D1013" i="45"/>
  <c r="E1013" i="45" s="1"/>
  <c r="D1014" i="45"/>
  <c r="E1014" i="45" s="1"/>
  <c r="D1015" i="45"/>
  <c r="E1015" i="45" s="1"/>
  <c r="D1016" i="45"/>
  <c r="E1016" i="45" s="1"/>
  <c r="D1017" i="45"/>
  <c r="E1017" i="45" s="1"/>
  <c r="D1018" i="45"/>
  <c r="E1018" i="45" s="1"/>
  <c r="D1019" i="45"/>
  <c r="E1019" i="45" s="1"/>
  <c r="D1020" i="45"/>
  <c r="E1020" i="45" s="1"/>
  <c r="D1021" i="45"/>
  <c r="E1021" i="45" s="1"/>
  <c r="D1022" i="45"/>
  <c r="E1022" i="45" s="1"/>
  <c r="D1023" i="45"/>
  <c r="E1023" i="45" s="1"/>
  <c r="D1024" i="45"/>
  <c r="E1024" i="45" s="1"/>
  <c r="D1025" i="45"/>
  <c r="E1025" i="45" s="1"/>
  <c r="D1026" i="45"/>
  <c r="E1026" i="45" s="1"/>
  <c r="D1027" i="45"/>
  <c r="E1027" i="45" s="1"/>
  <c r="D1028" i="45"/>
  <c r="E1028" i="45" s="1"/>
  <c r="D1029" i="45"/>
  <c r="E1029" i="45" s="1"/>
  <c r="D1030" i="45"/>
  <c r="E1030" i="45" s="1"/>
  <c r="D1031" i="45"/>
  <c r="E1031" i="45" s="1"/>
  <c r="D1032" i="45"/>
  <c r="E1032" i="45" s="1"/>
  <c r="D1033" i="45"/>
  <c r="E1033" i="45" s="1"/>
  <c r="D1034" i="45"/>
  <c r="E1034" i="45" s="1"/>
  <c r="D1035" i="45"/>
  <c r="E1035" i="45" s="1"/>
  <c r="D1036" i="45"/>
  <c r="E1036" i="45" s="1"/>
  <c r="D1037" i="45"/>
  <c r="E1037" i="45" s="1"/>
  <c r="D1038" i="45"/>
  <c r="E1038" i="45" s="1"/>
  <c r="D1039" i="45"/>
  <c r="E1039" i="45" s="1"/>
  <c r="D1040" i="45"/>
  <c r="E1040" i="45" s="1"/>
  <c r="D1041" i="45"/>
  <c r="E1041" i="45" s="1"/>
  <c r="D1042" i="45"/>
  <c r="E1042" i="45" s="1"/>
  <c r="D1043" i="45"/>
  <c r="E1043" i="45" s="1"/>
  <c r="D1044" i="45"/>
  <c r="E1044" i="45" s="1"/>
  <c r="D1045" i="45"/>
  <c r="E1045" i="45" s="1"/>
  <c r="D1046" i="45"/>
  <c r="E1046" i="45" s="1"/>
  <c r="D1047" i="45"/>
  <c r="E1047" i="45" s="1"/>
  <c r="D1048" i="45"/>
  <c r="E1048" i="45" s="1"/>
  <c r="D1049" i="45"/>
  <c r="E1049" i="45" s="1"/>
  <c r="D1050" i="45"/>
  <c r="E1050" i="45" s="1"/>
  <c r="D1051" i="45"/>
  <c r="E1051" i="45" s="1"/>
  <c r="D1052" i="45"/>
  <c r="E1052" i="45" s="1"/>
  <c r="D1053" i="45"/>
  <c r="E1053" i="45" s="1"/>
  <c r="D1054" i="45"/>
  <c r="E1054" i="45" s="1"/>
  <c r="D1055" i="45"/>
  <c r="E1055" i="45" s="1"/>
  <c r="D1056" i="45"/>
  <c r="E1056" i="45" s="1"/>
  <c r="D1057" i="45"/>
  <c r="E1057" i="45" s="1"/>
  <c r="D1058" i="45"/>
  <c r="E1058" i="45" s="1"/>
  <c r="D1059" i="45"/>
  <c r="E1059" i="45" s="1"/>
  <c r="D1060" i="45"/>
  <c r="E1060" i="45" s="1"/>
  <c r="D1061" i="45"/>
  <c r="E1061" i="45" s="1"/>
  <c r="D1062" i="45"/>
  <c r="E1062" i="45" s="1"/>
  <c r="D1063" i="45"/>
  <c r="E1063" i="45" s="1"/>
  <c r="D1064" i="45"/>
  <c r="E1064" i="45" s="1"/>
  <c r="D1065" i="45"/>
  <c r="E1065" i="45" s="1"/>
  <c r="D1066" i="45"/>
  <c r="E1066" i="45" s="1"/>
  <c r="D1067" i="45"/>
  <c r="E1067" i="45" s="1"/>
  <c r="D1068" i="45"/>
  <c r="E1068" i="45" s="1"/>
  <c r="D1069" i="45"/>
  <c r="E1069" i="45" s="1"/>
  <c r="D1070" i="45"/>
  <c r="E1070" i="45" s="1"/>
  <c r="D1071" i="45"/>
  <c r="E1071" i="45" s="1"/>
  <c r="D1072" i="45"/>
  <c r="E1072" i="45" s="1"/>
  <c r="D1073" i="45"/>
  <c r="E1073" i="45" s="1"/>
  <c r="D1074" i="45"/>
  <c r="E1074" i="45" s="1"/>
  <c r="D1075" i="45"/>
  <c r="E1075" i="45" s="1"/>
  <c r="D1076" i="45"/>
  <c r="E1076" i="45" s="1"/>
  <c r="D1077" i="45"/>
  <c r="E1077" i="45" s="1"/>
  <c r="D1078" i="45"/>
  <c r="E1078" i="45" s="1"/>
  <c r="D1079" i="45"/>
  <c r="E1079" i="45" s="1"/>
  <c r="D1080" i="45"/>
  <c r="E1080" i="45" s="1"/>
  <c r="D1081" i="45"/>
  <c r="E1081" i="45" s="1"/>
  <c r="D1082" i="45"/>
  <c r="E1082" i="45" s="1"/>
  <c r="D1083" i="45"/>
  <c r="E1083" i="45" s="1"/>
  <c r="D1084" i="45"/>
  <c r="E1084" i="45" s="1"/>
  <c r="D1085" i="45"/>
  <c r="E1085" i="45" s="1"/>
  <c r="D1086" i="45"/>
  <c r="E1086" i="45" s="1"/>
  <c r="D1087" i="45"/>
  <c r="E1087" i="45" s="1"/>
  <c r="D1088" i="45"/>
  <c r="E1088" i="45" s="1"/>
  <c r="D1089" i="45"/>
  <c r="E1089" i="45" s="1"/>
  <c r="D1090" i="45"/>
  <c r="E1090" i="45" s="1"/>
  <c r="D1091" i="45"/>
  <c r="E1091" i="45" s="1"/>
  <c r="D1092" i="45"/>
  <c r="E1092" i="45" s="1"/>
  <c r="D1093" i="45"/>
  <c r="E1093" i="45" s="1"/>
  <c r="D1094" i="45"/>
  <c r="E1094" i="45" s="1"/>
  <c r="D1095" i="45"/>
  <c r="E1095" i="45" s="1"/>
  <c r="D1096" i="45"/>
  <c r="E1096" i="45" s="1"/>
  <c r="D1097" i="45"/>
  <c r="E1097" i="45" s="1"/>
  <c r="D1098" i="45"/>
  <c r="E1098" i="45" s="1"/>
  <c r="D1099" i="45"/>
  <c r="E1099" i="45" s="1"/>
  <c r="D1100" i="45"/>
  <c r="E1100" i="45" s="1"/>
  <c r="D1101" i="45"/>
  <c r="E1101" i="45" s="1"/>
  <c r="D1102" i="45"/>
  <c r="E1102" i="45" s="1"/>
  <c r="D1103" i="45"/>
  <c r="E1103" i="45" s="1"/>
  <c r="D1104" i="45"/>
  <c r="E1104" i="45" s="1"/>
  <c r="D1105" i="45"/>
  <c r="E1105" i="45" s="1"/>
  <c r="D1106" i="45"/>
  <c r="E1106" i="45" s="1"/>
  <c r="D1107" i="45"/>
  <c r="E1107" i="45" s="1"/>
  <c r="D1108" i="45"/>
  <c r="E1108" i="45" s="1"/>
  <c r="D1109" i="45"/>
  <c r="E1109" i="45" s="1"/>
  <c r="D1110" i="45"/>
  <c r="E1110" i="45" s="1"/>
  <c r="D1111" i="45"/>
  <c r="E1111" i="45" s="1"/>
  <c r="D1112" i="45"/>
  <c r="E1112" i="45" s="1"/>
  <c r="D1113" i="45"/>
  <c r="E1113" i="45" s="1"/>
  <c r="D1114" i="45"/>
  <c r="E1114" i="45" s="1"/>
  <c r="D1115" i="45"/>
  <c r="E1115" i="45" s="1"/>
  <c r="D1116" i="45"/>
  <c r="E1116" i="45" s="1"/>
  <c r="D1117" i="45"/>
  <c r="E1117" i="45" s="1"/>
  <c r="D1118" i="45"/>
  <c r="E1118" i="45" s="1"/>
  <c r="D1119" i="45"/>
  <c r="E1119" i="45" s="1"/>
  <c r="D1120" i="45"/>
  <c r="E1120" i="45" s="1"/>
  <c r="D1121" i="45"/>
  <c r="E1121" i="45" s="1"/>
  <c r="D1122" i="45"/>
  <c r="E1122" i="45" s="1"/>
  <c r="D1123" i="45"/>
  <c r="E1123" i="45" s="1"/>
  <c r="D1124" i="45"/>
  <c r="E1124" i="45" s="1"/>
  <c r="D1125" i="45"/>
  <c r="E1125" i="45" s="1"/>
  <c r="D1126" i="45"/>
  <c r="E1126" i="45" s="1"/>
  <c r="D1127" i="45"/>
  <c r="E1127" i="45" s="1"/>
  <c r="D1128" i="45"/>
  <c r="E1128" i="45" s="1"/>
  <c r="D1129" i="45"/>
  <c r="E1129" i="45" s="1"/>
  <c r="D1130" i="45"/>
  <c r="E1130" i="45" s="1"/>
  <c r="D1131" i="45"/>
  <c r="E1131" i="45" s="1"/>
  <c r="D1132" i="45"/>
  <c r="E1132" i="45" s="1"/>
  <c r="D1133" i="45"/>
  <c r="E1133" i="45" s="1"/>
  <c r="D1134" i="45"/>
  <c r="E1134" i="45" s="1"/>
  <c r="D1135" i="45"/>
  <c r="E1135" i="45" s="1"/>
  <c r="D1136" i="45"/>
  <c r="E1136" i="45" s="1"/>
  <c r="D1137" i="45"/>
  <c r="E1137" i="45" s="1"/>
  <c r="D1138" i="45"/>
  <c r="E1138" i="45" s="1"/>
  <c r="D1139" i="45"/>
  <c r="E1139" i="45" s="1"/>
  <c r="D1140" i="45"/>
  <c r="E1140" i="45" s="1"/>
  <c r="D1141" i="45"/>
  <c r="E1141" i="45" s="1"/>
  <c r="D1142" i="45"/>
  <c r="E1142" i="45" s="1"/>
  <c r="D1143" i="45"/>
  <c r="E1143" i="45" s="1"/>
  <c r="D1144" i="45"/>
  <c r="E1144" i="45" s="1"/>
  <c r="D1145" i="45"/>
  <c r="E1145" i="45" s="1"/>
  <c r="D1146" i="45"/>
  <c r="E1146" i="45" s="1"/>
  <c r="D1147" i="45"/>
  <c r="E1147" i="45" s="1"/>
  <c r="D1148" i="45"/>
  <c r="E1148" i="45" s="1"/>
  <c r="D1149" i="45"/>
  <c r="E1149" i="45" s="1"/>
  <c r="D1150" i="45"/>
  <c r="E1150" i="45" s="1"/>
  <c r="D1151" i="45"/>
  <c r="E1151" i="45" s="1"/>
  <c r="D1152" i="45"/>
  <c r="E1152" i="45" s="1"/>
  <c r="D1153" i="45"/>
  <c r="E1153" i="45" s="1"/>
  <c r="D1154" i="45"/>
  <c r="E1154" i="45" s="1"/>
  <c r="D1155" i="45"/>
  <c r="E1155" i="45" s="1"/>
  <c r="D1156" i="45"/>
  <c r="E1156" i="45" s="1"/>
  <c r="D1157" i="45"/>
  <c r="E1157" i="45" s="1"/>
  <c r="D1158" i="45"/>
  <c r="E1158" i="45" s="1"/>
  <c r="D1159" i="45"/>
  <c r="E1159" i="45" s="1"/>
  <c r="D1160" i="45"/>
  <c r="E1160" i="45" s="1"/>
  <c r="D1161" i="45"/>
  <c r="E1161" i="45" s="1"/>
  <c r="D1162" i="45"/>
  <c r="E1162" i="45" s="1"/>
  <c r="D1163" i="45"/>
  <c r="E1163" i="45" s="1"/>
  <c r="D1164" i="45"/>
  <c r="E1164" i="45" s="1"/>
  <c r="D1165" i="45"/>
  <c r="E1165" i="45" s="1"/>
  <c r="D1166" i="45"/>
  <c r="E1166" i="45" s="1"/>
  <c r="D1167" i="45"/>
  <c r="E1167" i="45" s="1"/>
  <c r="D1168" i="45"/>
  <c r="E1168" i="45" s="1"/>
  <c r="D1169" i="45"/>
  <c r="E1169" i="45" s="1"/>
  <c r="D1170" i="45"/>
  <c r="E1170" i="45" s="1"/>
  <c r="D1171" i="45"/>
  <c r="E1171" i="45" s="1"/>
  <c r="D1172" i="45"/>
  <c r="E1172" i="45" s="1"/>
  <c r="D1173" i="45"/>
  <c r="E1173" i="45" s="1"/>
  <c r="D1174" i="45"/>
  <c r="E1174" i="45" s="1"/>
  <c r="D1175" i="45"/>
  <c r="E1175" i="45" s="1"/>
  <c r="D1176" i="45"/>
  <c r="E1176" i="45" s="1"/>
  <c r="D1177" i="45"/>
  <c r="E1177" i="45" s="1"/>
  <c r="D1178" i="45"/>
  <c r="E1178" i="45" s="1"/>
  <c r="D1179" i="45"/>
  <c r="E1179" i="45" s="1"/>
  <c r="D1180" i="45"/>
  <c r="E1180" i="45" s="1"/>
  <c r="D1181" i="45"/>
  <c r="E1181" i="45" s="1"/>
  <c r="D1182" i="45"/>
  <c r="E1182" i="45" s="1"/>
  <c r="D1183" i="45"/>
  <c r="E1183" i="45" s="1"/>
  <c r="D1184" i="45"/>
  <c r="E1184" i="45" s="1"/>
  <c r="D1185" i="45"/>
  <c r="E1185" i="45" s="1"/>
  <c r="D1186" i="45"/>
  <c r="E1186" i="45" s="1"/>
  <c r="D1187" i="45"/>
  <c r="E1187" i="45" s="1"/>
  <c r="D1188" i="45"/>
  <c r="E1188" i="45" s="1"/>
  <c r="D1189" i="45"/>
  <c r="E1189" i="45" s="1"/>
  <c r="D1190" i="45"/>
  <c r="E1190" i="45" s="1"/>
  <c r="D1191" i="45"/>
  <c r="E1191" i="45" s="1"/>
  <c r="D1192" i="45"/>
  <c r="E1192" i="45" s="1"/>
  <c r="D1193" i="45"/>
  <c r="E1193" i="45" s="1"/>
  <c r="D1194" i="45"/>
  <c r="E1194" i="45" s="1"/>
  <c r="D1195" i="45"/>
  <c r="E1195" i="45" s="1"/>
  <c r="D1196" i="45"/>
  <c r="E1196" i="45" s="1"/>
  <c r="D1197" i="45"/>
  <c r="E1197" i="45" s="1"/>
  <c r="D1198" i="45"/>
  <c r="E1198" i="45" s="1"/>
  <c r="D1199" i="45"/>
  <c r="E1199" i="45" s="1"/>
  <c r="D1200" i="45"/>
  <c r="E1200" i="45" s="1"/>
  <c r="D1201" i="45"/>
  <c r="E1201" i="45" s="1"/>
  <c r="D1202" i="45"/>
  <c r="E1202" i="45" s="1"/>
  <c r="D1203" i="45"/>
  <c r="E1203" i="45" s="1"/>
  <c r="D1204" i="45"/>
  <c r="E1204" i="45" s="1"/>
  <c r="D1205" i="45"/>
  <c r="E1205" i="45" s="1"/>
  <c r="D1206" i="45"/>
  <c r="E1206" i="45" s="1"/>
  <c r="D1207" i="45"/>
  <c r="E1207" i="45" s="1"/>
  <c r="D1208" i="45"/>
  <c r="E1208" i="45" s="1"/>
  <c r="D1209" i="45"/>
  <c r="E1209" i="45" s="1"/>
  <c r="D1210" i="45"/>
  <c r="E1210" i="45" s="1"/>
  <c r="D1211" i="45"/>
  <c r="E1211" i="45" s="1"/>
  <c r="D1212" i="45"/>
  <c r="E1212" i="45" s="1"/>
  <c r="D1213" i="45"/>
  <c r="E1213" i="45" s="1"/>
  <c r="D1214" i="45"/>
  <c r="E1214" i="45" s="1"/>
  <c r="D1215" i="45"/>
  <c r="E1215" i="45" s="1"/>
  <c r="D1216" i="45"/>
  <c r="E1216" i="45" s="1"/>
  <c r="D1217" i="45"/>
  <c r="E1217" i="45" s="1"/>
  <c r="D1218" i="45"/>
  <c r="E1218" i="45" s="1"/>
  <c r="D1219" i="45"/>
  <c r="E1219" i="45" s="1"/>
  <c r="D1220" i="45"/>
  <c r="E1220" i="45" s="1"/>
  <c r="D1221" i="45"/>
  <c r="E1221" i="45" s="1"/>
  <c r="D1222" i="45"/>
  <c r="E1222" i="45" s="1"/>
  <c r="D1223" i="45"/>
  <c r="E1223" i="45" s="1"/>
  <c r="D1224" i="45"/>
  <c r="E1224" i="45" s="1"/>
  <c r="D1225" i="45"/>
  <c r="E1225" i="45" s="1"/>
  <c r="D1226" i="45"/>
  <c r="E1226" i="45" s="1"/>
  <c r="D1227" i="45"/>
  <c r="E1227" i="45" s="1"/>
  <c r="D1228" i="45"/>
  <c r="E1228" i="45" s="1"/>
  <c r="D1229" i="45"/>
  <c r="E1229" i="45" s="1"/>
  <c r="D1230" i="45"/>
  <c r="E1230" i="45" s="1"/>
  <c r="D1231" i="45"/>
  <c r="E1231" i="45" s="1"/>
  <c r="D1232" i="45"/>
  <c r="E1232" i="45" s="1"/>
  <c r="D1233" i="45"/>
  <c r="E1233" i="45" s="1"/>
  <c r="D1234" i="45"/>
  <c r="E1234" i="45" s="1"/>
  <c r="D1235" i="45"/>
  <c r="E1235" i="45" s="1"/>
  <c r="D1236" i="45"/>
  <c r="E1236" i="45" s="1"/>
  <c r="D1237" i="45"/>
  <c r="E1237" i="45" s="1"/>
  <c r="D1238" i="45"/>
  <c r="E1238" i="45" s="1"/>
  <c r="D1239" i="45"/>
  <c r="E1239" i="45" s="1"/>
  <c r="D1240" i="45"/>
  <c r="E1240" i="45" s="1"/>
  <c r="D1241" i="45"/>
  <c r="E1241" i="45" s="1"/>
  <c r="D1242" i="45"/>
  <c r="E1242" i="45" s="1"/>
  <c r="D1243" i="45"/>
  <c r="E1243" i="45" s="1"/>
  <c r="D1244" i="45"/>
  <c r="E1244" i="45" s="1"/>
  <c r="D1245" i="45"/>
  <c r="E1245" i="45" s="1"/>
  <c r="D1246" i="45"/>
  <c r="E1246" i="45" s="1"/>
  <c r="D1247" i="45"/>
  <c r="E1247" i="45" s="1"/>
  <c r="D1248" i="45"/>
  <c r="E1248" i="45" s="1"/>
  <c r="D1249" i="45"/>
  <c r="E1249" i="45" s="1"/>
  <c r="D1250" i="45"/>
  <c r="E1250" i="45" s="1"/>
  <c r="D1251" i="45"/>
  <c r="E1251" i="45" s="1"/>
  <c r="G635" i="1" l="1"/>
  <c r="G63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2" i="1"/>
  <c r="T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AF2" i="1"/>
  <c r="V2" i="1" l="1"/>
  <c r="W2" i="1" l="1"/>
  <c r="AJ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AA2" i="1"/>
  <c r="Z3" i="1"/>
  <c r="AA3" i="1" s="1"/>
  <c r="Z4" i="1"/>
  <c r="AA4" i="1" s="1"/>
  <c r="Z5" i="1"/>
  <c r="AA5" i="1" s="1"/>
  <c r="Z6" i="1"/>
  <c r="AA6" i="1" s="1"/>
  <c r="Z7" i="1"/>
  <c r="AA7" i="1" s="1"/>
  <c r="Z8" i="1"/>
  <c r="AA8" i="1" s="1"/>
  <c r="Z9" i="1"/>
  <c r="AA9" i="1" s="1"/>
  <c r="Z10" i="1"/>
  <c r="AA10" i="1" s="1"/>
  <c r="Z11" i="1"/>
  <c r="AA11" i="1" s="1"/>
  <c r="Z12" i="1"/>
  <c r="AA12" i="1" s="1"/>
  <c r="Z13" i="1"/>
  <c r="AA13" i="1" s="1"/>
  <c r="Z14" i="1"/>
  <c r="AA14" i="1" s="1"/>
  <c r="Z15" i="1"/>
  <c r="AA15" i="1" s="1"/>
  <c r="Z16" i="1"/>
  <c r="AA16" i="1" s="1"/>
  <c r="Z17" i="1"/>
  <c r="AA17" i="1" s="1"/>
  <c r="Z18" i="1"/>
  <c r="AA18" i="1" s="1"/>
  <c r="Z19" i="1"/>
  <c r="AA19" i="1" s="1"/>
  <c r="Z20" i="1"/>
  <c r="AA20" i="1" s="1"/>
  <c r="Z21" i="1"/>
  <c r="AA21" i="1" s="1"/>
  <c r="Z22" i="1"/>
  <c r="AA22" i="1" s="1"/>
  <c r="Z23" i="1"/>
  <c r="AA23" i="1" s="1"/>
  <c r="Z24" i="1"/>
  <c r="AA24" i="1" s="1"/>
  <c r="Z25" i="1"/>
  <c r="AA25" i="1" s="1"/>
  <c r="Z26" i="1"/>
  <c r="AA26" i="1" s="1"/>
  <c r="Z27" i="1"/>
  <c r="AA27" i="1" s="1"/>
  <c r="Z28" i="1"/>
  <c r="AA28" i="1" s="1"/>
  <c r="Z29" i="1"/>
  <c r="AA29" i="1" s="1"/>
  <c r="Z30" i="1"/>
  <c r="AA30" i="1" s="1"/>
  <c r="Z31" i="1"/>
  <c r="AA31" i="1" s="1"/>
  <c r="Z32" i="1"/>
  <c r="AA32" i="1" s="1"/>
  <c r="Z33" i="1"/>
  <c r="AA33" i="1" s="1"/>
  <c r="Z34" i="1"/>
  <c r="AA34" i="1" s="1"/>
  <c r="Z35" i="1"/>
  <c r="AA35" i="1" s="1"/>
  <c r="Z36" i="1"/>
  <c r="AA36" i="1" s="1"/>
  <c r="Z37" i="1"/>
  <c r="AA37" i="1" s="1"/>
  <c r="Z38" i="1"/>
  <c r="AA38" i="1" s="1"/>
  <c r="Z39" i="1"/>
  <c r="AA39" i="1" s="1"/>
  <c r="Z40" i="1"/>
  <c r="AA40" i="1" s="1"/>
  <c r="Z41" i="1"/>
  <c r="AA41" i="1" s="1"/>
  <c r="Z42" i="1"/>
  <c r="AA42" i="1" s="1"/>
  <c r="Z43" i="1"/>
  <c r="AA43" i="1" s="1"/>
  <c r="Z44" i="1"/>
  <c r="AA44" i="1" s="1"/>
  <c r="Z45" i="1"/>
  <c r="AA45" i="1" s="1"/>
  <c r="Z46" i="1"/>
  <c r="AA46" i="1" s="1"/>
  <c r="Z47" i="1"/>
  <c r="AA47" i="1" s="1"/>
  <c r="Z48" i="1"/>
  <c r="AA48" i="1" s="1"/>
  <c r="Z49" i="1"/>
  <c r="AA49" i="1" s="1"/>
  <c r="Z50" i="1"/>
  <c r="AA50" i="1" s="1"/>
  <c r="Z51" i="1"/>
  <c r="AA51" i="1" s="1"/>
  <c r="Z52" i="1"/>
  <c r="AA52" i="1" s="1"/>
  <c r="Z53" i="1"/>
  <c r="AA53" i="1" s="1"/>
  <c r="Z54" i="1"/>
  <c r="AA54" i="1" s="1"/>
  <c r="Z55" i="1"/>
  <c r="AA55" i="1" s="1"/>
  <c r="Z56" i="1"/>
  <c r="AA56" i="1" s="1"/>
  <c r="Z57" i="1"/>
  <c r="AA57" i="1" s="1"/>
  <c r="Z58" i="1"/>
  <c r="AA58" i="1" s="1"/>
  <c r="Z59" i="1"/>
  <c r="AA59" i="1" s="1"/>
  <c r="Z60" i="1"/>
  <c r="AA60" i="1" s="1"/>
  <c r="Z61" i="1"/>
  <c r="AA61" i="1" s="1"/>
  <c r="Z62" i="1"/>
  <c r="AA62" i="1" s="1"/>
  <c r="Z63" i="1"/>
  <c r="AA63" i="1" s="1"/>
  <c r="Z64" i="1"/>
  <c r="AA64" i="1" s="1"/>
  <c r="Z65" i="1"/>
  <c r="AA65" i="1" s="1"/>
  <c r="Z66" i="1"/>
  <c r="AA66" i="1" s="1"/>
  <c r="Z67" i="1"/>
  <c r="AA67" i="1" s="1"/>
  <c r="Z68" i="1"/>
  <c r="AA68" i="1" s="1"/>
  <c r="Z69" i="1"/>
  <c r="AA69" i="1" s="1"/>
  <c r="Z70" i="1"/>
  <c r="AA70" i="1" s="1"/>
  <c r="Z71" i="1"/>
  <c r="AA71" i="1" s="1"/>
  <c r="Z72" i="1"/>
  <c r="AA72" i="1" s="1"/>
  <c r="Z73" i="1"/>
  <c r="AA73" i="1" s="1"/>
  <c r="Z74" i="1"/>
  <c r="AA74" i="1" s="1"/>
  <c r="Z75" i="1"/>
  <c r="AA75" i="1" s="1"/>
  <c r="Z76" i="1"/>
  <c r="AA76" i="1" s="1"/>
  <c r="Z77" i="1"/>
  <c r="AA77" i="1" s="1"/>
  <c r="Z78" i="1"/>
  <c r="AA78" i="1" s="1"/>
  <c r="Z79" i="1"/>
  <c r="AA79" i="1" s="1"/>
  <c r="Z80" i="1"/>
  <c r="AA80" i="1" s="1"/>
  <c r="Z81" i="1"/>
  <c r="AA81" i="1" s="1"/>
  <c r="Z82" i="1"/>
  <c r="AA82" i="1" s="1"/>
  <c r="Z83" i="1"/>
  <c r="AA83" i="1" s="1"/>
  <c r="Z84" i="1"/>
  <c r="AA84" i="1" s="1"/>
  <c r="Z85" i="1"/>
  <c r="AA85" i="1" s="1"/>
  <c r="Z86" i="1"/>
  <c r="AA86" i="1" s="1"/>
  <c r="Z87" i="1"/>
  <c r="AA87" i="1" s="1"/>
  <c r="Z88" i="1"/>
  <c r="AA88" i="1" s="1"/>
  <c r="Z89" i="1"/>
  <c r="AA89" i="1" s="1"/>
  <c r="Z90" i="1"/>
  <c r="AA90" i="1" s="1"/>
  <c r="Z91" i="1"/>
  <c r="AA91" i="1" s="1"/>
  <c r="Z92" i="1"/>
  <c r="AA92" i="1" s="1"/>
  <c r="Z93" i="1"/>
  <c r="AA93" i="1" s="1"/>
  <c r="Z94" i="1"/>
  <c r="AA94" i="1" s="1"/>
  <c r="Z95" i="1"/>
  <c r="AA95" i="1" s="1"/>
  <c r="Z96" i="1"/>
  <c r="AA96" i="1" s="1"/>
  <c r="Z97" i="1"/>
  <c r="AA97" i="1" s="1"/>
  <c r="Z98" i="1"/>
  <c r="AA98" i="1" s="1"/>
  <c r="Z99" i="1"/>
  <c r="AA99" i="1" s="1"/>
  <c r="Z100" i="1"/>
  <c r="AA100" i="1" s="1"/>
  <c r="Z101" i="1"/>
  <c r="AA101" i="1" s="1"/>
  <c r="Z102" i="1"/>
  <c r="AA102" i="1" s="1"/>
  <c r="Z103" i="1"/>
  <c r="AA103" i="1" s="1"/>
  <c r="Z104" i="1"/>
  <c r="AA104" i="1" s="1"/>
  <c r="Z105" i="1"/>
  <c r="AA105" i="1" s="1"/>
  <c r="Z106" i="1"/>
  <c r="AA106" i="1" s="1"/>
  <c r="Z107" i="1"/>
  <c r="AA107" i="1" s="1"/>
  <c r="Z108" i="1"/>
  <c r="AA108" i="1" s="1"/>
  <c r="Z109" i="1"/>
  <c r="AA109" i="1" s="1"/>
  <c r="Z110" i="1"/>
  <c r="AA110" i="1" s="1"/>
  <c r="Z111" i="1"/>
  <c r="AA111" i="1" s="1"/>
  <c r="Z112" i="1"/>
  <c r="AA112" i="1" s="1"/>
  <c r="Z113" i="1"/>
  <c r="AA113" i="1" s="1"/>
  <c r="Z114" i="1"/>
  <c r="AA114" i="1" s="1"/>
  <c r="Z115" i="1"/>
  <c r="AA115" i="1" s="1"/>
  <c r="Z116" i="1"/>
  <c r="AA116" i="1" s="1"/>
  <c r="Z117" i="1"/>
  <c r="AA117" i="1" s="1"/>
  <c r="Z118" i="1"/>
  <c r="AA118" i="1" s="1"/>
  <c r="Z119" i="1"/>
  <c r="AA119" i="1" s="1"/>
  <c r="Z120" i="1"/>
  <c r="AA120" i="1" s="1"/>
  <c r="Z121" i="1"/>
  <c r="AA121" i="1" s="1"/>
  <c r="Z122" i="1"/>
  <c r="AA122" i="1" s="1"/>
  <c r="Z123" i="1"/>
  <c r="AA123" i="1" s="1"/>
  <c r="Z124" i="1"/>
  <c r="AA124" i="1" s="1"/>
  <c r="Z125" i="1"/>
  <c r="AA125" i="1" s="1"/>
  <c r="Z126" i="1"/>
  <c r="AA126" i="1" s="1"/>
  <c r="Z127" i="1"/>
  <c r="AA127" i="1" s="1"/>
  <c r="Z128" i="1"/>
  <c r="AA128" i="1" s="1"/>
  <c r="Z129" i="1"/>
  <c r="AA129" i="1" s="1"/>
  <c r="Z130" i="1"/>
  <c r="AA130" i="1" s="1"/>
  <c r="Z131" i="1"/>
  <c r="AA131" i="1" s="1"/>
  <c r="Z132" i="1"/>
  <c r="AA132" i="1" s="1"/>
  <c r="Z133" i="1"/>
  <c r="AA133" i="1" s="1"/>
  <c r="Z134" i="1"/>
  <c r="AA134" i="1" s="1"/>
  <c r="Z135" i="1"/>
  <c r="AA135" i="1" s="1"/>
  <c r="Z136" i="1"/>
  <c r="AA136" i="1" s="1"/>
  <c r="Z137" i="1"/>
  <c r="AA137" i="1" s="1"/>
  <c r="Z138" i="1"/>
  <c r="AA138" i="1" s="1"/>
  <c r="Z139" i="1"/>
  <c r="AA139" i="1" s="1"/>
  <c r="Z140" i="1"/>
  <c r="AA140" i="1" s="1"/>
  <c r="Z141" i="1"/>
  <c r="AA141" i="1" s="1"/>
  <c r="Z142" i="1"/>
  <c r="AA142" i="1" s="1"/>
  <c r="Z143" i="1"/>
  <c r="AA143" i="1" s="1"/>
  <c r="Z144" i="1"/>
  <c r="AA144" i="1" s="1"/>
  <c r="Z145" i="1"/>
  <c r="AA145" i="1" s="1"/>
  <c r="Z146" i="1"/>
  <c r="AA146" i="1" s="1"/>
  <c r="Z147" i="1"/>
  <c r="AA147" i="1" s="1"/>
  <c r="Z148" i="1"/>
  <c r="AA148" i="1" s="1"/>
  <c r="Z149" i="1"/>
  <c r="AA149" i="1" s="1"/>
  <c r="Z150" i="1"/>
  <c r="AA150" i="1" s="1"/>
  <c r="Z151" i="1"/>
  <c r="AA151" i="1" s="1"/>
  <c r="Z152" i="1"/>
  <c r="AA152" i="1" s="1"/>
  <c r="Z153" i="1"/>
  <c r="AA153" i="1" s="1"/>
  <c r="Z154" i="1"/>
  <c r="AA154" i="1" s="1"/>
  <c r="Z155" i="1"/>
  <c r="AA155" i="1" s="1"/>
  <c r="Z156" i="1"/>
  <c r="AA156" i="1" s="1"/>
  <c r="Z157" i="1"/>
  <c r="AA157" i="1" s="1"/>
  <c r="Z158" i="1"/>
  <c r="AA158" i="1" s="1"/>
  <c r="Z159" i="1"/>
  <c r="AA159" i="1" s="1"/>
  <c r="Z160" i="1"/>
  <c r="AA160" i="1" s="1"/>
  <c r="Z161" i="1"/>
  <c r="AA161" i="1" s="1"/>
  <c r="Z162" i="1"/>
  <c r="AA162" i="1" s="1"/>
  <c r="Z163" i="1"/>
  <c r="AA163" i="1" s="1"/>
  <c r="Z164" i="1"/>
  <c r="AA164" i="1" s="1"/>
  <c r="Z165" i="1"/>
  <c r="AA165" i="1" s="1"/>
  <c r="Z166" i="1"/>
  <c r="AA166" i="1" s="1"/>
  <c r="Z167" i="1"/>
  <c r="AA167" i="1" s="1"/>
  <c r="Z168" i="1"/>
  <c r="AA168" i="1" s="1"/>
  <c r="Z169" i="1"/>
  <c r="AA169" i="1" s="1"/>
  <c r="Z170" i="1"/>
  <c r="AA170" i="1" s="1"/>
  <c r="Z171" i="1"/>
  <c r="AA171" i="1" s="1"/>
  <c r="Z172" i="1"/>
  <c r="AA172" i="1" s="1"/>
  <c r="Z173" i="1"/>
  <c r="AA173" i="1" s="1"/>
  <c r="Z174" i="1"/>
  <c r="AA174" i="1" s="1"/>
  <c r="Z175" i="1"/>
  <c r="AA175" i="1" s="1"/>
  <c r="Z176" i="1"/>
  <c r="AA176" i="1" s="1"/>
  <c r="Z177" i="1"/>
  <c r="AA177" i="1" s="1"/>
  <c r="Z178" i="1"/>
  <c r="AA178" i="1" s="1"/>
  <c r="Z179" i="1"/>
  <c r="AA179" i="1" s="1"/>
  <c r="Z180" i="1"/>
  <c r="AA180" i="1" s="1"/>
  <c r="Z181" i="1"/>
  <c r="AA181" i="1" s="1"/>
  <c r="Z182" i="1"/>
  <c r="AA182" i="1" s="1"/>
  <c r="Z183" i="1"/>
  <c r="AA183" i="1" s="1"/>
  <c r="Z184" i="1"/>
  <c r="AA184" i="1" s="1"/>
  <c r="Z185" i="1"/>
  <c r="AA185" i="1" s="1"/>
  <c r="Z186" i="1"/>
  <c r="AA186" i="1" s="1"/>
  <c r="Z187" i="1"/>
  <c r="AA187" i="1" s="1"/>
  <c r="Z188" i="1"/>
  <c r="AA188" i="1" s="1"/>
  <c r="Z189" i="1"/>
  <c r="AA189" i="1" s="1"/>
  <c r="Z190" i="1"/>
  <c r="AA190" i="1" s="1"/>
  <c r="Z191" i="1"/>
  <c r="AA191" i="1" s="1"/>
  <c r="Z192" i="1"/>
  <c r="AA192" i="1" s="1"/>
  <c r="Z193" i="1"/>
  <c r="AA193" i="1" s="1"/>
  <c r="Z194" i="1"/>
  <c r="AA194" i="1" s="1"/>
  <c r="Z195" i="1"/>
  <c r="AA195" i="1" s="1"/>
  <c r="Z196" i="1"/>
  <c r="AA196" i="1" s="1"/>
  <c r="Z197" i="1"/>
  <c r="AA197" i="1" s="1"/>
  <c r="Z198" i="1"/>
  <c r="AA198" i="1" s="1"/>
  <c r="Z199" i="1"/>
  <c r="AA199" i="1" s="1"/>
  <c r="Z200" i="1"/>
  <c r="AA200" i="1" s="1"/>
  <c r="Z201" i="1"/>
  <c r="AA201" i="1" s="1"/>
  <c r="Z202" i="1"/>
  <c r="AA202" i="1" s="1"/>
  <c r="Z203" i="1"/>
  <c r="AA203" i="1" s="1"/>
  <c r="Z204" i="1"/>
  <c r="AA204" i="1" s="1"/>
  <c r="Z205" i="1"/>
  <c r="AA205" i="1" s="1"/>
  <c r="Z206" i="1"/>
  <c r="AA206" i="1" s="1"/>
  <c r="Z207" i="1"/>
  <c r="AA207" i="1" s="1"/>
  <c r="Z208" i="1"/>
  <c r="AA208" i="1" s="1"/>
  <c r="Z209" i="1"/>
  <c r="AA209" i="1" s="1"/>
  <c r="Z210" i="1"/>
  <c r="AA210" i="1" s="1"/>
  <c r="Z211" i="1"/>
  <c r="AA211" i="1" s="1"/>
  <c r="Z212" i="1"/>
  <c r="AA212" i="1" s="1"/>
  <c r="Z213" i="1"/>
  <c r="AA213" i="1" s="1"/>
  <c r="Z214" i="1"/>
  <c r="AA214" i="1" s="1"/>
  <c r="Z215" i="1"/>
  <c r="AA215" i="1" s="1"/>
  <c r="Z216" i="1"/>
  <c r="AA216" i="1" s="1"/>
  <c r="Z217" i="1"/>
  <c r="AA217" i="1" s="1"/>
  <c r="Z218" i="1"/>
  <c r="AA218" i="1" s="1"/>
  <c r="Z219" i="1"/>
  <c r="AA219" i="1" s="1"/>
  <c r="Z220" i="1"/>
  <c r="AA220" i="1" s="1"/>
  <c r="Z221" i="1"/>
  <c r="AA221" i="1" s="1"/>
  <c r="Z222" i="1"/>
  <c r="AA222" i="1" s="1"/>
  <c r="Z223" i="1"/>
  <c r="AA223" i="1" s="1"/>
  <c r="Z224" i="1"/>
  <c r="AA224" i="1" s="1"/>
  <c r="Z225" i="1"/>
  <c r="AA225" i="1" s="1"/>
  <c r="Z226" i="1"/>
  <c r="AA226" i="1" s="1"/>
  <c r="Z227" i="1"/>
  <c r="AA227" i="1" s="1"/>
  <c r="Z228" i="1"/>
  <c r="AA228" i="1" s="1"/>
  <c r="Z229" i="1"/>
  <c r="AA229" i="1" s="1"/>
  <c r="Z230" i="1"/>
  <c r="AA230" i="1" s="1"/>
  <c r="Z231" i="1"/>
  <c r="AA231" i="1" s="1"/>
  <c r="Z232" i="1"/>
  <c r="AA232" i="1" s="1"/>
  <c r="Z233" i="1"/>
  <c r="AA233" i="1" s="1"/>
  <c r="Z234" i="1"/>
  <c r="AA234" i="1" s="1"/>
  <c r="Z235" i="1"/>
  <c r="AA235" i="1" s="1"/>
  <c r="Z236" i="1"/>
  <c r="AA236" i="1" s="1"/>
  <c r="Z237" i="1"/>
  <c r="AA237" i="1" s="1"/>
  <c r="Z238" i="1"/>
  <c r="AA238" i="1" s="1"/>
  <c r="Z239" i="1"/>
  <c r="AA239" i="1" s="1"/>
  <c r="Z240" i="1"/>
  <c r="AA240" i="1" s="1"/>
  <c r="Z241" i="1"/>
  <c r="AA241" i="1" s="1"/>
  <c r="Z242" i="1"/>
  <c r="AA242" i="1" s="1"/>
  <c r="Z243" i="1"/>
  <c r="AA243" i="1" s="1"/>
  <c r="Z244" i="1"/>
  <c r="AA244" i="1" s="1"/>
  <c r="Z245" i="1"/>
  <c r="AA245" i="1" s="1"/>
  <c r="Z246" i="1"/>
  <c r="AA246" i="1" s="1"/>
  <c r="Z247" i="1"/>
  <c r="AA247" i="1" s="1"/>
  <c r="Z248" i="1"/>
  <c r="AA248" i="1" s="1"/>
  <c r="Z249" i="1"/>
  <c r="AA249" i="1" s="1"/>
  <c r="Z250" i="1"/>
  <c r="AA250" i="1" s="1"/>
  <c r="Z251" i="1"/>
  <c r="AA251" i="1" s="1"/>
  <c r="Z252" i="1"/>
  <c r="AA252" i="1" s="1"/>
  <c r="Z253" i="1"/>
  <c r="AA253" i="1" s="1"/>
  <c r="Z254" i="1"/>
  <c r="AA254" i="1" s="1"/>
  <c r="Z255" i="1"/>
  <c r="AA255" i="1" s="1"/>
  <c r="Z256" i="1"/>
  <c r="AA256" i="1" s="1"/>
  <c r="Z257" i="1"/>
  <c r="AA257" i="1" s="1"/>
  <c r="Z258" i="1"/>
  <c r="AA258" i="1" s="1"/>
  <c r="Z259" i="1"/>
  <c r="AA259" i="1" s="1"/>
  <c r="Z260" i="1"/>
  <c r="AA260" i="1" s="1"/>
  <c r="Z261" i="1"/>
  <c r="AA261" i="1" s="1"/>
  <c r="Z262" i="1"/>
  <c r="AA262" i="1" s="1"/>
  <c r="Z263" i="1"/>
  <c r="AA263" i="1" s="1"/>
  <c r="Z264" i="1"/>
  <c r="AA264" i="1" s="1"/>
  <c r="Z265" i="1"/>
  <c r="AA265" i="1" s="1"/>
  <c r="Z266" i="1"/>
  <c r="AA266" i="1" s="1"/>
  <c r="Z267" i="1"/>
  <c r="AA267" i="1" s="1"/>
  <c r="Z268" i="1"/>
  <c r="AA268" i="1" s="1"/>
  <c r="Z269" i="1"/>
  <c r="AA269" i="1" s="1"/>
  <c r="Z270" i="1"/>
  <c r="AA270" i="1" s="1"/>
  <c r="Z271" i="1"/>
  <c r="AA271" i="1" s="1"/>
  <c r="Z272" i="1"/>
  <c r="AA272" i="1" s="1"/>
  <c r="Z273" i="1"/>
  <c r="AA273" i="1" s="1"/>
  <c r="Z274" i="1"/>
  <c r="AA274" i="1" s="1"/>
  <c r="Z275" i="1"/>
  <c r="AA275" i="1" s="1"/>
  <c r="Z276" i="1"/>
  <c r="AA276" i="1" s="1"/>
  <c r="Z277" i="1"/>
  <c r="AA277" i="1" s="1"/>
  <c r="Z278" i="1"/>
  <c r="AA278" i="1" s="1"/>
  <c r="Z279" i="1"/>
  <c r="AA279" i="1" s="1"/>
  <c r="Z280" i="1"/>
  <c r="AA280" i="1" s="1"/>
  <c r="Z281" i="1"/>
  <c r="AA281" i="1" s="1"/>
  <c r="Z282" i="1"/>
  <c r="AA282" i="1" s="1"/>
  <c r="Z283" i="1"/>
  <c r="AA283" i="1" s="1"/>
  <c r="Z284" i="1"/>
  <c r="AA284" i="1" s="1"/>
  <c r="Z285" i="1"/>
  <c r="AA285" i="1" s="1"/>
  <c r="Z286" i="1"/>
  <c r="AA286" i="1" s="1"/>
  <c r="Z287" i="1"/>
  <c r="AA287" i="1" s="1"/>
  <c r="Z288" i="1"/>
  <c r="AA288" i="1" s="1"/>
  <c r="Z289" i="1"/>
  <c r="AA289" i="1" s="1"/>
  <c r="Z290" i="1"/>
  <c r="AA290" i="1" s="1"/>
  <c r="Z291" i="1"/>
  <c r="AA291" i="1" s="1"/>
  <c r="Z292" i="1"/>
  <c r="AA292" i="1" s="1"/>
  <c r="Z293" i="1"/>
  <c r="AA293" i="1" s="1"/>
  <c r="Z294" i="1"/>
  <c r="AA294" i="1" s="1"/>
  <c r="Z295" i="1"/>
  <c r="AA295" i="1" s="1"/>
  <c r="Z296" i="1"/>
  <c r="AA296" i="1" s="1"/>
  <c r="Z297" i="1"/>
  <c r="AA297" i="1" s="1"/>
  <c r="Z298" i="1"/>
  <c r="AA298" i="1" s="1"/>
  <c r="Z299" i="1"/>
  <c r="AA299" i="1" s="1"/>
  <c r="Z300" i="1"/>
  <c r="AA300" i="1" s="1"/>
  <c r="Z301" i="1"/>
  <c r="AA301" i="1" s="1"/>
  <c r="Z302" i="1"/>
  <c r="AA302" i="1" s="1"/>
  <c r="Z303" i="1"/>
  <c r="AA303" i="1" s="1"/>
  <c r="Z304" i="1"/>
  <c r="AA304" i="1" s="1"/>
  <c r="Z305" i="1"/>
  <c r="AA305" i="1" s="1"/>
  <c r="Z306" i="1"/>
  <c r="AA306" i="1" s="1"/>
  <c r="Z307" i="1"/>
  <c r="AA307" i="1" s="1"/>
  <c r="Z308" i="1"/>
  <c r="AA308" i="1" s="1"/>
  <c r="Z309" i="1"/>
  <c r="AA309" i="1" s="1"/>
  <c r="Z310" i="1"/>
  <c r="AA310" i="1" s="1"/>
  <c r="Z311" i="1"/>
  <c r="AA311" i="1" s="1"/>
  <c r="Z312" i="1"/>
  <c r="AA312" i="1" s="1"/>
  <c r="Z313" i="1"/>
  <c r="AA313" i="1" s="1"/>
  <c r="Z314" i="1"/>
  <c r="AA314" i="1" s="1"/>
  <c r="Z315" i="1"/>
  <c r="AA315" i="1" s="1"/>
  <c r="Z316" i="1"/>
  <c r="AA316" i="1" s="1"/>
  <c r="Z317" i="1"/>
  <c r="AA317" i="1" s="1"/>
  <c r="Z318" i="1"/>
  <c r="AA318" i="1" s="1"/>
  <c r="Z319" i="1"/>
  <c r="AA319" i="1" s="1"/>
  <c r="Z320" i="1"/>
  <c r="AA320" i="1" s="1"/>
  <c r="Z321" i="1"/>
  <c r="AA321" i="1" s="1"/>
  <c r="Z322" i="1"/>
  <c r="AA322" i="1" s="1"/>
  <c r="Z323" i="1"/>
  <c r="AA323" i="1" s="1"/>
  <c r="Z324" i="1"/>
  <c r="AA324" i="1" s="1"/>
  <c r="Z325" i="1"/>
  <c r="AA325" i="1" s="1"/>
  <c r="Z326" i="1"/>
  <c r="AA326" i="1" s="1"/>
  <c r="Z327" i="1"/>
  <c r="AA327" i="1" s="1"/>
  <c r="Z328" i="1"/>
  <c r="AA328" i="1" s="1"/>
  <c r="Z329" i="1"/>
  <c r="AA329" i="1" s="1"/>
  <c r="Z330" i="1"/>
  <c r="AA330" i="1" s="1"/>
  <c r="Z331" i="1"/>
  <c r="AA331" i="1" s="1"/>
  <c r="Z332" i="1"/>
  <c r="AA332" i="1" s="1"/>
  <c r="Z333" i="1"/>
  <c r="AA333" i="1" s="1"/>
  <c r="Z334" i="1"/>
  <c r="AA334" i="1" s="1"/>
  <c r="Z335" i="1"/>
  <c r="AA335" i="1" s="1"/>
  <c r="Z336" i="1"/>
  <c r="AA336" i="1" s="1"/>
  <c r="Z337" i="1"/>
  <c r="AA337" i="1" s="1"/>
  <c r="Z338" i="1"/>
  <c r="AA338" i="1" s="1"/>
  <c r="Z339" i="1"/>
  <c r="AA339" i="1" s="1"/>
  <c r="Z340" i="1"/>
  <c r="AA340" i="1" s="1"/>
  <c r="Z341" i="1"/>
  <c r="AA341" i="1" s="1"/>
  <c r="Z342" i="1"/>
  <c r="AA342" i="1" s="1"/>
  <c r="Z343" i="1"/>
  <c r="AA343" i="1" s="1"/>
  <c r="Z344" i="1"/>
  <c r="AA344" i="1" s="1"/>
  <c r="Z345" i="1"/>
  <c r="AA345" i="1" s="1"/>
  <c r="Z346" i="1"/>
  <c r="AA346" i="1" s="1"/>
  <c r="Z347" i="1"/>
  <c r="AA347" i="1" s="1"/>
  <c r="Z348" i="1"/>
  <c r="AA348" i="1" s="1"/>
  <c r="Z349" i="1"/>
  <c r="AA349" i="1" s="1"/>
  <c r="Z350" i="1"/>
  <c r="AA350" i="1" s="1"/>
  <c r="Z351" i="1"/>
  <c r="AA351" i="1" s="1"/>
  <c r="Z352" i="1"/>
  <c r="AA352" i="1" s="1"/>
  <c r="Z353" i="1"/>
  <c r="AA353" i="1" s="1"/>
  <c r="Z354" i="1"/>
  <c r="AA354" i="1" s="1"/>
  <c r="Z355" i="1"/>
  <c r="AA355" i="1" s="1"/>
  <c r="Z356" i="1"/>
  <c r="AA356" i="1" s="1"/>
  <c r="Z357" i="1"/>
  <c r="AA357" i="1" s="1"/>
  <c r="Z358" i="1"/>
  <c r="AA358" i="1" s="1"/>
  <c r="Z359" i="1"/>
  <c r="AA359" i="1" s="1"/>
  <c r="Z360" i="1"/>
  <c r="AA360" i="1" s="1"/>
  <c r="Z361" i="1"/>
  <c r="AA361" i="1" s="1"/>
  <c r="Z362" i="1"/>
  <c r="AA362" i="1" s="1"/>
  <c r="Z363" i="1"/>
  <c r="AA363" i="1" s="1"/>
  <c r="Z364" i="1"/>
  <c r="AA364" i="1" s="1"/>
  <c r="Z365" i="1"/>
  <c r="AA365" i="1" s="1"/>
  <c r="Z366" i="1"/>
  <c r="AA366" i="1" s="1"/>
  <c r="Z367" i="1"/>
  <c r="AA367" i="1" s="1"/>
  <c r="Z368" i="1"/>
  <c r="AA368" i="1" s="1"/>
  <c r="Z369" i="1"/>
  <c r="AA369" i="1" s="1"/>
  <c r="Z370" i="1"/>
  <c r="AA370" i="1" s="1"/>
  <c r="Z371" i="1"/>
  <c r="AA371" i="1" s="1"/>
  <c r="Z372" i="1"/>
  <c r="AA372" i="1" s="1"/>
  <c r="Z373" i="1"/>
  <c r="AA373" i="1" s="1"/>
  <c r="Z374" i="1"/>
  <c r="AA374" i="1" s="1"/>
  <c r="Z375" i="1"/>
  <c r="AA375" i="1" s="1"/>
  <c r="Z376" i="1"/>
  <c r="AA376" i="1" s="1"/>
  <c r="Z377" i="1"/>
  <c r="AA377" i="1" s="1"/>
  <c r="Z378" i="1"/>
  <c r="AA378" i="1" s="1"/>
  <c r="Z379" i="1"/>
  <c r="AA379" i="1" s="1"/>
  <c r="Z380" i="1"/>
  <c r="AA380" i="1" s="1"/>
  <c r="Z381" i="1"/>
  <c r="AA381" i="1" s="1"/>
  <c r="Z382" i="1"/>
  <c r="AA382" i="1" s="1"/>
  <c r="Z383" i="1"/>
  <c r="AA383" i="1" s="1"/>
  <c r="Z384" i="1"/>
  <c r="AA384" i="1" s="1"/>
  <c r="Z385" i="1"/>
  <c r="AA385" i="1" s="1"/>
  <c r="Z386" i="1"/>
  <c r="AA386" i="1" s="1"/>
  <c r="Z387" i="1"/>
  <c r="AA387" i="1" s="1"/>
  <c r="Z388" i="1"/>
  <c r="AA388" i="1" s="1"/>
  <c r="Z389" i="1"/>
  <c r="AA389" i="1" s="1"/>
  <c r="Z390" i="1"/>
  <c r="AA390" i="1" s="1"/>
  <c r="Z391" i="1"/>
  <c r="AA391" i="1" s="1"/>
  <c r="Z392" i="1"/>
  <c r="AA392" i="1" s="1"/>
  <c r="Z393" i="1"/>
  <c r="AA393" i="1" s="1"/>
  <c r="Z394" i="1"/>
  <c r="AA394" i="1" s="1"/>
  <c r="Z395" i="1"/>
  <c r="AA395" i="1" s="1"/>
  <c r="Z396" i="1"/>
  <c r="AA396" i="1" s="1"/>
  <c r="Z397" i="1"/>
  <c r="AA397" i="1" s="1"/>
  <c r="Z398" i="1"/>
  <c r="AA398" i="1" s="1"/>
  <c r="Z399" i="1"/>
  <c r="AA399" i="1" s="1"/>
  <c r="Z400" i="1"/>
  <c r="AA400" i="1" s="1"/>
  <c r="Z401" i="1"/>
  <c r="AA401" i="1" s="1"/>
  <c r="Z402" i="1"/>
  <c r="AA402" i="1" s="1"/>
  <c r="Z403" i="1"/>
  <c r="AA403" i="1" s="1"/>
  <c r="Z404" i="1"/>
  <c r="AA404" i="1" s="1"/>
  <c r="Z405" i="1"/>
  <c r="AA405" i="1" s="1"/>
  <c r="Z406" i="1"/>
  <c r="AA406" i="1" s="1"/>
  <c r="Z407" i="1"/>
  <c r="AA407" i="1" s="1"/>
  <c r="Z408" i="1"/>
  <c r="AA408" i="1" s="1"/>
  <c r="Z409" i="1"/>
  <c r="AA409" i="1" s="1"/>
  <c r="Z410" i="1"/>
  <c r="AA410" i="1" s="1"/>
  <c r="Z411" i="1"/>
  <c r="AA411" i="1" s="1"/>
  <c r="Z412" i="1"/>
  <c r="AA412" i="1" s="1"/>
  <c r="Z413" i="1"/>
  <c r="AA413" i="1" s="1"/>
  <c r="Z414" i="1"/>
  <c r="AA414" i="1" s="1"/>
  <c r="Z415" i="1"/>
  <c r="AA415" i="1" s="1"/>
  <c r="Z416" i="1"/>
  <c r="AA416" i="1" s="1"/>
  <c r="Z417" i="1"/>
  <c r="AA417" i="1" s="1"/>
  <c r="Z418" i="1"/>
  <c r="AA418" i="1" s="1"/>
  <c r="Z419" i="1"/>
  <c r="AA419" i="1" s="1"/>
  <c r="Z420" i="1"/>
  <c r="AA420" i="1" s="1"/>
  <c r="Z421" i="1"/>
  <c r="AA421" i="1" s="1"/>
  <c r="Z422" i="1"/>
  <c r="AA422" i="1" s="1"/>
  <c r="Z423" i="1"/>
  <c r="AA423" i="1" s="1"/>
  <c r="Z424" i="1"/>
  <c r="AA424" i="1" s="1"/>
  <c r="Z425" i="1"/>
  <c r="AA425" i="1" s="1"/>
  <c r="Z426" i="1"/>
  <c r="AA426" i="1" s="1"/>
  <c r="Z427" i="1"/>
  <c r="AA427" i="1" s="1"/>
  <c r="Z428" i="1"/>
  <c r="AA428" i="1" s="1"/>
  <c r="Z429" i="1"/>
  <c r="AA429" i="1" s="1"/>
  <c r="Z430" i="1"/>
  <c r="AA430" i="1" s="1"/>
  <c r="Z431" i="1"/>
  <c r="AA431" i="1" s="1"/>
  <c r="Z432" i="1"/>
  <c r="AA432" i="1" s="1"/>
  <c r="Z433" i="1"/>
  <c r="AA433" i="1" s="1"/>
  <c r="Z434" i="1"/>
  <c r="AA434" i="1" s="1"/>
  <c r="Z435" i="1"/>
  <c r="AA435" i="1" s="1"/>
  <c r="Z436" i="1"/>
  <c r="AA436" i="1" s="1"/>
  <c r="Z437" i="1"/>
  <c r="AA437" i="1" s="1"/>
  <c r="Z438" i="1"/>
  <c r="AA438" i="1" s="1"/>
  <c r="Z439" i="1"/>
  <c r="AA439" i="1" s="1"/>
  <c r="Z440" i="1"/>
  <c r="AA440" i="1" s="1"/>
  <c r="Z441" i="1"/>
  <c r="AA441" i="1" s="1"/>
  <c r="Z442" i="1"/>
  <c r="AA442" i="1" s="1"/>
  <c r="Z443" i="1"/>
  <c r="AA443" i="1" s="1"/>
  <c r="Z444" i="1"/>
  <c r="AA444" i="1" s="1"/>
  <c r="Z445" i="1"/>
  <c r="AA445" i="1" s="1"/>
  <c r="Z446" i="1"/>
  <c r="AA446" i="1" s="1"/>
  <c r="Z447" i="1"/>
  <c r="AA447" i="1" s="1"/>
  <c r="Z448" i="1"/>
  <c r="AA448" i="1" s="1"/>
  <c r="Z449" i="1"/>
  <c r="AA449" i="1" s="1"/>
  <c r="Z450" i="1"/>
  <c r="AA450" i="1" s="1"/>
  <c r="Z451" i="1"/>
  <c r="AA451" i="1" s="1"/>
  <c r="Z452" i="1"/>
  <c r="AA452" i="1" s="1"/>
  <c r="Z453" i="1"/>
  <c r="AA453" i="1" s="1"/>
  <c r="Z454" i="1"/>
  <c r="AA454" i="1" s="1"/>
  <c r="Z455" i="1"/>
  <c r="AA455" i="1" s="1"/>
  <c r="Z456" i="1"/>
  <c r="AA456" i="1" s="1"/>
  <c r="Z457" i="1"/>
  <c r="AA457" i="1" s="1"/>
  <c r="Z458" i="1"/>
  <c r="AA458" i="1" s="1"/>
  <c r="Z459" i="1"/>
  <c r="AA459" i="1" s="1"/>
  <c r="Z460" i="1"/>
  <c r="AA460" i="1" s="1"/>
  <c r="Z461" i="1"/>
  <c r="AA461" i="1" s="1"/>
  <c r="Z462" i="1"/>
  <c r="AA462" i="1" s="1"/>
  <c r="Z463" i="1"/>
  <c r="AA463" i="1" s="1"/>
  <c r="Z464" i="1"/>
  <c r="AA464" i="1" s="1"/>
  <c r="Z465" i="1"/>
  <c r="AA465" i="1" s="1"/>
  <c r="Z466" i="1"/>
  <c r="AA466" i="1" s="1"/>
  <c r="Z467" i="1"/>
  <c r="AA467" i="1" s="1"/>
  <c r="Z468" i="1"/>
  <c r="AA468" i="1" s="1"/>
  <c r="Z469" i="1"/>
  <c r="AA469" i="1" s="1"/>
  <c r="Z470" i="1"/>
  <c r="AA470" i="1" s="1"/>
  <c r="Z471" i="1"/>
  <c r="AA471" i="1" s="1"/>
  <c r="Z472" i="1"/>
  <c r="AA472" i="1" s="1"/>
  <c r="Z473" i="1"/>
  <c r="AA473" i="1" s="1"/>
  <c r="Z474" i="1"/>
  <c r="AA474" i="1" s="1"/>
  <c r="Z475" i="1"/>
  <c r="AA475" i="1" s="1"/>
  <c r="Z476" i="1"/>
  <c r="AA476" i="1" s="1"/>
  <c r="Z477" i="1"/>
  <c r="AA477" i="1" s="1"/>
  <c r="Z478" i="1"/>
  <c r="AA478" i="1" s="1"/>
  <c r="Z479" i="1"/>
  <c r="AA479" i="1" s="1"/>
  <c r="Z480" i="1"/>
  <c r="AA480" i="1" s="1"/>
  <c r="Z481" i="1"/>
  <c r="AA481" i="1" s="1"/>
  <c r="Z482" i="1"/>
  <c r="AA482" i="1" s="1"/>
  <c r="Z483" i="1"/>
  <c r="AA483" i="1" s="1"/>
  <c r="Z484" i="1"/>
  <c r="AA484" i="1" s="1"/>
  <c r="Z485" i="1"/>
  <c r="AA485" i="1" s="1"/>
  <c r="Z486" i="1"/>
  <c r="AA486" i="1" s="1"/>
  <c r="Z487" i="1"/>
  <c r="AA487" i="1" s="1"/>
  <c r="Z488" i="1"/>
  <c r="AA488" i="1" s="1"/>
  <c r="Z489" i="1"/>
  <c r="AA489" i="1" s="1"/>
  <c r="Z490" i="1"/>
  <c r="AA490" i="1" s="1"/>
  <c r="Z491" i="1"/>
  <c r="AA491" i="1" s="1"/>
  <c r="Z492" i="1"/>
  <c r="AA492" i="1" s="1"/>
  <c r="Z493" i="1"/>
  <c r="AA493" i="1" s="1"/>
  <c r="Z494" i="1"/>
  <c r="AA494" i="1" s="1"/>
  <c r="Z495" i="1"/>
  <c r="AA495" i="1" s="1"/>
  <c r="Z496" i="1"/>
  <c r="AA496" i="1" s="1"/>
  <c r="Z497" i="1"/>
  <c r="AA497" i="1" s="1"/>
  <c r="Z498" i="1"/>
  <c r="AA498" i="1" s="1"/>
  <c r="Z499" i="1"/>
  <c r="AA499" i="1" s="1"/>
  <c r="Z500" i="1"/>
  <c r="AA500" i="1" s="1"/>
  <c r="Z501" i="1"/>
  <c r="AA501" i="1" s="1"/>
  <c r="Z502" i="1"/>
  <c r="AA502" i="1" s="1"/>
  <c r="Z503" i="1"/>
  <c r="AA503" i="1" s="1"/>
  <c r="Z504" i="1"/>
  <c r="AA504" i="1" s="1"/>
  <c r="Z505" i="1"/>
  <c r="AA505" i="1" s="1"/>
  <c r="Z506" i="1"/>
  <c r="AA506" i="1" s="1"/>
  <c r="Z507" i="1"/>
  <c r="AA507" i="1" s="1"/>
  <c r="Z508" i="1"/>
  <c r="AA508" i="1" s="1"/>
  <c r="Z509" i="1"/>
  <c r="AA509" i="1" s="1"/>
  <c r="Z510" i="1"/>
  <c r="AA510" i="1" s="1"/>
  <c r="Z511" i="1"/>
  <c r="AA511" i="1" s="1"/>
  <c r="Z512" i="1"/>
  <c r="AA512" i="1" s="1"/>
  <c r="Z513" i="1"/>
  <c r="AA513" i="1" s="1"/>
  <c r="Z514" i="1"/>
  <c r="AA514" i="1" s="1"/>
  <c r="Z515" i="1"/>
  <c r="AA515" i="1" s="1"/>
  <c r="Z516" i="1"/>
  <c r="AA516" i="1" s="1"/>
  <c r="Z517" i="1"/>
  <c r="AA517" i="1" s="1"/>
  <c r="Z518" i="1"/>
  <c r="AA518" i="1" s="1"/>
  <c r="Z519" i="1"/>
  <c r="AA519" i="1" s="1"/>
  <c r="Z520" i="1"/>
  <c r="AA520" i="1" s="1"/>
  <c r="Z521" i="1"/>
  <c r="AA521" i="1" s="1"/>
  <c r="Z522" i="1"/>
  <c r="AA522" i="1" s="1"/>
  <c r="Z523" i="1"/>
  <c r="AA523" i="1" s="1"/>
  <c r="Z524" i="1"/>
  <c r="AA524" i="1" s="1"/>
  <c r="Z525" i="1"/>
  <c r="AA525" i="1" s="1"/>
  <c r="Z526" i="1"/>
  <c r="AA526" i="1" s="1"/>
  <c r="Z527" i="1"/>
  <c r="AA527" i="1" s="1"/>
  <c r="Z528" i="1"/>
  <c r="AA528" i="1" s="1"/>
  <c r="Z529" i="1"/>
  <c r="AA529" i="1" s="1"/>
  <c r="Z530" i="1"/>
  <c r="AA530" i="1" s="1"/>
  <c r="Z531" i="1"/>
  <c r="AA531" i="1" s="1"/>
  <c r="Z532" i="1"/>
  <c r="AA532" i="1" s="1"/>
  <c r="Z533" i="1"/>
  <c r="AA533" i="1" s="1"/>
  <c r="Z534" i="1"/>
  <c r="AA534" i="1" s="1"/>
  <c r="Z535" i="1"/>
  <c r="AA535" i="1" s="1"/>
  <c r="Z536" i="1"/>
  <c r="AA536" i="1" s="1"/>
  <c r="Z537" i="1"/>
  <c r="AA537" i="1" s="1"/>
  <c r="Z538" i="1"/>
  <c r="AA538" i="1" s="1"/>
  <c r="Z539" i="1"/>
  <c r="AA539" i="1" s="1"/>
  <c r="Z540" i="1"/>
  <c r="AA540" i="1" s="1"/>
  <c r="Z541" i="1"/>
  <c r="AA541" i="1" s="1"/>
  <c r="Z542" i="1"/>
  <c r="AA542" i="1" s="1"/>
  <c r="Z543" i="1"/>
  <c r="AA543" i="1" s="1"/>
  <c r="Z544" i="1"/>
  <c r="AA544" i="1" s="1"/>
  <c r="Z545" i="1"/>
  <c r="AA545" i="1" s="1"/>
  <c r="Z546" i="1"/>
  <c r="AA546" i="1" s="1"/>
  <c r="Z547" i="1"/>
  <c r="AA547" i="1" s="1"/>
  <c r="Z548" i="1"/>
  <c r="AA548" i="1" s="1"/>
  <c r="Z549" i="1"/>
  <c r="AA549" i="1" s="1"/>
  <c r="Z550" i="1"/>
  <c r="AA550" i="1" s="1"/>
  <c r="Z551" i="1"/>
  <c r="AA551" i="1" s="1"/>
  <c r="Z552" i="1"/>
  <c r="AA552" i="1" s="1"/>
  <c r="Z553" i="1"/>
  <c r="AA553" i="1" s="1"/>
  <c r="Z554" i="1"/>
  <c r="AA554" i="1" s="1"/>
  <c r="Z555" i="1"/>
  <c r="AA555" i="1" s="1"/>
  <c r="Z556" i="1"/>
  <c r="AA556" i="1" s="1"/>
  <c r="Z557" i="1"/>
  <c r="AA557" i="1" s="1"/>
  <c r="Z558" i="1"/>
  <c r="AA558" i="1" s="1"/>
  <c r="Z559" i="1"/>
  <c r="AA559" i="1" s="1"/>
  <c r="Z560" i="1"/>
  <c r="AA560" i="1" s="1"/>
  <c r="Z561" i="1"/>
  <c r="AA561" i="1" s="1"/>
  <c r="Z562" i="1"/>
  <c r="AA562" i="1" s="1"/>
  <c r="Z563" i="1"/>
  <c r="AA563" i="1" s="1"/>
  <c r="Z564" i="1"/>
  <c r="AA564" i="1" s="1"/>
  <c r="Z565" i="1"/>
  <c r="AA565" i="1" s="1"/>
  <c r="Z566" i="1"/>
  <c r="AA566" i="1" s="1"/>
  <c r="Z567" i="1"/>
  <c r="AA567" i="1" s="1"/>
  <c r="Z568" i="1"/>
  <c r="AA568" i="1" s="1"/>
  <c r="Z569" i="1"/>
  <c r="AA569" i="1" s="1"/>
  <c r="Z570" i="1"/>
  <c r="AA570" i="1" s="1"/>
  <c r="Z571" i="1"/>
  <c r="AA571" i="1" s="1"/>
  <c r="Z572" i="1"/>
  <c r="AA572" i="1" s="1"/>
  <c r="Z573" i="1"/>
  <c r="AA573" i="1" s="1"/>
  <c r="Z574" i="1"/>
  <c r="AA574" i="1" s="1"/>
  <c r="Z575" i="1"/>
  <c r="AA575" i="1" s="1"/>
  <c r="Z576" i="1"/>
  <c r="AA576" i="1" s="1"/>
  <c r="Z577" i="1"/>
  <c r="AA577" i="1" s="1"/>
  <c r="Z578" i="1"/>
  <c r="AA578" i="1" s="1"/>
  <c r="Z579" i="1"/>
  <c r="AA579" i="1" s="1"/>
  <c r="Z580" i="1"/>
  <c r="AA580" i="1" s="1"/>
  <c r="Z581" i="1"/>
  <c r="AA581" i="1" s="1"/>
  <c r="Z582" i="1"/>
  <c r="AA582" i="1" s="1"/>
  <c r="Z583" i="1"/>
  <c r="AA583" i="1" s="1"/>
  <c r="Z584" i="1"/>
  <c r="AA584" i="1" s="1"/>
  <c r="Z585" i="1"/>
  <c r="AA585" i="1" s="1"/>
  <c r="Z586" i="1"/>
  <c r="AA586" i="1" s="1"/>
  <c r="Z587" i="1"/>
  <c r="AA587" i="1" s="1"/>
  <c r="Z588" i="1"/>
  <c r="AA588" i="1" s="1"/>
  <c r="Z589" i="1"/>
  <c r="AA589" i="1" s="1"/>
  <c r="Z590" i="1"/>
  <c r="AA590" i="1" s="1"/>
  <c r="Z591" i="1"/>
  <c r="AA591" i="1" s="1"/>
  <c r="Z592" i="1"/>
  <c r="AA592" i="1" s="1"/>
  <c r="Z593" i="1"/>
  <c r="AA593" i="1" s="1"/>
  <c r="Z594" i="1"/>
  <c r="AA594" i="1" s="1"/>
  <c r="Z595" i="1"/>
  <c r="AA595" i="1" s="1"/>
  <c r="Z596" i="1"/>
  <c r="AA596" i="1" s="1"/>
  <c r="Z597" i="1"/>
  <c r="AA597" i="1" s="1"/>
  <c r="Z598" i="1"/>
  <c r="AA598" i="1" s="1"/>
  <c r="Z599" i="1"/>
  <c r="AA599" i="1" s="1"/>
  <c r="Z600" i="1"/>
  <c r="AA600" i="1" s="1"/>
  <c r="Z601" i="1"/>
  <c r="AA601" i="1" s="1"/>
  <c r="Z602" i="1"/>
  <c r="AA602" i="1" s="1"/>
  <c r="Z603" i="1"/>
  <c r="AA603" i="1" s="1"/>
  <c r="Z604" i="1"/>
  <c r="AA604" i="1" s="1"/>
  <c r="Z605" i="1"/>
  <c r="AA605" i="1" s="1"/>
  <c r="Z606" i="1"/>
  <c r="AA606" i="1" s="1"/>
  <c r="Z607" i="1"/>
  <c r="AA607" i="1" s="1"/>
  <c r="Z608" i="1"/>
  <c r="AA608" i="1" s="1"/>
  <c r="Z609" i="1"/>
  <c r="AA609" i="1" s="1"/>
  <c r="Z610" i="1"/>
  <c r="AA610" i="1" s="1"/>
  <c r="Z611" i="1"/>
  <c r="AA611" i="1" s="1"/>
  <c r="Z612" i="1"/>
  <c r="AA612" i="1" s="1"/>
  <c r="Z613" i="1"/>
  <c r="AA613" i="1" s="1"/>
  <c r="Z614" i="1"/>
  <c r="AA614" i="1" s="1"/>
  <c r="Z615" i="1"/>
  <c r="AA615" i="1" s="1"/>
  <c r="Z616" i="1"/>
  <c r="AA616" i="1" s="1"/>
  <c r="Z617" i="1"/>
  <c r="AA617" i="1" s="1"/>
  <c r="Z618" i="1"/>
  <c r="AA618" i="1" s="1"/>
  <c r="Z619" i="1"/>
  <c r="AA619" i="1" s="1"/>
  <c r="Z620" i="1"/>
  <c r="AA620" i="1" s="1"/>
  <c r="Z621" i="1"/>
  <c r="AA621" i="1" s="1"/>
  <c r="Z622" i="1"/>
  <c r="AA622" i="1" s="1"/>
  <c r="Z623" i="1"/>
  <c r="AA623" i="1" s="1"/>
  <c r="Z624" i="1"/>
  <c r="AA624" i="1" s="1"/>
  <c r="Z625" i="1"/>
  <c r="AA625" i="1" s="1"/>
  <c r="Z626" i="1"/>
  <c r="AA626" i="1" s="1"/>
  <c r="Z627" i="1"/>
  <c r="AA627" i="1" s="1"/>
  <c r="Z628" i="1"/>
  <c r="AA628" i="1" s="1"/>
  <c r="Z629" i="1"/>
  <c r="AA629" i="1" s="1"/>
  <c r="Z630" i="1"/>
  <c r="AA630" i="1" s="1"/>
  <c r="Z631" i="1"/>
  <c r="AA631" i="1" s="1"/>
  <c r="Z632" i="1"/>
  <c r="AA632" i="1" s="1"/>
  <c r="V3" i="1"/>
  <c r="V4" i="1"/>
  <c r="W4" i="1" s="1"/>
  <c r="V5" i="1"/>
  <c r="W5" i="1" s="1"/>
  <c r="AE5" i="1" s="1"/>
  <c r="V6" i="1"/>
  <c r="W6" i="1" s="1"/>
  <c r="AE6" i="1" s="1"/>
  <c r="V7" i="1"/>
  <c r="W7" i="1" s="1"/>
  <c r="AE7" i="1" s="1"/>
  <c r="V8" i="1"/>
  <c r="W8" i="1" s="1"/>
  <c r="V9" i="1"/>
  <c r="W9" i="1" s="1"/>
  <c r="AE9" i="1" s="1"/>
  <c r="V10" i="1"/>
  <c r="W10" i="1" s="1"/>
  <c r="AE10" i="1" s="1"/>
  <c r="V11" i="1"/>
  <c r="W11" i="1" s="1"/>
  <c r="AE11" i="1" s="1"/>
  <c r="V12" i="1"/>
  <c r="W12" i="1" s="1"/>
  <c r="V13" i="1"/>
  <c r="W13" i="1" s="1"/>
  <c r="AE13" i="1" s="1"/>
  <c r="V14" i="1"/>
  <c r="W14" i="1" s="1"/>
  <c r="AE14" i="1" s="1"/>
  <c r="V15" i="1"/>
  <c r="W15" i="1" s="1"/>
  <c r="AE15" i="1" s="1"/>
  <c r="V16" i="1"/>
  <c r="W16" i="1" s="1"/>
  <c r="V17" i="1"/>
  <c r="W17" i="1" s="1"/>
  <c r="AE17" i="1" s="1"/>
  <c r="V18" i="1"/>
  <c r="W18" i="1" s="1"/>
  <c r="AE18" i="1" s="1"/>
  <c r="V19" i="1"/>
  <c r="W19" i="1" s="1"/>
  <c r="AE19" i="1" s="1"/>
  <c r="V20" i="1"/>
  <c r="W20" i="1" s="1"/>
  <c r="V21" i="1"/>
  <c r="W21" i="1" s="1"/>
  <c r="AE21" i="1" s="1"/>
  <c r="V22" i="1"/>
  <c r="W22" i="1" s="1"/>
  <c r="AE22" i="1" s="1"/>
  <c r="V23" i="1"/>
  <c r="W23" i="1" s="1"/>
  <c r="AE23" i="1" s="1"/>
  <c r="V24" i="1"/>
  <c r="W24" i="1" s="1"/>
  <c r="V25" i="1"/>
  <c r="W25" i="1" s="1"/>
  <c r="AE25" i="1" s="1"/>
  <c r="V26" i="1"/>
  <c r="W26" i="1" s="1"/>
  <c r="AE26" i="1" s="1"/>
  <c r="V27" i="1"/>
  <c r="W27" i="1" s="1"/>
  <c r="AE27" i="1" s="1"/>
  <c r="V28" i="1"/>
  <c r="W28" i="1" s="1"/>
  <c r="V29" i="1"/>
  <c r="W29" i="1" s="1"/>
  <c r="AE29" i="1" s="1"/>
  <c r="V30" i="1"/>
  <c r="W30" i="1" s="1"/>
  <c r="AE30" i="1" s="1"/>
  <c r="V31" i="1"/>
  <c r="W31" i="1" s="1"/>
  <c r="AE31" i="1" s="1"/>
  <c r="V32" i="1"/>
  <c r="W32" i="1" s="1"/>
  <c r="V33" i="1"/>
  <c r="W33" i="1" s="1"/>
  <c r="AE33" i="1" s="1"/>
  <c r="V34" i="1"/>
  <c r="W34" i="1" s="1"/>
  <c r="AE34" i="1" s="1"/>
  <c r="V35" i="1"/>
  <c r="W35" i="1" s="1"/>
  <c r="AE35" i="1" s="1"/>
  <c r="V36" i="1"/>
  <c r="W36" i="1" s="1"/>
  <c r="V37" i="1"/>
  <c r="W37" i="1" s="1"/>
  <c r="AE37" i="1" s="1"/>
  <c r="V38" i="1"/>
  <c r="W38" i="1" s="1"/>
  <c r="AE38" i="1" s="1"/>
  <c r="V39" i="1"/>
  <c r="W39" i="1" s="1"/>
  <c r="AE39" i="1" s="1"/>
  <c r="V40" i="1"/>
  <c r="W40" i="1" s="1"/>
  <c r="V41" i="1"/>
  <c r="W41" i="1" s="1"/>
  <c r="AE41" i="1" s="1"/>
  <c r="V42" i="1"/>
  <c r="W42" i="1" s="1"/>
  <c r="AE42" i="1" s="1"/>
  <c r="V43" i="1"/>
  <c r="W43" i="1" s="1"/>
  <c r="AE43" i="1" s="1"/>
  <c r="V44" i="1"/>
  <c r="W44" i="1" s="1"/>
  <c r="V45" i="1"/>
  <c r="W45" i="1" s="1"/>
  <c r="AE45" i="1" s="1"/>
  <c r="V46" i="1"/>
  <c r="W46" i="1" s="1"/>
  <c r="AE46" i="1" s="1"/>
  <c r="V47" i="1"/>
  <c r="W47" i="1" s="1"/>
  <c r="AE47" i="1" s="1"/>
  <c r="V48" i="1"/>
  <c r="W48" i="1" s="1"/>
  <c r="V49" i="1"/>
  <c r="W49" i="1" s="1"/>
  <c r="AE49" i="1" s="1"/>
  <c r="V50" i="1"/>
  <c r="W50" i="1" s="1"/>
  <c r="AE50" i="1" s="1"/>
  <c r="V51" i="1"/>
  <c r="W51" i="1" s="1"/>
  <c r="AE51" i="1" s="1"/>
  <c r="V52" i="1"/>
  <c r="W52" i="1" s="1"/>
  <c r="V53" i="1"/>
  <c r="W53" i="1" s="1"/>
  <c r="AE53" i="1" s="1"/>
  <c r="V54" i="1"/>
  <c r="W54" i="1" s="1"/>
  <c r="AE54" i="1" s="1"/>
  <c r="V55" i="1"/>
  <c r="W55" i="1" s="1"/>
  <c r="AE55" i="1" s="1"/>
  <c r="V56" i="1"/>
  <c r="W56" i="1" s="1"/>
  <c r="V57" i="1"/>
  <c r="W57" i="1" s="1"/>
  <c r="AE57" i="1" s="1"/>
  <c r="V58" i="1"/>
  <c r="W58" i="1" s="1"/>
  <c r="AE58" i="1" s="1"/>
  <c r="V59" i="1"/>
  <c r="W59" i="1" s="1"/>
  <c r="AE59" i="1" s="1"/>
  <c r="V60" i="1"/>
  <c r="W60" i="1" s="1"/>
  <c r="V61" i="1"/>
  <c r="W61" i="1" s="1"/>
  <c r="AE61" i="1" s="1"/>
  <c r="V62" i="1"/>
  <c r="W62" i="1" s="1"/>
  <c r="AE62" i="1" s="1"/>
  <c r="V63" i="1"/>
  <c r="W63" i="1" s="1"/>
  <c r="AE63" i="1" s="1"/>
  <c r="V64" i="1"/>
  <c r="W64" i="1" s="1"/>
  <c r="V65" i="1"/>
  <c r="W65" i="1" s="1"/>
  <c r="AE65" i="1" s="1"/>
  <c r="V66" i="1"/>
  <c r="W66" i="1" s="1"/>
  <c r="AE66" i="1" s="1"/>
  <c r="V67" i="1"/>
  <c r="W67" i="1" s="1"/>
  <c r="AE67" i="1" s="1"/>
  <c r="V68" i="1"/>
  <c r="W68" i="1" s="1"/>
  <c r="V69" i="1"/>
  <c r="W69" i="1" s="1"/>
  <c r="AE69" i="1" s="1"/>
  <c r="V70" i="1"/>
  <c r="W70" i="1" s="1"/>
  <c r="AE70" i="1" s="1"/>
  <c r="V71" i="1"/>
  <c r="W71" i="1" s="1"/>
  <c r="AE71" i="1" s="1"/>
  <c r="V72" i="1"/>
  <c r="W72" i="1" s="1"/>
  <c r="V73" i="1"/>
  <c r="W73" i="1" s="1"/>
  <c r="AE73" i="1" s="1"/>
  <c r="V74" i="1"/>
  <c r="W74" i="1" s="1"/>
  <c r="AE74" i="1" s="1"/>
  <c r="V75" i="1"/>
  <c r="W75" i="1" s="1"/>
  <c r="AE75" i="1" s="1"/>
  <c r="V76" i="1"/>
  <c r="W76" i="1" s="1"/>
  <c r="V77" i="1"/>
  <c r="W77" i="1" s="1"/>
  <c r="AE77" i="1" s="1"/>
  <c r="V78" i="1"/>
  <c r="W78" i="1" s="1"/>
  <c r="AE78" i="1" s="1"/>
  <c r="V79" i="1"/>
  <c r="W79" i="1" s="1"/>
  <c r="AE79" i="1" s="1"/>
  <c r="V80" i="1"/>
  <c r="W80" i="1" s="1"/>
  <c r="V81" i="1"/>
  <c r="W81" i="1" s="1"/>
  <c r="AE81" i="1" s="1"/>
  <c r="V82" i="1"/>
  <c r="W82" i="1" s="1"/>
  <c r="AE82" i="1" s="1"/>
  <c r="V83" i="1"/>
  <c r="W83" i="1" s="1"/>
  <c r="AE83" i="1" s="1"/>
  <c r="V84" i="1"/>
  <c r="W84" i="1" s="1"/>
  <c r="V85" i="1"/>
  <c r="W85" i="1" s="1"/>
  <c r="AE85" i="1" s="1"/>
  <c r="V86" i="1"/>
  <c r="W86" i="1" s="1"/>
  <c r="AE86" i="1" s="1"/>
  <c r="V87" i="1"/>
  <c r="W87" i="1" s="1"/>
  <c r="AE87" i="1" s="1"/>
  <c r="V88" i="1"/>
  <c r="W88" i="1" s="1"/>
  <c r="V89" i="1"/>
  <c r="W89" i="1" s="1"/>
  <c r="AE89" i="1" s="1"/>
  <c r="V90" i="1"/>
  <c r="W90" i="1" s="1"/>
  <c r="AE90" i="1" s="1"/>
  <c r="V91" i="1"/>
  <c r="W91" i="1" s="1"/>
  <c r="AE91" i="1" s="1"/>
  <c r="V92" i="1"/>
  <c r="W92" i="1" s="1"/>
  <c r="V93" i="1"/>
  <c r="W93" i="1" s="1"/>
  <c r="AE93" i="1" s="1"/>
  <c r="V94" i="1"/>
  <c r="W94" i="1" s="1"/>
  <c r="AE94" i="1" s="1"/>
  <c r="V95" i="1"/>
  <c r="W95" i="1" s="1"/>
  <c r="AE95" i="1" s="1"/>
  <c r="V96" i="1"/>
  <c r="W96" i="1" s="1"/>
  <c r="V97" i="1"/>
  <c r="W97" i="1" s="1"/>
  <c r="AE97" i="1" s="1"/>
  <c r="V98" i="1"/>
  <c r="W98" i="1" s="1"/>
  <c r="AE98" i="1" s="1"/>
  <c r="V99" i="1"/>
  <c r="W99" i="1" s="1"/>
  <c r="AE99" i="1" s="1"/>
  <c r="V100" i="1"/>
  <c r="W100" i="1" s="1"/>
  <c r="V101" i="1"/>
  <c r="W101" i="1" s="1"/>
  <c r="AE101" i="1" s="1"/>
  <c r="V102" i="1"/>
  <c r="W102" i="1" s="1"/>
  <c r="AE102" i="1" s="1"/>
  <c r="V103" i="1"/>
  <c r="W103" i="1" s="1"/>
  <c r="AE103" i="1" s="1"/>
  <c r="V104" i="1"/>
  <c r="W104" i="1" s="1"/>
  <c r="V105" i="1"/>
  <c r="W105" i="1" s="1"/>
  <c r="AE105" i="1" s="1"/>
  <c r="V106" i="1"/>
  <c r="W106" i="1" s="1"/>
  <c r="AE106" i="1" s="1"/>
  <c r="V107" i="1"/>
  <c r="W107" i="1" s="1"/>
  <c r="AE107" i="1" s="1"/>
  <c r="V108" i="1"/>
  <c r="W108" i="1" s="1"/>
  <c r="V109" i="1"/>
  <c r="W109" i="1" s="1"/>
  <c r="AE109" i="1" s="1"/>
  <c r="V110" i="1"/>
  <c r="W110" i="1" s="1"/>
  <c r="AE110" i="1" s="1"/>
  <c r="V111" i="1"/>
  <c r="W111" i="1" s="1"/>
  <c r="AE111" i="1" s="1"/>
  <c r="V112" i="1"/>
  <c r="W112" i="1" s="1"/>
  <c r="V113" i="1"/>
  <c r="W113" i="1" s="1"/>
  <c r="AE113" i="1" s="1"/>
  <c r="V114" i="1"/>
  <c r="W114" i="1" s="1"/>
  <c r="AE114" i="1" s="1"/>
  <c r="V115" i="1"/>
  <c r="W115" i="1" s="1"/>
  <c r="AE115" i="1" s="1"/>
  <c r="V116" i="1"/>
  <c r="W116" i="1" s="1"/>
  <c r="V117" i="1"/>
  <c r="W117" i="1" s="1"/>
  <c r="AE117" i="1" s="1"/>
  <c r="V118" i="1"/>
  <c r="W118" i="1" s="1"/>
  <c r="AE118" i="1" s="1"/>
  <c r="V119" i="1"/>
  <c r="W119" i="1" s="1"/>
  <c r="AE119" i="1" s="1"/>
  <c r="V120" i="1"/>
  <c r="W120" i="1" s="1"/>
  <c r="V121" i="1"/>
  <c r="W121" i="1" s="1"/>
  <c r="AE121" i="1" s="1"/>
  <c r="V122" i="1"/>
  <c r="W122" i="1" s="1"/>
  <c r="AE122" i="1" s="1"/>
  <c r="V123" i="1"/>
  <c r="W123" i="1" s="1"/>
  <c r="AE123" i="1" s="1"/>
  <c r="V124" i="1"/>
  <c r="W124" i="1" s="1"/>
  <c r="V125" i="1"/>
  <c r="W125" i="1" s="1"/>
  <c r="AE125" i="1" s="1"/>
  <c r="V126" i="1"/>
  <c r="W126" i="1" s="1"/>
  <c r="AE126" i="1" s="1"/>
  <c r="V127" i="1"/>
  <c r="W127" i="1" s="1"/>
  <c r="AE127" i="1" s="1"/>
  <c r="V128" i="1"/>
  <c r="W128" i="1" s="1"/>
  <c r="V129" i="1"/>
  <c r="W129" i="1" s="1"/>
  <c r="AE129" i="1" s="1"/>
  <c r="V130" i="1"/>
  <c r="W130" i="1" s="1"/>
  <c r="AE130" i="1" s="1"/>
  <c r="V131" i="1"/>
  <c r="W131" i="1" s="1"/>
  <c r="AE131" i="1" s="1"/>
  <c r="V132" i="1"/>
  <c r="W132" i="1" s="1"/>
  <c r="V133" i="1"/>
  <c r="W133" i="1" s="1"/>
  <c r="AE133" i="1" s="1"/>
  <c r="V134" i="1"/>
  <c r="W134" i="1" s="1"/>
  <c r="AE134" i="1" s="1"/>
  <c r="V135" i="1"/>
  <c r="W135" i="1" s="1"/>
  <c r="AE135" i="1" s="1"/>
  <c r="V136" i="1"/>
  <c r="W136" i="1" s="1"/>
  <c r="V137" i="1"/>
  <c r="W137" i="1" s="1"/>
  <c r="AE137" i="1" s="1"/>
  <c r="V138" i="1"/>
  <c r="W138" i="1" s="1"/>
  <c r="AE138" i="1" s="1"/>
  <c r="V139" i="1"/>
  <c r="W139" i="1" s="1"/>
  <c r="AE139" i="1" s="1"/>
  <c r="V140" i="1"/>
  <c r="W140" i="1" s="1"/>
  <c r="V141" i="1"/>
  <c r="W141" i="1" s="1"/>
  <c r="AE141" i="1" s="1"/>
  <c r="V142" i="1"/>
  <c r="W142" i="1" s="1"/>
  <c r="AE142" i="1" s="1"/>
  <c r="V143" i="1"/>
  <c r="W143" i="1" s="1"/>
  <c r="AE143" i="1" s="1"/>
  <c r="V144" i="1"/>
  <c r="W144" i="1" s="1"/>
  <c r="V145" i="1"/>
  <c r="W145" i="1" s="1"/>
  <c r="AE145" i="1" s="1"/>
  <c r="V146" i="1"/>
  <c r="W146" i="1" s="1"/>
  <c r="AE146" i="1" s="1"/>
  <c r="V147" i="1"/>
  <c r="W147" i="1" s="1"/>
  <c r="AE147" i="1" s="1"/>
  <c r="V148" i="1"/>
  <c r="W148" i="1" s="1"/>
  <c r="V149" i="1"/>
  <c r="W149" i="1" s="1"/>
  <c r="AE149" i="1" s="1"/>
  <c r="V150" i="1"/>
  <c r="W150" i="1" s="1"/>
  <c r="AE150" i="1" s="1"/>
  <c r="V151" i="1"/>
  <c r="W151" i="1" s="1"/>
  <c r="AE151" i="1" s="1"/>
  <c r="V152" i="1"/>
  <c r="W152" i="1" s="1"/>
  <c r="V153" i="1"/>
  <c r="W153" i="1" s="1"/>
  <c r="AE153" i="1" s="1"/>
  <c r="V154" i="1"/>
  <c r="W154" i="1" s="1"/>
  <c r="AE154" i="1" s="1"/>
  <c r="V155" i="1"/>
  <c r="W155" i="1" s="1"/>
  <c r="AE155" i="1" s="1"/>
  <c r="V156" i="1"/>
  <c r="W156" i="1" s="1"/>
  <c r="V157" i="1"/>
  <c r="W157" i="1" s="1"/>
  <c r="AE157" i="1" s="1"/>
  <c r="V158" i="1"/>
  <c r="W158" i="1" s="1"/>
  <c r="AE158" i="1" s="1"/>
  <c r="V159" i="1"/>
  <c r="W159" i="1" s="1"/>
  <c r="AE159" i="1" s="1"/>
  <c r="V160" i="1"/>
  <c r="W160" i="1" s="1"/>
  <c r="V161" i="1"/>
  <c r="W161" i="1" s="1"/>
  <c r="AE161" i="1" s="1"/>
  <c r="V162" i="1"/>
  <c r="W162" i="1" s="1"/>
  <c r="AE162" i="1" s="1"/>
  <c r="V163" i="1"/>
  <c r="W163" i="1" s="1"/>
  <c r="AE163" i="1" s="1"/>
  <c r="V164" i="1"/>
  <c r="W164" i="1" s="1"/>
  <c r="V165" i="1"/>
  <c r="W165" i="1" s="1"/>
  <c r="AE165" i="1" s="1"/>
  <c r="V166" i="1"/>
  <c r="V167" i="1"/>
  <c r="W167" i="1" s="1"/>
  <c r="AE167" i="1" s="1"/>
  <c r="V168" i="1"/>
  <c r="W168" i="1" s="1"/>
  <c r="V169" i="1"/>
  <c r="W169" i="1" s="1"/>
  <c r="AE169" i="1" s="1"/>
  <c r="V170" i="1"/>
  <c r="W170" i="1" s="1"/>
  <c r="AE170" i="1" s="1"/>
  <c r="V171" i="1"/>
  <c r="W171" i="1" s="1"/>
  <c r="AE171" i="1" s="1"/>
  <c r="V172" i="1"/>
  <c r="W172" i="1" s="1"/>
  <c r="V173" i="1"/>
  <c r="W173" i="1" s="1"/>
  <c r="AE173" i="1" s="1"/>
  <c r="V174" i="1"/>
  <c r="W174" i="1" s="1"/>
  <c r="AE174" i="1" s="1"/>
  <c r="V175" i="1"/>
  <c r="W175" i="1" s="1"/>
  <c r="AE175" i="1" s="1"/>
  <c r="V176" i="1"/>
  <c r="W176" i="1" s="1"/>
  <c r="V177" i="1"/>
  <c r="W177" i="1" s="1"/>
  <c r="AE177" i="1" s="1"/>
  <c r="V178" i="1"/>
  <c r="W178" i="1" s="1"/>
  <c r="AE178" i="1" s="1"/>
  <c r="V179" i="1"/>
  <c r="W179" i="1" s="1"/>
  <c r="AE179" i="1" s="1"/>
  <c r="V180" i="1"/>
  <c r="W180" i="1" s="1"/>
  <c r="V181" i="1"/>
  <c r="W181" i="1" s="1"/>
  <c r="AE181" i="1" s="1"/>
  <c r="V182" i="1"/>
  <c r="W182" i="1" s="1"/>
  <c r="AE182" i="1" s="1"/>
  <c r="V183" i="1"/>
  <c r="W183" i="1" s="1"/>
  <c r="AE183" i="1" s="1"/>
  <c r="V184" i="1"/>
  <c r="W184" i="1" s="1"/>
  <c r="V185" i="1"/>
  <c r="W185" i="1" s="1"/>
  <c r="AE185" i="1" s="1"/>
  <c r="V186" i="1"/>
  <c r="W186" i="1" s="1"/>
  <c r="AE186" i="1" s="1"/>
  <c r="V187" i="1"/>
  <c r="W187" i="1" s="1"/>
  <c r="AE187" i="1" s="1"/>
  <c r="V188" i="1"/>
  <c r="W188" i="1" s="1"/>
  <c r="V189" i="1"/>
  <c r="W189" i="1" s="1"/>
  <c r="AE189" i="1" s="1"/>
  <c r="V190" i="1"/>
  <c r="W190" i="1" s="1"/>
  <c r="AE190" i="1" s="1"/>
  <c r="V191" i="1"/>
  <c r="W191" i="1" s="1"/>
  <c r="AE191" i="1" s="1"/>
  <c r="V192" i="1"/>
  <c r="W192" i="1" s="1"/>
  <c r="V193" i="1"/>
  <c r="W193" i="1" s="1"/>
  <c r="AE193" i="1" s="1"/>
  <c r="V194" i="1"/>
  <c r="W194" i="1" s="1"/>
  <c r="AE194" i="1" s="1"/>
  <c r="V195" i="1"/>
  <c r="W195" i="1" s="1"/>
  <c r="AE195" i="1" s="1"/>
  <c r="V196" i="1"/>
  <c r="W196" i="1" s="1"/>
  <c r="V197" i="1"/>
  <c r="W197" i="1" s="1"/>
  <c r="AE197" i="1" s="1"/>
  <c r="V198" i="1"/>
  <c r="W198" i="1" s="1"/>
  <c r="AE198" i="1" s="1"/>
  <c r="V199" i="1"/>
  <c r="W199" i="1" s="1"/>
  <c r="AE199" i="1" s="1"/>
  <c r="V200" i="1"/>
  <c r="W200" i="1" s="1"/>
  <c r="V201" i="1"/>
  <c r="W201" i="1" s="1"/>
  <c r="AE201" i="1" s="1"/>
  <c r="V202" i="1"/>
  <c r="W202" i="1" s="1"/>
  <c r="AE202" i="1" s="1"/>
  <c r="V203" i="1"/>
  <c r="W203" i="1" s="1"/>
  <c r="AE203" i="1" s="1"/>
  <c r="V204" i="1"/>
  <c r="W204" i="1" s="1"/>
  <c r="V205" i="1"/>
  <c r="W205" i="1" s="1"/>
  <c r="AE205" i="1" s="1"/>
  <c r="V206" i="1"/>
  <c r="W206" i="1" s="1"/>
  <c r="AE206" i="1" s="1"/>
  <c r="V207" i="1"/>
  <c r="W207" i="1" s="1"/>
  <c r="AE207" i="1" s="1"/>
  <c r="V208" i="1"/>
  <c r="W208" i="1" s="1"/>
  <c r="V209" i="1"/>
  <c r="W209" i="1" s="1"/>
  <c r="AE209" i="1" s="1"/>
  <c r="V210" i="1"/>
  <c r="W210" i="1" s="1"/>
  <c r="AE210" i="1" s="1"/>
  <c r="V211" i="1"/>
  <c r="W211" i="1" s="1"/>
  <c r="AE211" i="1" s="1"/>
  <c r="V212" i="1"/>
  <c r="W212" i="1" s="1"/>
  <c r="V213" i="1"/>
  <c r="W213" i="1" s="1"/>
  <c r="AE213" i="1" s="1"/>
  <c r="V214" i="1"/>
  <c r="W214" i="1" s="1"/>
  <c r="AE214" i="1" s="1"/>
  <c r="V215" i="1"/>
  <c r="W215" i="1" s="1"/>
  <c r="AE215" i="1" s="1"/>
  <c r="V216" i="1"/>
  <c r="W216" i="1" s="1"/>
  <c r="V217" i="1"/>
  <c r="W217" i="1" s="1"/>
  <c r="AE217" i="1" s="1"/>
  <c r="V218" i="1"/>
  <c r="W218" i="1" s="1"/>
  <c r="AE218" i="1" s="1"/>
  <c r="V219" i="1"/>
  <c r="W219" i="1" s="1"/>
  <c r="AE219" i="1" s="1"/>
  <c r="V220" i="1"/>
  <c r="W220" i="1" s="1"/>
  <c r="V221" i="1"/>
  <c r="W221" i="1" s="1"/>
  <c r="AE221" i="1" s="1"/>
  <c r="V222" i="1"/>
  <c r="W222" i="1" s="1"/>
  <c r="AE222" i="1" s="1"/>
  <c r="V223" i="1"/>
  <c r="W223" i="1" s="1"/>
  <c r="AE223" i="1" s="1"/>
  <c r="V224" i="1"/>
  <c r="W224" i="1" s="1"/>
  <c r="V225" i="1"/>
  <c r="W225" i="1" s="1"/>
  <c r="AE225" i="1" s="1"/>
  <c r="V226" i="1"/>
  <c r="W226" i="1" s="1"/>
  <c r="AE226" i="1" s="1"/>
  <c r="V227" i="1"/>
  <c r="W227" i="1" s="1"/>
  <c r="AE227" i="1" s="1"/>
  <c r="V228" i="1"/>
  <c r="W228" i="1" s="1"/>
  <c r="V229" i="1"/>
  <c r="W229" i="1" s="1"/>
  <c r="AE229" i="1" s="1"/>
  <c r="V230" i="1"/>
  <c r="W230" i="1" s="1"/>
  <c r="AE230" i="1" s="1"/>
  <c r="V231" i="1"/>
  <c r="W231" i="1" s="1"/>
  <c r="AE231" i="1" s="1"/>
  <c r="V232" i="1"/>
  <c r="W232" i="1" s="1"/>
  <c r="V233" i="1"/>
  <c r="W233" i="1" s="1"/>
  <c r="AE233" i="1" s="1"/>
  <c r="V234" i="1"/>
  <c r="W234" i="1" s="1"/>
  <c r="AE234" i="1" s="1"/>
  <c r="V235" i="1"/>
  <c r="W235" i="1" s="1"/>
  <c r="AE235" i="1" s="1"/>
  <c r="V236" i="1"/>
  <c r="W236" i="1" s="1"/>
  <c r="V237" i="1"/>
  <c r="W237" i="1" s="1"/>
  <c r="AE237" i="1" s="1"/>
  <c r="V238" i="1"/>
  <c r="W238" i="1" s="1"/>
  <c r="AE238" i="1" s="1"/>
  <c r="V239" i="1"/>
  <c r="W239" i="1" s="1"/>
  <c r="AE239" i="1" s="1"/>
  <c r="V240" i="1"/>
  <c r="W240" i="1" s="1"/>
  <c r="V241" i="1"/>
  <c r="W241" i="1" s="1"/>
  <c r="AE241" i="1" s="1"/>
  <c r="V242" i="1"/>
  <c r="W242" i="1" s="1"/>
  <c r="AE242" i="1" s="1"/>
  <c r="V243" i="1"/>
  <c r="W243" i="1" s="1"/>
  <c r="AE243" i="1" s="1"/>
  <c r="V244" i="1"/>
  <c r="W244" i="1" s="1"/>
  <c r="V245" i="1"/>
  <c r="W245" i="1" s="1"/>
  <c r="AE245" i="1" s="1"/>
  <c r="V246" i="1"/>
  <c r="W246" i="1" s="1"/>
  <c r="AE246" i="1" s="1"/>
  <c r="V247" i="1"/>
  <c r="W247" i="1" s="1"/>
  <c r="AE247" i="1" s="1"/>
  <c r="V248" i="1"/>
  <c r="W248" i="1" s="1"/>
  <c r="V249" i="1"/>
  <c r="W249" i="1" s="1"/>
  <c r="AE249" i="1" s="1"/>
  <c r="V250" i="1"/>
  <c r="W250" i="1" s="1"/>
  <c r="AE250" i="1" s="1"/>
  <c r="V251" i="1"/>
  <c r="W251" i="1" s="1"/>
  <c r="AE251" i="1" s="1"/>
  <c r="V252" i="1"/>
  <c r="W252" i="1" s="1"/>
  <c r="V253" i="1"/>
  <c r="W253" i="1" s="1"/>
  <c r="AE253" i="1" s="1"/>
  <c r="V254" i="1"/>
  <c r="W254" i="1" s="1"/>
  <c r="AE254" i="1" s="1"/>
  <c r="V255" i="1"/>
  <c r="W255" i="1" s="1"/>
  <c r="AE255" i="1" s="1"/>
  <c r="V256" i="1"/>
  <c r="W256" i="1" s="1"/>
  <c r="V257" i="1"/>
  <c r="W257" i="1" s="1"/>
  <c r="AE257" i="1" s="1"/>
  <c r="V258" i="1"/>
  <c r="W258" i="1" s="1"/>
  <c r="AE258" i="1" s="1"/>
  <c r="V259" i="1"/>
  <c r="W259" i="1" s="1"/>
  <c r="AE259" i="1" s="1"/>
  <c r="V260" i="1"/>
  <c r="W260" i="1" s="1"/>
  <c r="V261" i="1"/>
  <c r="W261" i="1" s="1"/>
  <c r="AE261" i="1" s="1"/>
  <c r="V262" i="1"/>
  <c r="W262" i="1" s="1"/>
  <c r="AE262" i="1" s="1"/>
  <c r="V263" i="1"/>
  <c r="W263" i="1" s="1"/>
  <c r="AE263" i="1" s="1"/>
  <c r="V264" i="1"/>
  <c r="W264" i="1" s="1"/>
  <c r="V265" i="1"/>
  <c r="W265" i="1" s="1"/>
  <c r="AE265" i="1" s="1"/>
  <c r="V266" i="1"/>
  <c r="W266" i="1" s="1"/>
  <c r="AE266" i="1" s="1"/>
  <c r="V267" i="1"/>
  <c r="W267" i="1" s="1"/>
  <c r="AE267" i="1" s="1"/>
  <c r="V268" i="1"/>
  <c r="W268" i="1" s="1"/>
  <c r="V269" i="1"/>
  <c r="W269" i="1" s="1"/>
  <c r="AE269" i="1" s="1"/>
  <c r="V270" i="1"/>
  <c r="W270" i="1" s="1"/>
  <c r="AE270" i="1" s="1"/>
  <c r="V271" i="1"/>
  <c r="W271" i="1" s="1"/>
  <c r="AE271" i="1" s="1"/>
  <c r="V272" i="1"/>
  <c r="W272" i="1" s="1"/>
  <c r="V273" i="1"/>
  <c r="W273" i="1" s="1"/>
  <c r="AE273" i="1" s="1"/>
  <c r="V274" i="1"/>
  <c r="W274" i="1" s="1"/>
  <c r="AE274" i="1" s="1"/>
  <c r="V275" i="1"/>
  <c r="W275" i="1" s="1"/>
  <c r="AE275" i="1" s="1"/>
  <c r="V276" i="1"/>
  <c r="W276" i="1" s="1"/>
  <c r="V277" i="1"/>
  <c r="W277" i="1" s="1"/>
  <c r="AE277" i="1" s="1"/>
  <c r="V278" i="1"/>
  <c r="W278" i="1" s="1"/>
  <c r="AE278" i="1" s="1"/>
  <c r="V279" i="1"/>
  <c r="W279" i="1" s="1"/>
  <c r="AE279" i="1" s="1"/>
  <c r="V280" i="1"/>
  <c r="W280" i="1" s="1"/>
  <c r="V281" i="1"/>
  <c r="W281" i="1" s="1"/>
  <c r="AE281" i="1" s="1"/>
  <c r="V282" i="1"/>
  <c r="W282" i="1" s="1"/>
  <c r="AE282" i="1" s="1"/>
  <c r="V283" i="1"/>
  <c r="W283" i="1" s="1"/>
  <c r="AE283" i="1" s="1"/>
  <c r="V284" i="1"/>
  <c r="W284" i="1" s="1"/>
  <c r="V285" i="1"/>
  <c r="W285" i="1" s="1"/>
  <c r="AE285" i="1" s="1"/>
  <c r="V286" i="1"/>
  <c r="W286" i="1" s="1"/>
  <c r="AE286" i="1" s="1"/>
  <c r="V287" i="1"/>
  <c r="W287" i="1" s="1"/>
  <c r="AE287" i="1" s="1"/>
  <c r="V288" i="1"/>
  <c r="W288" i="1" s="1"/>
  <c r="V289" i="1"/>
  <c r="W289" i="1" s="1"/>
  <c r="AE289" i="1" s="1"/>
  <c r="V290" i="1"/>
  <c r="W290" i="1" s="1"/>
  <c r="AE290" i="1" s="1"/>
  <c r="V291" i="1"/>
  <c r="W291" i="1" s="1"/>
  <c r="AE291" i="1" s="1"/>
  <c r="V292" i="1"/>
  <c r="W292" i="1" s="1"/>
  <c r="V293" i="1"/>
  <c r="W293" i="1" s="1"/>
  <c r="AE293" i="1" s="1"/>
  <c r="V294" i="1"/>
  <c r="W294" i="1" s="1"/>
  <c r="AE294" i="1" s="1"/>
  <c r="V295" i="1"/>
  <c r="W295" i="1" s="1"/>
  <c r="AE295" i="1" s="1"/>
  <c r="V296" i="1"/>
  <c r="W296" i="1" s="1"/>
  <c r="V297" i="1"/>
  <c r="W297" i="1" s="1"/>
  <c r="AE297" i="1" s="1"/>
  <c r="V298" i="1"/>
  <c r="W298" i="1" s="1"/>
  <c r="AE298" i="1" s="1"/>
  <c r="V299" i="1"/>
  <c r="W299" i="1" s="1"/>
  <c r="AE299" i="1" s="1"/>
  <c r="V300" i="1"/>
  <c r="W300" i="1" s="1"/>
  <c r="V301" i="1"/>
  <c r="W301" i="1" s="1"/>
  <c r="AE301" i="1" s="1"/>
  <c r="V302" i="1"/>
  <c r="W302" i="1" s="1"/>
  <c r="AE302" i="1" s="1"/>
  <c r="V303" i="1"/>
  <c r="W303" i="1" s="1"/>
  <c r="AE303" i="1" s="1"/>
  <c r="V304" i="1"/>
  <c r="W304" i="1" s="1"/>
  <c r="V305" i="1"/>
  <c r="W305" i="1" s="1"/>
  <c r="AE305" i="1" s="1"/>
  <c r="V306" i="1"/>
  <c r="W306" i="1" s="1"/>
  <c r="AE306" i="1" s="1"/>
  <c r="V307" i="1"/>
  <c r="W307" i="1" s="1"/>
  <c r="AE307" i="1" s="1"/>
  <c r="V308" i="1"/>
  <c r="W308" i="1" s="1"/>
  <c r="V309" i="1"/>
  <c r="W309" i="1" s="1"/>
  <c r="AE309" i="1" s="1"/>
  <c r="V310" i="1"/>
  <c r="W310" i="1" s="1"/>
  <c r="AE310" i="1" s="1"/>
  <c r="V311" i="1"/>
  <c r="W311" i="1" s="1"/>
  <c r="AE311" i="1" s="1"/>
  <c r="V312" i="1"/>
  <c r="W312" i="1" s="1"/>
  <c r="V313" i="1"/>
  <c r="W313" i="1" s="1"/>
  <c r="AE313" i="1" s="1"/>
  <c r="V314" i="1"/>
  <c r="W314" i="1" s="1"/>
  <c r="AE314" i="1" s="1"/>
  <c r="V315" i="1"/>
  <c r="W315" i="1" s="1"/>
  <c r="AE315" i="1" s="1"/>
  <c r="V316" i="1"/>
  <c r="W316" i="1" s="1"/>
  <c r="V317" i="1"/>
  <c r="W317" i="1" s="1"/>
  <c r="AE317" i="1" s="1"/>
  <c r="V318" i="1"/>
  <c r="W318" i="1" s="1"/>
  <c r="AE318" i="1" s="1"/>
  <c r="V319" i="1"/>
  <c r="W319" i="1" s="1"/>
  <c r="AE319" i="1" s="1"/>
  <c r="V320" i="1"/>
  <c r="W320" i="1" s="1"/>
  <c r="V321" i="1"/>
  <c r="W321" i="1" s="1"/>
  <c r="AE321" i="1" s="1"/>
  <c r="V322" i="1"/>
  <c r="W322" i="1" s="1"/>
  <c r="AE322" i="1" s="1"/>
  <c r="V323" i="1"/>
  <c r="W323" i="1" s="1"/>
  <c r="AE323" i="1" s="1"/>
  <c r="V324" i="1"/>
  <c r="W324" i="1" s="1"/>
  <c r="V325" i="1"/>
  <c r="W325" i="1" s="1"/>
  <c r="AE325" i="1" s="1"/>
  <c r="V326" i="1"/>
  <c r="W326" i="1" s="1"/>
  <c r="AE326" i="1" s="1"/>
  <c r="V327" i="1"/>
  <c r="W327" i="1" s="1"/>
  <c r="AE327" i="1" s="1"/>
  <c r="V328" i="1"/>
  <c r="W328" i="1" s="1"/>
  <c r="V329" i="1"/>
  <c r="W329" i="1" s="1"/>
  <c r="AE329" i="1" s="1"/>
  <c r="V330" i="1"/>
  <c r="W330" i="1" s="1"/>
  <c r="AE330" i="1" s="1"/>
  <c r="V331" i="1"/>
  <c r="W331" i="1" s="1"/>
  <c r="AE331" i="1" s="1"/>
  <c r="V332" i="1"/>
  <c r="W332" i="1" s="1"/>
  <c r="V333" i="1"/>
  <c r="W333" i="1" s="1"/>
  <c r="AE333" i="1" s="1"/>
  <c r="V334" i="1"/>
  <c r="W334" i="1" s="1"/>
  <c r="AE334" i="1" s="1"/>
  <c r="V335" i="1"/>
  <c r="W335" i="1" s="1"/>
  <c r="AE335" i="1" s="1"/>
  <c r="V336" i="1"/>
  <c r="W336" i="1" s="1"/>
  <c r="V337" i="1"/>
  <c r="W337" i="1" s="1"/>
  <c r="AE337" i="1" s="1"/>
  <c r="V338" i="1"/>
  <c r="W338" i="1" s="1"/>
  <c r="AE338" i="1" s="1"/>
  <c r="V339" i="1"/>
  <c r="W339" i="1" s="1"/>
  <c r="AE339" i="1" s="1"/>
  <c r="V340" i="1"/>
  <c r="W340" i="1" s="1"/>
  <c r="V341" i="1"/>
  <c r="W341" i="1" s="1"/>
  <c r="AE341" i="1" s="1"/>
  <c r="V342" i="1"/>
  <c r="W342" i="1" s="1"/>
  <c r="AE342" i="1" s="1"/>
  <c r="V343" i="1"/>
  <c r="W343" i="1" s="1"/>
  <c r="AE343" i="1" s="1"/>
  <c r="V344" i="1"/>
  <c r="W344" i="1" s="1"/>
  <c r="V345" i="1"/>
  <c r="W345" i="1" s="1"/>
  <c r="AE345" i="1" s="1"/>
  <c r="V346" i="1"/>
  <c r="W346" i="1" s="1"/>
  <c r="AE346" i="1" s="1"/>
  <c r="V347" i="1"/>
  <c r="W347" i="1" s="1"/>
  <c r="AE347" i="1" s="1"/>
  <c r="V348" i="1"/>
  <c r="W348" i="1" s="1"/>
  <c r="V349" i="1"/>
  <c r="W349" i="1" s="1"/>
  <c r="AE349" i="1" s="1"/>
  <c r="V350" i="1"/>
  <c r="W350" i="1" s="1"/>
  <c r="AE350" i="1" s="1"/>
  <c r="V351" i="1"/>
  <c r="W351" i="1" s="1"/>
  <c r="AE351" i="1" s="1"/>
  <c r="V352" i="1"/>
  <c r="W352" i="1" s="1"/>
  <c r="V353" i="1"/>
  <c r="W353" i="1" s="1"/>
  <c r="AE353" i="1" s="1"/>
  <c r="V354" i="1"/>
  <c r="W354" i="1" s="1"/>
  <c r="AE354" i="1" s="1"/>
  <c r="V355" i="1"/>
  <c r="W355" i="1" s="1"/>
  <c r="AE355" i="1" s="1"/>
  <c r="V356" i="1"/>
  <c r="W356" i="1" s="1"/>
  <c r="V357" i="1"/>
  <c r="W357" i="1" s="1"/>
  <c r="AE357" i="1" s="1"/>
  <c r="V358" i="1"/>
  <c r="W358" i="1" s="1"/>
  <c r="AE358" i="1" s="1"/>
  <c r="V359" i="1"/>
  <c r="W359" i="1" s="1"/>
  <c r="AE359" i="1" s="1"/>
  <c r="V360" i="1"/>
  <c r="W360" i="1" s="1"/>
  <c r="V361" i="1"/>
  <c r="W361" i="1" s="1"/>
  <c r="AE361" i="1" s="1"/>
  <c r="V362" i="1"/>
  <c r="W362" i="1" s="1"/>
  <c r="AE362" i="1" s="1"/>
  <c r="V363" i="1"/>
  <c r="W363" i="1" s="1"/>
  <c r="AE363" i="1" s="1"/>
  <c r="V364" i="1"/>
  <c r="W364" i="1" s="1"/>
  <c r="V365" i="1"/>
  <c r="W365" i="1" s="1"/>
  <c r="AE365" i="1" s="1"/>
  <c r="V366" i="1"/>
  <c r="W366" i="1" s="1"/>
  <c r="AE366" i="1" s="1"/>
  <c r="V367" i="1"/>
  <c r="W367" i="1" s="1"/>
  <c r="AE367" i="1" s="1"/>
  <c r="V368" i="1"/>
  <c r="W368" i="1" s="1"/>
  <c r="V369" i="1"/>
  <c r="W369" i="1" s="1"/>
  <c r="AE369" i="1" s="1"/>
  <c r="V370" i="1"/>
  <c r="W370" i="1" s="1"/>
  <c r="AE370" i="1" s="1"/>
  <c r="V371" i="1"/>
  <c r="W371" i="1" s="1"/>
  <c r="AE371" i="1" s="1"/>
  <c r="V372" i="1"/>
  <c r="W372" i="1" s="1"/>
  <c r="V373" i="1"/>
  <c r="W373" i="1" s="1"/>
  <c r="AE373" i="1" s="1"/>
  <c r="V374" i="1"/>
  <c r="W374" i="1" s="1"/>
  <c r="AE374" i="1" s="1"/>
  <c r="V375" i="1"/>
  <c r="W375" i="1" s="1"/>
  <c r="AE375" i="1" s="1"/>
  <c r="V376" i="1"/>
  <c r="W376" i="1" s="1"/>
  <c r="V377" i="1"/>
  <c r="W377" i="1" s="1"/>
  <c r="AE377" i="1" s="1"/>
  <c r="V378" i="1"/>
  <c r="W378" i="1" s="1"/>
  <c r="AE378" i="1" s="1"/>
  <c r="V379" i="1"/>
  <c r="W379" i="1" s="1"/>
  <c r="AE379" i="1" s="1"/>
  <c r="V380" i="1"/>
  <c r="W380" i="1" s="1"/>
  <c r="V381" i="1"/>
  <c r="W381" i="1" s="1"/>
  <c r="AE381" i="1" s="1"/>
  <c r="V382" i="1"/>
  <c r="W382" i="1" s="1"/>
  <c r="AE382" i="1" s="1"/>
  <c r="V383" i="1"/>
  <c r="W383" i="1" s="1"/>
  <c r="AE383" i="1" s="1"/>
  <c r="V384" i="1"/>
  <c r="W384" i="1" s="1"/>
  <c r="V385" i="1"/>
  <c r="W385" i="1" s="1"/>
  <c r="AE385" i="1" s="1"/>
  <c r="V386" i="1"/>
  <c r="W386" i="1" s="1"/>
  <c r="AE386" i="1" s="1"/>
  <c r="V387" i="1"/>
  <c r="W387" i="1" s="1"/>
  <c r="AE387" i="1" s="1"/>
  <c r="V388" i="1"/>
  <c r="W388" i="1" s="1"/>
  <c r="V389" i="1"/>
  <c r="W389" i="1" s="1"/>
  <c r="AE389" i="1" s="1"/>
  <c r="V390" i="1"/>
  <c r="W390" i="1" s="1"/>
  <c r="AE390" i="1" s="1"/>
  <c r="V391" i="1"/>
  <c r="W391" i="1" s="1"/>
  <c r="AE391" i="1" s="1"/>
  <c r="V392" i="1"/>
  <c r="W392" i="1" s="1"/>
  <c r="V393" i="1"/>
  <c r="W393" i="1" s="1"/>
  <c r="AE393" i="1" s="1"/>
  <c r="V394" i="1"/>
  <c r="W394" i="1" s="1"/>
  <c r="AE394" i="1" s="1"/>
  <c r="V395" i="1"/>
  <c r="W395" i="1" s="1"/>
  <c r="AE395" i="1" s="1"/>
  <c r="V396" i="1"/>
  <c r="W396" i="1" s="1"/>
  <c r="V397" i="1"/>
  <c r="W397" i="1" s="1"/>
  <c r="AE397" i="1" s="1"/>
  <c r="V398" i="1"/>
  <c r="W398" i="1" s="1"/>
  <c r="AE398" i="1" s="1"/>
  <c r="V399" i="1"/>
  <c r="W399" i="1" s="1"/>
  <c r="AE399" i="1" s="1"/>
  <c r="V400" i="1"/>
  <c r="W400" i="1" s="1"/>
  <c r="V401" i="1"/>
  <c r="W401" i="1" s="1"/>
  <c r="AE401" i="1" s="1"/>
  <c r="V402" i="1"/>
  <c r="W402" i="1" s="1"/>
  <c r="AE402" i="1" s="1"/>
  <c r="V403" i="1"/>
  <c r="W403" i="1" s="1"/>
  <c r="AE403" i="1" s="1"/>
  <c r="V404" i="1"/>
  <c r="W404" i="1" s="1"/>
  <c r="V405" i="1"/>
  <c r="W405" i="1" s="1"/>
  <c r="AE405" i="1" s="1"/>
  <c r="V406" i="1"/>
  <c r="W406" i="1" s="1"/>
  <c r="AE406" i="1" s="1"/>
  <c r="V407" i="1"/>
  <c r="W407" i="1" s="1"/>
  <c r="AE407" i="1" s="1"/>
  <c r="V408" i="1"/>
  <c r="W408" i="1" s="1"/>
  <c r="V409" i="1"/>
  <c r="W409" i="1" s="1"/>
  <c r="AE409" i="1" s="1"/>
  <c r="V410" i="1"/>
  <c r="W410" i="1" s="1"/>
  <c r="AE410" i="1" s="1"/>
  <c r="V411" i="1"/>
  <c r="W411" i="1" s="1"/>
  <c r="AE411" i="1" s="1"/>
  <c r="V412" i="1"/>
  <c r="W412" i="1" s="1"/>
  <c r="V413" i="1"/>
  <c r="W413" i="1" s="1"/>
  <c r="AE413" i="1" s="1"/>
  <c r="V414" i="1"/>
  <c r="W414" i="1" s="1"/>
  <c r="AE414" i="1" s="1"/>
  <c r="V415" i="1"/>
  <c r="W415" i="1" s="1"/>
  <c r="AE415" i="1" s="1"/>
  <c r="V416" i="1"/>
  <c r="W416" i="1" s="1"/>
  <c r="V417" i="1"/>
  <c r="W417" i="1" s="1"/>
  <c r="AE417" i="1" s="1"/>
  <c r="V418" i="1"/>
  <c r="W418" i="1" s="1"/>
  <c r="AE418" i="1" s="1"/>
  <c r="V419" i="1"/>
  <c r="W419" i="1" s="1"/>
  <c r="AE419" i="1" s="1"/>
  <c r="V420" i="1"/>
  <c r="W420" i="1" s="1"/>
  <c r="V421" i="1"/>
  <c r="W421" i="1" s="1"/>
  <c r="AE421" i="1" s="1"/>
  <c r="V422" i="1"/>
  <c r="W422" i="1" s="1"/>
  <c r="AE422" i="1" s="1"/>
  <c r="V423" i="1"/>
  <c r="W423" i="1" s="1"/>
  <c r="AE423" i="1" s="1"/>
  <c r="V424" i="1"/>
  <c r="W424" i="1" s="1"/>
  <c r="V425" i="1"/>
  <c r="W425" i="1" s="1"/>
  <c r="AE425" i="1" s="1"/>
  <c r="V426" i="1"/>
  <c r="W426" i="1" s="1"/>
  <c r="AE426" i="1" s="1"/>
  <c r="V427" i="1"/>
  <c r="W427" i="1" s="1"/>
  <c r="V428" i="1"/>
  <c r="W428" i="1" s="1"/>
  <c r="V429" i="1"/>
  <c r="W429" i="1" s="1"/>
  <c r="AE429" i="1" s="1"/>
  <c r="V430" i="1"/>
  <c r="W430" i="1" s="1"/>
  <c r="AE430" i="1" s="1"/>
  <c r="V431" i="1"/>
  <c r="W431" i="1" s="1"/>
  <c r="V432" i="1"/>
  <c r="W432" i="1" s="1"/>
  <c r="V433" i="1"/>
  <c r="W433" i="1" s="1"/>
  <c r="AE433" i="1" s="1"/>
  <c r="V434" i="1"/>
  <c r="W434" i="1" s="1"/>
  <c r="AE434" i="1" s="1"/>
  <c r="V435" i="1"/>
  <c r="W435" i="1" s="1"/>
  <c r="V436" i="1"/>
  <c r="W436" i="1" s="1"/>
  <c r="V437" i="1"/>
  <c r="W437" i="1" s="1"/>
  <c r="AE437" i="1" s="1"/>
  <c r="V438" i="1"/>
  <c r="W438" i="1" s="1"/>
  <c r="AE438" i="1" s="1"/>
  <c r="V439" i="1"/>
  <c r="W439" i="1" s="1"/>
  <c r="V440" i="1"/>
  <c r="W440" i="1" s="1"/>
  <c r="V441" i="1"/>
  <c r="W441" i="1" s="1"/>
  <c r="AE441" i="1" s="1"/>
  <c r="V442" i="1"/>
  <c r="W442" i="1" s="1"/>
  <c r="AE442" i="1" s="1"/>
  <c r="V443" i="1"/>
  <c r="W443" i="1" s="1"/>
  <c r="V444" i="1"/>
  <c r="W444" i="1" s="1"/>
  <c r="V445" i="1"/>
  <c r="W445" i="1" s="1"/>
  <c r="AE445" i="1" s="1"/>
  <c r="V446" i="1"/>
  <c r="W446" i="1" s="1"/>
  <c r="AE446" i="1" s="1"/>
  <c r="V447" i="1"/>
  <c r="W447" i="1" s="1"/>
  <c r="V448" i="1"/>
  <c r="W448" i="1" s="1"/>
  <c r="V449" i="1"/>
  <c r="W449" i="1" s="1"/>
  <c r="AE449" i="1" s="1"/>
  <c r="V450" i="1"/>
  <c r="W450" i="1" s="1"/>
  <c r="AE450" i="1" s="1"/>
  <c r="V451" i="1"/>
  <c r="W451" i="1" s="1"/>
  <c r="V452" i="1"/>
  <c r="W452" i="1" s="1"/>
  <c r="V453" i="1"/>
  <c r="W453" i="1" s="1"/>
  <c r="AE453" i="1" s="1"/>
  <c r="V454" i="1"/>
  <c r="W454" i="1" s="1"/>
  <c r="AE454" i="1" s="1"/>
  <c r="V455" i="1"/>
  <c r="W455" i="1" s="1"/>
  <c r="V456" i="1"/>
  <c r="W456" i="1" s="1"/>
  <c r="V457" i="1"/>
  <c r="W457" i="1" s="1"/>
  <c r="AE457" i="1" s="1"/>
  <c r="V458" i="1"/>
  <c r="W458" i="1" s="1"/>
  <c r="AE458" i="1" s="1"/>
  <c r="V459" i="1"/>
  <c r="W459" i="1" s="1"/>
  <c r="V460" i="1"/>
  <c r="W460" i="1" s="1"/>
  <c r="V461" i="1"/>
  <c r="W461" i="1" s="1"/>
  <c r="AE461" i="1" s="1"/>
  <c r="V462" i="1"/>
  <c r="W462" i="1" s="1"/>
  <c r="AE462" i="1" s="1"/>
  <c r="V463" i="1"/>
  <c r="W463" i="1" s="1"/>
  <c r="V464" i="1"/>
  <c r="W464" i="1" s="1"/>
  <c r="V465" i="1"/>
  <c r="W465" i="1" s="1"/>
  <c r="AE465" i="1" s="1"/>
  <c r="V466" i="1"/>
  <c r="W466" i="1" s="1"/>
  <c r="AE466" i="1" s="1"/>
  <c r="V467" i="1"/>
  <c r="W467" i="1" s="1"/>
  <c r="V468" i="1"/>
  <c r="W468" i="1" s="1"/>
  <c r="V469" i="1"/>
  <c r="W469" i="1" s="1"/>
  <c r="AE469" i="1" s="1"/>
  <c r="V470" i="1"/>
  <c r="W470" i="1" s="1"/>
  <c r="AE470" i="1" s="1"/>
  <c r="V471" i="1"/>
  <c r="W471" i="1" s="1"/>
  <c r="V472" i="1"/>
  <c r="W472" i="1" s="1"/>
  <c r="V473" i="1"/>
  <c r="W473" i="1" s="1"/>
  <c r="AE473" i="1" s="1"/>
  <c r="V474" i="1"/>
  <c r="W474" i="1" s="1"/>
  <c r="AE474" i="1" s="1"/>
  <c r="V475" i="1"/>
  <c r="W475" i="1" s="1"/>
  <c r="V476" i="1"/>
  <c r="W476" i="1" s="1"/>
  <c r="V477" i="1"/>
  <c r="W477" i="1" s="1"/>
  <c r="AE477" i="1" s="1"/>
  <c r="V478" i="1"/>
  <c r="W478" i="1" s="1"/>
  <c r="AE478" i="1" s="1"/>
  <c r="V479" i="1"/>
  <c r="W479" i="1" s="1"/>
  <c r="V480" i="1"/>
  <c r="W480" i="1" s="1"/>
  <c r="V481" i="1"/>
  <c r="W481" i="1" s="1"/>
  <c r="AE481" i="1" s="1"/>
  <c r="V482" i="1"/>
  <c r="W482" i="1" s="1"/>
  <c r="AE482" i="1" s="1"/>
  <c r="V483" i="1"/>
  <c r="W483" i="1" s="1"/>
  <c r="V484" i="1"/>
  <c r="W484" i="1" s="1"/>
  <c r="V485" i="1"/>
  <c r="W485" i="1" s="1"/>
  <c r="AE485" i="1" s="1"/>
  <c r="V486" i="1"/>
  <c r="W486" i="1" s="1"/>
  <c r="AE486" i="1" s="1"/>
  <c r="V487" i="1"/>
  <c r="W487" i="1" s="1"/>
  <c r="V488" i="1"/>
  <c r="W488" i="1" s="1"/>
  <c r="V489" i="1"/>
  <c r="W489" i="1" s="1"/>
  <c r="AE489" i="1" s="1"/>
  <c r="V490" i="1"/>
  <c r="W490" i="1" s="1"/>
  <c r="AE490" i="1" s="1"/>
  <c r="V491" i="1"/>
  <c r="W491" i="1" s="1"/>
  <c r="V492" i="1"/>
  <c r="W492" i="1" s="1"/>
  <c r="V493" i="1"/>
  <c r="W493" i="1" s="1"/>
  <c r="AE493" i="1" s="1"/>
  <c r="V494" i="1"/>
  <c r="W494" i="1" s="1"/>
  <c r="AE494" i="1" s="1"/>
  <c r="V495" i="1"/>
  <c r="W495" i="1" s="1"/>
  <c r="V496" i="1"/>
  <c r="W496" i="1" s="1"/>
  <c r="V497" i="1"/>
  <c r="W497" i="1" s="1"/>
  <c r="AE497" i="1" s="1"/>
  <c r="V498" i="1"/>
  <c r="W498" i="1" s="1"/>
  <c r="AE498" i="1" s="1"/>
  <c r="V499" i="1"/>
  <c r="W499" i="1" s="1"/>
  <c r="V500" i="1"/>
  <c r="W500" i="1" s="1"/>
  <c r="V501" i="1"/>
  <c r="W501" i="1" s="1"/>
  <c r="AE501" i="1" s="1"/>
  <c r="V502" i="1"/>
  <c r="W502" i="1" s="1"/>
  <c r="AE502" i="1" s="1"/>
  <c r="V503" i="1"/>
  <c r="W503" i="1" s="1"/>
  <c r="V504" i="1"/>
  <c r="W504" i="1" s="1"/>
  <c r="V505" i="1"/>
  <c r="W505" i="1" s="1"/>
  <c r="AE505" i="1" s="1"/>
  <c r="V506" i="1"/>
  <c r="W506" i="1" s="1"/>
  <c r="AE506" i="1" s="1"/>
  <c r="V507" i="1"/>
  <c r="W507" i="1" s="1"/>
  <c r="V508" i="1"/>
  <c r="W508" i="1" s="1"/>
  <c r="V509" i="1"/>
  <c r="W509" i="1" s="1"/>
  <c r="AE509" i="1" s="1"/>
  <c r="V510" i="1"/>
  <c r="W510" i="1" s="1"/>
  <c r="AE510" i="1" s="1"/>
  <c r="V511" i="1"/>
  <c r="W511" i="1" s="1"/>
  <c r="V512" i="1"/>
  <c r="W512" i="1" s="1"/>
  <c r="V513" i="1"/>
  <c r="W513" i="1" s="1"/>
  <c r="AE513" i="1" s="1"/>
  <c r="V514" i="1"/>
  <c r="W514" i="1" s="1"/>
  <c r="AE514" i="1" s="1"/>
  <c r="V515" i="1"/>
  <c r="W515" i="1" s="1"/>
  <c r="V516" i="1"/>
  <c r="W516" i="1" s="1"/>
  <c r="V517" i="1"/>
  <c r="W517" i="1" s="1"/>
  <c r="AE517" i="1" s="1"/>
  <c r="V518" i="1"/>
  <c r="W518" i="1" s="1"/>
  <c r="AE518" i="1" s="1"/>
  <c r="V519" i="1"/>
  <c r="W519" i="1" s="1"/>
  <c r="V520" i="1"/>
  <c r="W520" i="1" s="1"/>
  <c r="V521" i="1"/>
  <c r="W521" i="1" s="1"/>
  <c r="AE521" i="1" s="1"/>
  <c r="V522" i="1"/>
  <c r="W522" i="1" s="1"/>
  <c r="AE522" i="1" s="1"/>
  <c r="V523" i="1"/>
  <c r="W523" i="1" s="1"/>
  <c r="V524" i="1"/>
  <c r="W524" i="1" s="1"/>
  <c r="V525" i="1"/>
  <c r="W525" i="1" s="1"/>
  <c r="AE525" i="1" s="1"/>
  <c r="V526" i="1"/>
  <c r="W526" i="1" s="1"/>
  <c r="AE526" i="1" s="1"/>
  <c r="V527" i="1"/>
  <c r="W527" i="1" s="1"/>
  <c r="V528" i="1"/>
  <c r="W528" i="1" s="1"/>
  <c r="V529" i="1"/>
  <c r="W529" i="1" s="1"/>
  <c r="AE529" i="1" s="1"/>
  <c r="V530" i="1"/>
  <c r="W530" i="1" s="1"/>
  <c r="AE530" i="1" s="1"/>
  <c r="V531" i="1"/>
  <c r="W531" i="1" s="1"/>
  <c r="V532" i="1"/>
  <c r="W532" i="1" s="1"/>
  <c r="V533" i="1"/>
  <c r="W533" i="1" s="1"/>
  <c r="AE533" i="1" s="1"/>
  <c r="V534" i="1"/>
  <c r="W534" i="1" s="1"/>
  <c r="AE534" i="1" s="1"/>
  <c r="V535" i="1"/>
  <c r="W535" i="1" s="1"/>
  <c r="V536" i="1"/>
  <c r="W536" i="1" s="1"/>
  <c r="V537" i="1"/>
  <c r="W537" i="1" s="1"/>
  <c r="AE537" i="1" s="1"/>
  <c r="V538" i="1"/>
  <c r="W538" i="1" s="1"/>
  <c r="AE538" i="1" s="1"/>
  <c r="V539" i="1"/>
  <c r="W539" i="1" s="1"/>
  <c r="V540" i="1"/>
  <c r="W540" i="1" s="1"/>
  <c r="V541" i="1"/>
  <c r="W541" i="1" s="1"/>
  <c r="AE541" i="1" s="1"/>
  <c r="V542" i="1"/>
  <c r="W542" i="1" s="1"/>
  <c r="AE542" i="1" s="1"/>
  <c r="V543" i="1"/>
  <c r="W543" i="1" s="1"/>
  <c r="V544" i="1"/>
  <c r="W544" i="1" s="1"/>
  <c r="V545" i="1"/>
  <c r="W545" i="1" s="1"/>
  <c r="AE545" i="1" s="1"/>
  <c r="V546" i="1"/>
  <c r="W546" i="1" s="1"/>
  <c r="AE546" i="1" s="1"/>
  <c r="V547" i="1"/>
  <c r="W547" i="1" s="1"/>
  <c r="V548" i="1"/>
  <c r="W548" i="1" s="1"/>
  <c r="V549" i="1"/>
  <c r="W549" i="1" s="1"/>
  <c r="AE549" i="1" s="1"/>
  <c r="V550" i="1"/>
  <c r="W550" i="1" s="1"/>
  <c r="AE550" i="1" s="1"/>
  <c r="V551" i="1"/>
  <c r="W551" i="1" s="1"/>
  <c r="V552" i="1"/>
  <c r="W552" i="1" s="1"/>
  <c r="V553" i="1"/>
  <c r="W553" i="1" s="1"/>
  <c r="AE553" i="1" s="1"/>
  <c r="V554" i="1"/>
  <c r="W554" i="1" s="1"/>
  <c r="AE554" i="1" s="1"/>
  <c r="V555" i="1"/>
  <c r="W555" i="1" s="1"/>
  <c r="V556" i="1"/>
  <c r="W556" i="1" s="1"/>
  <c r="V557" i="1"/>
  <c r="W557" i="1" s="1"/>
  <c r="AE557" i="1" s="1"/>
  <c r="V558" i="1"/>
  <c r="W558" i="1" s="1"/>
  <c r="AE558" i="1" s="1"/>
  <c r="V559" i="1"/>
  <c r="W559" i="1" s="1"/>
  <c r="V560" i="1"/>
  <c r="W560" i="1" s="1"/>
  <c r="V561" i="1"/>
  <c r="W561" i="1" s="1"/>
  <c r="AE561" i="1" s="1"/>
  <c r="V562" i="1"/>
  <c r="W562" i="1" s="1"/>
  <c r="AE562" i="1" s="1"/>
  <c r="V563" i="1"/>
  <c r="W563" i="1" s="1"/>
  <c r="V564" i="1"/>
  <c r="W564" i="1" s="1"/>
  <c r="V565" i="1"/>
  <c r="W565" i="1" s="1"/>
  <c r="AE565" i="1" s="1"/>
  <c r="V566" i="1"/>
  <c r="W566" i="1" s="1"/>
  <c r="AE566" i="1" s="1"/>
  <c r="V567" i="1"/>
  <c r="W567" i="1" s="1"/>
  <c r="V568" i="1"/>
  <c r="W568" i="1" s="1"/>
  <c r="V569" i="1"/>
  <c r="W569" i="1" s="1"/>
  <c r="AE569" i="1" s="1"/>
  <c r="V570" i="1"/>
  <c r="W570" i="1" s="1"/>
  <c r="AE570" i="1" s="1"/>
  <c r="V571" i="1"/>
  <c r="W571" i="1" s="1"/>
  <c r="V572" i="1"/>
  <c r="W572" i="1" s="1"/>
  <c r="V573" i="1"/>
  <c r="W573" i="1" s="1"/>
  <c r="AE573" i="1" s="1"/>
  <c r="V574" i="1"/>
  <c r="W574" i="1" s="1"/>
  <c r="AE574" i="1" s="1"/>
  <c r="V575" i="1"/>
  <c r="W575" i="1" s="1"/>
  <c r="V576" i="1"/>
  <c r="W576" i="1" s="1"/>
  <c r="V577" i="1"/>
  <c r="W577" i="1" s="1"/>
  <c r="AE577" i="1" s="1"/>
  <c r="V578" i="1"/>
  <c r="W578" i="1" s="1"/>
  <c r="AE578" i="1" s="1"/>
  <c r="V579" i="1"/>
  <c r="W579" i="1" s="1"/>
  <c r="V580" i="1"/>
  <c r="W580" i="1" s="1"/>
  <c r="V581" i="1"/>
  <c r="W581" i="1" s="1"/>
  <c r="AE581" i="1" s="1"/>
  <c r="V582" i="1"/>
  <c r="W582" i="1" s="1"/>
  <c r="AE582" i="1" s="1"/>
  <c r="V583" i="1"/>
  <c r="W583" i="1" s="1"/>
  <c r="V584" i="1"/>
  <c r="W584" i="1" s="1"/>
  <c r="V585" i="1"/>
  <c r="W585" i="1" s="1"/>
  <c r="AE585" i="1" s="1"/>
  <c r="V586" i="1"/>
  <c r="W586" i="1" s="1"/>
  <c r="AE586" i="1" s="1"/>
  <c r="V587" i="1"/>
  <c r="W587" i="1" s="1"/>
  <c r="V588" i="1"/>
  <c r="W588" i="1" s="1"/>
  <c r="V589" i="1"/>
  <c r="W589" i="1" s="1"/>
  <c r="AE589" i="1" s="1"/>
  <c r="V590" i="1"/>
  <c r="W590" i="1" s="1"/>
  <c r="AE590" i="1" s="1"/>
  <c r="V591" i="1"/>
  <c r="W591" i="1" s="1"/>
  <c r="V592" i="1"/>
  <c r="W592" i="1" s="1"/>
  <c r="V593" i="1"/>
  <c r="W593" i="1" s="1"/>
  <c r="AE593" i="1" s="1"/>
  <c r="V594" i="1"/>
  <c r="W594" i="1" s="1"/>
  <c r="AE594" i="1" s="1"/>
  <c r="V595" i="1"/>
  <c r="W595" i="1" s="1"/>
  <c r="V596" i="1"/>
  <c r="W596" i="1" s="1"/>
  <c r="V597" i="1"/>
  <c r="W597" i="1" s="1"/>
  <c r="AE597" i="1" s="1"/>
  <c r="V598" i="1"/>
  <c r="W598" i="1" s="1"/>
  <c r="AE598" i="1" s="1"/>
  <c r="V599" i="1"/>
  <c r="W599" i="1" s="1"/>
  <c r="V600" i="1"/>
  <c r="W600" i="1" s="1"/>
  <c r="V601" i="1"/>
  <c r="W601" i="1" s="1"/>
  <c r="AE601" i="1" s="1"/>
  <c r="V602" i="1"/>
  <c r="W602" i="1" s="1"/>
  <c r="AE602" i="1" s="1"/>
  <c r="V603" i="1"/>
  <c r="W603" i="1" s="1"/>
  <c r="V604" i="1"/>
  <c r="W604" i="1" s="1"/>
  <c r="V605" i="1"/>
  <c r="W605" i="1" s="1"/>
  <c r="AE605" i="1" s="1"/>
  <c r="V606" i="1"/>
  <c r="W606" i="1" s="1"/>
  <c r="AE606" i="1" s="1"/>
  <c r="V607" i="1"/>
  <c r="W607" i="1" s="1"/>
  <c r="V608" i="1"/>
  <c r="W608" i="1" s="1"/>
  <c r="V609" i="1"/>
  <c r="W609" i="1" s="1"/>
  <c r="AE609" i="1" s="1"/>
  <c r="V610" i="1"/>
  <c r="W610" i="1" s="1"/>
  <c r="AE610" i="1" s="1"/>
  <c r="V611" i="1"/>
  <c r="W611" i="1" s="1"/>
  <c r="V612" i="1"/>
  <c r="W612" i="1" s="1"/>
  <c r="V613" i="1"/>
  <c r="W613" i="1" s="1"/>
  <c r="AE613" i="1" s="1"/>
  <c r="V614" i="1"/>
  <c r="W614" i="1" s="1"/>
  <c r="AE614" i="1" s="1"/>
  <c r="V615" i="1"/>
  <c r="W615" i="1" s="1"/>
  <c r="V616" i="1"/>
  <c r="W616" i="1" s="1"/>
  <c r="V617" i="1"/>
  <c r="W617" i="1" s="1"/>
  <c r="AE617" i="1" s="1"/>
  <c r="V618" i="1"/>
  <c r="W618" i="1" s="1"/>
  <c r="AE618" i="1" s="1"/>
  <c r="V619" i="1"/>
  <c r="W619" i="1" s="1"/>
  <c r="V620" i="1"/>
  <c r="W620" i="1" s="1"/>
  <c r="V621" i="1"/>
  <c r="W621" i="1" s="1"/>
  <c r="AE621" i="1" s="1"/>
  <c r="V622" i="1"/>
  <c r="W622" i="1" s="1"/>
  <c r="AE622" i="1" s="1"/>
  <c r="V623" i="1"/>
  <c r="W623" i="1" s="1"/>
  <c r="V624" i="1"/>
  <c r="W624" i="1" s="1"/>
  <c r="V625" i="1"/>
  <c r="W625" i="1" s="1"/>
  <c r="AE625" i="1" s="1"/>
  <c r="V626" i="1"/>
  <c r="W626" i="1" s="1"/>
  <c r="AE626" i="1" s="1"/>
  <c r="V627" i="1"/>
  <c r="W627" i="1" s="1"/>
  <c r="V628" i="1"/>
  <c r="W628" i="1" s="1"/>
  <c r="V629" i="1"/>
  <c r="W629" i="1" s="1"/>
  <c r="AE629" i="1" s="1"/>
  <c r="V630" i="1"/>
  <c r="W630" i="1" s="1"/>
  <c r="AE630" i="1" s="1"/>
  <c r="V631" i="1"/>
  <c r="W631" i="1" s="1"/>
  <c r="V632" i="1"/>
  <c r="W63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AE632" i="1" l="1"/>
  <c r="AE628" i="1"/>
  <c r="AE624" i="1"/>
  <c r="AE620" i="1"/>
  <c r="AE616" i="1"/>
  <c r="AE612" i="1"/>
  <c r="AE608" i="1"/>
  <c r="AE604" i="1"/>
  <c r="AE600" i="1"/>
  <c r="AE596" i="1"/>
  <c r="AE592" i="1"/>
  <c r="AE588" i="1"/>
  <c r="AE584" i="1"/>
  <c r="AE580" i="1"/>
  <c r="AE576" i="1"/>
  <c r="AE572" i="1"/>
  <c r="AE568" i="1"/>
  <c r="AE564" i="1"/>
  <c r="AE560" i="1"/>
  <c r="AE556" i="1"/>
  <c r="AE552" i="1"/>
  <c r="AE548" i="1"/>
  <c r="AE544" i="1"/>
  <c r="AE540" i="1"/>
  <c r="AE536" i="1"/>
  <c r="AE532" i="1"/>
  <c r="AE528" i="1"/>
  <c r="AE524" i="1"/>
  <c r="AE520" i="1"/>
  <c r="AE516" i="1"/>
  <c r="AE512" i="1"/>
  <c r="AE508" i="1"/>
  <c r="AE504" i="1"/>
  <c r="AE500" i="1"/>
  <c r="AE496" i="1"/>
  <c r="AE492" i="1"/>
  <c r="AE488" i="1"/>
  <c r="AE484" i="1"/>
  <c r="AE480" i="1"/>
  <c r="AE476" i="1"/>
  <c r="AE472" i="1"/>
  <c r="AE468" i="1"/>
  <c r="AE464" i="1"/>
  <c r="AE460" i="1"/>
  <c r="AE456" i="1"/>
  <c r="AE452" i="1"/>
  <c r="AE448" i="1"/>
  <c r="AE444" i="1"/>
  <c r="AE440" i="1"/>
  <c r="AE436" i="1"/>
  <c r="AE432" i="1"/>
  <c r="AE428" i="1"/>
  <c r="AE424" i="1"/>
  <c r="AE420" i="1"/>
  <c r="AE416" i="1"/>
  <c r="AE412" i="1"/>
  <c r="AE408" i="1"/>
  <c r="AE404" i="1"/>
  <c r="AE400" i="1"/>
  <c r="AE396" i="1"/>
  <c r="AE392" i="1"/>
  <c r="AE388" i="1"/>
  <c r="AE384" i="1"/>
  <c r="AE380" i="1"/>
  <c r="AE376" i="1"/>
  <c r="AE372" i="1"/>
  <c r="AE368" i="1"/>
  <c r="AE364" i="1"/>
  <c r="AE360" i="1"/>
  <c r="AE356" i="1"/>
  <c r="AE352" i="1"/>
  <c r="AE348" i="1"/>
  <c r="AE344" i="1"/>
  <c r="AE340" i="1"/>
  <c r="AE336" i="1"/>
  <c r="AE332" i="1"/>
  <c r="AE328" i="1"/>
  <c r="AE324" i="1"/>
  <c r="AE320" i="1"/>
  <c r="AE316" i="1"/>
  <c r="AE312" i="1"/>
  <c r="AE308" i="1"/>
  <c r="AE304" i="1"/>
  <c r="AE300" i="1"/>
  <c r="AE296" i="1"/>
  <c r="AE292" i="1"/>
  <c r="AE288" i="1"/>
  <c r="AE284" i="1"/>
  <c r="AE280" i="1"/>
  <c r="AE276" i="1"/>
  <c r="AE272" i="1"/>
  <c r="AE268" i="1"/>
  <c r="AE264" i="1"/>
  <c r="AE260" i="1"/>
  <c r="AE256" i="1"/>
  <c r="AE252" i="1"/>
  <c r="AE248" i="1"/>
  <c r="AE244" i="1"/>
  <c r="AE240" i="1"/>
  <c r="AE236" i="1"/>
  <c r="AE232" i="1"/>
  <c r="AE228" i="1"/>
  <c r="AE224" i="1"/>
  <c r="AE220" i="1"/>
  <c r="AE216" i="1"/>
  <c r="AE212" i="1"/>
  <c r="AE208" i="1"/>
  <c r="AE204" i="1"/>
  <c r="AE200" i="1"/>
  <c r="AE196" i="1"/>
  <c r="AE192" i="1"/>
  <c r="AE188" i="1"/>
  <c r="AE184" i="1"/>
  <c r="AE180" i="1"/>
  <c r="AE176" i="1"/>
  <c r="AE172" i="1"/>
  <c r="AE168" i="1"/>
  <c r="AE164" i="1"/>
  <c r="AE160" i="1"/>
  <c r="AE156" i="1"/>
  <c r="AE152" i="1"/>
  <c r="AE148" i="1"/>
  <c r="AE144" i="1"/>
  <c r="AE140" i="1"/>
  <c r="AE136" i="1"/>
  <c r="AE132" i="1"/>
  <c r="AE128" i="1"/>
  <c r="AE124" i="1"/>
  <c r="AE120" i="1"/>
  <c r="AE116" i="1"/>
  <c r="AE112" i="1"/>
  <c r="AE108" i="1"/>
  <c r="AE104" i="1"/>
  <c r="AE100" i="1"/>
  <c r="AE96" i="1"/>
  <c r="AE92" i="1"/>
  <c r="AE88" i="1"/>
  <c r="AE84" i="1"/>
  <c r="AE80" i="1"/>
  <c r="AE76" i="1"/>
  <c r="AE72" i="1"/>
  <c r="AE68" i="1"/>
  <c r="AE64" i="1"/>
  <c r="AE60" i="1"/>
  <c r="AE56" i="1"/>
  <c r="AE52" i="1"/>
  <c r="AE48" i="1"/>
  <c r="AE44" i="1"/>
  <c r="AE40" i="1"/>
  <c r="AE36" i="1"/>
  <c r="AE32" i="1"/>
  <c r="AE28" i="1"/>
  <c r="AE24" i="1"/>
  <c r="AE20" i="1"/>
  <c r="AE16" i="1"/>
  <c r="AE12" i="1"/>
  <c r="AE8" i="1"/>
  <c r="AE4" i="1"/>
  <c r="AE631" i="1"/>
  <c r="AE627" i="1"/>
  <c r="AE623" i="1"/>
  <c r="AE619" i="1"/>
  <c r="AE615" i="1"/>
  <c r="AE611" i="1"/>
  <c r="AE607" i="1"/>
  <c r="AE603" i="1"/>
  <c r="AE599" i="1"/>
  <c r="AE595" i="1"/>
  <c r="AE591" i="1"/>
  <c r="AE587" i="1"/>
  <c r="AE583" i="1"/>
  <c r="AE579" i="1"/>
  <c r="AE575" i="1"/>
  <c r="AE571" i="1"/>
  <c r="AE567" i="1"/>
  <c r="AE563" i="1"/>
  <c r="AE559" i="1"/>
  <c r="AE555" i="1"/>
  <c r="AE551" i="1"/>
  <c r="AE547" i="1"/>
  <c r="AE543" i="1"/>
  <c r="AE539" i="1"/>
  <c r="AE535" i="1"/>
  <c r="AE531" i="1"/>
  <c r="AE527" i="1"/>
  <c r="AE523" i="1"/>
  <c r="AE519" i="1"/>
  <c r="AE515" i="1"/>
  <c r="AE511" i="1"/>
  <c r="AE507" i="1"/>
  <c r="AE503" i="1"/>
  <c r="AE499" i="1"/>
  <c r="AE495" i="1"/>
  <c r="AE491" i="1"/>
  <c r="AE487" i="1"/>
  <c r="AE483" i="1"/>
  <c r="AE479" i="1"/>
  <c r="AE475" i="1"/>
  <c r="AE471" i="1"/>
  <c r="AE467" i="1"/>
  <c r="AE463" i="1"/>
  <c r="AE459" i="1"/>
  <c r="AE455" i="1"/>
  <c r="AE451" i="1"/>
  <c r="AE447" i="1"/>
  <c r="AE443" i="1"/>
  <c r="AE439" i="1"/>
  <c r="AE435" i="1"/>
  <c r="AE431" i="1"/>
  <c r="AE427" i="1"/>
  <c r="W3" i="1"/>
  <c r="AE3" i="1" s="1"/>
  <c r="AD3" i="1"/>
  <c r="AE2" i="1"/>
  <c r="AD166" i="1"/>
  <c r="W166" i="1"/>
  <c r="AE166" i="1" s="1"/>
  <c r="AD2" i="1"/>
  <c r="AD633" i="1" s="1"/>
  <c r="C2" i="1"/>
  <c r="AH2" i="1" l="1"/>
  <c r="AE633" i="1"/>
  <c r="AG2" i="1"/>
  <c r="AG633" i="1" s="1"/>
  <c r="AI2" i="1"/>
  <c r="AI633" i="1" s="1"/>
  <c r="AK2" i="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2" i="1"/>
  <c r="N2" i="1" l="1"/>
  <c r="AJ439" i="1" l="1"/>
  <c r="AK439" i="1" s="1"/>
  <c r="AJ384" i="1"/>
  <c r="AK384" i="1" s="1"/>
  <c r="AJ440" i="1"/>
  <c r="AK440" i="1" s="1"/>
  <c r="AJ325" i="1"/>
  <c r="AK325" i="1" s="1"/>
  <c r="AJ65" i="1"/>
  <c r="AK65" i="1" s="1"/>
  <c r="AJ265" i="1"/>
  <c r="AK265" i="1" s="1"/>
  <c r="AJ441" i="1"/>
  <c r="AK441" i="1" s="1"/>
  <c r="AJ442" i="1"/>
  <c r="AK442" i="1" s="1"/>
  <c r="AJ3" i="1"/>
  <c r="AK3" i="1" s="1"/>
  <c r="AJ214" i="1"/>
  <c r="AK214" i="1" s="1"/>
  <c r="AJ326" i="1"/>
  <c r="AK326" i="1" s="1"/>
  <c r="AJ4" i="1"/>
  <c r="AK4" i="1" s="1"/>
  <c r="AJ160" i="1"/>
  <c r="AK160" i="1" s="1"/>
  <c r="AJ5" i="1"/>
  <c r="AK5" i="1" s="1"/>
  <c r="AJ385" i="1"/>
  <c r="AK385" i="1" s="1"/>
  <c r="AJ161" i="1"/>
  <c r="AK161" i="1" s="1"/>
  <c r="AJ327" i="1"/>
  <c r="AK327" i="1" s="1"/>
  <c r="AJ6" i="1"/>
  <c r="AK6" i="1" s="1"/>
  <c r="AJ528" i="1"/>
  <c r="AK528" i="1" s="1"/>
  <c r="AJ386" i="1"/>
  <c r="AK386" i="1" s="1"/>
  <c r="AJ109" i="1"/>
  <c r="AK109" i="1" s="1"/>
  <c r="AJ443" i="1"/>
  <c r="AK443" i="1" s="1"/>
  <c r="AJ582" i="1"/>
  <c r="AK582" i="1" s="1"/>
  <c r="AJ7" i="1"/>
  <c r="AK7" i="1" s="1"/>
  <c r="AJ8" i="1"/>
  <c r="AK8" i="1" s="1"/>
  <c r="AJ162" i="1"/>
  <c r="AK162" i="1" s="1"/>
  <c r="AJ387" i="1"/>
  <c r="AK387" i="1" s="1"/>
  <c r="AJ388" i="1"/>
  <c r="AK388" i="1" s="1"/>
  <c r="AJ163" i="1"/>
  <c r="AK163" i="1" s="1"/>
  <c r="AJ266" i="1"/>
  <c r="AK266" i="1" s="1"/>
  <c r="AJ66" i="1"/>
  <c r="AK66" i="1" s="1"/>
  <c r="AJ483" i="1"/>
  <c r="AK483" i="1" s="1"/>
  <c r="AJ529" i="1"/>
  <c r="AK529" i="1" s="1"/>
  <c r="AJ484" i="1"/>
  <c r="AK484" i="1" s="1"/>
  <c r="AJ267" i="1"/>
  <c r="AK267" i="1" s="1"/>
  <c r="AJ215" i="1"/>
  <c r="AK215" i="1" s="1"/>
  <c r="AJ110" i="1"/>
  <c r="AK110" i="1" s="1"/>
  <c r="AJ444" i="1"/>
  <c r="AK444" i="1" s="1"/>
  <c r="AJ583" i="1"/>
  <c r="AK583" i="1" s="1"/>
  <c r="AJ216" i="1"/>
  <c r="AK216" i="1" s="1"/>
  <c r="AJ485" i="1"/>
  <c r="AK485" i="1" s="1"/>
  <c r="AJ389" i="1"/>
  <c r="AK389" i="1" s="1"/>
  <c r="AJ217" i="1"/>
  <c r="AK217" i="1" s="1"/>
  <c r="AJ67" i="1"/>
  <c r="AK67" i="1" s="1"/>
  <c r="AJ268" i="1"/>
  <c r="AK268" i="1" s="1"/>
  <c r="AJ445" i="1"/>
  <c r="AK445" i="1" s="1"/>
  <c r="AJ530" i="1"/>
  <c r="AK530" i="1" s="1"/>
  <c r="AJ446" i="1"/>
  <c r="AK446" i="1" s="1"/>
  <c r="AJ164" i="1"/>
  <c r="AK164" i="1" s="1"/>
  <c r="AJ68" i="1"/>
  <c r="AK68" i="1" s="1"/>
  <c r="AJ269" i="1"/>
  <c r="AK269" i="1" s="1"/>
  <c r="AJ390" i="1"/>
  <c r="AK390" i="1" s="1"/>
  <c r="AJ165" i="1"/>
  <c r="AK165" i="1" s="1"/>
  <c r="AJ218" i="1"/>
  <c r="AK218" i="1" s="1"/>
  <c r="AJ9" i="1"/>
  <c r="AK9" i="1" s="1"/>
  <c r="AJ10" i="1"/>
  <c r="AK10" i="1" s="1"/>
  <c r="AJ219" i="1"/>
  <c r="AK219" i="1" s="1"/>
  <c r="AJ166" i="1"/>
  <c r="AK166" i="1" s="1"/>
  <c r="AJ391" i="1"/>
  <c r="AK391" i="1" s="1"/>
  <c r="AJ167" i="1"/>
  <c r="AK167" i="1" s="1"/>
  <c r="AJ328" i="1"/>
  <c r="AK328" i="1" s="1"/>
  <c r="AJ168" i="1"/>
  <c r="AK168" i="1" s="1"/>
  <c r="AJ270" i="1"/>
  <c r="AK270" i="1" s="1"/>
  <c r="AJ486" i="1"/>
  <c r="AK486" i="1" s="1"/>
  <c r="AJ11" i="1"/>
  <c r="AK11" i="1" s="1"/>
  <c r="AJ531" i="1"/>
  <c r="AK531" i="1" s="1"/>
  <c r="AJ329" i="1"/>
  <c r="AK329" i="1" s="1"/>
  <c r="AJ487" i="1"/>
  <c r="AK487" i="1" s="1"/>
  <c r="AJ111" i="1"/>
  <c r="AK111" i="1" s="1"/>
  <c r="AJ220" i="1"/>
  <c r="AK220" i="1" s="1"/>
  <c r="AJ12" i="1"/>
  <c r="AK12" i="1" s="1"/>
  <c r="AJ488" i="1"/>
  <c r="AK488" i="1" s="1"/>
  <c r="AJ112" i="1"/>
  <c r="AK112" i="1" s="1"/>
  <c r="AJ489" i="1"/>
  <c r="AK489" i="1" s="1"/>
  <c r="AJ271" i="1"/>
  <c r="AK271" i="1" s="1"/>
  <c r="AJ13" i="1"/>
  <c r="AK13" i="1" s="1"/>
  <c r="AJ14" i="1"/>
  <c r="AK14" i="1" s="1"/>
  <c r="AJ532" i="1"/>
  <c r="AK532" i="1" s="1"/>
  <c r="AJ169" i="1"/>
  <c r="AK169" i="1" s="1"/>
  <c r="AJ490" i="1"/>
  <c r="AK490" i="1" s="1"/>
  <c r="AJ69" i="1"/>
  <c r="AK69" i="1" s="1"/>
  <c r="AJ170" i="1"/>
  <c r="AK170" i="1" s="1"/>
  <c r="AJ584" i="1"/>
  <c r="AK584" i="1" s="1"/>
  <c r="AJ533" i="1"/>
  <c r="AK533" i="1" s="1"/>
  <c r="AJ491" i="1"/>
  <c r="AK491" i="1" s="1"/>
  <c r="AJ113" i="1"/>
  <c r="AK113" i="1" s="1"/>
  <c r="AJ392" i="1"/>
  <c r="AK392" i="1" s="1"/>
  <c r="AJ272" i="1"/>
  <c r="AK272" i="1" s="1"/>
  <c r="AJ330" i="1"/>
  <c r="AK330" i="1" s="1"/>
  <c r="AJ331" i="1"/>
  <c r="AK331" i="1" s="1"/>
  <c r="AJ273" i="1"/>
  <c r="AK273" i="1" s="1"/>
  <c r="AJ15" i="1"/>
  <c r="AK15" i="1" s="1"/>
  <c r="AJ447" i="1"/>
  <c r="AK447" i="1" s="1"/>
  <c r="AJ393" i="1"/>
  <c r="AK393" i="1" s="1"/>
  <c r="AJ534" i="1"/>
  <c r="AK534" i="1" s="1"/>
  <c r="AJ274" i="1"/>
  <c r="AK274" i="1" s="1"/>
  <c r="AJ448" i="1"/>
  <c r="AK448" i="1" s="1"/>
  <c r="AJ114" i="1"/>
  <c r="AK114" i="1" s="1"/>
  <c r="AJ221" i="1"/>
  <c r="AK221" i="1" s="1"/>
  <c r="AJ115" i="1"/>
  <c r="AK115" i="1" s="1"/>
  <c r="AJ275" i="1"/>
  <c r="AK275" i="1" s="1"/>
  <c r="AJ394" i="1"/>
  <c r="AK394" i="1" s="1"/>
  <c r="AJ70" i="1"/>
  <c r="AK70" i="1" s="1"/>
  <c r="AJ116" i="1"/>
  <c r="AK116" i="1" s="1"/>
  <c r="AJ492" i="1"/>
  <c r="AK492" i="1" s="1"/>
  <c r="AJ395" i="1"/>
  <c r="AK395" i="1" s="1"/>
  <c r="AJ535" i="1"/>
  <c r="AK535" i="1" s="1"/>
  <c r="AJ332" i="1"/>
  <c r="AK332" i="1" s="1"/>
  <c r="AJ396" i="1"/>
  <c r="AK396" i="1" s="1"/>
  <c r="AJ117" i="1"/>
  <c r="AK117" i="1" s="1"/>
  <c r="AJ536" i="1"/>
  <c r="AK536" i="1" s="1"/>
  <c r="AJ493" i="1"/>
  <c r="AK493" i="1" s="1"/>
  <c r="AJ585" i="1"/>
  <c r="AK585" i="1" s="1"/>
  <c r="AJ333" i="1"/>
  <c r="AK333" i="1" s="1"/>
  <c r="AJ16" i="1"/>
  <c r="AK16" i="1" s="1"/>
  <c r="AJ71" i="1"/>
  <c r="AK71" i="1" s="1"/>
  <c r="AJ222" i="1"/>
  <c r="AK222" i="1" s="1"/>
  <c r="AJ118" i="1"/>
  <c r="AK118" i="1" s="1"/>
  <c r="AJ72" i="1"/>
  <c r="AK72" i="1" s="1"/>
  <c r="AJ537" i="1"/>
  <c r="AK537" i="1" s="1"/>
  <c r="AJ171" i="1"/>
  <c r="AK171" i="1" s="1"/>
  <c r="AJ397" i="1"/>
  <c r="AK397" i="1" s="1"/>
  <c r="AJ17" i="1"/>
  <c r="AK17" i="1" s="1"/>
  <c r="AJ73" i="1"/>
  <c r="AK73" i="1" s="1"/>
  <c r="AJ119" i="1"/>
  <c r="AK119" i="1" s="1"/>
  <c r="AJ223" i="1"/>
  <c r="AK223" i="1" s="1"/>
  <c r="AJ538" i="1"/>
  <c r="AK538" i="1" s="1"/>
  <c r="AJ586" i="1"/>
  <c r="AK586" i="1" s="1"/>
  <c r="AJ587" i="1"/>
  <c r="AK587" i="1" s="1"/>
  <c r="AJ18" i="1"/>
  <c r="AK18" i="1" s="1"/>
  <c r="AJ449" i="1"/>
  <c r="AK449" i="1" s="1"/>
  <c r="AJ539" i="1"/>
  <c r="AK539" i="1" s="1"/>
  <c r="AJ120" i="1"/>
  <c r="AK120" i="1" s="1"/>
  <c r="AJ588" i="1"/>
  <c r="AK588" i="1" s="1"/>
  <c r="AJ172" i="1"/>
  <c r="AK172" i="1" s="1"/>
  <c r="AJ121" i="1"/>
  <c r="AK121" i="1" s="1"/>
  <c r="AJ398" i="1"/>
  <c r="AK398" i="1" s="1"/>
  <c r="AJ173" i="1"/>
  <c r="AK173" i="1" s="1"/>
  <c r="AJ122" i="1"/>
  <c r="AK122" i="1" s="1"/>
  <c r="AJ276" i="1"/>
  <c r="AK276" i="1" s="1"/>
  <c r="AJ224" i="1"/>
  <c r="AK224" i="1" s="1"/>
  <c r="AJ589" i="1"/>
  <c r="AK589" i="1" s="1"/>
  <c r="AJ74" i="1"/>
  <c r="AK74" i="1" s="1"/>
  <c r="AJ19" i="1"/>
  <c r="AK19" i="1" s="1"/>
  <c r="AJ494" i="1"/>
  <c r="AK494" i="1" s="1"/>
  <c r="AJ399" i="1"/>
  <c r="AK399" i="1" s="1"/>
  <c r="AJ225" i="1"/>
  <c r="AK225" i="1" s="1"/>
  <c r="AJ174" i="1"/>
  <c r="AK174" i="1" s="1"/>
  <c r="AJ75" i="1"/>
  <c r="AK75" i="1" s="1"/>
  <c r="AJ76" i="1"/>
  <c r="AK76" i="1" s="1"/>
  <c r="AJ495" i="1"/>
  <c r="AK495" i="1" s="1"/>
  <c r="AJ334" i="1"/>
  <c r="AK334" i="1" s="1"/>
  <c r="AJ400" i="1"/>
  <c r="AK400" i="1" s="1"/>
  <c r="AJ401" i="1"/>
  <c r="AK401" i="1" s="1"/>
  <c r="AJ335" i="1"/>
  <c r="AK335" i="1" s="1"/>
  <c r="AJ175" i="1"/>
  <c r="AK175" i="1" s="1"/>
  <c r="AJ277" i="1"/>
  <c r="AK277" i="1" s="1"/>
  <c r="AJ226" i="1"/>
  <c r="AK226" i="1" s="1"/>
  <c r="AJ123" i="1"/>
  <c r="AK123" i="1" s="1"/>
  <c r="AJ278" i="1"/>
  <c r="AK278" i="1" s="1"/>
  <c r="AJ124" i="1"/>
  <c r="AK124" i="1" s="1"/>
  <c r="AJ20" i="1"/>
  <c r="AK20" i="1" s="1"/>
  <c r="AJ336" i="1"/>
  <c r="AK336" i="1" s="1"/>
  <c r="AJ125" i="1"/>
  <c r="AK125" i="1" s="1"/>
  <c r="AJ227" i="1"/>
  <c r="AK227" i="1" s="1"/>
  <c r="AJ126" i="1"/>
  <c r="AK126" i="1" s="1"/>
  <c r="AJ176" i="1"/>
  <c r="AK176" i="1" s="1"/>
  <c r="AJ279" i="1"/>
  <c r="AK279" i="1" s="1"/>
  <c r="AJ540" i="1"/>
  <c r="AK540" i="1" s="1"/>
  <c r="AJ337" i="1"/>
  <c r="AK337" i="1" s="1"/>
  <c r="AJ338" i="1"/>
  <c r="AK338" i="1" s="1"/>
  <c r="AJ590" i="1"/>
  <c r="AK590" i="1" s="1"/>
  <c r="AJ496" i="1"/>
  <c r="AK496" i="1" s="1"/>
  <c r="AJ497" i="1"/>
  <c r="AK497" i="1" s="1"/>
  <c r="AJ541" i="1"/>
  <c r="AK541" i="1" s="1"/>
  <c r="AJ542" i="1"/>
  <c r="AK542" i="1" s="1"/>
  <c r="AJ228" i="1"/>
  <c r="AK228" i="1" s="1"/>
  <c r="AJ77" i="1"/>
  <c r="AK77" i="1" s="1"/>
  <c r="AJ127" i="1"/>
  <c r="AK127" i="1" s="1"/>
  <c r="AJ21" i="1"/>
  <c r="AK21" i="1" s="1"/>
  <c r="AJ128" i="1"/>
  <c r="AK128" i="1" s="1"/>
  <c r="AJ339" i="1"/>
  <c r="AK339" i="1" s="1"/>
  <c r="AJ450" i="1"/>
  <c r="AK450" i="1" s="1"/>
  <c r="AJ451" i="1"/>
  <c r="AK451" i="1" s="1"/>
  <c r="AJ177" i="1"/>
  <c r="AK177" i="1" s="1"/>
  <c r="AJ178" i="1"/>
  <c r="AK178" i="1" s="1"/>
  <c r="AJ22" i="1"/>
  <c r="AK22" i="1" s="1"/>
  <c r="AJ23" i="1"/>
  <c r="AK23" i="1" s="1"/>
  <c r="AJ129" i="1"/>
  <c r="AK129" i="1" s="1"/>
  <c r="AJ543" i="1"/>
  <c r="AK543" i="1" s="1"/>
  <c r="AJ591" i="1"/>
  <c r="AK591" i="1" s="1"/>
  <c r="AJ130" i="1"/>
  <c r="AK130" i="1" s="1"/>
  <c r="AJ592" i="1"/>
  <c r="AK592" i="1" s="1"/>
  <c r="AJ24" i="1"/>
  <c r="AK24" i="1" s="1"/>
  <c r="AJ340" i="1"/>
  <c r="AK340" i="1" s="1"/>
  <c r="AJ402" i="1"/>
  <c r="AK402" i="1" s="1"/>
  <c r="AJ229" i="1"/>
  <c r="AK229" i="1" s="1"/>
  <c r="AJ230" i="1"/>
  <c r="AK230" i="1" s="1"/>
  <c r="AJ593" i="1"/>
  <c r="AK593" i="1" s="1"/>
  <c r="AJ594" i="1"/>
  <c r="AK594" i="1" s="1"/>
  <c r="AJ595" i="1"/>
  <c r="AK595" i="1" s="1"/>
  <c r="AJ403" i="1"/>
  <c r="AK403" i="1" s="1"/>
  <c r="AJ544" i="1"/>
  <c r="AK544" i="1" s="1"/>
  <c r="AJ231" i="1"/>
  <c r="AK231" i="1" s="1"/>
  <c r="AJ545" i="1"/>
  <c r="AK545" i="1" s="1"/>
  <c r="AJ404" i="1"/>
  <c r="AK404" i="1" s="1"/>
  <c r="AJ405" i="1"/>
  <c r="AK405" i="1" s="1"/>
  <c r="AJ452" i="1"/>
  <c r="AK452" i="1" s="1"/>
  <c r="AJ498" i="1"/>
  <c r="AK498" i="1" s="1"/>
  <c r="AJ78" i="1"/>
  <c r="AK78" i="1" s="1"/>
  <c r="AJ131" i="1"/>
  <c r="AK131" i="1" s="1"/>
  <c r="AJ406" i="1"/>
  <c r="AK406" i="1" s="1"/>
  <c r="AJ25" i="1"/>
  <c r="AK25" i="1" s="1"/>
  <c r="AJ341" i="1"/>
  <c r="AK341" i="1" s="1"/>
  <c r="AJ280" i="1"/>
  <c r="AK280" i="1" s="1"/>
  <c r="AJ232" i="1"/>
  <c r="AK232" i="1" s="1"/>
  <c r="AJ132" i="1"/>
  <c r="AK132" i="1" s="1"/>
  <c r="AJ26" i="1"/>
  <c r="AK26" i="1" s="1"/>
  <c r="AJ407" i="1"/>
  <c r="AK407" i="1" s="1"/>
  <c r="AJ596" i="1"/>
  <c r="AK596" i="1" s="1"/>
  <c r="AJ499" i="1"/>
  <c r="AK499" i="1" s="1"/>
  <c r="AJ500" i="1"/>
  <c r="AK500" i="1" s="1"/>
  <c r="AJ546" i="1"/>
  <c r="AK546" i="1" s="1"/>
  <c r="AJ27" i="1"/>
  <c r="AK27" i="1" s="1"/>
  <c r="AJ342" i="1"/>
  <c r="AK342" i="1" s="1"/>
  <c r="AJ597" i="1"/>
  <c r="AK597" i="1" s="1"/>
  <c r="AJ598" i="1"/>
  <c r="AK598" i="1" s="1"/>
  <c r="AJ408" i="1"/>
  <c r="AK408" i="1" s="1"/>
  <c r="AJ133" i="1"/>
  <c r="AK133" i="1" s="1"/>
  <c r="AJ28" i="1"/>
  <c r="AK28" i="1" s="1"/>
  <c r="AJ453" i="1"/>
  <c r="AK453" i="1" s="1"/>
  <c r="AJ343" i="1"/>
  <c r="AK343" i="1" s="1"/>
  <c r="AJ501" i="1"/>
  <c r="AK501" i="1" s="1"/>
  <c r="AJ344" i="1"/>
  <c r="AK344" i="1" s="1"/>
  <c r="AJ409" i="1"/>
  <c r="AK409" i="1" s="1"/>
  <c r="AJ79" i="1"/>
  <c r="AK79" i="1" s="1"/>
  <c r="AJ281" i="1"/>
  <c r="AK281" i="1" s="1"/>
  <c r="AJ599" i="1"/>
  <c r="AK599" i="1" s="1"/>
  <c r="AJ282" i="1"/>
  <c r="AK282" i="1" s="1"/>
  <c r="AJ134" i="1"/>
  <c r="AK134" i="1" s="1"/>
  <c r="AJ345" i="1"/>
  <c r="AK345" i="1" s="1"/>
  <c r="AJ233" i="1"/>
  <c r="AK233" i="1" s="1"/>
  <c r="AJ29" i="1"/>
  <c r="AK29" i="1" s="1"/>
  <c r="AJ454" i="1"/>
  <c r="AK454" i="1" s="1"/>
  <c r="AJ80" i="1"/>
  <c r="AK80" i="1" s="1"/>
  <c r="AJ234" i="1"/>
  <c r="AK234" i="1" s="1"/>
  <c r="AJ410" i="1"/>
  <c r="AK410" i="1" s="1"/>
  <c r="AJ346" i="1"/>
  <c r="AK346" i="1" s="1"/>
  <c r="AJ600" i="1"/>
  <c r="AK600" i="1" s="1"/>
  <c r="AJ81" i="1"/>
  <c r="AK81" i="1" s="1"/>
  <c r="AJ82" i="1"/>
  <c r="AK82" i="1" s="1"/>
  <c r="AJ601" i="1"/>
  <c r="AK601" i="1" s="1"/>
  <c r="AJ347" i="1"/>
  <c r="AK347" i="1" s="1"/>
  <c r="AJ235" i="1"/>
  <c r="AK235" i="1" s="1"/>
  <c r="AJ283" i="1"/>
  <c r="AK283" i="1" s="1"/>
  <c r="AJ547" i="1"/>
  <c r="AK547" i="1" s="1"/>
  <c r="AJ236" i="1"/>
  <c r="AK236" i="1" s="1"/>
  <c r="AJ30" i="1"/>
  <c r="AK30" i="1" s="1"/>
  <c r="AJ455" i="1"/>
  <c r="AK455" i="1" s="1"/>
  <c r="AJ237" i="1"/>
  <c r="AK237" i="1" s="1"/>
  <c r="AJ31" i="1"/>
  <c r="AK31" i="1" s="1"/>
  <c r="AJ502" i="1"/>
  <c r="AK502" i="1" s="1"/>
  <c r="AJ456" i="1"/>
  <c r="AK456" i="1" s="1"/>
  <c r="AJ83" i="1"/>
  <c r="AK83" i="1" s="1"/>
  <c r="AJ548" i="1"/>
  <c r="AK548" i="1" s="1"/>
  <c r="AJ457" i="1"/>
  <c r="AK457" i="1" s="1"/>
  <c r="AJ32" i="1"/>
  <c r="AK32" i="1" s="1"/>
  <c r="AJ179" i="1"/>
  <c r="AK179" i="1" s="1"/>
  <c r="AJ33" i="1"/>
  <c r="AK33" i="1" s="1"/>
  <c r="AJ284" i="1"/>
  <c r="AK284" i="1" s="1"/>
  <c r="AJ238" i="1"/>
  <c r="AK238" i="1" s="1"/>
  <c r="AJ84" i="1"/>
  <c r="AK84" i="1" s="1"/>
  <c r="AJ180" i="1"/>
  <c r="AK180" i="1" s="1"/>
  <c r="AJ34" i="1"/>
  <c r="AK34" i="1" s="1"/>
  <c r="AJ602" i="1"/>
  <c r="AK602" i="1" s="1"/>
  <c r="AJ239" i="1"/>
  <c r="AK239" i="1" s="1"/>
  <c r="AJ503" i="1"/>
  <c r="AK503" i="1" s="1"/>
  <c r="AJ285" i="1"/>
  <c r="AK285" i="1" s="1"/>
  <c r="AJ603" i="1"/>
  <c r="AK603" i="1" s="1"/>
  <c r="AJ348" i="1"/>
  <c r="AK348" i="1" s="1"/>
  <c r="AJ411" i="1"/>
  <c r="AK411" i="1" s="1"/>
  <c r="AJ286" i="1"/>
  <c r="AK286" i="1" s="1"/>
  <c r="AJ240" i="1"/>
  <c r="AK240" i="1" s="1"/>
  <c r="AJ349" i="1"/>
  <c r="AK349" i="1" s="1"/>
  <c r="AJ241" i="1"/>
  <c r="AK241" i="1" s="1"/>
  <c r="AJ287" i="1"/>
  <c r="AK287" i="1" s="1"/>
  <c r="AJ504" i="1"/>
  <c r="AK504" i="1" s="1"/>
  <c r="AJ505" i="1"/>
  <c r="AK505" i="1" s="1"/>
  <c r="AJ458" i="1"/>
  <c r="AK458" i="1" s="1"/>
  <c r="AJ35" i="1"/>
  <c r="AK35" i="1" s="1"/>
  <c r="AJ549" i="1"/>
  <c r="AK549" i="1" s="1"/>
  <c r="AJ550" i="1"/>
  <c r="AK550" i="1" s="1"/>
  <c r="AJ350" i="1"/>
  <c r="AK350" i="1" s="1"/>
  <c r="AJ242" i="1"/>
  <c r="AK242" i="1" s="1"/>
  <c r="AJ85" i="1"/>
  <c r="AK85" i="1" s="1"/>
  <c r="AJ604" i="1"/>
  <c r="AK604" i="1" s="1"/>
  <c r="AJ605" i="1"/>
  <c r="AK605" i="1" s="1"/>
  <c r="AJ181" i="1"/>
  <c r="AK181" i="1" s="1"/>
  <c r="AJ86" i="1"/>
  <c r="AK86" i="1" s="1"/>
  <c r="AJ135" i="1"/>
  <c r="AK135" i="1" s="1"/>
  <c r="AJ36" i="1"/>
  <c r="AK36" i="1" s="1"/>
  <c r="AJ551" i="1"/>
  <c r="AK551" i="1" s="1"/>
  <c r="AJ412" i="1"/>
  <c r="AK412" i="1" s="1"/>
  <c r="AJ182" i="1"/>
  <c r="AK182" i="1" s="1"/>
  <c r="AJ459" i="1"/>
  <c r="AK459" i="1" s="1"/>
  <c r="AJ606" i="1"/>
  <c r="AK606" i="1" s="1"/>
  <c r="AJ351" i="1"/>
  <c r="AK351" i="1" s="1"/>
  <c r="AJ183" i="1"/>
  <c r="AK183" i="1" s="1"/>
  <c r="AJ552" i="1"/>
  <c r="AK552" i="1" s="1"/>
  <c r="AJ37" i="1"/>
  <c r="AK37" i="1" s="1"/>
  <c r="AJ87" i="1"/>
  <c r="AK87" i="1" s="1"/>
  <c r="AJ553" i="1"/>
  <c r="AK553" i="1" s="1"/>
  <c r="AJ506" i="1"/>
  <c r="AK506" i="1" s="1"/>
  <c r="AJ184" i="1"/>
  <c r="AK184" i="1" s="1"/>
  <c r="AJ352" i="1"/>
  <c r="AK352" i="1" s="1"/>
  <c r="AJ38" i="1"/>
  <c r="AK38" i="1" s="1"/>
  <c r="AJ607" i="1"/>
  <c r="AK607" i="1" s="1"/>
  <c r="AJ413" i="1"/>
  <c r="AK413" i="1" s="1"/>
  <c r="AJ243" i="1"/>
  <c r="AK243" i="1" s="1"/>
  <c r="AJ608" i="1"/>
  <c r="AK608" i="1" s="1"/>
  <c r="AJ185" i="1"/>
  <c r="AK185" i="1" s="1"/>
  <c r="AJ39" i="1"/>
  <c r="AK39" i="1" s="1"/>
  <c r="AJ40" i="1"/>
  <c r="AK40" i="1" s="1"/>
  <c r="AJ507" i="1"/>
  <c r="AK507" i="1" s="1"/>
  <c r="AJ288" i="1"/>
  <c r="AK288" i="1" s="1"/>
  <c r="AJ414" i="1"/>
  <c r="AK414" i="1" s="1"/>
  <c r="AJ41" i="1"/>
  <c r="AK41" i="1" s="1"/>
  <c r="AJ88" i="1"/>
  <c r="AK88" i="1" s="1"/>
  <c r="AJ609" i="1"/>
  <c r="AK609" i="1" s="1"/>
  <c r="AJ554" i="1"/>
  <c r="AK554" i="1" s="1"/>
  <c r="AJ289" i="1"/>
  <c r="AK289" i="1" s="1"/>
  <c r="AJ555" i="1"/>
  <c r="AK555" i="1" s="1"/>
  <c r="AJ290" i="1"/>
  <c r="AK290" i="1" s="1"/>
  <c r="AJ186" i="1"/>
  <c r="AK186" i="1" s="1"/>
  <c r="AJ136" i="1"/>
  <c r="AK136" i="1" s="1"/>
  <c r="AJ42" i="1"/>
  <c r="AK42" i="1" s="1"/>
  <c r="AJ460" i="1"/>
  <c r="AK460" i="1" s="1"/>
  <c r="AJ508" i="1"/>
  <c r="AK508" i="1" s="1"/>
  <c r="AJ415" i="1"/>
  <c r="AK415" i="1" s="1"/>
  <c r="AJ610" i="1"/>
  <c r="AK610" i="1" s="1"/>
  <c r="AJ416" i="1"/>
  <c r="AK416" i="1" s="1"/>
  <c r="AJ291" i="1"/>
  <c r="AK291" i="1" s="1"/>
  <c r="AJ353" i="1"/>
  <c r="AK353" i="1" s="1"/>
  <c r="AJ354" i="1"/>
  <c r="AK354" i="1" s="1"/>
  <c r="AJ89" i="1"/>
  <c r="AK89" i="1" s="1"/>
  <c r="AJ461" i="1"/>
  <c r="AK461" i="1" s="1"/>
  <c r="AJ462" i="1"/>
  <c r="AK462" i="1" s="1"/>
  <c r="AJ292" i="1"/>
  <c r="AK292" i="1" s="1"/>
  <c r="AJ556" i="1"/>
  <c r="AK556" i="1" s="1"/>
  <c r="AJ244" i="1"/>
  <c r="AK244" i="1" s="1"/>
  <c r="AJ463" i="1"/>
  <c r="AK463" i="1" s="1"/>
  <c r="AJ355" i="1"/>
  <c r="AK355" i="1" s="1"/>
  <c r="AJ43" i="1"/>
  <c r="AK43" i="1" s="1"/>
  <c r="AJ557" i="1"/>
  <c r="AK557" i="1" s="1"/>
  <c r="AJ44" i="1"/>
  <c r="AK44" i="1" s="1"/>
  <c r="AJ45" i="1"/>
  <c r="AK45" i="1" s="1"/>
  <c r="AJ137" i="1"/>
  <c r="AK137" i="1" s="1"/>
  <c r="AJ509" i="1"/>
  <c r="AK509" i="1" s="1"/>
  <c r="AJ558" i="1"/>
  <c r="AK558" i="1" s="1"/>
  <c r="AJ559" i="1"/>
  <c r="AK559" i="1" s="1"/>
  <c r="AJ464" i="1"/>
  <c r="AK464" i="1" s="1"/>
  <c r="AJ138" i="1"/>
  <c r="AK138" i="1" s="1"/>
  <c r="AJ560" i="1"/>
  <c r="AK560" i="1" s="1"/>
  <c r="AJ356" i="1"/>
  <c r="AK356" i="1" s="1"/>
  <c r="AJ417" i="1"/>
  <c r="AK417" i="1" s="1"/>
  <c r="AJ293" i="1"/>
  <c r="AK293" i="1" s="1"/>
  <c r="AJ611" i="1"/>
  <c r="AK611" i="1" s="1"/>
  <c r="AJ90" i="1"/>
  <c r="AK90" i="1" s="1"/>
  <c r="AJ187" i="1"/>
  <c r="AK187" i="1" s="1"/>
  <c r="AJ612" i="1"/>
  <c r="AK612" i="1" s="1"/>
  <c r="AJ465" i="1"/>
  <c r="AK465" i="1" s="1"/>
  <c r="AJ561" i="1"/>
  <c r="AK561" i="1" s="1"/>
  <c r="AJ613" i="1"/>
  <c r="AK613" i="1" s="1"/>
  <c r="AJ139" i="1"/>
  <c r="AK139" i="1" s="1"/>
  <c r="AJ140" i="1"/>
  <c r="AK140" i="1" s="1"/>
  <c r="AJ510" i="1"/>
  <c r="AK510" i="1" s="1"/>
  <c r="AJ511" i="1"/>
  <c r="AK511" i="1" s="1"/>
  <c r="AJ46" i="1"/>
  <c r="AK46" i="1" s="1"/>
  <c r="AJ562" i="1"/>
  <c r="AK562" i="1" s="1"/>
  <c r="AJ91" i="1"/>
  <c r="AK91" i="1" s="1"/>
  <c r="AJ563" i="1"/>
  <c r="AK563" i="1" s="1"/>
  <c r="AJ614" i="1"/>
  <c r="AK614" i="1" s="1"/>
  <c r="AJ188" i="1"/>
  <c r="AK188" i="1" s="1"/>
  <c r="AJ294" i="1"/>
  <c r="AK294" i="1" s="1"/>
  <c r="AJ295" i="1"/>
  <c r="AK295" i="1" s="1"/>
  <c r="AJ466" i="1"/>
  <c r="AK466" i="1" s="1"/>
  <c r="AJ141" i="1"/>
  <c r="AK141" i="1" s="1"/>
  <c r="AJ512" i="1"/>
  <c r="AK512" i="1" s="1"/>
  <c r="AJ513" i="1"/>
  <c r="AK513" i="1" s="1"/>
  <c r="AJ189" i="1"/>
  <c r="AK189" i="1" s="1"/>
  <c r="AJ142" i="1"/>
  <c r="AK142" i="1" s="1"/>
  <c r="AJ615" i="1"/>
  <c r="AK615" i="1" s="1"/>
  <c r="AJ564" i="1"/>
  <c r="AK564" i="1" s="1"/>
  <c r="AJ357" i="1"/>
  <c r="AK357" i="1" s="1"/>
  <c r="AJ245" i="1"/>
  <c r="AK245" i="1" s="1"/>
  <c r="AJ358" i="1"/>
  <c r="AK358" i="1" s="1"/>
  <c r="AJ514" i="1"/>
  <c r="AK514" i="1" s="1"/>
  <c r="AJ515" i="1"/>
  <c r="AK515" i="1" s="1"/>
  <c r="AJ418" i="1"/>
  <c r="AK418" i="1" s="1"/>
  <c r="AJ616" i="1"/>
  <c r="AK616" i="1" s="1"/>
  <c r="AJ92" i="1"/>
  <c r="AK92" i="1" s="1"/>
  <c r="AJ190" i="1"/>
  <c r="AK190" i="1" s="1"/>
  <c r="AJ47" i="1"/>
  <c r="AK47" i="1" s="1"/>
  <c r="AJ143" i="1"/>
  <c r="AK143" i="1" s="1"/>
  <c r="AJ296" i="1"/>
  <c r="AK296" i="1" s="1"/>
  <c r="AJ467" i="1"/>
  <c r="AK467" i="1" s="1"/>
  <c r="AJ297" i="1"/>
  <c r="AK297" i="1" s="1"/>
  <c r="AJ144" i="1"/>
  <c r="AK144" i="1" s="1"/>
  <c r="AJ359" i="1"/>
  <c r="AK359" i="1" s="1"/>
  <c r="AJ191" i="1"/>
  <c r="AK191" i="1" s="1"/>
  <c r="AJ246" i="1"/>
  <c r="AK246" i="1" s="1"/>
  <c r="AJ468" i="1"/>
  <c r="AK468" i="1" s="1"/>
  <c r="AJ298" i="1"/>
  <c r="AK298" i="1" s="1"/>
  <c r="AJ93" i="1"/>
  <c r="AK93" i="1" s="1"/>
  <c r="AJ299" i="1"/>
  <c r="AK299" i="1" s="1"/>
  <c r="AJ300" i="1"/>
  <c r="AK300" i="1" s="1"/>
  <c r="AJ145" i="1"/>
  <c r="AK145" i="1" s="1"/>
  <c r="AJ247" i="1"/>
  <c r="AK247" i="1" s="1"/>
  <c r="AJ360" i="1"/>
  <c r="AK360" i="1" s="1"/>
  <c r="AJ617" i="1"/>
  <c r="AK617" i="1" s="1"/>
  <c r="AJ469" i="1"/>
  <c r="AK469" i="1" s="1"/>
  <c r="AJ301" i="1"/>
  <c r="AK301" i="1" s="1"/>
  <c r="AJ146" i="1"/>
  <c r="AK146" i="1" s="1"/>
  <c r="AJ302" i="1"/>
  <c r="AK302" i="1" s="1"/>
  <c r="AJ470" i="1"/>
  <c r="AK470" i="1" s="1"/>
  <c r="AJ303" i="1"/>
  <c r="AK303" i="1" s="1"/>
  <c r="AJ192" i="1"/>
  <c r="AK192" i="1" s="1"/>
  <c r="AJ304" i="1"/>
  <c r="AK304" i="1" s="1"/>
  <c r="AJ248" i="1"/>
  <c r="AK248" i="1" s="1"/>
  <c r="AJ147" i="1"/>
  <c r="AK147" i="1" s="1"/>
  <c r="AJ565" i="1"/>
  <c r="AK565" i="1" s="1"/>
  <c r="AJ471" i="1"/>
  <c r="AK471" i="1" s="1"/>
  <c r="AJ148" i="1"/>
  <c r="AK148" i="1" s="1"/>
  <c r="AJ419" i="1"/>
  <c r="AK419" i="1" s="1"/>
  <c r="AJ305" i="1"/>
  <c r="AK305" i="1" s="1"/>
  <c r="AJ361" i="1"/>
  <c r="AK361" i="1" s="1"/>
  <c r="AJ193" i="1"/>
  <c r="AK193" i="1" s="1"/>
  <c r="AJ420" i="1"/>
  <c r="AK420" i="1" s="1"/>
  <c r="AJ149" i="1"/>
  <c r="AK149" i="1" s="1"/>
  <c r="AJ306" i="1"/>
  <c r="AK306" i="1" s="1"/>
  <c r="AJ307" i="1"/>
  <c r="AK307" i="1" s="1"/>
  <c r="AJ249" i="1"/>
  <c r="AK249" i="1" s="1"/>
  <c r="AJ94" i="1"/>
  <c r="AK94" i="1" s="1"/>
  <c r="AJ95" i="1"/>
  <c r="AK95" i="1" s="1"/>
  <c r="AJ362" i="1"/>
  <c r="AK362" i="1" s="1"/>
  <c r="AJ516" i="1"/>
  <c r="AK516" i="1" s="1"/>
  <c r="AJ96" i="1"/>
  <c r="AK96" i="1" s="1"/>
  <c r="AJ472" i="1"/>
  <c r="AK472" i="1" s="1"/>
  <c r="AJ308" i="1"/>
  <c r="AK308" i="1" s="1"/>
  <c r="AJ566" i="1"/>
  <c r="AK566" i="1" s="1"/>
  <c r="AJ309" i="1"/>
  <c r="AK309" i="1" s="1"/>
  <c r="AJ363" i="1"/>
  <c r="AK363" i="1" s="1"/>
  <c r="AJ618" i="1"/>
  <c r="AK618" i="1" s="1"/>
  <c r="AJ97" i="1"/>
  <c r="AK97" i="1" s="1"/>
  <c r="AJ48" i="1"/>
  <c r="AK48" i="1" s="1"/>
  <c r="AJ150" i="1"/>
  <c r="AK150" i="1" s="1"/>
  <c r="AJ250" i="1"/>
  <c r="AK250" i="1" s="1"/>
  <c r="AJ194" i="1"/>
  <c r="AK194" i="1" s="1"/>
  <c r="AJ364" i="1"/>
  <c r="AK364" i="1" s="1"/>
  <c r="AJ517" i="1"/>
  <c r="AK517" i="1" s="1"/>
  <c r="AJ251" i="1"/>
  <c r="AK251" i="1" s="1"/>
  <c r="AJ518" i="1"/>
  <c r="AK518" i="1" s="1"/>
  <c r="AJ365" i="1"/>
  <c r="AK365" i="1" s="1"/>
  <c r="AJ421" i="1"/>
  <c r="AK421" i="1" s="1"/>
  <c r="AJ473" i="1"/>
  <c r="AK473" i="1" s="1"/>
  <c r="AJ310" i="1"/>
  <c r="AK310" i="1" s="1"/>
  <c r="AJ252" i="1"/>
  <c r="AK252" i="1" s="1"/>
  <c r="AJ253" i="1"/>
  <c r="AK253" i="1" s="1"/>
  <c r="AJ422" i="1"/>
  <c r="AK422" i="1" s="1"/>
  <c r="AJ195" i="1"/>
  <c r="AK195" i="1" s="1"/>
  <c r="AJ151" i="1"/>
  <c r="AK151" i="1" s="1"/>
  <c r="AJ423" i="1"/>
  <c r="AK423" i="1" s="1"/>
  <c r="AJ196" i="1"/>
  <c r="AK196" i="1" s="1"/>
  <c r="AJ49" i="1"/>
  <c r="AK49" i="1" s="1"/>
  <c r="AJ567" i="1"/>
  <c r="AK567" i="1" s="1"/>
  <c r="AJ254" i="1"/>
  <c r="AK254" i="1" s="1"/>
  <c r="AJ568" i="1"/>
  <c r="AK568" i="1" s="1"/>
  <c r="AJ255" i="1"/>
  <c r="AK255" i="1" s="1"/>
  <c r="AJ366" i="1"/>
  <c r="AK366" i="1" s="1"/>
  <c r="AJ367" i="1"/>
  <c r="AK367" i="1" s="1"/>
  <c r="AJ197" i="1"/>
  <c r="AK197" i="1" s="1"/>
  <c r="AJ256" i="1"/>
  <c r="AK256" i="1" s="1"/>
  <c r="AJ50" i="1"/>
  <c r="AK50" i="1" s="1"/>
  <c r="AJ198" i="1"/>
  <c r="AK198" i="1" s="1"/>
  <c r="AJ199" i="1"/>
  <c r="AK199" i="1" s="1"/>
  <c r="AJ98" i="1"/>
  <c r="AK98" i="1" s="1"/>
  <c r="AJ569" i="1"/>
  <c r="AK569" i="1" s="1"/>
  <c r="AJ368" i="1"/>
  <c r="AK368" i="1" s="1"/>
  <c r="AJ474" i="1"/>
  <c r="AK474" i="1" s="1"/>
  <c r="AJ200" i="1"/>
  <c r="AK200" i="1" s="1"/>
  <c r="AJ369" i="1"/>
  <c r="AK369" i="1" s="1"/>
  <c r="AJ51" i="1"/>
  <c r="AK51" i="1" s="1"/>
  <c r="AJ311" i="1"/>
  <c r="AK311" i="1" s="1"/>
  <c r="AJ619" i="1"/>
  <c r="AK619" i="1" s="1"/>
  <c r="AJ52" i="1"/>
  <c r="AK52" i="1" s="1"/>
  <c r="AJ570" i="1"/>
  <c r="AK570" i="1" s="1"/>
  <c r="AJ53" i="1"/>
  <c r="AK53" i="1" s="1"/>
  <c r="AJ54" i="1"/>
  <c r="AK54" i="1" s="1"/>
  <c r="AJ312" i="1"/>
  <c r="AK312" i="1" s="1"/>
  <c r="AJ571" i="1"/>
  <c r="AK571" i="1" s="1"/>
  <c r="AJ152" i="1"/>
  <c r="AK152" i="1" s="1"/>
  <c r="AJ153" i="1"/>
  <c r="AK153" i="1" s="1"/>
  <c r="AJ55" i="1"/>
  <c r="AK55" i="1" s="1"/>
  <c r="AJ475" i="1"/>
  <c r="AK475" i="1" s="1"/>
  <c r="AJ620" i="1"/>
  <c r="AK620" i="1" s="1"/>
  <c r="AJ154" i="1"/>
  <c r="AK154" i="1" s="1"/>
  <c r="AJ201" i="1"/>
  <c r="AK201" i="1" s="1"/>
  <c r="AJ313" i="1"/>
  <c r="AK313" i="1" s="1"/>
  <c r="AJ314" i="1"/>
  <c r="AK314" i="1" s="1"/>
  <c r="AJ621" i="1"/>
  <c r="AK621" i="1" s="1"/>
  <c r="AJ572" i="1"/>
  <c r="AK572" i="1" s="1"/>
  <c r="AJ257" i="1"/>
  <c r="AK257" i="1" s="1"/>
  <c r="AJ315" i="1"/>
  <c r="AK315" i="1" s="1"/>
  <c r="AJ316" i="1"/>
  <c r="AK316" i="1" s="1"/>
  <c r="AJ370" i="1"/>
  <c r="AK370" i="1" s="1"/>
  <c r="AJ476" i="1"/>
  <c r="AK476" i="1" s="1"/>
  <c r="AJ258" i="1"/>
  <c r="AK258" i="1" s="1"/>
  <c r="AJ477" i="1"/>
  <c r="AK477" i="1" s="1"/>
  <c r="AJ202" i="1"/>
  <c r="AK202" i="1" s="1"/>
  <c r="AJ317" i="1"/>
  <c r="AK317" i="1" s="1"/>
  <c r="AJ155" i="1"/>
  <c r="AK155" i="1" s="1"/>
  <c r="AJ424" i="1"/>
  <c r="AK424" i="1" s="1"/>
  <c r="AJ622" i="1"/>
  <c r="AK622" i="1" s="1"/>
  <c r="AJ425" i="1"/>
  <c r="AK425" i="1" s="1"/>
  <c r="AJ478" i="1"/>
  <c r="AK478" i="1" s="1"/>
  <c r="AJ156" i="1"/>
  <c r="AK156" i="1" s="1"/>
  <c r="AJ426" i="1"/>
  <c r="AK426" i="1" s="1"/>
  <c r="AJ519" i="1"/>
  <c r="AK519" i="1" s="1"/>
  <c r="AJ371" i="1"/>
  <c r="AK371" i="1" s="1"/>
  <c r="AJ259" i="1"/>
  <c r="AK259" i="1" s="1"/>
  <c r="AJ203" i="1"/>
  <c r="AK203" i="1" s="1"/>
  <c r="AJ520" i="1"/>
  <c r="AK520" i="1" s="1"/>
  <c r="AJ521" i="1"/>
  <c r="AK521" i="1" s="1"/>
  <c r="AJ56" i="1"/>
  <c r="AK56" i="1" s="1"/>
  <c r="AJ204" i="1"/>
  <c r="AK204" i="1" s="1"/>
  <c r="AJ623" i="1"/>
  <c r="AK623" i="1" s="1"/>
  <c r="AJ522" i="1"/>
  <c r="AK522" i="1" s="1"/>
  <c r="AJ523" i="1"/>
  <c r="AK523" i="1" s="1"/>
  <c r="AJ260" i="1"/>
  <c r="AK260" i="1" s="1"/>
  <c r="AJ427" i="1"/>
  <c r="AK427" i="1" s="1"/>
  <c r="AJ157" i="1"/>
  <c r="AK157" i="1" s="1"/>
  <c r="AJ479" i="1"/>
  <c r="AK479" i="1" s="1"/>
  <c r="AJ261" i="1"/>
  <c r="AK261" i="1" s="1"/>
  <c r="AJ624" i="1"/>
  <c r="AK624" i="1" s="1"/>
  <c r="AJ524" i="1"/>
  <c r="AK524" i="1" s="1"/>
  <c r="AJ99" i="1"/>
  <c r="AK99" i="1" s="1"/>
  <c r="AJ262" i="1"/>
  <c r="AK262" i="1" s="1"/>
  <c r="AJ57" i="1"/>
  <c r="AK57" i="1" s="1"/>
  <c r="AJ573" i="1"/>
  <c r="AK573" i="1" s="1"/>
  <c r="AJ58" i="1"/>
  <c r="AK58" i="1" s="1"/>
  <c r="AJ372" i="1"/>
  <c r="AK372" i="1" s="1"/>
  <c r="AJ263" i="1"/>
  <c r="AK263" i="1" s="1"/>
  <c r="AJ428" i="1"/>
  <c r="AK428" i="1" s="1"/>
  <c r="AJ373" i="1"/>
  <c r="AK373" i="1" s="1"/>
  <c r="AJ318" i="1"/>
  <c r="AK318" i="1" s="1"/>
  <c r="AJ100" i="1"/>
  <c r="AK100" i="1" s="1"/>
  <c r="AJ625" i="1"/>
  <c r="AK625" i="1" s="1"/>
  <c r="AJ429" i="1"/>
  <c r="AK429" i="1" s="1"/>
  <c r="AJ319" i="1"/>
  <c r="AK319" i="1" s="1"/>
  <c r="AJ626" i="1"/>
  <c r="AK626" i="1" s="1"/>
  <c r="AJ430" i="1"/>
  <c r="AK430" i="1" s="1"/>
  <c r="AJ101" i="1"/>
  <c r="AK101" i="1" s="1"/>
  <c r="AJ574" i="1"/>
  <c r="AK574" i="1" s="1"/>
  <c r="AJ575" i="1"/>
  <c r="AK575" i="1" s="1"/>
  <c r="AJ431" i="1"/>
  <c r="AK431" i="1" s="1"/>
  <c r="AJ480" i="1"/>
  <c r="AK480" i="1" s="1"/>
  <c r="AJ205" i="1"/>
  <c r="AK205" i="1" s="1"/>
  <c r="AJ627" i="1"/>
  <c r="AK627" i="1" s="1"/>
  <c r="AJ374" i="1"/>
  <c r="AK374" i="1" s="1"/>
  <c r="AJ320" i="1"/>
  <c r="AK320" i="1" s="1"/>
  <c r="AJ321" i="1"/>
  <c r="AK321" i="1" s="1"/>
  <c r="AJ102" i="1"/>
  <c r="AK102" i="1" s="1"/>
  <c r="AJ103" i="1"/>
  <c r="AK103" i="1" s="1"/>
  <c r="AJ206" i="1"/>
  <c r="AK206" i="1" s="1"/>
  <c r="AJ104" i="1"/>
  <c r="AK104" i="1" s="1"/>
  <c r="AJ105" i="1"/>
  <c r="AK105" i="1" s="1"/>
  <c r="AJ576" i="1"/>
  <c r="AK576" i="1" s="1"/>
  <c r="AJ577" i="1"/>
  <c r="AK577" i="1" s="1"/>
  <c r="AJ432" i="1"/>
  <c r="AK432" i="1" s="1"/>
  <c r="AJ59" i="1"/>
  <c r="AK59" i="1" s="1"/>
  <c r="AJ60" i="1"/>
  <c r="AK60" i="1" s="1"/>
  <c r="AJ375" i="1"/>
  <c r="AK375" i="1" s="1"/>
  <c r="AJ433" i="1"/>
  <c r="AK433" i="1" s="1"/>
  <c r="AJ61" i="1"/>
  <c r="AK61" i="1" s="1"/>
  <c r="AJ628" i="1"/>
  <c r="AK628" i="1" s="1"/>
  <c r="AJ481" i="1"/>
  <c r="AK481" i="1" s="1"/>
  <c r="AJ376" i="1"/>
  <c r="AK376" i="1" s="1"/>
  <c r="AJ207" i="1"/>
  <c r="AK207" i="1" s="1"/>
  <c r="AJ208" i="1"/>
  <c r="AK208" i="1" s="1"/>
  <c r="AJ209" i="1"/>
  <c r="AK209" i="1" s="1"/>
  <c r="AJ629" i="1"/>
  <c r="AK629" i="1" s="1"/>
  <c r="AJ377" i="1"/>
  <c r="AK377" i="1" s="1"/>
  <c r="AJ210" i="1"/>
  <c r="AK210" i="1" s="1"/>
  <c r="AJ434" i="1"/>
  <c r="AK434" i="1" s="1"/>
  <c r="AJ106" i="1"/>
  <c r="AK106" i="1" s="1"/>
  <c r="AJ525" i="1"/>
  <c r="AK525" i="1" s="1"/>
  <c r="AJ378" i="1"/>
  <c r="AK378" i="1" s="1"/>
  <c r="AJ62" i="1"/>
  <c r="AK62" i="1" s="1"/>
  <c r="AJ578" i="1"/>
  <c r="AK578" i="1" s="1"/>
  <c r="AJ107" i="1"/>
  <c r="AK107" i="1" s="1"/>
  <c r="AJ211" i="1"/>
  <c r="AK211" i="1" s="1"/>
  <c r="AJ379" i="1"/>
  <c r="AK379" i="1" s="1"/>
  <c r="AJ579" i="1"/>
  <c r="AK579" i="1" s="1"/>
  <c r="AJ63" i="1"/>
  <c r="AK63" i="1" s="1"/>
  <c r="AJ380" i="1"/>
  <c r="AK380" i="1" s="1"/>
  <c r="AJ526" i="1"/>
  <c r="AK526" i="1" s="1"/>
  <c r="AJ435" i="1"/>
  <c r="AK435" i="1" s="1"/>
  <c r="AJ527" i="1"/>
  <c r="AK527" i="1" s="1"/>
  <c r="AJ630" i="1"/>
  <c r="AK630" i="1" s="1"/>
  <c r="AJ631" i="1"/>
  <c r="AK631" i="1" s="1"/>
  <c r="AJ632" i="1"/>
  <c r="AK632" i="1" s="1"/>
  <c r="AJ436" i="1"/>
  <c r="AK436" i="1" s="1"/>
  <c r="AJ212" i="1"/>
  <c r="AK212" i="1" s="1"/>
  <c r="AJ381" i="1"/>
  <c r="AK381" i="1" s="1"/>
  <c r="AJ482" i="1"/>
  <c r="AK482" i="1" s="1"/>
  <c r="AJ580" i="1"/>
  <c r="AK580" i="1" s="1"/>
  <c r="AJ581" i="1"/>
  <c r="AK581" i="1" s="1"/>
  <c r="AJ213" i="1"/>
  <c r="AK213" i="1" s="1"/>
  <c r="AJ437" i="1"/>
  <c r="AK437" i="1" s="1"/>
  <c r="AJ64" i="1"/>
  <c r="AK64" i="1" s="1"/>
  <c r="AJ322" i="1"/>
  <c r="AK322" i="1" s="1"/>
  <c r="AJ438" i="1"/>
  <c r="AK438" i="1" s="1"/>
  <c r="AJ158" i="1"/>
  <c r="AK158" i="1" s="1"/>
  <c r="AJ323" i="1"/>
  <c r="AK323" i="1" s="1"/>
  <c r="AJ324" i="1"/>
  <c r="AK324" i="1" s="1"/>
  <c r="AJ159" i="1"/>
  <c r="AK159" i="1" s="1"/>
  <c r="AJ108" i="1"/>
  <c r="AK108" i="1" s="1"/>
  <c r="AJ264" i="1"/>
  <c r="AK264" i="1" s="1"/>
  <c r="AJ382" i="1"/>
  <c r="AK382" i="1" s="1"/>
  <c r="AJ383" i="1"/>
  <c r="AK383" i="1" s="1"/>
  <c r="C439" i="1" l="1"/>
  <c r="C384" i="1"/>
  <c r="C440" i="1"/>
  <c r="C325" i="1"/>
  <c r="C65" i="1"/>
  <c r="C265" i="1"/>
  <c r="C441" i="1"/>
  <c r="C442" i="1"/>
  <c r="C3" i="1"/>
  <c r="C214" i="1"/>
  <c r="C326" i="1"/>
  <c r="C4" i="1"/>
  <c r="C160" i="1"/>
  <c r="C5" i="1"/>
  <c r="C385" i="1"/>
  <c r="C161" i="1"/>
  <c r="C327" i="1"/>
  <c r="C6" i="1"/>
  <c r="C528" i="1"/>
  <c r="C386" i="1"/>
  <c r="C109" i="1"/>
  <c r="C443" i="1"/>
  <c r="C582" i="1"/>
  <c r="C7" i="1"/>
  <c r="C8" i="1"/>
  <c r="C162" i="1"/>
  <c r="C387" i="1"/>
  <c r="C388" i="1"/>
  <c r="C163" i="1"/>
  <c r="C266" i="1"/>
  <c r="C66" i="1"/>
  <c r="C483" i="1"/>
  <c r="C529" i="1"/>
  <c r="C484" i="1"/>
  <c r="C267" i="1"/>
  <c r="C215" i="1"/>
  <c r="C110" i="1"/>
  <c r="C444" i="1"/>
  <c r="C583" i="1"/>
  <c r="C216" i="1"/>
  <c r="C485" i="1"/>
  <c r="C389" i="1"/>
  <c r="C217" i="1"/>
  <c r="C67" i="1"/>
  <c r="C268" i="1"/>
  <c r="C445" i="1"/>
  <c r="C530" i="1"/>
  <c r="C446" i="1"/>
  <c r="C164" i="1"/>
  <c r="C68" i="1"/>
  <c r="C269" i="1"/>
  <c r="C390" i="1"/>
  <c r="C165" i="1"/>
  <c r="C218" i="1"/>
  <c r="C9" i="1"/>
  <c r="C10" i="1"/>
  <c r="C219" i="1"/>
  <c r="C166" i="1"/>
  <c r="C391" i="1"/>
  <c r="C167" i="1"/>
  <c r="C328" i="1"/>
  <c r="C168" i="1"/>
  <c r="C270" i="1"/>
  <c r="C486" i="1"/>
  <c r="C11" i="1"/>
  <c r="C531" i="1"/>
  <c r="C329" i="1"/>
  <c r="C487" i="1"/>
  <c r="C111" i="1"/>
  <c r="C220" i="1"/>
  <c r="C12" i="1"/>
  <c r="C488" i="1"/>
  <c r="C112" i="1"/>
  <c r="C489" i="1"/>
  <c r="C271" i="1"/>
  <c r="C13" i="1"/>
  <c r="C14" i="1"/>
  <c r="C532" i="1"/>
  <c r="C169" i="1"/>
  <c r="C490" i="1"/>
  <c r="C69" i="1"/>
  <c r="C170" i="1"/>
  <c r="C584" i="1"/>
  <c r="C533" i="1"/>
  <c r="C491" i="1"/>
  <c r="C113" i="1"/>
  <c r="C392" i="1"/>
  <c r="C272" i="1"/>
  <c r="C330" i="1"/>
  <c r="C331" i="1"/>
  <c r="C273" i="1"/>
  <c r="C15" i="1"/>
  <c r="C447" i="1"/>
  <c r="C393" i="1"/>
  <c r="C534" i="1"/>
  <c r="C274" i="1"/>
  <c r="C448" i="1"/>
  <c r="C114" i="1"/>
  <c r="C221" i="1"/>
  <c r="C115" i="1"/>
  <c r="C275" i="1"/>
  <c r="C394" i="1"/>
  <c r="C70" i="1"/>
  <c r="C116" i="1"/>
  <c r="C492" i="1"/>
  <c r="C395" i="1"/>
  <c r="C535" i="1"/>
  <c r="C332" i="1"/>
  <c r="C396" i="1"/>
  <c r="C117" i="1"/>
  <c r="C536" i="1"/>
  <c r="C493" i="1"/>
  <c r="C585" i="1"/>
  <c r="C333" i="1"/>
  <c r="C16" i="1"/>
  <c r="C71" i="1"/>
  <c r="C222" i="1"/>
  <c r="C118" i="1"/>
  <c r="C72" i="1"/>
  <c r="C537" i="1"/>
  <c r="C171" i="1"/>
  <c r="C397" i="1"/>
  <c r="C17" i="1"/>
  <c r="C73" i="1"/>
  <c r="C119" i="1"/>
  <c r="C223" i="1"/>
  <c r="C538" i="1"/>
  <c r="C586" i="1"/>
  <c r="C587" i="1"/>
  <c r="C18" i="1"/>
  <c r="C449" i="1"/>
  <c r="C539" i="1"/>
  <c r="C120" i="1"/>
  <c r="C588" i="1"/>
  <c r="C172" i="1"/>
  <c r="C121" i="1"/>
  <c r="C398" i="1"/>
  <c r="C173" i="1"/>
  <c r="C122" i="1"/>
  <c r="C276" i="1"/>
  <c r="C224" i="1"/>
  <c r="C589" i="1"/>
  <c r="C74" i="1"/>
  <c r="C19" i="1"/>
  <c r="C494" i="1"/>
  <c r="C399" i="1"/>
  <c r="C225" i="1"/>
  <c r="C174" i="1"/>
  <c r="C75" i="1"/>
  <c r="C76" i="1"/>
  <c r="C495" i="1"/>
  <c r="C334" i="1"/>
  <c r="C400" i="1"/>
  <c r="C401" i="1"/>
  <c r="C335" i="1"/>
  <c r="C175" i="1"/>
  <c r="C277" i="1"/>
  <c r="C226" i="1"/>
  <c r="C123" i="1"/>
  <c r="C278" i="1"/>
  <c r="C124" i="1"/>
  <c r="C20" i="1"/>
  <c r="C336" i="1"/>
  <c r="C125" i="1"/>
  <c r="C227" i="1"/>
  <c r="C126" i="1"/>
  <c r="C176" i="1"/>
  <c r="C279" i="1"/>
  <c r="C540" i="1"/>
  <c r="C337" i="1"/>
  <c r="C338" i="1"/>
  <c r="C590" i="1"/>
  <c r="C496" i="1"/>
  <c r="C497" i="1"/>
  <c r="C541" i="1"/>
  <c r="C542" i="1"/>
  <c r="C228" i="1"/>
  <c r="C77" i="1"/>
  <c r="C127" i="1"/>
  <c r="C21" i="1"/>
  <c r="C128" i="1"/>
  <c r="C339" i="1"/>
  <c r="C450" i="1"/>
  <c r="C451" i="1"/>
  <c r="C177" i="1"/>
  <c r="C178" i="1"/>
  <c r="C22" i="1"/>
  <c r="C23" i="1"/>
  <c r="C129" i="1"/>
  <c r="C543" i="1"/>
  <c r="C591" i="1"/>
  <c r="C130" i="1"/>
  <c r="C592" i="1"/>
  <c r="C24" i="1"/>
  <c r="C340" i="1"/>
  <c r="C402" i="1"/>
  <c r="C229" i="1"/>
  <c r="C230" i="1"/>
  <c r="C593" i="1"/>
  <c r="C594" i="1"/>
  <c r="C595" i="1"/>
  <c r="C403" i="1"/>
  <c r="C544" i="1"/>
  <c r="C231" i="1"/>
  <c r="C545" i="1"/>
  <c r="C404" i="1"/>
  <c r="C405" i="1"/>
  <c r="C452" i="1"/>
  <c r="C498" i="1"/>
  <c r="C78" i="1"/>
  <c r="C131" i="1"/>
  <c r="C406" i="1"/>
  <c r="C25" i="1"/>
  <c r="C341" i="1"/>
  <c r="C280" i="1"/>
  <c r="C232" i="1"/>
  <c r="C132" i="1"/>
  <c r="C26" i="1"/>
  <c r="C407" i="1"/>
  <c r="C596" i="1"/>
  <c r="C499" i="1"/>
  <c r="C500" i="1"/>
  <c r="C546" i="1"/>
  <c r="C27" i="1"/>
  <c r="C342" i="1"/>
  <c r="C597" i="1"/>
  <c r="C598" i="1"/>
  <c r="C408" i="1"/>
  <c r="C133" i="1"/>
  <c r="C28" i="1"/>
  <c r="C453" i="1"/>
  <c r="C343" i="1"/>
  <c r="C501" i="1"/>
  <c r="C344" i="1"/>
  <c r="C409" i="1"/>
  <c r="C79" i="1"/>
  <c r="C281" i="1"/>
  <c r="C599" i="1"/>
  <c r="C282" i="1"/>
  <c r="C134" i="1"/>
  <c r="C345" i="1"/>
  <c r="C233" i="1"/>
  <c r="C29" i="1"/>
  <c r="C454" i="1"/>
  <c r="C80" i="1"/>
  <c r="C234" i="1"/>
  <c r="C410" i="1"/>
  <c r="C346" i="1"/>
  <c r="C600" i="1"/>
  <c r="C81" i="1"/>
  <c r="C82" i="1"/>
  <c r="C601" i="1"/>
  <c r="C347" i="1"/>
  <c r="C235" i="1"/>
  <c r="C283" i="1"/>
  <c r="C547" i="1"/>
  <c r="C236" i="1"/>
  <c r="C30" i="1"/>
  <c r="C455" i="1"/>
  <c r="C237" i="1"/>
  <c r="C31" i="1"/>
  <c r="C502" i="1"/>
  <c r="C456" i="1"/>
  <c r="C83" i="1"/>
  <c r="C548" i="1"/>
  <c r="C457" i="1"/>
  <c r="C32" i="1"/>
  <c r="C179" i="1"/>
  <c r="C33" i="1"/>
  <c r="C284" i="1"/>
  <c r="C238" i="1"/>
  <c r="C84" i="1"/>
  <c r="C180" i="1"/>
  <c r="C34" i="1"/>
  <c r="C602" i="1"/>
  <c r="C239" i="1"/>
  <c r="C503" i="1"/>
  <c r="C285" i="1"/>
  <c r="C603" i="1"/>
  <c r="C348" i="1"/>
  <c r="C411" i="1"/>
  <c r="C286" i="1"/>
  <c r="C240" i="1"/>
  <c r="C349" i="1"/>
  <c r="C241" i="1"/>
  <c r="C287" i="1"/>
  <c r="C504" i="1"/>
  <c r="C505" i="1"/>
  <c r="C458" i="1"/>
  <c r="C35" i="1"/>
  <c r="C549" i="1"/>
  <c r="C550" i="1"/>
  <c r="C350" i="1"/>
  <c r="C242" i="1"/>
  <c r="C85" i="1"/>
  <c r="C604" i="1"/>
  <c r="C605" i="1"/>
  <c r="C181" i="1"/>
  <c r="C86" i="1"/>
  <c r="C135" i="1"/>
  <c r="C36" i="1"/>
  <c r="C551" i="1"/>
  <c r="C412" i="1"/>
  <c r="C182" i="1"/>
  <c r="C459" i="1"/>
  <c r="C606" i="1"/>
  <c r="C351" i="1"/>
  <c r="C183" i="1"/>
  <c r="C552" i="1"/>
  <c r="C37" i="1"/>
  <c r="C87" i="1"/>
  <c r="C553" i="1"/>
  <c r="C506" i="1"/>
  <c r="C184" i="1"/>
  <c r="C352" i="1"/>
  <c r="C38" i="1"/>
  <c r="C607" i="1"/>
  <c r="C413" i="1"/>
  <c r="C243" i="1"/>
  <c r="C608" i="1"/>
  <c r="C185" i="1"/>
  <c r="C39" i="1"/>
  <c r="C40" i="1"/>
  <c r="C507" i="1"/>
  <c r="C288" i="1"/>
  <c r="C414" i="1"/>
  <c r="C41" i="1"/>
  <c r="C88" i="1"/>
  <c r="C609" i="1"/>
  <c r="C554" i="1"/>
  <c r="C289" i="1"/>
  <c r="C555" i="1"/>
  <c r="C290" i="1"/>
  <c r="C186" i="1"/>
  <c r="C136" i="1"/>
  <c r="C42" i="1"/>
  <c r="C460" i="1"/>
  <c r="C508" i="1"/>
  <c r="C415" i="1"/>
  <c r="C610" i="1"/>
  <c r="C416" i="1"/>
  <c r="C291" i="1"/>
  <c r="C353" i="1"/>
  <c r="C354" i="1"/>
  <c r="C89" i="1"/>
  <c r="C461" i="1"/>
  <c r="C462" i="1"/>
  <c r="C292" i="1"/>
  <c r="C556" i="1"/>
  <c r="C244" i="1"/>
  <c r="C463" i="1"/>
  <c r="C355" i="1"/>
  <c r="C43" i="1"/>
  <c r="C557" i="1"/>
  <c r="C44" i="1"/>
  <c r="C45" i="1"/>
  <c r="C137" i="1"/>
  <c r="C509" i="1"/>
  <c r="C558" i="1"/>
  <c r="C559" i="1"/>
  <c r="C464" i="1"/>
  <c r="C138" i="1"/>
  <c r="C560" i="1"/>
  <c r="C356" i="1"/>
  <c r="C417" i="1"/>
  <c r="C293" i="1"/>
  <c r="C611" i="1"/>
  <c r="C90" i="1"/>
  <c r="C187" i="1"/>
  <c r="C612" i="1"/>
  <c r="C465" i="1"/>
  <c r="C561" i="1"/>
  <c r="C613" i="1"/>
  <c r="C139" i="1"/>
  <c r="C140" i="1"/>
  <c r="C510" i="1"/>
  <c r="C511" i="1"/>
  <c r="C46" i="1"/>
  <c r="C562" i="1"/>
  <c r="C91" i="1"/>
  <c r="C563" i="1"/>
  <c r="C614" i="1"/>
  <c r="C188" i="1"/>
  <c r="C294" i="1"/>
  <c r="C295" i="1"/>
  <c r="C466" i="1"/>
  <c r="C141" i="1"/>
  <c r="C512" i="1"/>
  <c r="C513" i="1"/>
  <c r="C189" i="1"/>
  <c r="C142" i="1"/>
  <c r="C615" i="1"/>
  <c r="C564" i="1"/>
  <c r="C357" i="1"/>
  <c r="C245" i="1"/>
  <c r="C358" i="1"/>
  <c r="C514" i="1"/>
  <c r="C515" i="1"/>
  <c r="C418" i="1"/>
  <c r="C616" i="1"/>
  <c r="C92" i="1"/>
  <c r="C190" i="1"/>
  <c r="C47" i="1"/>
  <c r="C143" i="1"/>
  <c r="C296" i="1"/>
  <c r="C467" i="1"/>
  <c r="C297" i="1"/>
  <c r="C144" i="1"/>
  <c r="C359" i="1"/>
  <c r="C191" i="1"/>
  <c r="C246" i="1"/>
  <c r="C468" i="1"/>
  <c r="C298" i="1"/>
  <c r="C93" i="1"/>
  <c r="C299" i="1"/>
  <c r="C300" i="1"/>
  <c r="C145" i="1"/>
  <c r="C247" i="1"/>
  <c r="C360" i="1"/>
  <c r="C617" i="1"/>
  <c r="C469" i="1"/>
  <c r="C301" i="1"/>
  <c r="C146" i="1"/>
  <c r="C302" i="1"/>
  <c r="C470" i="1"/>
  <c r="C303" i="1"/>
  <c r="C192" i="1"/>
  <c r="C304" i="1"/>
  <c r="C248" i="1"/>
  <c r="C147" i="1"/>
  <c r="C565" i="1"/>
  <c r="C471" i="1"/>
  <c r="C148" i="1"/>
  <c r="C419" i="1"/>
  <c r="C305" i="1"/>
  <c r="C361" i="1"/>
  <c r="C193" i="1"/>
  <c r="C420" i="1"/>
  <c r="C149" i="1"/>
  <c r="C306" i="1"/>
  <c r="C307" i="1"/>
  <c r="C249" i="1"/>
  <c r="C94" i="1"/>
  <c r="C95" i="1"/>
  <c r="C362" i="1"/>
  <c r="C516" i="1"/>
  <c r="C96" i="1"/>
  <c r="C472" i="1"/>
  <c r="C308" i="1"/>
  <c r="C566" i="1"/>
  <c r="C309" i="1"/>
  <c r="C363" i="1"/>
  <c r="C618" i="1"/>
  <c r="C97" i="1"/>
  <c r="C48" i="1"/>
  <c r="C150" i="1"/>
  <c r="C250" i="1"/>
  <c r="C194" i="1"/>
  <c r="C364" i="1"/>
  <c r="C517" i="1"/>
  <c r="C251" i="1"/>
  <c r="C518" i="1"/>
  <c r="C365" i="1"/>
  <c r="C421" i="1"/>
  <c r="C473" i="1"/>
  <c r="C310" i="1"/>
  <c r="C252" i="1"/>
  <c r="C253" i="1"/>
  <c r="C422" i="1"/>
  <c r="C195" i="1"/>
  <c r="C151" i="1"/>
  <c r="C423" i="1"/>
  <c r="C196" i="1"/>
  <c r="C49" i="1"/>
  <c r="C567" i="1"/>
  <c r="C254" i="1"/>
  <c r="C568" i="1"/>
  <c r="C255" i="1"/>
  <c r="C366" i="1"/>
  <c r="C367" i="1"/>
  <c r="C197" i="1"/>
  <c r="C256" i="1"/>
  <c r="C50" i="1"/>
  <c r="C198" i="1"/>
  <c r="C199" i="1"/>
  <c r="C98" i="1"/>
  <c r="C569" i="1"/>
  <c r="C368" i="1"/>
  <c r="C474" i="1"/>
  <c r="C200" i="1"/>
  <c r="C369" i="1"/>
  <c r="C51" i="1"/>
  <c r="C311" i="1"/>
  <c r="C619" i="1"/>
  <c r="C52" i="1"/>
  <c r="C570" i="1"/>
  <c r="C53" i="1"/>
  <c r="C54" i="1"/>
  <c r="C312" i="1"/>
  <c r="C571" i="1"/>
  <c r="C152" i="1"/>
  <c r="C153" i="1"/>
  <c r="C55" i="1"/>
  <c r="C475" i="1"/>
  <c r="C620" i="1"/>
  <c r="C154" i="1"/>
  <c r="C201" i="1"/>
  <c r="C313" i="1"/>
  <c r="C314" i="1"/>
  <c r="C621" i="1"/>
  <c r="C572" i="1"/>
  <c r="C257" i="1"/>
  <c r="C315" i="1"/>
  <c r="C316" i="1"/>
  <c r="C370" i="1"/>
  <c r="C476" i="1"/>
  <c r="C258" i="1"/>
  <c r="C477" i="1"/>
  <c r="C202" i="1"/>
  <c r="C317" i="1"/>
  <c r="C155" i="1"/>
  <c r="C424" i="1"/>
  <c r="C622" i="1"/>
  <c r="C425" i="1"/>
  <c r="C478" i="1"/>
  <c r="C156" i="1"/>
  <c r="C426" i="1"/>
  <c r="C519" i="1"/>
  <c r="C371" i="1"/>
  <c r="C259" i="1"/>
  <c r="C203" i="1"/>
  <c r="C520" i="1"/>
  <c r="C521" i="1"/>
  <c r="C56" i="1"/>
  <c r="C204" i="1"/>
  <c r="C623" i="1"/>
  <c r="C522" i="1"/>
  <c r="C523" i="1"/>
  <c r="C260" i="1"/>
  <c r="C427" i="1"/>
  <c r="C157" i="1"/>
  <c r="C479" i="1"/>
  <c r="C261" i="1"/>
  <c r="C624" i="1"/>
  <c r="C524" i="1"/>
  <c r="C99" i="1"/>
  <c r="C262" i="1"/>
  <c r="C57" i="1"/>
  <c r="C573" i="1"/>
  <c r="C58" i="1"/>
  <c r="C372" i="1"/>
  <c r="C263" i="1"/>
  <c r="C428" i="1"/>
  <c r="C373" i="1"/>
  <c r="C318" i="1"/>
  <c r="C100" i="1"/>
  <c r="C625" i="1"/>
  <c r="C429" i="1"/>
  <c r="C319" i="1"/>
  <c r="C626" i="1"/>
  <c r="C430" i="1"/>
  <c r="C101" i="1"/>
  <c r="C574" i="1"/>
  <c r="C575" i="1"/>
  <c r="C431" i="1"/>
  <c r="C480" i="1"/>
  <c r="C205" i="1"/>
  <c r="C627" i="1"/>
  <c r="C374" i="1"/>
  <c r="C320" i="1"/>
  <c r="C321" i="1"/>
  <c r="C102" i="1"/>
  <c r="C103" i="1"/>
  <c r="C206" i="1"/>
  <c r="C104" i="1"/>
  <c r="C105" i="1"/>
  <c r="C576" i="1"/>
  <c r="C577" i="1"/>
  <c r="C432" i="1"/>
  <c r="C59" i="1"/>
  <c r="C60" i="1"/>
  <c r="C375" i="1"/>
  <c r="C433" i="1"/>
  <c r="C61" i="1"/>
  <c r="C628" i="1"/>
  <c r="C481" i="1"/>
  <c r="C376" i="1"/>
  <c r="C207" i="1"/>
  <c r="C208" i="1"/>
  <c r="C209" i="1"/>
  <c r="C629" i="1"/>
  <c r="C377" i="1"/>
  <c r="C210" i="1"/>
  <c r="C434" i="1"/>
  <c r="C106" i="1"/>
  <c r="C525" i="1"/>
  <c r="C378" i="1"/>
  <c r="C62" i="1"/>
  <c r="C578" i="1"/>
  <c r="C107" i="1"/>
  <c r="C211" i="1"/>
  <c r="C379" i="1"/>
  <c r="C579" i="1"/>
  <c r="C63" i="1"/>
  <c r="C380" i="1"/>
  <c r="C526" i="1"/>
  <c r="C435" i="1"/>
  <c r="C527" i="1"/>
  <c r="C630" i="1"/>
  <c r="C631" i="1"/>
  <c r="C632" i="1"/>
  <c r="C436" i="1"/>
  <c r="C212" i="1"/>
  <c r="C381" i="1"/>
  <c r="C482" i="1"/>
  <c r="C580" i="1"/>
  <c r="C581" i="1"/>
  <c r="C213" i="1"/>
  <c r="C437" i="1"/>
  <c r="C64" i="1"/>
  <c r="C322" i="1"/>
  <c r="C438" i="1"/>
  <c r="C158" i="1"/>
  <c r="C323" i="1"/>
  <c r="C324" i="1"/>
  <c r="C159" i="1"/>
  <c r="C108" i="1"/>
  <c r="C264" i="1"/>
  <c r="C382" i="1"/>
  <c r="C383" i="1"/>
  <c r="AF439" i="1"/>
  <c r="AH439" i="1" s="1"/>
  <c r="AF384" i="1"/>
  <c r="AH384" i="1" s="1"/>
  <c r="AF440" i="1"/>
  <c r="AH440" i="1" s="1"/>
  <c r="AF325" i="1"/>
  <c r="AH325" i="1" s="1"/>
  <c r="AF65" i="1"/>
  <c r="AH65" i="1" s="1"/>
  <c r="AF265" i="1"/>
  <c r="AH265" i="1" s="1"/>
  <c r="AF441" i="1"/>
  <c r="AH441" i="1" s="1"/>
  <c r="AF442" i="1"/>
  <c r="AH442" i="1" s="1"/>
  <c r="AF3" i="1"/>
  <c r="AH3" i="1" s="1"/>
  <c r="AF214" i="1"/>
  <c r="AH214" i="1" s="1"/>
  <c r="AF326" i="1"/>
  <c r="AH326" i="1" s="1"/>
  <c r="AF4" i="1"/>
  <c r="AH4" i="1" s="1"/>
  <c r="AF160" i="1"/>
  <c r="AH160" i="1" s="1"/>
  <c r="AF5" i="1"/>
  <c r="AH5" i="1" s="1"/>
  <c r="AF385" i="1"/>
  <c r="AH385" i="1" s="1"/>
  <c r="AF161" i="1"/>
  <c r="AH161" i="1" s="1"/>
  <c r="AF327" i="1"/>
  <c r="AH327" i="1" s="1"/>
  <c r="AF6" i="1"/>
  <c r="AH6" i="1" s="1"/>
  <c r="AF528" i="1"/>
  <c r="AH528" i="1" s="1"/>
  <c r="AF386" i="1"/>
  <c r="AH386" i="1" s="1"/>
  <c r="AF109" i="1"/>
  <c r="AH109" i="1" s="1"/>
  <c r="AF443" i="1"/>
  <c r="AH443" i="1" s="1"/>
  <c r="AF582" i="1"/>
  <c r="AH582" i="1" s="1"/>
  <c r="AF7" i="1"/>
  <c r="AH7" i="1" s="1"/>
  <c r="AF8" i="1"/>
  <c r="AH8" i="1" s="1"/>
  <c r="AF162" i="1"/>
  <c r="AH162" i="1" s="1"/>
  <c r="AF387" i="1"/>
  <c r="AH387" i="1" s="1"/>
  <c r="AF388" i="1"/>
  <c r="AH388" i="1" s="1"/>
  <c r="AF163" i="1"/>
  <c r="AH163" i="1" s="1"/>
  <c r="AF266" i="1"/>
  <c r="AH266" i="1" s="1"/>
  <c r="AF66" i="1"/>
  <c r="AH66" i="1" s="1"/>
  <c r="AF483" i="1"/>
  <c r="AH483" i="1" s="1"/>
  <c r="AF529" i="1"/>
  <c r="AH529" i="1" s="1"/>
  <c r="AF484" i="1"/>
  <c r="AH484" i="1" s="1"/>
  <c r="AF267" i="1"/>
  <c r="AH267" i="1" s="1"/>
  <c r="AF215" i="1"/>
  <c r="AH215" i="1" s="1"/>
  <c r="AF110" i="1"/>
  <c r="AH110" i="1" s="1"/>
  <c r="AF444" i="1"/>
  <c r="AH444" i="1" s="1"/>
  <c r="AF583" i="1"/>
  <c r="AH583" i="1" s="1"/>
  <c r="AF216" i="1"/>
  <c r="AH216" i="1" s="1"/>
  <c r="AF485" i="1"/>
  <c r="AH485" i="1" s="1"/>
  <c r="AF389" i="1"/>
  <c r="AH389" i="1" s="1"/>
  <c r="AF217" i="1"/>
  <c r="AH217" i="1" s="1"/>
  <c r="AF67" i="1"/>
  <c r="AH67" i="1" s="1"/>
  <c r="AF268" i="1"/>
  <c r="AH268" i="1" s="1"/>
  <c r="AF445" i="1"/>
  <c r="AH445" i="1" s="1"/>
  <c r="AF530" i="1"/>
  <c r="AH530" i="1" s="1"/>
  <c r="AF446" i="1"/>
  <c r="AH446" i="1" s="1"/>
  <c r="AF164" i="1"/>
  <c r="AH164" i="1" s="1"/>
  <c r="AF68" i="1"/>
  <c r="AH68" i="1" s="1"/>
  <c r="AF269" i="1"/>
  <c r="AH269" i="1" s="1"/>
  <c r="AF390" i="1"/>
  <c r="AH390" i="1" s="1"/>
  <c r="AF165" i="1"/>
  <c r="AH165" i="1" s="1"/>
  <c r="AF218" i="1"/>
  <c r="AH218" i="1" s="1"/>
  <c r="AF9" i="1"/>
  <c r="AH9" i="1" s="1"/>
  <c r="AF10" i="1"/>
  <c r="AH10" i="1" s="1"/>
  <c r="AF219" i="1"/>
  <c r="AH219" i="1" s="1"/>
  <c r="AF166" i="1"/>
  <c r="AH166" i="1" s="1"/>
  <c r="AF391" i="1"/>
  <c r="AH391" i="1" s="1"/>
  <c r="AF167" i="1"/>
  <c r="AH167" i="1" s="1"/>
  <c r="AF328" i="1"/>
  <c r="AH328" i="1" s="1"/>
  <c r="AF168" i="1"/>
  <c r="AH168" i="1" s="1"/>
  <c r="AF270" i="1"/>
  <c r="AH270" i="1" s="1"/>
  <c r="AF486" i="1"/>
  <c r="AH486" i="1" s="1"/>
  <c r="AF11" i="1"/>
  <c r="AH11" i="1" s="1"/>
  <c r="AF531" i="1"/>
  <c r="AH531" i="1" s="1"/>
  <c r="AF329" i="1"/>
  <c r="AH329" i="1" s="1"/>
  <c r="AF487" i="1"/>
  <c r="AH487" i="1" s="1"/>
  <c r="AF111" i="1"/>
  <c r="AH111" i="1" s="1"/>
  <c r="AF220" i="1"/>
  <c r="AH220" i="1" s="1"/>
  <c r="AF12" i="1"/>
  <c r="AH12" i="1" s="1"/>
  <c r="AF488" i="1"/>
  <c r="AH488" i="1" s="1"/>
  <c r="AF112" i="1"/>
  <c r="AH112" i="1" s="1"/>
  <c r="AF489" i="1"/>
  <c r="AH489" i="1" s="1"/>
  <c r="AF271" i="1"/>
  <c r="AH271" i="1" s="1"/>
  <c r="AF13" i="1"/>
  <c r="AH13" i="1" s="1"/>
  <c r="AF14" i="1"/>
  <c r="AH14" i="1" s="1"/>
  <c r="AF532" i="1"/>
  <c r="AH532" i="1" s="1"/>
  <c r="AF169" i="1"/>
  <c r="AH169" i="1" s="1"/>
  <c r="AF490" i="1"/>
  <c r="AH490" i="1" s="1"/>
  <c r="AF69" i="1"/>
  <c r="AH69" i="1" s="1"/>
  <c r="AF170" i="1"/>
  <c r="AH170" i="1" s="1"/>
  <c r="AF584" i="1"/>
  <c r="AH584" i="1" s="1"/>
  <c r="AF533" i="1"/>
  <c r="AH533" i="1" s="1"/>
  <c r="AF491" i="1"/>
  <c r="AH491" i="1" s="1"/>
  <c r="AF113" i="1"/>
  <c r="AH113" i="1" s="1"/>
  <c r="AF392" i="1"/>
  <c r="AH392" i="1" s="1"/>
  <c r="AF272" i="1"/>
  <c r="AH272" i="1" s="1"/>
  <c r="AF330" i="1"/>
  <c r="AH330" i="1" s="1"/>
  <c r="AF331" i="1"/>
  <c r="AH331" i="1" s="1"/>
  <c r="AF273" i="1"/>
  <c r="AH273" i="1" s="1"/>
  <c r="AF15" i="1"/>
  <c r="AH15" i="1" s="1"/>
  <c r="AF447" i="1"/>
  <c r="AH447" i="1" s="1"/>
  <c r="AF393" i="1"/>
  <c r="AH393" i="1" s="1"/>
  <c r="AF534" i="1"/>
  <c r="AH534" i="1" s="1"/>
  <c r="AF274" i="1"/>
  <c r="AH274" i="1" s="1"/>
  <c r="AF448" i="1"/>
  <c r="AH448" i="1" s="1"/>
  <c r="AF114" i="1"/>
  <c r="AH114" i="1" s="1"/>
  <c r="AF221" i="1"/>
  <c r="AH221" i="1" s="1"/>
  <c r="AF115" i="1"/>
  <c r="AH115" i="1" s="1"/>
  <c r="AF275" i="1"/>
  <c r="AH275" i="1" s="1"/>
  <c r="AF394" i="1"/>
  <c r="AH394" i="1" s="1"/>
  <c r="AF70" i="1"/>
  <c r="AH70" i="1" s="1"/>
  <c r="AF116" i="1"/>
  <c r="AH116" i="1" s="1"/>
  <c r="AF492" i="1"/>
  <c r="AH492" i="1" s="1"/>
  <c r="AF395" i="1"/>
  <c r="AH395" i="1" s="1"/>
  <c r="AF535" i="1"/>
  <c r="AH535" i="1" s="1"/>
  <c r="AF332" i="1"/>
  <c r="AH332" i="1" s="1"/>
  <c r="AF396" i="1"/>
  <c r="AH396" i="1" s="1"/>
  <c r="AF117" i="1"/>
  <c r="AH117" i="1" s="1"/>
  <c r="AF536" i="1"/>
  <c r="AH536" i="1" s="1"/>
  <c r="AF493" i="1"/>
  <c r="AH493" i="1" s="1"/>
  <c r="AF585" i="1"/>
  <c r="AH585" i="1" s="1"/>
  <c r="AF333" i="1"/>
  <c r="AH333" i="1" s="1"/>
  <c r="AF16" i="1"/>
  <c r="AH16" i="1" s="1"/>
  <c r="AF71" i="1"/>
  <c r="AH71" i="1" s="1"/>
  <c r="AF222" i="1"/>
  <c r="AH222" i="1" s="1"/>
  <c r="AF118" i="1"/>
  <c r="AH118" i="1" s="1"/>
  <c r="AF72" i="1"/>
  <c r="AH72" i="1" s="1"/>
  <c r="AF537" i="1"/>
  <c r="AH537" i="1" s="1"/>
  <c r="AF171" i="1"/>
  <c r="AH171" i="1" s="1"/>
  <c r="AF397" i="1"/>
  <c r="AH397" i="1" s="1"/>
  <c r="AF17" i="1"/>
  <c r="AH17" i="1" s="1"/>
  <c r="AF73" i="1"/>
  <c r="AH73" i="1" s="1"/>
  <c r="AF119" i="1"/>
  <c r="AH119" i="1" s="1"/>
  <c r="AF223" i="1"/>
  <c r="AH223" i="1" s="1"/>
  <c r="AF538" i="1"/>
  <c r="AH538" i="1" s="1"/>
  <c r="AF586" i="1"/>
  <c r="AH586" i="1" s="1"/>
  <c r="AF587" i="1"/>
  <c r="AH587" i="1" s="1"/>
  <c r="AF18" i="1"/>
  <c r="AH18" i="1" s="1"/>
  <c r="AF449" i="1"/>
  <c r="AH449" i="1" s="1"/>
  <c r="AF539" i="1"/>
  <c r="AH539" i="1" s="1"/>
  <c r="AF120" i="1"/>
  <c r="AH120" i="1" s="1"/>
  <c r="AF588" i="1"/>
  <c r="AH588" i="1" s="1"/>
  <c r="AF172" i="1"/>
  <c r="AH172" i="1" s="1"/>
  <c r="AF121" i="1"/>
  <c r="AH121" i="1" s="1"/>
  <c r="AF398" i="1"/>
  <c r="AH398" i="1" s="1"/>
  <c r="AF173" i="1"/>
  <c r="AH173" i="1" s="1"/>
  <c r="AF122" i="1"/>
  <c r="AH122" i="1" s="1"/>
  <c r="AF276" i="1"/>
  <c r="AH276" i="1" s="1"/>
  <c r="AF224" i="1"/>
  <c r="AH224" i="1" s="1"/>
  <c r="AF589" i="1"/>
  <c r="AH589" i="1" s="1"/>
  <c r="AF74" i="1"/>
  <c r="AH74" i="1" s="1"/>
  <c r="AF19" i="1"/>
  <c r="AH19" i="1" s="1"/>
  <c r="AF494" i="1"/>
  <c r="AH494" i="1" s="1"/>
  <c r="AF399" i="1"/>
  <c r="AH399" i="1" s="1"/>
  <c r="AF225" i="1"/>
  <c r="AH225" i="1" s="1"/>
  <c r="AF174" i="1"/>
  <c r="AH174" i="1" s="1"/>
  <c r="AF75" i="1"/>
  <c r="AH75" i="1" s="1"/>
  <c r="AF76" i="1"/>
  <c r="AH76" i="1" s="1"/>
  <c r="AF495" i="1"/>
  <c r="AH495" i="1" s="1"/>
  <c r="AF334" i="1"/>
  <c r="AH334" i="1" s="1"/>
  <c r="AF400" i="1"/>
  <c r="AH400" i="1" s="1"/>
  <c r="AF401" i="1"/>
  <c r="AH401" i="1" s="1"/>
  <c r="AF335" i="1"/>
  <c r="AH335" i="1" s="1"/>
  <c r="AF175" i="1"/>
  <c r="AH175" i="1" s="1"/>
  <c r="AF277" i="1"/>
  <c r="AH277" i="1" s="1"/>
  <c r="AF226" i="1"/>
  <c r="AH226" i="1" s="1"/>
  <c r="AF123" i="1"/>
  <c r="AH123" i="1" s="1"/>
  <c r="AF278" i="1"/>
  <c r="AH278" i="1" s="1"/>
  <c r="AF124" i="1"/>
  <c r="AH124" i="1" s="1"/>
  <c r="AF20" i="1"/>
  <c r="AH20" i="1" s="1"/>
  <c r="AF336" i="1"/>
  <c r="AH336" i="1" s="1"/>
  <c r="AF125" i="1"/>
  <c r="AH125" i="1" s="1"/>
  <c r="AF227" i="1"/>
  <c r="AH227" i="1" s="1"/>
  <c r="AF126" i="1"/>
  <c r="AH126" i="1" s="1"/>
  <c r="AF176" i="1"/>
  <c r="AH176" i="1" s="1"/>
  <c r="AF279" i="1"/>
  <c r="AH279" i="1" s="1"/>
  <c r="AF540" i="1"/>
  <c r="AH540" i="1" s="1"/>
  <c r="AF337" i="1"/>
  <c r="AH337" i="1" s="1"/>
  <c r="AF338" i="1"/>
  <c r="AH338" i="1" s="1"/>
  <c r="AF590" i="1"/>
  <c r="AH590" i="1" s="1"/>
  <c r="AF496" i="1"/>
  <c r="AH496" i="1" s="1"/>
  <c r="AF497" i="1"/>
  <c r="AH497" i="1" s="1"/>
  <c r="AF541" i="1"/>
  <c r="AH541" i="1" s="1"/>
  <c r="AF542" i="1"/>
  <c r="AH542" i="1" s="1"/>
  <c r="AF228" i="1"/>
  <c r="AH228" i="1" s="1"/>
  <c r="AF77" i="1"/>
  <c r="AH77" i="1" s="1"/>
  <c r="AF127" i="1"/>
  <c r="AH127" i="1" s="1"/>
  <c r="AF21" i="1"/>
  <c r="AH21" i="1" s="1"/>
  <c r="AF128" i="1"/>
  <c r="AH128" i="1" s="1"/>
  <c r="AF339" i="1"/>
  <c r="AH339" i="1" s="1"/>
  <c r="AF450" i="1"/>
  <c r="AH450" i="1" s="1"/>
  <c r="AF451" i="1"/>
  <c r="AH451" i="1" s="1"/>
  <c r="AF177" i="1"/>
  <c r="AH177" i="1" s="1"/>
  <c r="AF178" i="1"/>
  <c r="AH178" i="1" s="1"/>
  <c r="AF22" i="1"/>
  <c r="AH22" i="1" s="1"/>
  <c r="AF23" i="1"/>
  <c r="AH23" i="1" s="1"/>
  <c r="AF129" i="1"/>
  <c r="AH129" i="1" s="1"/>
  <c r="AF543" i="1"/>
  <c r="AH543" i="1" s="1"/>
  <c r="AF591" i="1"/>
  <c r="AH591" i="1" s="1"/>
  <c r="AF130" i="1"/>
  <c r="AH130" i="1" s="1"/>
  <c r="AF592" i="1"/>
  <c r="AH592" i="1" s="1"/>
  <c r="AF24" i="1"/>
  <c r="AH24" i="1" s="1"/>
  <c r="AF340" i="1"/>
  <c r="AH340" i="1" s="1"/>
  <c r="AF402" i="1"/>
  <c r="AH402" i="1" s="1"/>
  <c r="AF229" i="1"/>
  <c r="AH229" i="1" s="1"/>
  <c r="AF230" i="1"/>
  <c r="AH230" i="1" s="1"/>
  <c r="AF593" i="1"/>
  <c r="AH593" i="1" s="1"/>
  <c r="AF594" i="1"/>
  <c r="AH594" i="1" s="1"/>
  <c r="AF595" i="1"/>
  <c r="AH595" i="1" s="1"/>
  <c r="AF403" i="1"/>
  <c r="AH403" i="1" s="1"/>
  <c r="AF544" i="1"/>
  <c r="AH544" i="1" s="1"/>
  <c r="AF231" i="1"/>
  <c r="AH231" i="1" s="1"/>
  <c r="AF545" i="1"/>
  <c r="AH545" i="1" s="1"/>
  <c r="AF404" i="1"/>
  <c r="AH404" i="1" s="1"/>
  <c r="AF405" i="1"/>
  <c r="AH405" i="1" s="1"/>
  <c r="AF452" i="1"/>
  <c r="AH452" i="1" s="1"/>
  <c r="AF498" i="1"/>
  <c r="AH498" i="1" s="1"/>
  <c r="AF78" i="1"/>
  <c r="AH78" i="1" s="1"/>
  <c r="AF131" i="1"/>
  <c r="AH131" i="1" s="1"/>
  <c r="AF406" i="1"/>
  <c r="AH406" i="1" s="1"/>
  <c r="AF25" i="1"/>
  <c r="AH25" i="1" s="1"/>
  <c r="AF341" i="1"/>
  <c r="AH341" i="1" s="1"/>
  <c r="AF280" i="1"/>
  <c r="AH280" i="1" s="1"/>
  <c r="AF232" i="1"/>
  <c r="AH232" i="1" s="1"/>
  <c r="AF132" i="1"/>
  <c r="AH132" i="1" s="1"/>
  <c r="AF26" i="1"/>
  <c r="AH26" i="1" s="1"/>
  <c r="AF407" i="1"/>
  <c r="AH407" i="1" s="1"/>
  <c r="AF596" i="1"/>
  <c r="AH596" i="1" s="1"/>
  <c r="AF499" i="1"/>
  <c r="AH499" i="1" s="1"/>
  <c r="AF500" i="1"/>
  <c r="AH500" i="1" s="1"/>
  <c r="AF546" i="1"/>
  <c r="AH546" i="1" s="1"/>
  <c r="AF27" i="1"/>
  <c r="AH27" i="1" s="1"/>
  <c r="AF342" i="1"/>
  <c r="AH342" i="1" s="1"/>
  <c r="AF597" i="1"/>
  <c r="AH597" i="1" s="1"/>
  <c r="AF598" i="1"/>
  <c r="AH598" i="1" s="1"/>
  <c r="AF408" i="1"/>
  <c r="AH408" i="1" s="1"/>
  <c r="AF133" i="1"/>
  <c r="AH133" i="1" s="1"/>
  <c r="AF28" i="1"/>
  <c r="AH28" i="1" s="1"/>
  <c r="AF453" i="1"/>
  <c r="AH453" i="1" s="1"/>
  <c r="AF343" i="1"/>
  <c r="AH343" i="1" s="1"/>
  <c r="AF501" i="1"/>
  <c r="AH501" i="1" s="1"/>
  <c r="AF344" i="1"/>
  <c r="AH344" i="1" s="1"/>
  <c r="AF409" i="1"/>
  <c r="AH409" i="1" s="1"/>
  <c r="AF79" i="1"/>
  <c r="AH79" i="1" s="1"/>
  <c r="AF281" i="1"/>
  <c r="AH281" i="1" s="1"/>
  <c r="AF599" i="1"/>
  <c r="AH599" i="1" s="1"/>
  <c r="AF282" i="1"/>
  <c r="AH282" i="1" s="1"/>
  <c r="AF134" i="1"/>
  <c r="AH134" i="1" s="1"/>
  <c r="AF345" i="1"/>
  <c r="AH345" i="1" s="1"/>
  <c r="AF233" i="1"/>
  <c r="AH233" i="1" s="1"/>
  <c r="AF29" i="1"/>
  <c r="AH29" i="1" s="1"/>
  <c r="AF454" i="1"/>
  <c r="AH454" i="1" s="1"/>
  <c r="AF80" i="1"/>
  <c r="AH80" i="1" s="1"/>
  <c r="AF234" i="1"/>
  <c r="AH234" i="1" s="1"/>
  <c r="AF410" i="1"/>
  <c r="AH410" i="1" s="1"/>
  <c r="AF346" i="1"/>
  <c r="AH346" i="1" s="1"/>
  <c r="AF600" i="1"/>
  <c r="AH600" i="1" s="1"/>
  <c r="AF81" i="1"/>
  <c r="AH81" i="1" s="1"/>
  <c r="AF82" i="1"/>
  <c r="AH82" i="1" s="1"/>
  <c r="AF601" i="1"/>
  <c r="AH601" i="1" s="1"/>
  <c r="AF347" i="1"/>
  <c r="AH347" i="1" s="1"/>
  <c r="AF235" i="1"/>
  <c r="AH235" i="1" s="1"/>
  <c r="AF283" i="1"/>
  <c r="AH283" i="1" s="1"/>
  <c r="AF547" i="1"/>
  <c r="AH547" i="1" s="1"/>
  <c r="AF236" i="1"/>
  <c r="AH236" i="1" s="1"/>
  <c r="AF30" i="1"/>
  <c r="AH30" i="1" s="1"/>
  <c r="AF455" i="1"/>
  <c r="AH455" i="1" s="1"/>
  <c r="AF237" i="1"/>
  <c r="AH237" i="1" s="1"/>
  <c r="AF31" i="1"/>
  <c r="AH31" i="1" s="1"/>
  <c r="AF502" i="1"/>
  <c r="AH502" i="1" s="1"/>
  <c r="AF456" i="1"/>
  <c r="AH456" i="1" s="1"/>
  <c r="AF83" i="1"/>
  <c r="AH83" i="1" s="1"/>
  <c r="AF548" i="1"/>
  <c r="AH548" i="1" s="1"/>
  <c r="AF457" i="1"/>
  <c r="AH457" i="1" s="1"/>
  <c r="AF32" i="1"/>
  <c r="AH32" i="1" s="1"/>
  <c r="AF179" i="1"/>
  <c r="AH179" i="1" s="1"/>
  <c r="AF33" i="1"/>
  <c r="AH33" i="1" s="1"/>
  <c r="AF284" i="1"/>
  <c r="AH284" i="1" s="1"/>
  <c r="AF238" i="1"/>
  <c r="AH238" i="1" s="1"/>
  <c r="AF84" i="1"/>
  <c r="AH84" i="1" s="1"/>
  <c r="AF180" i="1"/>
  <c r="AH180" i="1" s="1"/>
  <c r="AF34" i="1"/>
  <c r="AH34" i="1" s="1"/>
  <c r="AF602" i="1"/>
  <c r="AH602" i="1" s="1"/>
  <c r="AF239" i="1"/>
  <c r="AH239" i="1" s="1"/>
  <c r="AF503" i="1"/>
  <c r="AH503" i="1" s="1"/>
  <c r="AF285" i="1"/>
  <c r="AH285" i="1" s="1"/>
  <c r="AF603" i="1"/>
  <c r="AH603" i="1" s="1"/>
  <c r="AF348" i="1"/>
  <c r="AH348" i="1" s="1"/>
  <c r="AF411" i="1"/>
  <c r="AH411" i="1" s="1"/>
  <c r="AF286" i="1"/>
  <c r="AH286" i="1" s="1"/>
  <c r="AF240" i="1"/>
  <c r="AH240" i="1" s="1"/>
  <c r="AF349" i="1"/>
  <c r="AH349" i="1" s="1"/>
  <c r="AF241" i="1"/>
  <c r="AH241" i="1" s="1"/>
  <c r="AF287" i="1"/>
  <c r="AH287" i="1" s="1"/>
  <c r="AF504" i="1"/>
  <c r="AH504" i="1" s="1"/>
  <c r="AF505" i="1"/>
  <c r="AH505" i="1" s="1"/>
  <c r="AF458" i="1"/>
  <c r="AH458" i="1" s="1"/>
  <c r="AF35" i="1"/>
  <c r="AH35" i="1" s="1"/>
  <c r="AF549" i="1"/>
  <c r="AH549" i="1" s="1"/>
  <c r="AF550" i="1"/>
  <c r="AH550" i="1" s="1"/>
  <c r="AF350" i="1"/>
  <c r="AH350" i="1" s="1"/>
  <c r="AF242" i="1"/>
  <c r="AH242" i="1" s="1"/>
  <c r="AF85" i="1"/>
  <c r="AH85" i="1" s="1"/>
  <c r="AF604" i="1"/>
  <c r="AH604" i="1" s="1"/>
  <c r="AF605" i="1"/>
  <c r="AH605" i="1" s="1"/>
  <c r="AF181" i="1"/>
  <c r="AH181" i="1" s="1"/>
  <c r="AF86" i="1"/>
  <c r="AH86" i="1" s="1"/>
  <c r="AF135" i="1"/>
  <c r="AH135" i="1" s="1"/>
  <c r="AF36" i="1"/>
  <c r="AH36" i="1" s="1"/>
  <c r="AF551" i="1"/>
  <c r="AH551" i="1" s="1"/>
  <c r="AF412" i="1"/>
  <c r="AH412" i="1" s="1"/>
  <c r="AF182" i="1"/>
  <c r="AH182" i="1" s="1"/>
  <c r="AF459" i="1"/>
  <c r="AH459" i="1" s="1"/>
  <c r="AF606" i="1"/>
  <c r="AH606" i="1" s="1"/>
  <c r="AF351" i="1"/>
  <c r="AH351" i="1" s="1"/>
  <c r="AF183" i="1"/>
  <c r="AH183" i="1" s="1"/>
  <c r="AF552" i="1"/>
  <c r="AH552" i="1" s="1"/>
  <c r="AF37" i="1"/>
  <c r="AH37" i="1" s="1"/>
  <c r="AF87" i="1"/>
  <c r="AH87" i="1" s="1"/>
  <c r="AF553" i="1"/>
  <c r="AH553" i="1" s="1"/>
  <c r="AF506" i="1"/>
  <c r="AH506" i="1" s="1"/>
  <c r="AF184" i="1"/>
  <c r="AH184" i="1" s="1"/>
  <c r="AF352" i="1"/>
  <c r="AH352" i="1" s="1"/>
  <c r="AF38" i="1"/>
  <c r="AH38" i="1" s="1"/>
  <c r="AF607" i="1"/>
  <c r="AH607" i="1" s="1"/>
  <c r="AF413" i="1"/>
  <c r="AH413" i="1" s="1"/>
  <c r="AF243" i="1"/>
  <c r="AH243" i="1" s="1"/>
  <c r="AF608" i="1"/>
  <c r="AH608" i="1" s="1"/>
  <c r="AF185" i="1"/>
  <c r="AH185" i="1" s="1"/>
  <c r="AF39" i="1"/>
  <c r="AH39" i="1" s="1"/>
  <c r="AF40" i="1"/>
  <c r="AH40" i="1" s="1"/>
  <c r="AF507" i="1"/>
  <c r="AH507" i="1" s="1"/>
  <c r="AF288" i="1"/>
  <c r="AH288" i="1" s="1"/>
  <c r="AF414" i="1"/>
  <c r="AH414" i="1" s="1"/>
  <c r="AF41" i="1"/>
  <c r="AH41" i="1" s="1"/>
  <c r="AF88" i="1"/>
  <c r="AH88" i="1" s="1"/>
  <c r="AF609" i="1"/>
  <c r="AH609" i="1" s="1"/>
  <c r="AF554" i="1"/>
  <c r="AH554" i="1" s="1"/>
  <c r="AF289" i="1"/>
  <c r="AH289" i="1" s="1"/>
  <c r="AF555" i="1"/>
  <c r="AH555" i="1" s="1"/>
  <c r="AF290" i="1"/>
  <c r="AH290" i="1" s="1"/>
  <c r="AF186" i="1"/>
  <c r="AH186" i="1" s="1"/>
  <c r="AF136" i="1"/>
  <c r="AH136" i="1" s="1"/>
  <c r="AF42" i="1"/>
  <c r="AH42" i="1" s="1"/>
  <c r="AF460" i="1"/>
  <c r="AH460" i="1" s="1"/>
  <c r="AF508" i="1"/>
  <c r="AH508" i="1" s="1"/>
  <c r="AF415" i="1"/>
  <c r="AH415" i="1" s="1"/>
  <c r="AF610" i="1"/>
  <c r="AH610" i="1" s="1"/>
  <c r="AF416" i="1"/>
  <c r="AH416" i="1" s="1"/>
  <c r="AF291" i="1"/>
  <c r="AH291" i="1" s="1"/>
  <c r="AF353" i="1"/>
  <c r="AH353" i="1" s="1"/>
  <c r="AF354" i="1"/>
  <c r="AH354" i="1" s="1"/>
  <c r="AF89" i="1"/>
  <c r="AH89" i="1" s="1"/>
  <c r="AF461" i="1"/>
  <c r="AH461" i="1" s="1"/>
  <c r="AF462" i="1"/>
  <c r="AH462" i="1" s="1"/>
  <c r="AF292" i="1"/>
  <c r="AH292" i="1" s="1"/>
  <c r="AF556" i="1"/>
  <c r="AH556" i="1" s="1"/>
  <c r="AF244" i="1"/>
  <c r="AH244" i="1" s="1"/>
  <c r="AF463" i="1"/>
  <c r="AH463" i="1" s="1"/>
  <c r="AF355" i="1"/>
  <c r="AH355" i="1" s="1"/>
  <c r="AF43" i="1"/>
  <c r="AH43" i="1" s="1"/>
  <c r="AF557" i="1"/>
  <c r="AH557" i="1" s="1"/>
  <c r="AF44" i="1"/>
  <c r="AH44" i="1" s="1"/>
  <c r="AF45" i="1"/>
  <c r="AH45" i="1" s="1"/>
  <c r="AF137" i="1"/>
  <c r="AH137" i="1" s="1"/>
  <c r="AF509" i="1"/>
  <c r="AH509" i="1" s="1"/>
  <c r="AF558" i="1"/>
  <c r="AH558" i="1" s="1"/>
  <c r="AF559" i="1"/>
  <c r="AH559" i="1" s="1"/>
  <c r="AF464" i="1"/>
  <c r="AH464" i="1" s="1"/>
  <c r="AF138" i="1"/>
  <c r="AH138" i="1" s="1"/>
  <c r="AF560" i="1"/>
  <c r="AH560" i="1" s="1"/>
  <c r="AF356" i="1"/>
  <c r="AH356" i="1" s="1"/>
  <c r="AF417" i="1"/>
  <c r="AH417" i="1" s="1"/>
  <c r="AF293" i="1"/>
  <c r="AH293" i="1" s="1"/>
  <c r="AF611" i="1"/>
  <c r="AH611" i="1" s="1"/>
  <c r="AF90" i="1"/>
  <c r="AH90" i="1" s="1"/>
  <c r="AF187" i="1"/>
  <c r="AH187" i="1" s="1"/>
  <c r="AF612" i="1"/>
  <c r="AH612" i="1" s="1"/>
  <c r="AF465" i="1"/>
  <c r="AH465" i="1" s="1"/>
  <c r="AF561" i="1"/>
  <c r="AH561" i="1" s="1"/>
  <c r="AF613" i="1"/>
  <c r="AH613" i="1" s="1"/>
  <c r="AF139" i="1"/>
  <c r="AH139" i="1" s="1"/>
  <c r="AF140" i="1"/>
  <c r="AH140" i="1" s="1"/>
  <c r="AF510" i="1"/>
  <c r="AH510" i="1" s="1"/>
  <c r="AF511" i="1"/>
  <c r="AH511" i="1" s="1"/>
  <c r="AF46" i="1"/>
  <c r="AH46" i="1" s="1"/>
  <c r="AF562" i="1"/>
  <c r="AH562" i="1" s="1"/>
  <c r="AF91" i="1"/>
  <c r="AH91" i="1" s="1"/>
  <c r="AF563" i="1"/>
  <c r="AH563" i="1" s="1"/>
  <c r="AF614" i="1"/>
  <c r="AH614" i="1" s="1"/>
  <c r="AF188" i="1"/>
  <c r="AH188" i="1" s="1"/>
  <c r="AF294" i="1"/>
  <c r="AH294" i="1" s="1"/>
  <c r="AF295" i="1"/>
  <c r="AH295" i="1" s="1"/>
  <c r="AF466" i="1"/>
  <c r="AH466" i="1" s="1"/>
  <c r="AF141" i="1"/>
  <c r="AH141" i="1" s="1"/>
  <c r="AF512" i="1"/>
  <c r="AH512" i="1" s="1"/>
  <c r="AF513" i="1"/>
  <c r="AH513" i="1" s="1"/>
  <c r="AF189" i="1"/>
  <c r="AH189" i="1" s="1"/>
  <c r="AF142" i="1"/>
  <c r="AH142" i="1" s="1"/>
  <c r="AF615" i="1"/>
  <c r="AH615" i="1" s="1"/>
  <c r="AF564" i="1"/>
  <c r="AH564" i="1" s="1"/>
  <c r="AF357" i="1"/>
  <c r="AH357" i="1" s="1"/>
  <c r="AF245" i="1"/>
  <c r="AH245" i="1" s="1"/>
  <c r="AF358" i="1"/>
  <c r="AH358" i="1" s="1"/>
  <c r="AF514" i="1"/>
  <c r="AH514" i="1" s="1"/>
  <c r="AF515" i="1"/>
  <c r="AH515" i="1" s="1"/>
  <c r="AF418" i="1"/>
  <c r="AH418" i="1" s="1"/>
  <c r="AF616" i="1"/>
  <c r="AH616" i="1" s="1"/>
  <c r="AF92" i="1"/>
  <c r="AH92" i="1" s="1"/>
  <c r="AF190" i="1"/>
  <c r="AH190" i="1" s="1"/>
  <c r="AF47" i="1"/>
  <c r="AH47" i="1" s="1"/>
  <c r="AF143" i="1"/>
  <c r="AH143" i="1" s="1"/>
  <c r="AF296" i="1"/>
  <c r="AH296" i="1" s="1"/>
  <c r="AF467" i="1"/>
  <c r="AH467" i="1" s="1"/>
  <c r="AF297" i="1"/>
  <c r="AH297" i="1" s="1"/>
  <c r="AF144" i="1"/>
  <c r="AH144" i="1" s="1"/>
  <c r="AF359" i="1"/>
  <c r="AH359" i="1" s="1"/>
  <c r="AF191" i="1"/>
  <c r="AH191" i="1" s="1"/>
  <c r="AF246" i="1"/>
  <c r="AH246" i="1" s="1"/>
  <c r="AF468" i="1"/>
  <c r="AH468" i="1" s="1"/>
  <c r="AF298" i="1"/>
  <c r="AH298" i="1" s="1"/>
  <c r="AF93" i="1"/>
  <c r="AH93" i="1" s="1"/>
  <c r="AF299" i="1"/>
  <c r="AH299" i="1" s="1"/>
  <c r="AF300" i="1"/>
  <c r="AH300" i="1" s="1"/>
  <c r="AF145" i="1"/>
  <c r="AH145" i="1" s="1"/>
  <c r="AF247" i="1"/>
  <c r="AH247" i="1" s="1"/>
  <c r="AF360" i="1"/>
  <c r="AH360" i="1" s="1"/>
  <c r="AF617" i="1"/>
  <c r="AH617" i="1" s="1"/>
  <c r="AF469" i="1"/>
  <c r="AH469" i="1" s="1"/>
  <c r="AF301" i="1"/>
  <c r="AH301" i="1" s="1"/>
  <c r="AF146" i="1"/>
  <c r="AH146" i="1" s="1"/>
  <c r="AF302" i="1"/>
  <c r="AH302" i="1" s="1"/>
  <c r="AF470" i="1"/>
  <c r="AH470" i="1" s="1"/>
  <c r="AF303" i="1"/>
  <c r="AH303" i="1" s="1"/>
  <c r="AF192" i="1"/>
  <c r="AH192" i="1" s="1"/>
  <c r="AF304" i="1"/>
  <c r="AH304" i="1" s="1"/>
  <c r="AF248" i="1"/>
  <c r="AH248" i="1" s="1"/>
  <c r="AF147" i="1"/>
  <c r="AH147" i="1" s="1"/>
  <c r="AF565" i="1"/>
  <c r="AH565" i="1" s="1"/>
  <c r="AF471" i="1"/>
  <c r="AH471" i="1" s="1"/>
  <c r="AF148" i="1"/>
  <c r="AH148" i="1" s="1"/>
  <c r="AF419" i="1"/>
  <c r="AH419" i="1" s="1"/>
  <c r="AF305" i="1"/>
  <c r="AH305" i="1" s="1"/>
  <c r="AF361" i="1"/>
  <c r="AH361" i="1" s="1"/>
  <c r="AF193" i="1"/>
  <c r="AH193" i="1" s="1"/>
  <c r="AF420" i="1"/>
  <c r="AH420" i="1" s="1"/>
  <c r="AF149" i="1"/>
  <c r="AH149" i="1" s="1"/>
  <c r="AF306" i="1"/>
  <c r="AH306" i="1" s="1"/>
  <c r="AF307" i="1"/>
  <c r="AH307" i="1" s="1"/>
  <c r="AF249" i="1"/>
  <c r="AH249" i="1" s="1"/>
  <c r="AF94" i="1"/>
  <c r="AH94" i="1" s="1"/>
  <c r="AF95" i="1"/>
  <c r="AH95" i="1" s="1"/>
  <c r="AF362" i="1"/>
  <c r="AH362" i="1" s="1"/>
  <c r="AF516" i="1"/>
  <c r="AH516" i="1" s="1"/>
  <c r="AF96" i="1"/>
  <c r="AH96" i="1" s="1"/>
  <c r="AF472" i="1"/>
  <c r="AH472" i="1" s="1"/>
  <c r="AF308" i="1"/>
  <c r="AH308" i="1" s="1"/>
  <c r="AF566" i="1"/>
  <c r="AH566" i="1" s="1"/>
  <c r="AF309" i="1"/>
  <c r="AH309" i="1" s="1"/>
  <c r="AF363" i="1"/>
  <c r="AH363" i="1" s="1"/>
  <c r="AF618" i="1"/>
  <c r="AH618" i="1" s="1"/>
  <c r="AF97" i="1"/>
  <c r="AH97" i="1" s="1"/>
  <c r="AF48" i="1"/>
  <c r="AH48" i="1" s="1"/>
  <c r="AF150" i="1"/>
  <c r="AH150" i="1" s="1"/>
  <c r="AF250" i="1"/>
  <c r="AH250" i="1" s="1"/>
  <c r="AF194" i="1"/>
  <c r="AH194" i="1" s="1"/>
  <c r="AF364" i="1"/>
  <c r="AH364" i="1" s="1"/>
  <c r="AF517" i="1"/>
  <c r="AH517" i="1" s="1"/>
  <c r="AF251" i="1"/>
  <c r="AH251" i="1" s="1"/>
  <c r="AF518" i="1"/>
  <c r="AH518" i="1" s="1"/>
  <c r="AF365" i="1"/>
  <c r="AH365" i="1" s="1"/>
  <c r="AF421" i="1"/>
  <c r="AH421" i="1" s="1"/>
  <c r="AF473" i="1"/>
  <c r="AH473" i="1" s="1"/>
  <c r="AF310" i="1"/>
  <c r="AH310" i="1" s="1"/>
  <c r="AF252" i="1"/>
  <c r="AH252" i="1" s="1"/>
  <c r="AF253" i="1"/>
  <c r="AH253" i="1" s="1"/>
  <c r="AF422" i="1"/>
  <c r="AH422" i="1" s="1"/>
  <c r="AF195" i="1"/>
  <c r="AH195" i="1" s="1"/>
  <c r="AF151" i="1"/>
  <c r="AH151" i="1" s="1"/>
  <c r="AF423" i="1"/>
  <c r="AH423" i="1" s="1"/>
  <c r="AF196" i="1"/>
  <c r="AH196" i="1" s="1"/>
  <c r="AF49" i="1"/>
  <c r="AH49" i="1" s="1"/>
  <c r="AF567" i="1"/>
  <c r="AH567" i="1" s="1"/>
  <c r="AF254" i="1"/>
  <c r="AH254" i="1" s="1"/>
  <c r="AF568" i="1"/>
  <c r="AH568" i="1" s="1"/>
  <c r="AF255" i="1"/>
  <c r="AH255" i="1" s="1"/>
  <c r="AF366" i="1"/>
  <c r="AH366" i="1" s="1"/>
  <c r="AF367" i="1"/>
  <c r="AH367" i="1" s="1"/>
  <c r="AF197" i="1"/>
  <c r="AH197" i="1" s="1"/>
  <c r="AF256" i="1"/>
  <c r="AH256" i="1" s="1"/>
  <c r="AF50" i="1"/>
  <c r="AH50" i="1" s="1"/>
  <c r="AF198" i="1"/>
  <c r="AH198" i="1" s="1"/>
  <c r="AF199" i="1"/>
  <c r="AH199" i="1" s="1"/>
  <c r="AF98" i="1"/>
  <c r="AH98" i="1" s="1"/>
  <c r="AF569" i="1"/>
  <c r="AH569" i="1" s="1"/>
  <c r="AF368" i="1"/>
  <c r="AH368" i="1" s="1"/>
  <c r="AF474" i="1"/>
  <c r="AH474" i="1" s="1"/>
  <c r="AF200" i="1"/>
  <c r="AH200" i="1" s="1"/>
  <c r="AF369" i="1"/>
  <c r="AH369" i="1" s="1"/>
  <c r="AF51" i="1"/>
  <c r="AH51" i="1" s="1"/>
  <c r="AF311" i="1"/>
  <c r="AH311" i="1" s="1"/>
  <c r="AF619" i="1"/>
  <c r="AH619" i="1" s="1"/>
  <c r="AF52" i="1"/>
  <c r="AH52" i="1" s="1"/>
  <c r="AF570" i="1"/>
  <c r="AH570" i="1" s="1"/>
  <c r="AF53" i="1"/>
  <c r="AH53" i="1" s="1"/>
  <c r="AF54" i="1"/>
  <c r="AH54" i="1" s="1"/>
  <c r="AF312" i="1"/>
  <c r="AH312" i="1" s="1"/>
  <c r="AF571" i="1"/>
  <c r="AH571" i="1" s="1"/>
  <c r="AF152" i="1"/>
  <c r="AH152" i="1" s="1"/>
  <c r="AF153" i="1"/>
  <c r="AH153" i="1" s="1"/>
  <c r="AF55" i="1"/>
  <c r="AH55" i="1" s="1"/>
  <c r="AF475" i="1"/>
  <c r="AH475" i="1" s="1"/>
  <c r="AF620" i="1"/>
  <c r="AH620" i="1" s="1"/>
  <c r="AF154" i="1"/>
  <c r="AH154" i="1" s="1"/>
  <c r="AF201" i="1"/>
  <c r="AH201" i="1" s="1"/>
  <c r="AF313" i="1"/>
  <c r="AH313" i="1" s="1"/>
  <c r="AF314" i="1"/>
  <c r="AH314" i="1" s="1"/>
  <c r="AF621" i="1"/>
  <c r="AH621" i="1" s="1"/>
  <c r="AF572" i="1"/>
  <c r="AH572" i="1" s="1"/>
  <c r="AF257" i="1"/>
  <c r="AH257" i="1" s="1"/>
  <c r="AF315" i="1"/>
  <c r="AH315" i="1" s="1"/>
  <c r="AF316" i="1"/>
  <c r="AH316" i="1" s="1"/>
  <c r="AF370" i="1"/>
  <c r="AH370" i="1" s="1"/>
  <c r="AF476" i="1"/>
  <c r="AH476" i="1" s="1"/>
  <c r="AF258" i="1"/>
  <c r="AH258" i="1" s="1"/>
  <c r="AF477" i="1"/>
  <c r="AH477" i="1" s="1"/>
  <c r="AF202" i="1"/>
  <c r="AH202" i="1" s="1"/>
  <c r="AF317" i="1"/>
  <c r="AH317" i="1" s="1"/>
  <c r="AF155" i="1"/>
  <c r="AH155" i="1" s="1"/>
  <c r="AF424" i="1"/>
  <c r="AH424" i="1" s="1"/>
  <c r="AF622" i="1"/>
  <c r="AH622" i="1" s="1"/>
  <c r="AF425" i="1"/>
  <c r="AH425" i="1" s="1"/>
  <c r="AF478" i="1"/>
  <c r="AH478" i="1" s="1"/>
  <c r="AF156" i="1"/>
  <c r="AH156" i="1" s="1"/>
  <c r="AF426" i="1"/>
  <c r="AH426" i="1" s="1"/>
  <c r="AF519" i="1"/>
  <c r="AH519" i="1" s="1"/>
  <c r="AF371" i="1"/>
  <c r="AH371" i="1" s="1"/>
  <c r="AF259" i="1"/>
  <c r="AH259" i="1" s="1"/>
  <c r="AF203" i="1"/>
  <c r="AH203" i="1" s="1"/>
  <c r="AF520" i="1"/>
  <c r="AH520" i="1" s="1"/>
  <c r="AF521" i="1"/>
  <c r="AH521" i="1" s="1"/>
  <c r="AF56" i="1"/>
  <c r="AH56" i="1" s="1"/>
  <c r="AF204" i="1"/>
  <c r="AH204" i="1" s="1"/>
  <c r="AF623" i="1"/>
  <c r="AH623" i="1" s="1"/>
  <c r="AF522" i="1"/>
  <c r="AH522" i="1" s="1"/>
  <c r="AF523" i="1"/>
  <c r="AH523" i="1" s="1"/>
  <c r="AF260" i="1"/>
  <c r="AH260" i="1" s="1"/>
  <c r="AF427" i="1"/>
  <c r="AH427" i="1" s="1"/>
  <c r="AF157" i="1"/>
  <c r="AH157" i="1" s="1"/>
  <c r="AF479" i="1"/>
  <c r="AH479" i="1" s="1"/>
  <c r="AF261" i="1"/>
  <c r="AH261" i="1" s="1"/>
  <c r="AF624" i="1"/>
  <c r="AH624" i="1" s="1"/>
  <c r="AF524" i="1"/>
  <c r="AH524" i="1" s="1"/>
  <c r="AF99" i="1"/>
  <c r="AH99" i="1" s="1"/>
  <c r="AF262" i="1"/>
  <c r="AH262" i="1" s="1"/>
  <c r="AF57" i="1"/>
  <c r="AH57" i="1" s="1"/>
  <c r="AF573" i="1"/>
  <c r="AH573" i="1" s="1"/>
  <c r="AF58" i="1"/>
  <c r="AH58" i="1" s="1"/>
  <c r="AF372" i="1"/>
  <c r="AH372" i="1" s="1"/>
  <c r="AF263" i="1"/>
  <c r="AH263" i="1" s="1"/>
  <c r="AF428" i="1"/>
  <c r="AH428" i="1" s="1"/>
  <c r="AF373" i="1"/>
  <c r="AH373" i="1" s="1"/>
  <c r="AF318" i="1"/>
  <c r="AH318" i="1" s="1"/>
  <c r="AF100" i="1"/>
  <c r="AH100" i="1" s="1"/>
  <c r="AF625" i="1"/>
  <c r="AH625" i="1" s="1"/>
  <c r="AF429" i="1"/>
  <c r="AH429" i="1" s="1"/>
  <c r="AF319" i="1"/>
  <c r="AH319" i="1" s="1"/>
  <c r="AF626" i="1"/>
  <c r="AH626" i="1" s="1"/>
  <c r="AF430" i="1"/>
  <c r="AH430" i="1" s="1"/>
  <c r="AF101" i="1"/>
  <c r="AH101" i="1" s="1"/>
  <c r="AF574" i="1"/>
  <c r="AH574" i="1" s="1"/>
  <c r="AF575" i="1"/>
  <c r="AH575" i="1" s="1"/>
  <c r="AF431" i="1"/>
  <c r="AH431" i="1" s="1"/>
  <c r="AF480" i="1"/>
  <c r="AH480" i="1" s="1"/>
  <c r="AF205" i="1"/>
  <c r="AH205" i="1" s="1"/>
  <c r="AF627" i="1"/>
  <c r="AH627" i="1" s="1"/>
  <c r="AF374" i="1"/>
  <c r="AH374" i="1" s="1"/>
  <c r="AF320" i="1"/>
  <c r="AH320" i="1" s="1"/>
  <c r="AF321" i="1"/>
  <c r="AH321" i="1" s="1"/>
  <c r="AF102" i="1"/>
  <c r="AH102" i="1" s="1"/>
  <c r="AF103" i="1"/>
  <c r="AH103" i="1" s="1"/>
  <c r="AF206" i="1"/>
  <c r="AH206" i="1" s="1"/>
  <c r="AF104" i="1"/>
  <c r="AH104" i="1" s="1"/>
  <c r="AF105" i="1"/>
  <c r="AH105" i="1" s="1"/>
  <c r="AF576" i="1"/>
  <c r="AH576" i="1" s="1"/>
  <c r="AF577" i="1"/>
  <c r="AH577" i="1" s="1"/>
  <c r="AF432" i="1"/>
  <c r="AH432" i="1" s="1"/>
  <c r="AF59" i="1"/>
  <c r="AH59" i="1" s="1"/>
  <c r="AF60" i="1"/>
  <c r="AH60" i="1" s="1"/>
  <c r="AF375" i="1"/>
  <c r="AH375" i="1" s="1"/>
  <c r="AF433" i="1"/>
  <c r="AH433" i="1" s="1"/>
  <c r="AF61" i="1"/>
  <c r="AH61" i="1" s="1"/>
  <c r="AF628" i="1"/>
  <c r="AH628" i="1" s="1"/>
  <c r="AF481" i="1"/>
  <c r="AH481" i="1" s="1"/>
  <c r="AF376" i="1"/>
  <c r="AH376" i="1" s="1"/>
  <c r="AF207" i="1"/>
  <c r="AH207" i="1" s="1"/>
  <c r="AF208" i="1"/>
  <c r="AH208" i="1" s="1"/>
  <c r="AF209" i="1"/>
  <c r="AH209" i="1" s="1"/>
  <c r="AF629" i="1"/>
  <c r="AH629" i="1" s="1"/>
  <c r="AF377" i="1"/>
  <c r="AH377" i="1" s="1"/>
  <c r="AF210" i="1"/>
  <c r="AH210" i="1" s="1"/>
  <c r="AF434" i="1"/>
  <c r="AH434" i="1" s="1"/>
  <c r="AF106" i="1"/>
  <c r="AH106" i="1" s="1"/>
  <c r="AF525" i="1"/>
  <c r="AH525" i="1" s="1"/>
  <c r="AF378" i="1"/>
  <c r="AH378" i="1" s="1"/>
  <c r="AF62" i="1"/>
  <c r="AH62" i="1" s="1"/>
  <c r="AF578" i="1"/>
  <c r="AH578" i="1" s="1"/>
  <c r="AF107" i="1"/>
  <c r="AH107" i="1" s="1"/>
  <c r="AF211" i="1"/>
  <c r="AH211" i="1" s="1"/>
  <c r="AF379" i="1"/>
  <c r="AH379" i="1" s="1"/>
  <c r="AF579" i="1"/>
  <c r="AH579" i="1" s="1"/>
  <c r="AF63" i="1"/>
  <c r="AH63" i="1" s="1"/>
  <c r="AF380" i="1"/>
  <c r="AH380" i="1" s="1"/>
  <c r="AF526" i="1"/>
  <c r="AH526" i="1" s="1"/>
  <c r="AF435" i="1"/>
  <c r="AH435" i="1" s="1"/>
  <c r="AF527" i="1"/>
  <c r="AH527" i="1" s="1"/>
  <c r="AF630" i="1"/>
  <c r="AH630" i="1" s="1"/>
  <c r="AF631" i="1"/>
  <c r="AH631" i="1" s="1"/>
  <c r="AF632" i="1"/>
  <c r="AH632" i="1" s="1"/>
  <c r="AF436" i="1"/>
  <c r="AH436" i="1" s="1"/>
  <c r="AF212" i="1"/>
  <c r="AH212" i="1" s="1"/>
  <c r="AF381" i="1"/>
  <c r="AH381" i="1" s="1"/>
  <c r="AF482" i="1"/>
  <c r="AH482" i="1" s="1"/>
  <c r="AF580" i="1"/>
  <c r="AH580" i="1" s="1"/>
  <c r="AF581" i="1"/>
  <c r="AH581" i="1" s="1"/>
  <c r="AF213" i="1"/>
  <c r="AH213" i="1" s="1"/>
  <c r="AF437" i="1"/>
  <c r="AH437" i="1" s="1"/>
  <c r="AF64" i="1"/>
  <c r="AH64" i="1" s="1"/>
  <c r="AF322" i="1"/>
  <c r="AH322" i="1" s="1"/>
  <c r="AF438" i="1"/>
  <c r="AH438" i="1" s="1"/>
  <c r="AF158" i="1"/>
  <c r="AH158" i="1" s="1"/>
  <c r="AF323" i="1"/>
  <c r="AH323" i="1" s="1"/>
  <c r="AF324" i="1"/>
  <c r="AH324" i="1" s="1"/>
  <c r="AF159" i="1"/>
  <c r="AH159" i="1" s="1"/>
  <c r="AF108" i="1"/>
  <c r="AH108" i="1" s="1"/>
  <c r="AF264" i="1"/>
  <c r="AH264" i="1" s="1"/>
  <c r="AF382" i="1"/>
  <c r="AH382" i="1" s="1"/>
  <c r="AF383" i="1"/>
  <c r="AH383" i="1" s="1"/>
  <c r="N439" i="1"/>
  <c r="N384" i="1"/>
  <c r="N440" i="1"/>
  <c r="N325" i="1"/>
  <c r="N65" i="1"/>
  <c r="N265" i="1"/>
  <c r="N441" i="1"/>
  <c r="N442" i="1"/>
  <c r="N3" i="1"/>
  <c r="N214" i="1"/>
  <c r="N326" i="1"/>
  <c r="N4" i="1"/>
  <c r="N160" i="1"/>
  <c r="N5" i="1"/>
  <c r="N385" i="1"/>
  <c r="N161" i="1"/>
  <c r="N327" i="1"/>
  <c r="N6" i="1"/>
  <c r="N528" i="1"/>
  <c r="N386" i="1"/>
  <c r="N109" i="1"/>
  <c r="N443" i="1"/>
  <c r="N582" i="1"/>
  <c r="N7" i="1"/>
  <c r="N8" i="1"/>
  <c r="N162" i="1"/>
  <c r="N387" i="1"/>
  <c r="N388" i="1"/>
  <c r="N163" i="1"/>
  <c r="N266" i="1"/>
  <c r="N66" i="1"/>
  <c r="N483" i="1"/>
  <c r="N529" i="1"/>
  <c r="N484" i="1"/>
  <c r="N267" i="1"/>
  <c r="N215" i="1"/>
  <c r="N110" i="1"/>
  <c r="N444" i="1"/>
  <c r="N583" i="1"/>
  <c r="N216" i="1"/>
  <c r="N485" i="1"/>
  <c r="N389" i="1"/>
  <c r="N217" i="1"/>
  <c r="N67" i="1"/>
  <c r="N268" i="1"/>
  <c r="N445" i="1"/>
  <c r="N530" i="1"/>
  <c r="N446" i="1"/>
  <c r="N164" i="1"/>
  <c r="N68" i="1"/>
  <c r="N269" i="1"/>
  <c r="N390" i="1"/>
  <c r="N165" i="1"/>
  <c r="N218" i="1"/>
  <c r="N9" i="1"/>
  <c r="N10" i="1"/>
  <c r="N219" i="1"/>
  <c r="N166" i="1"/>
  <c r="N391" i="1"/>
  <c r="N167" i="1"/>
  <c r="N328" i="1"/>
  <c r="N168" i="1"/>
  <c r="N270" i="1"/>
  <c r="N486" i="1"/>
  <c r="N11" i="1"/>
  <c r="N531" i="1"/>
  <c r="N329" i="1"/>
  <c r="N487" i="1"/>
  <c r="N111" i="1"/>
  <c r="N220" i="1"/>
  <c r="N12" i="1"/>
  <c r="N488" i="1"/>
  <c r="N112" i="1"/>
  <c r="N489" i="1"/>
  <c r="N271" i="1"/>
  <c r="N13" i="1"/>
  <c r="N14" i="1"/>
  <c r="N532" i="1"/>
  <c r="N169" i="1"/>
  <c r="N490" i="1"/>
  <c r="N69" i="1"/>
  <c r="N170" i="1"/>
  <c r="N584" i="1"/>
  <c r="N533" i="1"/>
  <c r="N491" i="1"/>
  <c r="N113" i="1"/>
  <c r="N392" i="1"/>
  <c r="N272" i="1"/>
  <c r="N330" i="1"/>
  <c r="N331" i="1"/>
  <c r="N273" i="1"/>
  <c r="N15" i="1"/>
  <c r="N447" i="1"/>
  <c r="N393" i="1"/>
  <c r="N534" i="1"/>
  <c r="N274" i="1"/>
  <c r="N448" i="1"/>
  <c r="N114" i="1"/>
  <c r="N221" i="1"/>
  <c r="N115" i="1"/>
  <c r="N275" i="1"/>
  <c r="N394" i="1"/>
  <c r="N70" i="1"/>
  <c r="N116" i="1"/>
  <c r="N492" i="1"/>
  <c r="N395" i="1"/>
  <c r="N535" i="1"/>
  <c r="N332" i="1"/>
  <c r="N396" i="1"/>
  <c r="N117" i="1"/>
  <c r="N536" i="1"/>
  <c r="N493" i="1"/>
  <c r="N585" i="1"/>
  <c r="N333" i="1"/>
  <c r="N16" i="1"/>
  <c r="N71" i="1"/>
  <c r="N222" i="1"/>
  <c r="N118" i="1"/>
  <c r="N72" i="1"/>
  <c r="N537" i="1"/>
  <c r="N171" i="1"/>
  <c r="N397" i="1"/>
  <c r="N17" i="1"/>
  <c r="N73" i="1"/>
  <c r="N119" i="1"/>
  <c r="N223" i="1"/>
  <c r="N538" i="1"/>
  <c r="N586" i="1"/>
  <c r="N587" i="1"/>
  <c r="N18" i="1"/>
  <c r="N449" i="1"/>
  <c r="N539" i="1"/>
  <c r="N120" i="1"/>
  <c r="N588" i="1"/>
  <c r="N172" i="1"/>
  <c r="N121" i="1"/>
  <c r="N398" i="1"/>
  <c r="N173" i="1"/>
  <c r="N122" i="1"/>
  <c r="N276" i="1"/>
  <c r="N224" i="1"/>
  <c r="N589" i="1"/>
  <c r="N74" i="1"/>
  <c r="N19" i="1"/>
  <c r="N494" i="1"/>
  <c r="N399" i="1"/>
  <c r="N225" i="1"/>
  <c r="N174" i="1"/>
  <c r="N75" i="1"/>
  <c r="N76" i="1"/>
  <c r="N495" i="1"/>
  <c r="N334" i="1"/>
  <c r="N400" i="1"/>
  <c r="N401" i="1"/>
  <c r="N335" i="1"/>
  <c r="N175" i="1"/>
  <c r="N277" i="1"/>
  <c r="N226" i="1"/>
  <c r="N123" i="1"/>
  <c r="N278" i="1"/>
  <c r="N124" i="1"/>
  <c r="N20" i="1"/>
  <c r="N336" i="1"/>
  <c r="N125" i="1"/>
  <c r="N227" i="1"/>
  <c r="N126" i="1"/>
  <c r="N176" i="1"/>
  <c r="N279" i="1"/>
  <c r="N540" i="1"/>
  <c r="N337" i="1"/>
  <c r="N338" i="1"/>
  <c r="N590" i="1"/>
  <c r="N496" i="1"/>
  <c r="N497" i="1"/>
  <c r="N541" i="1"/>
  <c r="N542" i="1"/>
  <c r="N228" i="1"/>
  <c r="N77" i="1"/>
  <c r="N127" i="1"/>
  <c r="N21" i="1"/>
  <c r="N128" i="1"/>
  <c r="N339" i="1"/>
  <c r="N450" i="1"/>
  <c r="N451" i="1"/>
  <c r="N177" i="1"/>
  <c r="N178" i="1"/>
  <c r="N22" i="1"/>
  <c r="N23" i="1"/>
  <c r="N129" i="1"/>
  <c r="N543" i="1"/>
  <c r="N591" i="1"/>
  <c r="N130" i="1"/>
  <c r="N592" i="1"/>
  <c r="N24" i="1"/>
  <c r="N340" i="1"/>
  <c r="N402" i="1"/>
  <c r="N229" i="1"/>
  <c r="N230" i="1"/>
  <c r="N593" i="1"/>
  <c r="N594" i="1"/>
  <c r="N595" i="1"/>
  <c r="N403" i="1"/>
  <c r="N544" i="1"/>
  <c r="N231" i="1"/>
  <c r="N545" i="1"/>
  <c r="N404" i="1"/>
  <c r="N405" i="1"/>
  <c r="N452" i="1"/>
  <c r="N498" i="1"/>
  <c r="N78" i="1"/>
  <c r="N131" i="1"/>
  <c r="N406" i="1"/>
  <c r="N25" i="1"/>
  <c r="N341" i="1"/>
  <c r="N280" i="1"/>
  <c r="N232" i="1"/>
  <c r="N132" i="1"/>
  <c r="N26" i="1"/>
  <c r="N407" i="1"/>
  <c r="N596" i="1"/>
  <c r="N499" i="1"/>
  <c r="N500" i="1"/>
  <c r="N546" i="1"/>
  <c r="N27" i="1"/>
  <c r="N342" i="1"/>
  <c r="N597" i="1"/>
  <c r="N598" i="1"/>
  <c r="N408" i="1"/>
  <c r="N133" i="1"/>
  <c r="N28" i="1"/>
  <c r="N453" i="1"/>
  <c r="N343" i="1"/>
  <c r="N501" i="1"/>
  <c r="N344" i="1"/>
  <c r="N409" i="1"/>
  <c r="N79" i="1"/>
  <c r="N281" i="1"/>
  <c r="N599" i="1"/>
  <c r="N282" i="1"/>
  <c r="N134" i="1"/>
  <c r="N345" i="1"/>
  <c r="N233" i="1"/>
  <c r="N29" i="1"/>
  <c r="N454" i="1"/>
  <c r="N80" i="1"/>
  <c r="N234" i="1"/>
  <c r="N410" i="1"/>
  <c r="N346" i="1"/>
  <c r="N600" i="1"/>
  <c r="N81" i="1"/>
  <c r="N82" i="1"/>
  <c r="N601" i="1"/>
  <c r="N347" i="1"/>
  <c r="N235" i="1"/>
  <c r="N283" i="1"/>
  <c r="N547" i="1"/>
  <c r="N236" i="1"/>
  <c r="N30" i="1"/>
  <c r="N455" i="1"/>
  <c r="N237" i="1"/>
  <c r="N31" i="1"/>
  <c r="N502" i="1"/>
  <c r="N456" i="1"/>
  <c r="N83" i="1"/>
  <c r="N548" i="1"/>
  <c r="N457" i="1"/>
  <c r="N32" i="1"/>
  <c r="N179" i="1"/>
  <c r="N33" i="1"/>
  <c r="N284" i="1"/>
  <c r="N238" i="1"/>
  <c r="N84" i="1"/>
  <c r="N180" i="1"/>
  <c r="N34" i="1"/>
  <c r="N602" i="1"/>
  <c r="N239" i="1"/>
  <c r="N503" i="1"/>
  <c r="N285" i="1"/>
  <c r="N603" i="1"/>
  <c r="N348" i="1"/>
  <c r="N411" i="1"/>
  <c r="N286" i="1"/>
  <c r="N240" i="1"/>
  <c r="N349" i="1"/>
  <c r="N241" i="1"/>
  <c r="N287" i="1"/>
  <c r="N504" i="1"/>
  <c r="N505" i="1"/>
  <c r="N458" i="1"/>
  <c r="N35" i="1"/>
  <c r="N549" i="1"/>
  <c r="N550" i="1"/>
  <c r="N350" i="1"/>
  <c r="N242" i="1"/>
  <c r="N85" i="1"/>
  <c r="N604" i="1"/>
  <c r="N605" i="1"/>
  <c r="N181" i="1"/>
  <c r="N86" i="1"/>
  <c r="N135" i="1"/>
  <c r="N36" i="1"/>
  <c r="N551" i="1"/>
  <c r="N412" i="1"/>
  <c r="N182" i="1"/>
  <c r="N459" i="1"/>
  <c r="N606" i="1"/>
  <c r="N351" i="1"/>
  <c r="N183" i="1"/>
  <c r="N552" i="1"/>
  <c r="N37" i="1"/>
  <c r="N87" i="1"/>
  <c r="N553" i="1"/>
  <c r="N506" i="1"/>
  <c r="N184" i="1"/>
  <c r="N352" i="1"/>
  <c r="N38" i="1"/>
  <c r="N607" i="1"/>
  <c r="N413" i="1"/>
  <c r="N243" i="1"/>
  <c r="N608" i="1"/>
  <c r="N185" i="1"/>
  <c r="N39" i="1"/>
  <c r="N40" i="1"/>
  <c r="N507" i="1"/>
  <c r="N288" i="1"/>
  <c r="N414" i="1"/>
  <c r="N41" i="1"/>
  <c r="N88" i="1"/>
  <c r="N609" i="1"/>
  <c r="N554" i="1"/>
  <c r="N289" i="1"/>
  <c r="N555" i="1"/>
  <c r="N290" i="1"/>
  <c r="N186" i="1"/>
  <c r="N136" i="1"/>
  <c r="N42" i="1"/>
  <c r="N460" i="1"/>
  <c r="N508" i="1"/>
  <c r="N415" i="1"/>
  <c r="N610" i="1"/>
  <c r="N416" i="1"/>
  <c r="N291" i="1"/>
  <c r="N353" i="1"/>
  <c r="N354" i="1"/>
  <c r="N89" i="1"/>
  <c r="N461" i="1"/>
  <c r="N462" i="1"/>
  <c r="N292" i="1"/>
  <c r="N556" i="1"/>
  <c r="N244" i="1"/>
  <c r="N463" i="1"/>
  <c r="N355" i="1"/>
  <c r="N43" i="1"/>
  <c r="N557" i="1"/>
  <c r="N44" i="1"/>
  <c r="N45" i="1"/>
  <c r="N137" i="1"/>
  <c r="N509" i="1"/>
  <c r="N558" i="1"/>
  <c r="N559" i="1"/>
  <c r="N464" i="1"/>
  <c r="N138" i="1"/>
  <c r="N560" i="1"/>
  <c r="N356" i="1"/>
  <c r="N417" i="1"/>
  <c r="N293" i="1"/>
  <c r="N611" i="1"/>
  <c r="N90" i="1"/>
  <c r="N187" i="1"/>
  <c r="N612" i="1"/>
  <c r="N465" i="1"/>
  <c r="N561" i="1"/>
  <c r="N613" i="1"/>
  <c r="N139" i="1"/>
  <c r="N140" i="1"/>
  <c r="N510" i="1"/>
  <c r="N511" i="1"/>
  <c r="N46" i="1"/>
  <c r="N562" i="1"/>
  <c r="N91" i="1"/>
  <c r="N563" i="1"/>
  <c r="N614" i="1"/>
  <c r="N188" i="1"/>
  <c r="N294" i="1"/>
  <c r="N295" i="1"/>
  <c r="N466" i="1"/>
  <c r="N141" i="1"/>
  <c r="N512" i="1"/>
  <c r="N513" i="1"/>
  <c r="N189" i="1"/>
  <c r="N142" i="1"/>
  <c r="N615" i="1"/>
  <c r="N564" i="1"/>
  <c r="N357" i="1"/>
  <c r="N245" i="1"/>
  <c r="N358" i="1"/>
  <c r="N514" i="1"/>
  <c r="N515" i="1"/>
  <c r="N418" i="1"/>
  <c r="N616" i="1"/>
  <c r="N92" i="1"/>
  <c r="N190" i="1"/>
  <c r="N47" i="1"/>
  <c r="N143" i="1"/>
  <c r="N296" i="1"/>
  <c r="N467" i="1"/>
  <c r="N297" i="1"/>
  <c r="N144" i="1"/>
  <c r="N359" i="1"/>
  <c r="N191" i="1"/>
  <c r="N246" i="1"/>
  <c r="N468" i="1"/>
  <c r="N298" i="1"/>
  <c r="N93" i="1"/>
  <c r="N299" i="1"/>
  <c r="N300" i="1"/>
  <c r="N145" i="1"/>
  <c r="N247" i="1"/>
  <c r="N360" i="1"/>
  <c r="N617" i="1"/>
  <c r="N469" i="1"/>
  <c r="N301" i="1"/>
  <c r="N146" i="1"/>
  <c r="N302" i="1"/>
  <c r="N470" i="1"/>
  <c r="N303" i="1"/>
  <c r="N192" i="1"/>
  <c r="N304" i="1"/>
  <c r="N248" i="1"/>
  <c r="N147" i="1"/>
  <c r="N565" i="1"/>
  <c r="N471" i="1"/>
  <c r="N148" i="1"/>
  <c r="N419" i="1"/>
  <c r="N305" i="1"/>
  <c r="N361" i="1"/>
  <c r="N193" i="1"/>
  <c r="N420" i="1"/>
  <c r="N149" i="1"/>
  <c r="N306" i="1"/>
  <c r="N307" i="1"/>
  <c r="N249" i="1"/>
  <c r="N94" i="1"/>
  <c r="N95" i="1"/>
  <c r="N362" i="1"/>
  <c r="N516" i="1"/>
  <c r="N96" i="1"/>
  <c r="N472" i="1"/>
  <c r="N308" i="1"/>
  <c r="N566" i="1"/>
  <c r="N309" i="1"/>
  <c r="N363" i="1"/>
  <c r="N618" i="1"/>
  <c r="N97" i="1"/>
  <c r="N48" i="1"/>
  <c r="N150" i="1"/>
  <c r="N250" i="1"/>
  <c r="N194" i="1"/>
  <c r="N364" i="1"/>
  <c r="N517" i="1"/>
  <c r="N251" i="1"/>
  <c r="N518" i="1"/>
  <c r="N365" i="1"/>
  <c r="N421" i="1"/>
  <c r="N473" i="1"/>
  <c r="N310" i="1"/>
  <c r="N252" i="1"/>
  <c r="N253" i="1"/>
  <c r="N422" i="1"/>
  <c r="N195" i="1"/>
  <c r="N151" i="1"/>
  <c r="N423" i="1"/>
  <c r="N196" i="1"/>
  <c r="N49" i="1"/>
  <c r="N567" i="1"/>
  <c r="N254" i="1"/>
  <c r="N568" i="1"/>
  <c r="N255" i="1"/>
  <c r="N366" i="1"/>
  <c r="N367" i="1"/>
  <c r="N197" i="1"/>
  <c r="N256" i="1"/>
  <c r="N50" i="1"/>
  <c r="N198" i="1"/>
  <c r="N199" i="1"/>
  <c r="N98" i="1"/>
  <c r="N569" i="1"/>
  <c r="N368" i="1"/>
  <c r="N474" i="1"/>
  <c r="N200" i="1"/>
  <c r="N369" i="1"/>
  <c r="N51" i="1"/>
  <c r="N311" i="1"/>
  <c r="N619" i="1"/>
  <c r="N52" i="1"/>
  <c r="N570" i="1"/>
  <c r="N53" i="1"/>
  <c r="N54" i="1"/>
  <c r="N312" i="1"/>
  <c r="N571" i="1"/>
  <c r="N152" i="1"/>
  <c r="N153" i="1"/>
  <c r="N55" i="1"/>
  <c r="N475" i="1"/>
  <c r="N620" i="1"/>
  <c r="N154" i="1"/>
  <c r="N201" i="1"/>
  <c r="N313" i="1"/>
  <c r="N314" i="1"/>
  <c r="N621" i="1"/>
  <c r="N572" i="1"/>
  <c r="N257" i="1"/>
  <c r="N315" i="1"/>
  <c r="N316" i="1"/>
  <c r="N370" i="1"/>
  <c r="N476" i="1"/>
  <c r="N258" i="1"/>
  <c r="N477" i="1"/>
  <c r="N202" i="1"/>
  <c r="N317" i="1"/>
  <c r="N155" i="1"/>
  <c r="N424" i="1"/>
  <c r="N622" i="1"/>
  <c r="N425" i="1"/>
  <c r="N478" i="1"/>
  <c r="N156" i="1"/>
  <c r="N426" i="1"/>
  <c r="N519" i="1"/>
  <c r="N371" i="1"/>
  <c r="N259" i="1"/>
  <c r="N203" i="1"/>
  <c r="N520" i="1"/>
  <c r="N521" i="1"/>
  <c r="N56" i="1"/>
  <c r="N204" i="1"/>
  <c r="N623" i="1"/>
  <c r="N522" i="1"/>
  <c r="N523" i="1"/>
  <c r="N260" i="1"/>
  <c r="N427" i="1"/>
  <c r="N157" i="1"/>
  <c r="N479" i="1"/>
  <c r="N261" i="1"/>
  <c r="N624" i="1"/>
  <c r="N524" i="1"/>
  <c r="N99" i="1"/>
  <c r="N262" i="1"/>
  <c r="N57" i="1"/>
  <c r="N573" i="1"/>
  <c r="N58" i="1"/>
  <c r="N372" i="1"/>
  <c r="N263" i="1"/>
  <c r="N428" i="1"/>
  <c r="N373" i="1"/>
  <c r="N318" i="1"/>
  <c r="N100" i="1"/>
  <c r="N625" i="1"/>
  <c r="N429" i="1"/>
  <c r="N319" i="1"/>
  <c r="N626" i="1"/>
  <c r="N430" i="1"/>
  <c r="N101" i="1"/>
  <c r="N574" i="1"/>
  <c r="N575" i="1"/>
  <c r="N431" i="1"/>
  <c r="N480" i="1"/>
  <c r="N205" i="1"/>
  <c r="N627" i="1"/>
  <c r="N374" i="1"/>
  <c r="N320" i="1"/>
  <c r="N321" i="1"/>
  <c r="N102" i="1"/>
  <c r="N103" i="1"/>
  <c r="N206" i="1"/>
  <c r="N104" i="1"/>
  <c r="N105" i="1"/>
  <c r="N576" i="1"/>
  <c r="N577" i="1"/>
  <c r="N432" i="1"/>
  <c r="N59" i="1"/>
  <c r="N60" i="1"/>
  <c r="N375" i="1"/>
  <c r="N433" i="1"/>
  <c r="N61" i="1"/>
  <c r="N628" i="1"/>
  <c r="N481" i="1"/>
  <c r="N376" i="1"/>
  <c r="N207" i="1"/>
  <c r="N208" i="1"/>
  <c r="N209" i="1"/>
  <c r="N629" i="1"/>
  <c r="N377" i="1"/>
  <c r="N210" i="1"/>
  <c r="N434" i="1"/>
  <c r="N106" i="1"/>
  <c r="N525" i="1"/>
  <c r="N378" i="1"/>
  <c r="N62" i="1"/>
  <c r="N578" i="1"/>
  <c r="N107" i="1"/>
  <c r="N211" i="1"/>
  <c r="N379" i="1"/>
  <c r="N579" i="1"/>
  <c r="N63" i="1"/>
  <c r="N380" i="1"/>
  <c r="N526" i="1"/>
  <c r="N435" i="1"/>
  <c r="N527" i="1"/>
  <c r="N630" i="1"/>
  <c r="N631" i="1"/>
  <c r="N632" i="1"/>
  <c r="N436" i="1"/>
  <c r="N212" i="1"/>
  <c r="N381" i="1"/>
  <c r="N482" i="1"/>
  <c r="N580" i="1"/>
  <c r="N581" i="1"/>
  <c r="N213" i="1"/>
  <c r="N437" i="1"/>
  <c r="N64" i="1"/>
  <c r="N322" i="1"/>
  <c r="N438" i="1"/>
  <c r="N158" i="1"/>
  <c r="N323" i="1"/>
  <c r="N324" i="1"/>
  <c r="N159" i="1"/>
  <c r="N108" i="1"/>
  <c r="N264" i="1"/>
  <c r="N382" i="1"/>
  <c r="N383" i="1"/>
  <c r="AD477" i="1"/>
  <c r="AD209" i="1"/>
  <c r="AM2" i="1" l="1"/>
  <c r="AM3" i="1"/>
  <c r="AD324" i="1"/>
  <c r="AD630" i="1"/>
  <c r="AG630" i="1" s="1"/>
  <c r="AI630" i="1" s="1"/>
  <c r="AD208" i="1"/>
  <c r="AG208" i="1" s="1"/>
  <c r="AI208" i="1" s="1"/>
  <c r="AD103" i="1"/>
  <c r="AG103" i="1" s="1"/>
  <c r="AI103" i="1" s="1"/>
  <c r="AD625" i="1"/>
  <c r="AD157" i="1"/>
  <c r="AG157" i="1" s="1"/>
  <c r="AI157" i="1" s="1"/>
  <c r="AD478" i="1"/>
  <c r="AG478" i="1" s="1"/>
  <c r="AI478" i="1" s="1"/>
  <c r="AD314" i="1"/>
  <c r="AG314" i="1" s="1"/>
  <c r="AI314" i="1" s="1"/>
  <c r="AD311" i="1"/>
  <c r="AD568" i="1"/>
  <c r="AG568" i="1" s="1"/>
  <c r="AI568" i="1" s="1"/>
  <c r="AD251" i="1"/>
  <c r="AG251" i="1" s="1"/>
  <c r="AI251" i="1" s="1"/>
  <c r="AD193" i="1"/>
  <c r="AG193" i="1" s="1"/>
  <c r="AI193" i="1" s="1"/>
  <c r="AD469" i="1"/>
  <c r="AD296" i="1"/>
  <c r="AG296" i="1" s="1"/>
  <c r="AI296" i="1" s="1"/>
  <c r="AD513" i="1"/>
  <c r="AG513" i="1" s="1"/>
  <c r="AI513" i="1" s="1"/>
  <c r="AD613" i="1"/>
  <c r="AG613" i="1" s="1"/>
  <c r="AI613" i="1" s="1"/>
  <c r="AD464" i="1"/>
  <c r="AD556" i="1"/>
  <c r="AG556" i="1" s="1"/>
  <c r="AI556" i="1" s="1"/>
  <c r="AD290" i="1"/>
  <c r="AG290" i="1" s="1"/>
  <c r="AI290" i="1" s="1"/>
  <c r="AD607" i="1"/>
  <c r="AG607" i="1" s="1"/>
  <c r="AI607" i="1" s="1"/>
  <c r="AD459" i="1"/>
  <c r="AD458" i="1"/>
  <c r="AG458" i="1" s="1"/>
  <c r="AI458" i="1" s="1"/>
  <c r="AD33" i="1"/>
  <c r="AG33" i="1" s="1"/>
  <c r="AI33" i="1" s="1"/>
  <c r="AD347" i="1"/>
  <c r="AG347" i="1" s="1"/>
  <c r="AI347" i="1" s="1"/>
  <c r="AD281" i="1"/>
  <c r="AD499" i="1"/>
  <c r="AG499" i="1" s="1"/>
  <c r="AI499" i="1" s="1"/>
  <c r="AD545" i="1"/>
  <c r="AG545" i="1" s="1"/>
  <c r="AI545" i="1" s="1"/>
  <c r="AD129" i="1"/>
  <c r="AG129" i="1" s="1"/>
  <c r="AI129" i="1" s="1"/>
  <c r="AD228" i="1"/>
  <c r="AD124" i="1"/>
  <c r="AG124" i="1" s="1"/>
  <c r="AI124" i="1" s="1"/>
  <c r="AD494" i="1"/>
  <c r="AG494" i="1" s="1"/>
  <c r="AI494" i="1" s="1"/>
  <c r="AD398" i="1"/>
  <c r="AG398" i="1" s="1"/>
  <c r="AI398" i="1" s="1"/>
  <c r="AD119" i="1"/>
  <c r="AD396" i="1"/>
  <c r="AG396" i="1" s="1"/>
  <c r="AI396" i="1" s="1"/>
  <c r="AD448" i="1"/>
  <c r="AG448" i="1" s="1"/>
  <c r="AI448" i="1" s="1"/>
  <c r="AD69" i="1"/>
  <c r="AG69" i="1" s="1"/>
  <c r="AI69" i="1" s="1"/>
  <c r="AM439" i="1"/>
  <c r="AD580" i="1"/>
  <c r="AG580" i="1" s="1"/>
  <c r="AD63" i="1"/>
  <c r="AG63" i="1" s="1"/>
  <c r="AI63" i="1" s="1"/>
  <c r="AD377" i="1"/>
  <c r="AG377" i="1" s="1"/>
  <c r="AI377" i="1" s="1"/>
  <c r="AD59" i="1"/>
  <c r="AG59" i="1" s="1"/>
  <c r="AI59" i="1" s="1"/>
  <c r="AD102" i="1"/>
  <c r="AG102" i="1" s="1"/>
  <c r="AD626" i="1"/>
  <c r="AG626" i="1" s="1"/>
  <c r="AI626" i="1" s="1"/>
  <c r="AD427" i="1"/>
  <c r="AG427" i="1" s="1"/>
  <c r="AI427" i="1" s="1"/>
  <c r="AD519" i="1"/>
  <c r="AG519" i="1" s="1"/>
  <c r="AI519" i="1" s="1"/>
  <c r="AD476" i="1"/>
  <c r="AG476" i="1" s="1"/>
  <c r="AI476" i="1" s="1"/>
  <c r="AD313" i="1"/>
  <c r="AG313" i="1" s="1"/>
  <c r="AI313" i="1" s="1"/>
  <c r="AD570" i="1"/>
  <c r="AG570" i="1" s="1"/>
  <c r="AI570" i="1" s="1"/>
  <c r="AD198" i="1"/>
  <c r="AG198" i="1" s="1"/>
  <c r="AI198" i="1" s="1"/>
  <c r="AD423" i="1"/>
  <c r="AG423" i="1" s="1"/>
  <c r="AI423" i="1" s="1"/>
  <c r="AD421" i="1"/>
  <c r="AG421" i="1" s="1"/>
  <c r="AI421" i="1" s="1"/>
  <c r="AD363" i="1"/>
  <c r="AG363" i="1" s="1"/>
  <c r="AI363" i="1" s="1"/>
  <c r="AD306" i="1"/>
  <c r="AG306" i="1" s="1"/>
  <c r="AI306" i="1" s="1"/>
  <c r="AD304" i="1"/>
  <c r="AG304" i="1" s="1"/>
  <c r="AI304" i="1" s="1"/>
  <c r="AD300" i="1"/>
  <c r="AG300" i="1" s="1"/>
  <c r="AI300" i="1" s="1"/>
  <c r="AD616" i="1"/>
  <c r="AG616" i="1" s="1"/>
  <c r="AI616" i="1" s="1"/>
  <c r="AD512" i="1"/>
  <c r="AG512" i="1" s="1"/>
  <c r="AI512" i="1" s="1"/>
  <c r="AD294" i="1"/>
  <c r="AG294" i="1" s="1"/>
  <c r="AI294" i="1" s="1"/>
  <c r="AD90" i="1"/>
  <c r="AG90" i="1" s="1"/>
  <c r="AI90" i="1" s="1"/>
  <c r="AD45" i="1"/>
  <c r="AG45" i="1" s="1"/>
  <c r="AI45" i="1" s="1"/>
  <c r="AD354" i="1"/>
  <c r="AG354" i="1" s="1"/>
  <c r="AI354" i="1" s="1"/>
  <c r="AD555" i="1"/>
  <c r="AG555" i="1" s="1"/>
  <c r="AI555" i="1" s="1"/>
  <c r="AD608" i="1"/>
  <c r="AG608" i="1" s="1"/>
  <c r="AI608" i="1" s="1"/>
  <c r="AD183" i="1"/>
  <c r="AG183" i="1" s="1"/>
  <c r="AI183" i="1" s="1"/>
  <c r="AD604" i="1"/>
  <c r="AG604" i="1" s="1"/>
  <c r="AI604" i="1" s="1"/>
  <c r="AD349" i="1"/>
  <c r="AG349" i="1" s="1"/>
  <c r="AI349" i="1" s="1"/>
  <c r="AD84" i="1"/>
  <c r="AG84" i="1" s="1"/>
  <c r="AI84" i="1" s="1"/>
  <c r="AD237" i="1"/>
  <c r="AG237" i="1" s="1"/>
  <c r="AI237" i="1" s="1"/>
  <c r="AD454" i="1"/>
  <c r="AG454" i="1" s="1"/>
  <c r="AI454" i="1" s="1"/>
  <c r="AD343" i="1"/>
  <c r="AG343" i="1" s="1"/>
  <c r="AI343" i="1" s="1"/>
  <c r="AD596" i="1"/>
  <c r="AG596" i="1" s="1"/>
  <c r="AI596" i="1" s="1"/>
  <c r="AD452" i="1"/>
  <c r="AG452" i="1" s="1"/>
  <c r="AI452" i="1" s="1"/>
  <c r="AD594" i="1"/>
  <c r="AG594" i="1" s="1"/>
  <c r="AI594" i="1" s="1"/>
  <c r="AD23" i="1"/>
  <c r="AG23" i="1" s="1"/>
  <c r="AI23" i="1" s="1"/>
  <c r="AD542" i="1"/>
  <c r="AG542" i="1" s="1"/>
  <c r="AI542" i="1" s="1"/>
  <c r="AD279" i="1"/>
  <c r="AG279" i="1" s="1"/>
  <c r="AI279" i="1" s="1"/>
  <c r="AD175" i="1"/>
  <c r="AG175" i="1" s="1"/>
  <c r="AI175" i="1" s="1"/>
  <c r="AD174" i="1"/>
  <c r="AG174" i="1" s="1"/>
  <c r="AI174" i="1" s="1"/>
  <c r="AD121" i="1"/>
  <c r="AG121" i="1" s="1"/>
  <c r="AI121" i="1" s="1"/>
  <c r="AD586" i="1"/>
  <c r="AD537" i="1"/>
  <c r="AG537" i="1" s="1"/>
  <c r="AI537" i="1" s="1"/>
  <c r="AD493" i="1"/>
  <c r="AG493" i="1" s="1"/>
  <c r="AI493" i="1" s="1"/>
  <c r="AD116" i="1"/>
  <c r="AG116" i="1" s="1"/>
  <c r="AI116" i="1" s="1"/>
  <c r="AD274" i="1"/>
  <c r="AG274" i="1" s="1"/>
  <c r="AI274" i="1" s="1"/>
  <c r="AD272" i="1"/>
  <c r="AG272" i="1" s="1"/>
  <c r="AI272" i="1" s="1"/>
  <c r="AD490" i="1"/>
  <c r="AG490" i="1" s="1"/>
  <c r="AI490" i="1" s="1"/>
  <c r="AD488" i="1"/>
  <c r="AG488" i="1" s="1"/>
  <c r="AI488" i="1" s="1"/>
  <c r="AD167" i="1"/>
  <c r="AG167" i="1" s="1"/>
  <c r="AI167" i="1" s="1"/>
  <c r="AD446" i="1"/>
  <c r="AG446" i="1" s="1"/>
  <c r="AI446" i="1" s="1"/>
  <c r="AD216" i="1"/>
  <c r="AG216" i="1" s="1"/>
  <c r="AI216" i="1" s="1"/>
  <c r="AD483" i="1"/>
  <c r="AG483" i="1" s="1"/>
  <c r="AI483" i="1" s="1"/>
  <c r="AD7" i="1"/>
  <c r="AG7" i="1" s="1"/>
  <c r="AI7" i="1" s="1"/>
  <c r="AD161" i="1"/>
  <c r="AG161" i="1" s="1"/>
  <c r="AI161" i="1" s="1"/>
  <c r="AD442" i="1"/>
  <c r="AG442" i="1" s="1"/>
  <c r="AI442" i="1" s="1"/>
  <c r="AD325" i="1"/>
  <c r="AG325" i="1" s="1"/>
  <c r="AI325" i="1" s="1"/>
  <c r="AD212" i="1"/>
  <c r="AG212" i="1" s="1"/>
  <c r="AI212" i="1" s="1"/>
  <c r="AD378" i="1"/>
  <c r="AG378" i="1" s="1"/>
  <c r="AI378" i="1" s="1"/>
  <c r="AD628" i="1"/>
  <c r="AG628" i="1" s="1"/>
  <c r="AI628" i="1" s="1"/>
  <c r="AD431" i="1"/>
  <c r="AG431" i="1" s="1"/>
  <c r="AI431" i="1" s="1"/>
  <c r="AD573" i="1"/>
  <c r="AG573" i="1" s="1"/>
  <c r="AI573" i="1" s="1"/>
  <c r="AD371" i="1"/>
  <c r="AG371" i="1" s="1"/>
  <c r="AI371" i="1" s="1"/>
  <c r="AD315" i="1"/>
  <c r="AG315" i="1" s="1"/>
  <c r="AI315" i="1" s="1"/>
  <c r="AD152" i="1"/>
  <c r="AG152" i="1" s="1"/>
  <c r="AI152" i="1" s="1"/>
  <c r="AD199" i="1"/>
  <c r="AG199" i="1" s="1"/>
  <c r="AI199" i="1" s="1"/>
  <c r="AD422" i="1"/>
  <c r="AG422" i="1" s="1"/>
  <c r="AI422" i="1" s="1"/>
  <c r="AD250" i="1"/>
  <c r="AG250" i="1" s="1"/>
  <c r="AI250" i="1" s="1"/>
  <c r="AD308" i="1"/>
  <c r="AG308" i="1" s="1"/>
  <c r="AI308" i="1" s="1"/>
  <c r="AD248" i="1"/>
  <c r="AG248" i="1" s="1"/>
  <c r="AI248" i="1" s="1"/>
  <c r="AD298" i="1"/>
  <c r="AG298" i="1" s="1"/>
  <c r="AI298" i="1" s="1"/>
  <c r="AD514" i="1"/>
  <c r="AG514" i="1" s="1"/>
  <c r="AI514" i="1" s="1"/>
  <c r="AD511" i="1"/>
  <c r="AG511" i="1" s="1"/>
  <c r="AI511" i="1" s="1"/>
  <c r="AD137" i="1"/>
  <c r="AG137" i="1" s="1"/>
  <c r="AI137" i="1" s="1"/>
  <c r="AD416" i="1"/>
  <c r="AG416" i="1" s="1"/>
  <c r="AI416" i="1" s="1"/>
  <c r="AD288" i="1"/>
  <c r="AG288" i="1" s="1"/>
  <c r="AI288" i="1" s="1"/>
  <c r="AD506" i="1"/>
  <c r="AG506" i="1" s="1"/>
  <c r="AI506" i="1" s="1"/>
  <c r="AD350" i="1"/>
  <c r="AG350" i="1" s="1"/>
  <c r="AI350" i="1" s="1"/>
  <c r="AD503" i="1"/>
  <c r="AG503" i="1" s="1"/>
  <c r="AI503" i="1" s="1"/>
  <c r="AD31" i="1"/>
  <c r="AG31" i="1" s="1"/>
  <c r="AI31" i="1" s="1"/>
  <c r="AD80" i="1"/>
  <c r="AG80" i="1" s="1"/>
  <c r="AI80" i="1" s="1"/>
  <c r="AD501" i="1"/>
  <c r="AG501" i="1" s="1"/>
  <c r="AI501" i="1" s="1"/>
  <c r="AD132" i="1"/>
  <c r="AG132" i="1" s="1"/>
  <c r="AI132" i="1" s="1"/>
  <c r="AD229" i="1"/>
  <c r="AG229" i="1" s="1"/>
  <c r="AI229" i="1" s="1"/>
  <c r="AD177" i="1"/>
  <c r="AG177" i="1" s="1"/>
  <c r="AI177" i="1" s="1"/>
  <c r="AD540" i="1"/>
  <c r="AG540" i="1" s="1"/>
  <c r="AI540" i="1" s="1"/>
  <c r="AD75" i="1"/>
  <c r="AG75" i="1" s="1"/>
  <c r="AI75" i="1" s="1"/>
  <c r="AD585" i="1"/>
  <c r="AG585" i="1" s="1"/>
  <c r="AI585" i="1" s="1"/>
  <c r="AD264" i="1"/>
  <c r="AG264" i="1" s="1"/>
  <c r="AI264" i="1" s="1"/>
  <c r="AD64" i="1"/>
  <c r="AG64" i="1" s="1"/>
  <c r="AI64" i="1" s="1"/>
  <c r="AD527" i="1"/>
  <c r="AG527" i="1" s="1"/>
  <c r="AI527" i="1" s="1"/>
  <c r="AD525" i="1"/>
  <c r="AG525" i="1" s="1"/>
  <c r="AI525" i="1" s="1"/>
  <c r="AD61" i="1"/>
  <c r="AG61" i="1" s="1"/>
  <c r="AI61" i="1" s="1"/>
  <c r="AD627" i="1"/>
  <c r="AG627" i="1" s="1"/>
  <c r="AI627" i="1" s="1"/>
  <c r="AD100" i="1"/>
  <c r="AG100" i="1" s="1"/>
  <c r="AI100" i="1" s="1"/>
  <c r="AD57" i="1"/>
  <c r="AG57" i="1" s="1"/>
  <c r="AI57" i="1" s="1"/>
  <c r="AD623" i="1"/>
  <c r="AG623" i="1" s="1"/>
  <c r="AI623" i="1" s="1"/>
  <c r="AD425" i="1"/>
  <c r="AG425" i="1" s="1"/>
  <c r="AI425" i="1" s="1"/>
  <c r="AD257" i="1"/>
  <c r="AG257" i="1" s="1"/>
  <c r="AI257" i="1" s="1"/>
  <c r="AD571" i="1"/>
  <c r="AG571" i="1" s="1"/>
  <c r="AI571" i="1" s="1"/>
  <c r="AD368" i="1"/>
  <c r="AG368" i="1" s="1"/>
  <c r="AI368" i="1" s="1"/>
  <c r="AD254" i="1"/>
  <c r="AG254" i="1" s="1"/>
  <c r="AI254" i="1" s="1"/>
  <c r="AD517" i="1"/>
  <c r="AG517" i="1" s="1"/>
  <c r="AI517" i="1" s="1"/>
  <c r="AD95" i="1"/>
  <c r="AG95" i="1" s="1"/>
  <c r="AI95" i="1" s="1"/>
  <c r="AD471" i="1"/>
  <c r="AG471" i="1" s="1"/>
  <c r="AI471" i="1" s="1"/>
  <c r="AD617" i="1"/>
  <c r="AG617" i="1" s="1"/>
  <c r="AI617" i="1" s="1"/>
  <c r="AD144" i="1"/>
  <c r="AG144" i="1" s="1"/>
  <c r="AI144" i="1" s="1"/>
  <c r="AD358" i="1"/>
  <c r="AG358" i="1" s="1"/>
  <c r="AI358" i="1" s="1"/>
  <c r="AD510" i="1"/>
  <c r="AG510" i="1" s="1"/>
  <c r="AI510" i="1" s="1"/>
  <c r="AD356" i="1"/>
  <c r="AG356" i="1" s="1"/>
  <c r="AI356" i="1" s="1"/>
  <c r="AD355" i="1"/>
  <c r="AG355" i="1" s="1"/>
  <c r="AI355" i="1" s="1"/>
  <c r="AD610" i="1"/>
  <c r="AG610" i="1" s="1"/>
  <c r="AI610" i="1" s="1"/>
  <c r="AD88" i="1"/>
  <c r="AG88" i="1" s="1"/>
  <c r="AI88" i="1" s="1"/>
  <c r="AD38" i="1"/>
  <c r="AG38" i="1" s="1"/>
  <c r="AI38" i="1" s="1"/>
  <c r="AD182" i="1"/>
  <c r="AG182" i="1" s="1"/>
  <c r="AI182" i="1" s="1"/>
  <c r="AD550" i="1"/>
  <c r="AG550" i="1" s="1"/>
  <c r="AI550" i="1" s="1"/>
  <c r="AD348" i="1"/>
  <c r="AG348" i="1" s="1"/>
  <c r="AI348" i="1" s="1"/>
  <c r="AD179" i="1"/>
  <c r="AG179" i="1" s="1"/>
  <c r="AI179" i="1" s="1"/>
  <c r="AD601" i="1"/>
  <c r="AG601" i="1" s="1"/>
  <c r="AI601" i="1" s="1"/>
  <c r="AD134" i="1"/>
  <c r="AG134" i="1" s="1"/>
  <c r="AI134" i="1" s="1"/>
  <c r="AD408" i="1"/>
  <c r="AG408" i="1" s="1"/>
  <c r="AI408" i="1" s="1"/>
  <c r="AD406" i="1"/>
  <c r="AG406" i="1" s="1"/>
  <c r="AI406" i="1" s="1"/>
  <c r="AD402" i="1"/>
  <c r="AG402" i="1" s="1"/>
  <c r="AI402" i="1" s="1"/>
  <c r="AD21" i="1"/>
  <c r="AG21" i="1" s="1"/>
  <c r="AI21" i="1" s="1"/>
  <c r="AD125" i="1"/>
  <c r="AG125" i="1" s="1"/>
  <c r="AI125" i="1" s="1"/>
  <c r="AD19" i="1"/>
  <c r="AG19" i="1" s="1"/>
  <c r="AI19" i="1" s="1"/>
  <c r="AD73" i="1"/>
  <c r="AG73" i="1" s="1"/>
  <c r="AI73" i="1" s="1"/>
  <c r="AD486" i="1"/>
  <c r="AG486" i="1" s="1"/>
  <c r="AI486" i="1" s="1"/>
  <c r="AD108" i="1"/>
  <c r="AG108" i="1" s="1"/>
  <c r="AI108" i="1" s="1"/>
  <c r="AD158" i="1"/>
  <c r="AG158" i="1" s="1"/>
  <c r="AI158" i="1" s="1"/>
  <c r="AD437" i="1"/>
  <c r="AG437" i="1" s="1"/>
  <c r="AI437" i="1" s="1"/>
  <c r="AD482" i="1"/>
  <c r="AG482" i="1" s="1"/>
  <c r="AI482" i="1" s="1"/>
  <c r="AD632" i="1"/>
  <c r="AG632" i="1" s="1"/>
  <c r="AI632" i="1" s="1"/>
  <c r="AD435" i="1"/>
  <c r="AG435" i="1" s="1"/>
  <c r="AI435" i="1" s="1"/>
  <c r="AD579" i="1"/>
  <c r="AG579" i="1" s="1"/>
  <c r="AI579" i="1" s="1"/>
  <c r="AD578" i="1"/>
  <c r="AG578" i="1" s="1"/>
  <c r="AI578" i="1" s="1"/>
  <c r="AD106" i="1"/>
  <c r="AG106" i="1" s="1"/>
  <c r="AI106" i="1" s="1"/>
  <c r="AD629" i="1"/>
  <c r="AG629" i="1" s="1"/>
  <c r="AI629" i="1" s="1"/>
  <c r="AD376" i="1"/>
  <c r="AG376" i="1" s="1"/>
  <c r="AI376" i="1" s="1"/>
  <c r="AD433" i="1"/>
  <c r="AG433" i="1" s="1"/>
  <c r="AI433" i="1" s="1"/>
  <c r="AD432" i="1"/>
  <c r="AG432" i="1" s="1"/>
  <c r="AI432" i="1" s="1"/>
  <c r="AD104" i="1"/>
  <c r="AG104" i="1" s="1"/>
  <c r="AI104" i="1" s="1"/>
  <c r="AD321" i="1"/>
  <c r="AD205" i="1"/>
  <c r="AG205" i="1" s="1"/>
  <c r="AI205" i="1" s="1"/>
  <c r="AD574" i="1"/>
  <c r="AG574" i="1" s="1"/>
  <c r="AI574" i="1" s="1"/>
  <c r="AD319" i="1"/>
  <c r="AG319" i="1" s="1"/>
  <c r="AI319" i="1" s="1"/>
  <c r="AD318" i="1"/>
  <c r="AG318" i="1" s="1"/>
  <c r="AI318" i="1" s="1"/>
  <c r="AD372" i="1"/>
  <c r="AG372" i="1" s="1"/>
  <c r="AI372" i="1" s="1"/>
  <c r="AD262" i="1"/>
  <c r="AG262" i="1" s="1"/>
  <c r="AI262" i="1" s="1"/>
  <c r="AD261" i="1"/>
  <c r="AG261" i="1" s="1"/>
  <c r="AI261" i="1" s="1"/>
  <c r="AD260" i="1"/>
  <c r="AG260" i="1" s="1"/>
  <c r="AI260" i="1" s="1"/>
  <c r="AD204" i="1"/>
  <c r="AG204" i="1" s="1"/>
  <c r="AI204" i="1" s="1"/>
  <c r="AD203" i="1"/>
  <c r="AG203" i="1" s="1"/>
  <c r="AI203" i="1" s="1"/>
  <c r="AD426" i="1"/>
  <c r="AG426" i="1" s="1"/>
  <c r="AI426" i="1" s="1"/>
  <c r="AD622" i="1"/>
  <c r="AG622" i="1" s="1"/>
  <c r="AI622" i="1" s="1"/>
  <c r="AD202" i="1"/>
  <c r="AG202" i="1" s="1"/>
  <c r="AI202" i="1" s="1"/>
  <c r="AD370" i="1"/>
  <c r="AG370" i="1" s="1"/>
  <c r="AI370" i="1" s="1"/>
  <c r="AD572" i="1"/>
  <c r="AG572" i="1" s="1"/>
  <c r="AI572" i="1" s="1"/>
  <c r="AD201" i="1"/>
  <c r="AG201" i="1" s="1"/>
  <c r="AI201" i="1" s="1"/>
  <c r="AD55" i="1"/>
  <c r="AG55" i="1" s="1"/>
  <c r="AI55" i="1" s="1"/>
  <c r="AD312" i="1"/>
  <c r="AG312" i="1" s="1"/>
  <c r="AI312" i="1" s="1"/>
  <c r="AD52" i="1"/>
  <c r="AG52" i="1" s="1"/>
  <c r="AI52" i="1" s="1"/>
  <c r="AD369" i="1"/>
  <c r="AG369" i="1" s="1"/>
  <c r="AI369" i="1" s="1"/>
  <c r="AD569" i="1"/>
  <c r="AG569" i="1" s="1"/>
  <c r="AI569" i="1" s="1"/>
  <c r="AD50" i="1"/>
  <c r="AG50" i="1" s="1"/>
  <c r="AI50" i="1" s="1"/>
  <c r="AD366" i="1"/>
  <c r="AG366" i="1" s="1"/>
  <c r="AI366" i="1" s="1"/>
  <c r="AD567" i="1"/>
  <c r="AG567" i="1" s="1"/>
  <c r="AI567" i="1" s="1"/>
  <c r="AD151" i="1"/>
  <c r="AG151" i="1" s="1"/>
  <c r="AD252" i="1"/>
  <c r="AG252" i="1" s="1"/>
  <c r="AI252" i="1" s="1"/>
  <c r="AD365" i="1"/>
  <c r="AG365" i="1" s="1"/>
  <c r="AI365" i="1" s="1"/>
  <c r="AD364" i="1"/>
  <c r="AG364" i="1" s="1"/>
  <c r="AI364" i="1" s="1"/>
  <c r="AD48" i="1"/>
  <c r="AG48" i="1" s="1"/>
  <c r="AI48" i="1" s="1"/>
  <c r="AD309" i="1"/>
  <c r="AG309" i="1" s="1"/>
  <c r="AI309" i="1" s="1"/>
  <c r="AD96" i="1"/>
  <c r="AG96" i="1" s="1"/>
  <c r="AI96" i="1" s="1"/>
  <c r="AD94" i="1"/>
  <c r="AG94" i="1" s="1"/>
  <c r="AI94" i="1" s="1"/>
  <c r="AD149" i="1"/>
  <c r="AG149" i="1" s="1"/>
  <c r="AI149" i="1" s="1"/>
  <c r="AD305" i="1"/>
  <c r="AG305" i="1" s="1"/>
  <c r="AI305" i="1" s="1"/>
  <c r="AD565" i="1"/>
  <c r="AG565" i="1" s="1"/>
  <c r="AI565" i="1" s="1"/>
  <c r="AD192" i="1"/>
  <c r="AG192" i="1" s="1"/>
  <c r="AI192" i="1" s="1"/>
  <c r="AD146" i="1"/>
  <c r="AG146" i="1" s="1"/>
  <c r="AI146" i="1" s="1"/>
  <c r="AD360" i="1"/>
  <c r="AG360" i="1" s="1"/>
  <c r="AI360" i="1" s="1"/>
  <c r="AD299" i="1"/>
  <c r="AG299" i="1" s="1"/>
  <c r="AI299" i="1" s="1"/>
  <c r="AD246" i="1"/>
  <c r="AG246" i="1" s="1"/>
  <c r="AI246" i="1" s="1"/>
  <c r="AD47" i="1"/>
  <c r="AG47" i="1" s="1"/>
  <c r="AI47" i="1" s="1"/>
  <c r="AD418" i="1"/>
  <c r="AG418" i="1" s="1"/>
  <c r="AD245" i="1"/>
  <c r="AG245" i="1" s="1"/>
  <c r="AI245" i="1" s="1"/>
  <c r="AD142" i="1"/>
  <c r="AG142" i="1" s="1"/>
  <c r="AI142" i="1" s="1"/>
  <c r="AD141" i="1"/>
  <c r="AG141" i="1" s="1"/>
  <c r="AI141" i="1" s="1"/>
  <c r="AD188" i="1"/>
  <c r="AG188" i="1" s="1"/>
  <c r="AI188" i="1" s="1"/>
  <c r="AD562" i="1"/>
  <c r="AG562" i="1" s="1"/>
  <c r="AI562" i="1" s="1"/>
  <c r="AD140" i="1"/>
  <c r="AG140" i="1" s="1"/>
  <c r="AI140" i="1" s="1"/>
  <c r="AD465" i="1"/>
  <c r="AG465" i="1" s="1"/>
  <c r="AI465" i="1" s="1"/>
  <c r="AD611" i="1"/>
  <c r="AG611" i="1" s="1"/>
  <c r="AI611" i="1" s="1"/>
  <c r="AD560" i="1"/>
  <c r="AG560" i="1" s="1"/>
  <c r="AI560" i="1" s="1"/>
  <c r="AD558" i="1"/>
  <c r="AG558" i="1" s="1"/>
  <c r="AI558" i="1" s="1"/>
  <c r="AD44" i="1"/>
  <c r="AG44" i="1" s="1"/>
  <c r="AI44" i="1" s="1"/>
  <c r="AD463" i="1"/>
  <c r="AG463" i="1" s="1"/>
  <c r="AI463" i="1" s="1"/>
  <c r="AD462" i="1"/>
  <c r="AG462" i="1" s="1"/>
  <c r="AI462" i="1" s="1"/>
  <c r="AD353" i="1"/>
  <c r="AG353" i="1" s="1"/>
  <c r="AI353" i="1" s="1"/>
  <c r="AD415" i="1"/>
  <c r="AG415" i="1" s="1"/>
  <c r="AI415" i="1" s="1"/>
  <c r="AD136" i="1"/>
  <c r="AG136" i="1" s="1"/>
  <c r="AI136" i="1" s="1"/>
  <c r="AD289" i="1"/>
  <c r="AG289" i="1" s="1"/>
  <c r="AI289" i="1" s="1"/>
  <c r="AD41" i="1"/>
  <c r="AG41" i="1" s="1"/>
  <c r="AI41" i="1" s="1"/>
  <c r="AD40" i="1"/>
  <c r="AG40" i="1" s="1"/>
  <c r="AI40" i="1" s="1"/>
  <c r="AD243" i="1"/>
  <c r="AG243" i="1" s="1"/>
  <c r="AI243" i="1" s="1"/>
  <c r="AD352" i="1"/>
  <c r="AG352" i="1" s="1"/>
  <c r="AI352" i="1" s="1"/>
  <c r="AD87" i="1"/>
  <c r="AG87" i="1" s="1"/>
  <c r="AI87" i="1" s="1"/>
  <c r="AD351" i="1"/>
  <c r="AG351" i="1" s="1"/>
  <c r="AI351" i="1" s="1"/>
  <c r="AD412" i="1"/>
  <c r="AG412" i="1" s="1"/>
  <c r="AI412" i="1" s="1"/>
  <c r="AD86" i="1"/>
  <c r="AG86" i="1" s="1"/>
  <c r="AI86" i="1" s="1"/>
  <c r="AD85" i="1"/>
  <c r="AG85" i="1" s="1"/>
  <c r="AI85" i="1" s="1"/>
  <c r="AD549" i="1"/>
  <c r="AG549" i="1" s="1"/>
  <c r="AI549" i="1" s="1"/>
  <c r="AD504" i="1"/>
  <c r="AG504" i="1" s="1"/>
  <c r="AI504" i="1" s="1"/>
  <c r="AD240" i="1"/>
  <c r="AG240" i="1" s="1"/>
  <c r="AI240" i="1" s="1"/>
  <c r="AD603" i="1"/>
  <c r="AG603" i="1" s="1"/>
  <c r="AI603" i="1" s="1"/>
  <c r="AD602" i="1"/>
  <c r="AG602" i="1" s="1"/>
  <c r="AI602" i="1" s="1"/>
  <c r="AD238" i="1"/>
  <c r="AG238" i="1" s="1"/>
  <c r="AI238" i="1" s="1"/>
  <c r="AD32" i="1"/>
  <c r="AG32" i="1" s="1"/>
  <c r="AI32" i="1" s="1"/>
  <c r="AD456" i="1"/>
  <c r="AG456" i="1" s="1"/>
  <c r="AI456" i="1" s="1"/>
  <c r="AD455" i="1"/>
  <c r="AG455" i="1" s="1"/>
  <c r="AI455" i="1" s="1"/>
  <c r="AD283" i="1"/>
  <c r="AG283" i="1" s="1"/>
  <c r="AI283" i="1" s="1"/>
  <c r="AD82" i="1"/>
  <c r="AG82" i="1" s="1"/>
  <c r="AI82" i="1" s="1"/>
  <c r="AD410" i="1"/>
  <c r="AG410" i="1" s="1"/>
  <c r="AI410" i="1" s="1"/>
  <c r="AD29" i="1"/>
  <c r="AG29" i="1" s="1"/>
  <c r="AI29" i="1" s="1"/>
  <c r="AD282" i="1"/>
  <c r="AG282" i="1" s="1"/>
  <c r="AI282" i="1" s="1"/>
  <c r="AD409" i="1"/>
  <c r="AG409" i="1" s="1"/>
  <c r="AI409" i="1" s="1"/>
  <c r="AD453" i="1"/>
  <c r="AG453" i="1" s="1"/>
  <c r="AI453" i="1" s="1"/>
  <c r="AD598" i="1"/>
  <c r="AG598" i="1" s="1"/>
  <c r="AI598" i="1" s="1"/>
  <c r="AD546" i="1"/>
  <c r="AG546" i="1" s="1"/>
  <c r="AI546" i="1" s="1"/>
  <c r="AD407" i="1"/>
  <c r="AG407" i="1" s="1"/>
  <c r="AI407" i="1" s="1"/>
  <c r="AD280" i="1"/>
  <c r="AG280" i="1" s="1"/>
  <c r="AI280" i="1" s="1"/>
  <c r="AD131" i="1"/>
  <c r="AG131" i="1" s="1"/>
  <c r="AI131" i="1" s="1"/>
  <c r="AD405" i="1"/>
  <c r="AG405" i="1" s="1"/>
  <c r="AI405" i="1" s="1"/>
  <c r="AD544" i="1"/>
  <c r="AG544" i="1" s="1"/>
  <c r="AI544" i="1" s="1"/>
  <c r="AD593" i="1"/>
  <c r="AG593" i="1" s="1"/>
  <c r="AI593" i="1" s="1"/>
  <c r="AD340" i="1"/>
  <c r="AG340" i="1" s="1"/>
  <c r="AI340" i="1" s="1"/>
  <c r="AD591" i="1"/>
  <c r="AG591" i="1" s="1"/>
  <c r="AI591" i="1" s="1"/>
  <c r="AD22" i="1"/>
  <c r="AG22" i="1" s="1"/>
  <c r="AI22" i="1" s="1"/>
  <c r="AD450" i="1"/>
  <c r="AG450" i="1" s="1"/>
  <c r="AI450" i="1" s="1"/>
  <c r="AD127" i="1"/>
  <c r="AG127" i="1" s="1"/>
  <c r="AI127" i="1" s="1"/>
  <c r="AD541" i="1"/>
  <c r="AG541" i="1" s="1"/>
  <c r="AI541" i="1" s="1"/>
  <c r="AD338" i="1"/>
  <c r="AG338" i="1" s="1"/>
  <c r="AI338" i="1" s="1"/>
  <c r="AD176" i="1"/>
  <c r="AG176" i="1" s="1"/>
  <c r="AI176" i="1" s="1"/>
  <c r="AD336" i="1"/>
  <c r="AG336" i="1" s="1"/>
  <c r="AI336" i="1" s="1"/>
  <c r="AD123" i="1"/>
  <c r="AG123" i="1" s="1"/>
  <c r="AI123" i="1" s="1"/>
  <c r="AD335" i="1"/>
  <c r="AG335" i="1" s="1"/>
  <c r="AI335" i="1" s="1"/>
  <c r="AD225" i="1"/>
  <c r="AG225" i="1" s="1"/>
  <c r="AI225" i="1" s="1"/>
  <c r="AD74" i="1"/>
  <c r="AG74" i="1" s="1"/>
  <c r="AI74" i="1" s="1"/>
  <c r="AD122" i="1"/>
  <c r="AG122" i="1" s="1"/>
  <c r="AI122" i="1" s="1"/>
  <c r="AD172" i="1"/>
  <c r="AG172" i="1" s="1"/>
  <c r="AI172" i="1" s="1"/>
  <c r="AD449" i="1"/>
  <c r="AG449" i="1" s="1"/>
  <c r="AI449" i="1" s="1"/>
  <c r="AD538" i="1"/>
  <c r="AG538" i="1" s="1"/>
  <c r="AI538" i="1" s="1"/>
  <c r="AD17" i="1"/>
  <c r="AG17" i="1" s="1"/>
  <c r="AI17" i="1" s="1"/>
  <c r="AD72" i="1"/>
  <c r="AG72" i="1" s="1"/>
  <c r="AI72" i="1" s="1"/>
  <c r="AD16" i="1"/>
  <c r="AG16" i="1" s="1"/>
  <c r="AI16" i="1" s="1"/>
  <c r="AD536" i="1"/>
  <c r="AG536" i="1" s="1"/>
  <c r="AI536" i="1" s="1"/>
  <c r="AD535" i="1"/>
  <c r="AG535" i="1" s="1"/>
  <c r="AI535" i="1" s="1"/>
  <c r="AD70" i="1"/>
  <c r="AG70" i="1" s="1"/>
  <c r="AI70" i="1" s="1"/>
  <c r="AD221" i="1"/>
  <c r="AG221" i="1" s="1"/>
  <c r="AI221" i="1" s="1"/>
  <c r="AD534" i="1"/>
  <c r="AG534" i="1" s="1"/>
  <c r="AI534" i="1" s="1"/>
  <c r="AD273" i="1"/>
  <c r="AG273" i="1" s="1"/>
  <c r="AI273" i="1" s="1"/>
  <c r="AD297" i="1"/>
  <c r="AG297" i="1" s="1"/>
  <c r="AI297" i="1" s="1"/>
  <c r="AD322" i="1"/>
  <c r="AG322" i="1" s="1"/>
  <c r="AD380" i="1"/>
  <c r="AG380" i="1" s="1"/>
  <c r="AI380" i="1" s="1"/>
  <c r="AD210" i="1"/>
  <c r="AG210" i="1" s="1"/>
  <c r="AI210" i="1" s="1"/>
  <c r="AD576" i="1"/>
  <c r="AG576" i="1" s="1"/>
  <c r="AI576" i="1" s="1"/>
  <c r="AD430" i="1"/>
  <c r="AG430" i="1" s="1"/>
  <c r="AI430" i="1" s="1"/>
  <c r="AD524" i="1"/>
  <c r="AG524" i="1" s="1"/>
  <c r="AI524" i="1" s="1"/>
  <c r="AD521" i="1"/>
  <c r="AG521" i="1" s="1"/>
  <c r="AI521" i="1" s="1"/>
  <c r="AD155" i="1"/>
  <c r="AG155" i="1" s="1"/>
  <c r="AI155" i="1" s="1"/>
  <c r="AD620" i="1"/>
  <c r="AG620" i="1" s="1"/>
  <c r="AI620" i="1" s="1"/>
  <c r="AD474" i="1"/>
  <c r="AG474" i="1" s="1"/>
  <c r="AI474" i="1" s="1"/>
  <c r="AD196" i="1"/>
  <c r="AG196" i="1" s="1"/>
  <c r="AI196" i="1" s="1"/>
  <c r="AD618" i="1"/>
  <c r="AG618" i="1" s="1"/>
  <c r="AI618" i="1" s="1"/>
  <c r="AD307" i="1"/>
  <c r="AG307" i="1" s="1"/>
  <c r="AI307" i="1" s="1"/>
  <c r="AD470" i="1"/>
  <c r="AG470" i="1" s="1"/>
  <c r="AI470" i="1" s="1"/>
  <c r="AD359" i="1"/>
  <c r="AG359" i="1" s="1"/>
  <c r="AI359" i="1" s="1"/>
  <c r="AD564" i="1"/>
  <c r="AG564" i="1" s="1"/>
  <c r="AI564" i="1" s="1"/>
  <c r="AD563" i="1"/>
  <c r="AG563" i="1" s="1"/>
  <c r="AI563" i="1" s="1"/>
  <c r="AD187" i="1"/>
  <c r="AG187" i="1" s="1"/>
  <c r="AI187" i="1" s="1"/>
  <c r="AD43" i="1"/>
  <c r="AG43" i="1" s="1"/>
  <c r="AI43" i="1" s="1"/>
  <c r="AD460" i="1"/>
  <c r="AG460" i="1" s="1"/>
  <c r="AI460" i="1" s="1"/>
  <c r="AD185" i="1"/>
  <c r="AG185" i="1" s="1"/>
  <c r="AI185" i="1" s="1"/>
  <c r="AD36" i="1"/>
  <c r="AG36" i="1" s="1"/>
  <c r="AI36" i="1" s="1"/>
  <c r="AD241" i="1"/>
  <c r="AG241" i="1" s="1"/>
  <c r="AI241" i="1" s="1"/>
  <c r="AD180" i="1"/>
  <c r="AG180" i="1" s="1"/>
  <c r="AI180" i="1" s="1"/>
  <c r="AD236" i="1"/>
  <c r="AG236" i="1" s="1"/>
  <c r="AI236" i="1" s="1"/>
  <c r="AD345" i="1"/>
  <c r="AG345" i="1" s="1"/>
  <c r="AI345" i="1" s="1"/>
  <c r="AD342" i="1"/>
  <c r="AG342" i="1" s="1"/>
  <c r="AI342" i="1" s="1"/>
  <c r="AD498" i="1"/>
  <c r="AG498" i="1" s="1"/>
  <c r="AI498" i="1" s="1"/>
  <c r="AD592" i="1"/>
  <c r="AG592" i="1" s="1"/>
  <c r="AI592" i="1" s="1"/>
  <c r="AD496" i="1"/>
  <c r="AG496" i="1" s="1"/>
  <c r="AI496" i="1" s="1"/>
  <c r="AD277" i="1"/>
  <c r="AG277" i="1" s="1"/>
  <c r="AI277" i="1" s="1"/>
  <c r="AD224" i="1"/>
  <c r="AG224" i="1" s="1"/>
  <c r="AI224" i="1" s="1"/>
  <c r="AD587" i="1"/>
  <c r="AG587" i="1" s="1"/>
  <c r="AI587" i="1" s="1"/>
  <c r="AD222" i="1"/>
  <c r="AG222" i="1" s="1"/>
  <c r="AI222" i="1" s="1"/>
  <c r="AD275" i="1"/>
  <c r="AG275" i="1" s="1"/>
  <c r="AI275" i="1" s="1"/>
  <c r="AD330" i="1"/>
  <c r="AG330" i="1" s="1"/>
  <c r="AI330" i="1" s="1"/>
  <c r="AD112" i="1"/>
  <c r="AG112" i="1" s="1"/>
  <c r="AI112" i="1" s="1"/>
  <c r="AD323" i="1"/>
  <c r="AG323" i="1" s="1"/>
  <c r="AI323" i="1" s="1"/>
  <c r="AD436" i="1"/>
  <c r="AG436" i="1" s="1"/>
  <c r="AI436" i="1" s="1"/>
  <c r="AD107" i="1"/>
  <c r="AG107" i="1" s="1"/>
  <c r="AI107" i="1" s="1"/>
  <c r="AD207" i="1"/>
  <c r="AD105" i="1"/>
  <c r="AG105" i="1" s="1"/>
  <c r="AI105" i="1" s="1"/>
  <c r="AD575" i="1"/>
  <c r="AG575" i="1" s="1"/>
  <c r="AI575" i="1" s="1"/>
  <c r="AD263" i="1"/>
  <c r="AG263" i="1" s="1"/>
  <c r="AI263" i="1" s="1"/>
  <c r="AD624" i="1"/>
  <c r="AG624" i="1" s="1"/>
  <c r="AI624" i="1" s="1"/>
  <c r="AD520" i="1"/>
  <c r="AG520" i="1" s="1"/>
  <c r="AI520" i="1" s="1"/>
  <c r="AD317" i="1"/>
  <c r="AG317" i="1" s="1"/>
  <c r="AI317" i="1" s="1"/>
  <c r="AD475" i="1"/>
  <c r="AG475" i="1" s="1"/>
  <c r="AI475" i="1" s="1"/>
  <c r="AD51" i="1"/>
  <c r="AG51" i="1" s="1"/>
  <c r="AD367" i="1"/>
  <c r="AG367" i="1" s="1"/>
  <c r="AI367" i="1" s="1"/>
  <c r="AD253" i="1"/>
  <c r="AG253" i="1" s="1"/>
  <c r="AI253" i="1" s="1"/>
  <c r="AD150" i="1"/>
  <c r="AG150" i="1" s="1"/>
  <c r="AI150" i="1" s="1"/>
  <c r="AD472" i="1"/>
  <c r="AG472" i="1" s="1"/>
  <c r="AI472" i="1" s="1"/>
  <c r="AD361" i="1"/>
  <c r="AG361" i="1" s="1"/>
  <c r="AI361" i="1" s="1"/>
  <c r="AD302" i="1"/>
  <c r="AG302" i="1" s="1"/>
  <c r="AI302" i="1" s="1"/>
  <c r="AD468" i="1"/>
  <c r="AG468" i="1" s="1"/>
  <c r="AI468" i="1" s="1"/>
  <c r="AD143" i="1"/>
  <c r="AG143" i="1" s="1"/>
  <c r="AI143" i="1" s="1"/>
  <c r="AD615" i="1"/>
  <c r="AG615" i="1" s="1"/>
  <c r="AI615" i="1" s="1"/>
  <c r="AD91" i="1"/>
  <c r="AG91" i="1" s="1"/>
  <c r="AI91" i="1" s="1"/>
  <c r="AD561" i="1"/>
  <c r="AG561" i="1" s="1"/>
  <c r="AI561" i="1" s="1"/>
  <c r="AD559" i="1"/>
  <c r="AG559" i="1" s="1"/>
  <c r="AI559" i="1" s="1"/>
  <c r="AD292" i="1"/>
  <c r="AG292" i="1" s="1"/>
  <c r="AI292" i="1" s="1"/>
  <c r="AD42" i="1"/>
  <c r="AG42" i="1" s="1"/>
  <c r="AI42" i="1" s="1"/>
  <c r="AD507" i="1"/>
  <c r="AG507" i="1" s="1"/>
  <c r="AI507" i="1" s="1"/>
  <c r="AD553" i="1"/>
  <c r="AG553" i="1" s="1"/>
  <c r="AI553" i="1" s="1"/>
  <c r="AD135" i="1"/>
  <c r="AG135" i="1" s="1"/>
  <c r="AI135" i="1" s="1"/>
  <c r="AD505" i="1"/>
  <c r="AG505" i="1" s="1"/>
  <c r="AI505" i="1" s="1"/>
  <c r="AD239" i="1"/>
  <c r="AG239" i="1" s="1"/>
  <c r="AI239" i="1" s="1"/>
  <c r="AD83" i="1"/>
  <c r="AG83" i="1" s="1"/>
  <c r="AI83" i="1" s="1"/>
  <c r="AD547" i="1"/>
  <c r="AG547" i="1" s="1"/>
  <c r="AI547" i="1" s="1"/>
  <c r="AD346" i="1"/>
  <c r="AG346" i="1" s="1"/>
  <c r="AI346" i="1" s="1"/>
  <c r="AD79" i="1"/>
  <c r="AG79" i="1" s="1"/>
  <c r="AI79" i="1" s="1"/>
  <c r="AD27" i="1"/>
  <c r="AD232" i="1"/>
  <c r="AG232" i="1" s="1"/>
  <c r="AI232" i="1" s="1"/>
  <c r="AD231" i="1"/>
  <c r="AG231" i="1" s="1"/>
  <c r="AI231" i="1" s="1"/>
  <c r="AD130" i="1"/>
  <c r="AG130" i="1" s="1"/>
  <c r="AI130" i="1" s="1"/>
  <c r="AD451" i="1"/>
  <c r="AG451" i="1" s="1"/>
  <c r="AI451" i="1" s="1"/>
  <c r="AD590" i="1"/>
  <c r="AG590" i="1" s="1"/>
  <c r="AI590" i="1" s="1"/>
  <c r="AD278" i="1"/>
  <c r="AG278" i="1" s="1"/>
  <c r="AI278" i="1" s="1"/>
  <c r="AD334" i="1"/>
  <c r="AG334" i="1" s="1"/>
  <c r="AI334" i="1" s="1"/>
  <c r="AD276" i="1"/>
  <c r="AG276" i="1" s="1"/>
  <c r="AI276" i="1" s="1"/>
  <c r="AD539" i="1"/>
  <c r="AG539" i="1" s="1"/>
  <c r="AI539" i="1" s="1"/>
  <c r="AD71" i="1"/>
  <c r="AG71" i="1" s="1"/>
  <c r="AI71" i="1" s="1"/>
  <c r="AD332" i="1"/>
  <c r="AG332" i="1" s="1"/>
  <c r="AI332" i="1" s="1"/>
  <c r="AD115" i="1"/>
  <c r="AG115" i="1" s="1"/>
  <c r="AI115" i="1" s="1"/>
  <c r="AD15" i="1"/>
  <c r="AG15" i="1" s="1"/>
  <c r="AI15" i="1" s="1"/>
  <c r="AD533" i="1"/>
  <c r="AG533" i="1" s="1"/>
  <c r="AI533" i="1" s="1"/>
  <c r="AD13" i="1"/>
  <c r="AG13" i="1" s="1"/>
  <c r="AI13" i="1" s="1"/>
  <c r="AD487" i="1"/>
  <c r="AG487" i="1" s="1"/>
  <c r="AI487" i="1" s="1"/>
  <c r="AD10" i="1"/>
  <c r="AG10" i="1" s="1"/>
  <c r="AI10" i="1" s="1"/>
  <c r="AD390" i="1"/>
  <c r="AG390" i="1" s="1"/>
  <c r="AI390" i="1" s="1"/>
  <c r="AD67" i="1"/>
  <c r="AG67" i="1" s="1"/>
  <c r="AI67" i="1" s="1"/>
  <c r="AD215" i="1"/>
  <c r="AG215" i="1" s="1"/>
  <c r="AI215" i="1" s="1"/>
  <c r="AD388" i="1"/>
  <c r="AG388" i="1" s="1"/>
  <c r="AI388" i="1" s="1"/>
  <c r="AD386" i="1"/>
  <c r="AG386" i="1" s="1"/>
  <c r="AI386" i="1" s="1"/>
  <c r="AD4" i="1"/>
  <c r="AG4" i="1" s="1"/>
  <c r="AI4" i="1" s="1"/>
  <c r="AD383" i="1"/>
  <c r="AG383" i="1" s="1"/>
  <c r="AI383" i="1" s="1"/>
  <c r="AD159" i="1"/>
  <c r="AG159" i="1" s="1"/>
  <c r="AI159" i="1" s="1"/>
  <c r="AD438" i="1"/>
  <c r="AG438" i="1" s="1"/>
  <c r="AI438" i="1" s="1"/>
  <c r="AD213" i="1"/>
  <c r="AG213" i="1" s="1"/>
  <c r="AI213" i="1" s="1"/>
  <c r="AD381" i="1"/>
  <c r="AG381" i="1" s="1"/>
  <c r="AI381" i="1" s="1"/>
  <c r="AD631" i="1"/>
  <c r="AG631" i="1" s="1"/>
  <c r="AI631" i="1" s="1"/>
  <c r="AD526" i="1"/>
  <c r="AG526" i="1" s="1"/>
  <c r="AI526" i="1" s="1"/>
  <c r="AD379" i="1"/>
  <c r="AG379" i="1" s="1"/>
  <c r="AI379" i="1" s="1"/>
  <c r="AD62" i="1"/>
  <c r="AG62" i="1" s="1"/>
  <c r="AI62" i="1" s="1"/>
  <c r="AD434" i="1"/>
  <c r="AG434" i="1" s="1"/>
  <c r="AI434" i="1" s="1"/>
  <c r="AD481" i="1"/>
  <c r="AG481" i="1" s="1"/>
  <c r="AI481" i="1" s="1"/>
  <c r="AD577" i="1"/>
  <c r="AG577" i="1" s="1"/>
  <c r="AI577" i="1" s="1"/>
  <c r="AD206" i="1"/>
  <c r="AG206" i="1" s="1"/>
  <c r="AI206" i="1" s="1"/>
  <c r="AD320" i="1"/>
  <c r="AG320" i="1" s="1"/>
  <c r="AI320" i="1" s="1"/>
  <c r="AD480" i="1"/>
  <c r="AG480" i="1" s="1"/>
  <c r="AI480" i="1" s="1"/>
  <c r="AD101" i="1"/>
  <c r="AG101" i="1" s="1"/>
  <c r="AI101" i="1" s="1"/>
  <c r="AD429" i="1"/>
  <c r="AG429" i="1" s="1"/>
  <c r="AI429" i="1" s="1"/>
  <c r="AD373" i="1"/>
  <c r="AG373" i="1" s="1"/>
  <c r="AI373" i="1" s="1"/>
  <c r="AD58" i="1"/>
  <c r="AG58" i="1" s="1"/>
  <c r="AI58" i="1" s="1"/>
  <c r="AD99" i="1"/>
  <c r="AG99" i="1" s="1"/>
  <c r="AI99" i="1" s="1"/>
  <c r="AD479" i="1"/>
  <c r="AG479" i="1" s="1"/>
  <c r="AI479" i="1" s="1"/>
  <c r="AD523" i="1"/>
  <c r="AG523" i="1" s="1"/>
  <c r="AI523" i="1" s="1"/>
  <c r="AD56" i="1"/>
  <c r="AG56" i="1" s="1"/>
  <c r="AI56" i="1" s="1"/>
  <c r="AD259" i="1"/>
  <c r="AG259" i="1" s="1"/>
  <c r="AI259" i="1" s="1"/>
  <c r="AD156" i="1"/>
  <c r="AG156" i="1" s="1"/>
  <c r="AI156" i="1" s="1"/>
  <c r="AD424" i="1"/>
  <c r="AG424" i="1" s="1"/>
  <c r="AI424" i="1" s="1"/>
  <c r="AD316" i="1"/>
  <c r="AG316" i="1" s="1"/>
  <c r="AI316" i="1" s="1"/>
  <c r="AD621" i="1"/>
  <c r="AG621" i="1" s="1"/>
  <c r="AI621" i="1" s="1"/>
  <c r="AD154" i="1"/>
  <c r="AG154" i="1" s="1"/>
  <c r="AI154" i="1" s="1"/>
  <c r="AD153" i="1"/>
  <c r="AG153" i="1" s="1"/>
  <c r="AI153" i="1" s="1"/>
  <c r="AD54" i="1"/>
  <c r="AG54" i="1" s="1"/>
  <c r="AI54" i="1" s="1"/>
  <c r="AD619" i="1"/>
  <c r="AG619" i="1" s="1"/>
  <c r="AI619" i="1" s="1"/>
  <c r="AD200" i="1"/>
  <c r="AG200" i="1" s="1"/>
  <c r="AI200" i="1" s="1"/>
  <c r="AD98" i="1"/>
  <c r="AG98" i="1" s="1"/>
  <c r="AI98" i="1" s="1"/>
  <c r="AD256" i="1"/>
  <c r="AG256" i="1" s="1"/>
  <c r="AD255" i="1"/>
  <c r="AG255" i="1" s="1"/>
  <c r="AI255" i="1" s="1"/>
  <c r="AD49" i="1"/>
  <c r="AG49" i="1" s="1"/>
  <c r="AI49" i="1" s="1"/>
  <c r="AD195" i="1"/>
  <c r="AG195" i="1" s="1"/>
  <c r="AI195" i="1" s="1"/>
  <c r="AD310" i="1"/>
  <c r="AG310" i="1" s="1"/>
  <c r="AI310" i="1" s="1"/>
  <c r="AD518" i="1"/>
  <c r="AG518" i="1" s="1"/>
  <c r="AI518" i="1" s="1"/>
  <c r="AD194" i="1"/>
  <c r="AG194" i="1" s="1"/>
  <c r="AI194" i="1" s="1"/>
  <c r="AD97" i="1"/>
  <c r="AG97" i="1" s="1"/>
  <c r="AI97" i="1" s="1"/>
  <c r="AD566" i="1"/>
  <c r="AG566" i="1" s="1"/>
  <c r="AI566" i="1" s="1"/>
  <c r="AD516" i="1"/>
  <c r="AG516" i="1" s="1"/>
  <c r="AI516" i="1" s="1"/>
  <c r="AD249" i="1"/>
  <c r="AG249" i="1" s="1"/>
  <c r="AI249" i="1" s="1"/>
  <c r="AD420" i="1"/>
  <c r="AG420" i="1" s="1"/>
  <c r="AD419" i="1"/>
  <c r="AG419" i="1" s="1"/>
  <c r="AI419" i="1" s="1"/>
  <c r="AD147" i="1"/>
  <c r="AG147" i="1" s="1"/>
  <c r="AI147" i="1" s="1"/>
  <c r="AD303" i="1"/>
  <c r="AG303" i="1" s="1"/>
  <c r="AI303" i="1" s="1"/>
  <c r="AD301" i="1"/>
  <c r="AG301" i="1" s="1"/>
  <c r="AI301" i="1" s="1"/>
  <c r="AD247" i="1"/>
  <c r="AG247" i="1" s="1"/>
  <c r="AD93" i="1"/>
  <c r="AG93" i="1" s="1"/>
  <c r="AI93" i="1" s="1"/>
  <c r="AD191" i="1"/>
  <c r="AG191" i="1" s="1"/>
  <c r="AI191" i="1" s="1"/>
  <c r="AD467" i="1"/>
  <c r="AG467" i="1" s="1"/>
  <c r="AI467" i="1" s="1"/>
  <c r="AD190" i="1"/>
  <c r="AG190" i="1" s="1"/>
  <c r="AI190" i="1" s="1"/>
  <c r="AD515" i="1"/>
  <c r="AG515" i="1" s="1"/>
  <c r="AI515" i="1" s="1"/>
  <c r="AD357" i="1"/>
  <c r="AG357" i="1" s="1"/>
  <c r="AI357" i="1" s="1"/>
  <c r="AD189" i="1"/>
  <c r="AG189" i="1" s="1"/>
  <c r="AI189" i="1" s="1"/>
  <c r="AD466" i="1"/>
  <c r="AG466" i="1" s="1"/>
  <c r="AI466" i="1" s="1"/>
  <c r="AD614" i="1"/>
  <c r="AG614" i="1" s="1"/>
  <c r="AI614" i="1" s="1"/>
  <c r="AD46" i="1"/>
  <c r="AG46" i="1" s="1"/>
  <c r="AI46" i="1" s="1"/>
  <c r="AD139" i="1"/>
  <c r="AG139" i="1" s="1"/>
  <c r="AI139" i="1" s="1"/>
  <c r="AD612" i="1"/>
  <c r="AG612" i="1" s="1"/>
  <c r="AI612" i="1" s="1"/>
  <c r="AD293" i="1"/>
  <c r="AG293" i="1" s="1"/>
  <c r="AI293" i="1" s="1"/>
  <c r="AD138" i="1"/>
  <c r="AG138" i="1" s="1"/>
  <c r="AI138" i="1" s="1"/>
  <c r="AD509" i="1"/>
  <c r="AG509" i="1" s="1"/>
  <c r="AI509" i="1" s="1"/>
  <c r="AD557" i="1"/>
  <c r="AG557" i="1" s="1"/>
  <c r="AI557" i="1" s="1"/>
  <c r="AD244" i="1"/>
  <c r="AG244" i="1" s="1"/>
  <c r="AI244" i="1" s="1"/>
  <c r="AD461" i="1"/>
  <c r="AG461" i="1" s="1"/>
  <c r="AI461" i="1" s="1"/>
  <c r="AD291" i="1"/>
  <c r="AG291" i="1" s="1"/>
  <c r="AI291" i="1" s="1"/>
  <c r="AD508" i="1"/>
  <c r="AG508" i="1" s="1"/>
  <c r="AI508" i="1" s="1"/>
  <c r="AD186" i="1"/>
  <c r="AG186" i="1" s="1"/>
  <c r="AI186" i="1" s="1"/>
  <c r="AD554" i="1"/>
  <c r="AG554" i="1" s="1"/>
  <c r="AI554" i="1" s="1"/>
  <c r="AD414" i="1"/>
  <c r="AG414" i="1" s="1"/>
  <c r="AI414" i="1" s="1"/>
  <c r="AD39" i="1"/>
  <c r="AG39" i="1" s="1"/>
  <c r="AI39" i="1" s="1"/>
  <c r="AD413" i="1"/>
  <c r="AG413" i="1" s="1"/>
  <c r="AI413" i="1" s="1"/>
  <c r="AD184" i="1"/>
  <c r="AG184" i="1" s="1"/>
  <c r="AI184" i="1" s="1"/>
  <c r="AD37" i="1"/>
  <c r="AG37" i="1" s="1"/>
  <c r="AI37" i="1" s="1"/>
  <c r="AD606" i="1"/>
  <c r="AG606" i="1" s="1"/>
  <c r="AI606" i="1" s="1"/>
  <c r="AD551" i="1"/>
  <c r="AG551" i="1" s="1"/>
  <c r="AI551" i="1" s="1"/>
  <c r="AD181" i="1"/>
  <c r="AG181" i="1" s="1"/>
  <c r="AI181" i="1" s="1"/>
  <c r="AD242" i="1"/>
  <c r="AG242" i="1" s="1"/>
  <c r="AI242" i="1" s="1"/>
  <c r="AD35" i="1"/>
  <c r="AG35" i="1" s="1"/>
  <c r="AI35" i="1" s="1"/>
  <c r="AD287" i="1"/>
  <c r="AG287" i="1" s="1"/>
  <c r="AI287" i="1" s="1"/>
  <c r="AD286" i="1"/>
  <c r="AG286" i="1" s="1"/>
  <c r="AI286" i="1" s="1"/>
  <c r="AD285" i="1"/>
  <c r="AG285" i="1" s="1"/>
  <c r="AI285" i="1" s="1"/>
  <c r="AD34" i="1"/>
  <c r="AG34" i="1" s="1"/>
  <c r="AI34" i="1" s="1"/>
  <c r="AD284" i="1"/>
  <c r="AG284" i="1" s="1"/>
  <c r="AI284" i="1" s="1"/>
  <c r="AD457" i="1"/>
  <c r="AG457" i="1" s="1"/>
  <c r="AI457" i="1" s="1"/>
  <c r="AD502" i="1"/>
  <c r="AG502" i="1" s="1"/>
  <c r="AI502" i="1" s="1"/>
  <c r="AD30" i="1"/>
  <c r="AG30" i="1" s="1"/>
  <c r="AI30" i="1" s="1"/>
  <c r="AD235" i="1"/>
  <c r="AG235" i="1" s="1"/>
  <c r="AI235" i="1" s="1"/>
  <c r="AD81" i="1"/>
  <c r="AG81" i="1" s="1"/>
  <c r="AI81" i="1" s="1"/>
  <c r="AD234" i="1"/>
  <c r="AG234" i="1" s="1"/>
  <c r="AI234" i="1" s="1"/>
  <c r="AD233" i="1"/>
  <c r="AG233" i="1" s="1"/>
  <c r="AI233" i="1" s="1"/>
  <c r="AD599" i="1"/>
  <c r="AG599" i="1" s="1"/>
  <c r="AI599" i="1" s="1"/>
  <c r="AD344" i="1"/>
  <c r="AG344" i="1" s="1"/>
  <c r="AI344" i="1" s="1"/>
  <c r="AD28" i="1"/>
  <c r="AG28" i="1" s="1"/>
  <c r="AI28" i="1" s="1"/>
  <c r="AD597" i="1"/>
  <c r="AG597" i="1" s="1"/>
  <c r="AI597" i="1" s="1"/>
  <c r="AD500" i="1"/>
  <c r="AG500" i="1" s="1"/>
  <c r="AI500" i="1" s="1"/>
  <c r="AD26" i="1"/>
  <c r="AG26" i="1" s="1"/>
  <c r="AI26" i="1" s="1"/>
  <c r="AD341" i="1"/>
  <c r="AG341" i="1" s="1"/>
  <c r="AI341" i="1" s="1"/>
  <c r="AD78" i="1"/>
  <c r="AG78" i="1" s="1"/>
  <c r="AI78" i="1" s="1"/>
  <c r="AD404" i="1"/>
  <c r="AG404" i="1" s="1"/>
  <c r="AI404" i="1" s="1"/>
  <c r="AD403" i="1"/>
  <c r="AG403" i="1" s="1"/>
  <c r="AI403" i="1" s="1"/>
  <c r="AD230" i="1"/>
  <c r="AG230" i="1" s="1"/>
  <c r="AI230" i="1" s="1"/>
  <c r="AD24" i="1"/>
  <c r="AG24" i="1" s="1"/>
  <c r="AD543" i="1"/>
  <c r="AG543" i="1" s="1"/>
  <c r="AI543" i="1" s="1"/>
  <c r="AD178" i="1"/>
  <c r="AG178" i="1" s="1"/>
  <c r="AI178" i="1" s="1"/>
  <c r="AD339" i="1"/>
  <c r="AG339" i="1" s="1"/>
  <c r="AI339" i="1" s="1"/>
  <c r="AD77" i="1"/>
  <c r="AG77" i="1" s="1"/>
  <c r="AI77" i="1" s="1"/>
  <c r="AD497" i="1"/>
  <c r="AG497" i="1" s="1"/>
  <c r="AI497" i="1" s="1"/>
  <c r="AD337" i="1"/>
  <c r="AG337" i="1" s="1"/>
  <c r="AI337" i="1" s="1"/>
  <c r="AD126" i="1"/>
  <c r="AG126" i="1" s="1"/>
  <c r="AI126" i="1" s="1"/>
  <c r="AD20" i="1"/>
  <c r="AG20" i="1" s="1"/>
  <c r="AI20" i="1" s="1"/>
  <c r="AD226" i="1"/>
  <c r="AG226" i="1" s="1"/>
  <c r="AI226" i="1" s="1"/>
  <c r="AD401" i="1"/>
  <c r="AG401" i="1" s="1"/>
  <c r="AI401" i="1" s="1"/>
  <c r="AD76" i="1"/>
  <c r="AG76" i="1" s="1"/>
  <c r="AI76" i="1" s="1"/>
  <c r="AD399" i="1"/>
  <c r="AG399" i="1" s="1"/>
  <c r="AI399" i="1" s="1"/>
  <c r="AD589" i="1"/>
  <c r="AG589" i="1" s="1"/>
  <c r="AI589" i="1" s="1"/>
  <c r="AD173" i="1"/>
  <c r="AG173" i="1" s="1"/>
  <c r="AI173" i="1" s="1"/>
  <c r="AD588" i="1"/>
  <c r="AG588" i="1" s="1"/>
  <c r="AI588" i="1" s="1"/>
  <c r="AD18" i="1"/>
  <c r="AG18" i="1" s="1"/>
  <c r="AI18" i="1" s="1"/>
  <c r="AD223" i="1"/>
  <c r="AG223" i="1" s="1"/>
  <c r="AI223" i="1" s="1"/>
  <c r="AD397" i="1"/>
  <c r="AG397" i="1" s="1"/>
  <c r="AI397" i="1" s="1"/>
  <c r="AD118" i="1"/>
  <c r="AG118" i="1" s="1"/>
  <c r="AI118" i="1" s="1"/>
  <c r="AD333" i="1"/>
  <c r="AG333" i="1" s="1"/>
  <c r="AI333" i="1" s="1"/>
  <c r="AD117" i="1"/>
  <c r="AG117" i="1" s="1"/>
  <c r="AI117" i="1" s="1"/>
  <c r="AD395" i="1"/>
  <c r="AG395" i="1" s="1"/>
  <c r="AI395" i="1" s="1"/>
  <c r="AD394" i="1"/>
  <c r="AG394" i="1" s="1"/>
  <c r="AI394" i="1" s="1"/>
  <c r="AD114" i="1"/>
  <c r="AG114" i="1" s="1"/>
  <c r="AI114" i="1" s="1"/>
  <c r="AD495" i="1"/>
  <c r="AG495" i="1" s="1"/>
  <c r="AI495" i="1" s="1"/>
  <c r="AD382" i="1"/>
  <c r="AG382" i="1" s="1"/>
  <c r="AD581" i="1"/>
  <c r="AG581" i="1" s="1"/>
  <c r="AI581" i="1" s="1"/>
  <c r="AD211" i="1"/>
  <c r="AG211" i="1" s="1"/>
  <c r="AI211" i="1" s="1"/>
  <c r="AD60" i="1"/>
  <c r="AG60" i="1" s="1"/>
  <c r="AI60" i="1" s="1"/>
  <c r="AD374" i="1"/>
  <c r="AG374" i="1" s="1"/>
  <c r="AI374" i="1" s="1"/>
  <c r="AD428" i="1"/>
  <c r="AG428" i="1" s="1"/>
  <c r="AI428" i="1" s="1"/>
  <c r="AD522" i="1"/>
  <c r="AG522" i="1" s="1"/>
  <c r="AI522" i="1" s="1"/>
  <c r="AD258" i="1"/>
  <c r="AG258" i="1" s="1"/>
  <c r="AI258" i="1" s="1"/>
  <c r="AD53" i="1"/>
  <c r="AG53" i="1" s="1"/>
  <c r="AI53" i="1" s="1"/>
  <c r="AD197" i="1"/>
  <c r="AG197" i="1" s="1"/>
  <c r="AI197" i="1" s="1"/>
  <c r="AD473" i="1"/>
  <c r="AG473" i="1" s="1"/>
  <c r="AI473" i="1" s="1"/>
  <c r="AD362" i="1"/>
  <c r="AG362" i="1" s="1"/>
  <c r="AI362" i="1" s="1"/>
  <c r="AD148" i="1"/>
  <c r="AG148" i="1" s="1"/>
  <c r="AI148" i="1" s="1"/>
  <c r="AD145" i="1"/>
  <c r="AG145" i="1" s="1"/>
  <c r="AI145" i="1" s="1"/>
  <c r="AD92" i="1"/>
  <c r="AG92" i="1" s="1"/>
  <c r="AI92" i="1" s="1"/>
  <c r="AD295" i="1"/>
  <c r="AG295" i="1" s="1"/>
  <c r="AI295" i="1" s="1"/>
  <c r="AD417" i="1"/>
  <c r="AG417" i="1" s="1"/>
  <c r="AI417" i="1" s="1"/>
  <c r="AD89" i="1"/>
  <c r="AG89" i="1" s="1"/>
  <c r="AI89" i="1" s="1"/>
  <c r="AD609" i="1"/>
  <c r="AG609" i="1" s="1"/>
  <c r="AI609" i="1" s="1"/>
  <c r="AD552" i="1"/>
  <c r="AG552" i="1" s="1"/>
  <c r="AD605" i="1"/>
  <c r="AG605" i="1" s="1"/>
  <c r="AI605" i="1" s="1"/>
  <c r="AD411" i="1"/>
  <c r="AG411" i="1" s="1"/>
  <c r="AI411" i="1" s="1"/>
  <c r="AD548" i="1"/>
  <c r="AG548" i="1" s="1"/>
  <c r="AI548" i="1" s="1"/>
  <c r="AD600" i="1"/>
  <c r="AG600" i="1" s="1"/>
  <c r="AI600" i="1" s="1"/>
  <c r="AD133" i="1"/>
  <c r="AG133" i="1" s="1"/>
  <c r="AI133" i="1" s="1"/>
  <c r="AD25" i="1"/>
  <c r="AG25" i="1" s="1"/>
  <c r="AI25" i="1" s="1"/>
  <c r="AD595" i="1"/>
  <c r="AG595" i="1" s="1"/>
  <c r="AI595" i="1" s="1"/>
  <c r="AD128" i="1"/>
  <c r="AG128" i="1" s="1"/>
  <c r="AI128" i="1" s="1"/>
  <c r="AD227" i="1"/>
  <c r="AG227" i="1" s="1"/>
  <c r="AI227" i="1" s="1"/>
  <c r="AD400" i="1"/>
  <c r="AG400" i="1" s="1"/>
  <c r="AI400" i="1" s="1"/>
  <c r="AD120" i="1"/>
  <c r="AG120" i="1" s="1"/>
  <c r="AI120" i="1" s="1"/>
  <c r="AD171" i="1"/>
  <c r="AG171" i="1" s="1"/>
  <c r="AI171" i="1" s="1"/>
  <c r="AD492" i="1"/>
  <c r="AG492" i="1" s="1"/>
  <c r="AI492" i="1" s="1"/>
  <c r="AD447" i="1"/>
  <c r="AG447" i="1" s="1"/>
  <c r="AI447" i="1" s="1"/>
  <c r="AD491" i="1"/>
  <c r="AG491" i="1" s="1"/>
  <c r="AI491" i="1" s="1"/>
  <c r="AD14" i="1"/>
  <c r="AG14" i="1" s="1"/>
  <c r="AI14" i="1" s="1"/>
  <c r="AD111" i="1"/>
  <c r="AG111" i="1" s="1"/>
  <c r="AI111" i="1" s="1"/>
  <c r="AD11" i="1"/>
  <c r="AG11" i="1" s="1"/>
  <c r="AI11" i="1" s="1"/>
  <c r="AD328" i="1"/>
  <c r="AG328" i="1" s="1"/>
  <c r="AI328" i="1" s="1"/>
  <c r="AD219" i="1"/>
  <c r="AG219" i="1" s="1"/>
  <c r="AI219" i="1" s="1"/>
  <c r="AD165" i="1"/>
  <c r="AG165" i="1" s="1"/>
  <c r="AI165" i="1" s="1"/>
  <c r="AD164" i="1"/>
  <c r="AG164" i="1" s="1"/>
  <c r="AI164" i="1" s="1"/>
  <c r="AD268" i="1"/>
  <c r="AG268" i="1" s="1"/>
  <c r="AI268" i="1" s="1"/>
  <c r="AD485" i="1"/>
  <c r="AG485" i="1" s="1"/>
  <c r="AI485" i="1" s="1"/>
  <c r="AD110" i="1"/>
  <c r="AG110" i="1" s="1"/>
  <c r="AI110" i="1" s="1"/>
  <c r="AD529" i="1"/>
  <c r="AG529" i="1" s="1"/>
  <c r="AI529" i="1" s="1"/>
  <c r="AD163" i="1"/>
  <c r="AG163" i="1" s="1"/>
  <c r="AI163" i="1" s="1"/>
  <c r="AD8" i="1"/>
  <c r="AG8" i="1" s="1"/>
  <c r="AI8" i="1" s="1"/>
  <c r="AD109" i="1"/>
  <c r="AG109" i="1" s="1"/>
  <c r="AI109" i="1" s="1"/>
  <c r="AD327" i="1"/>
  <c r="AG327" i="1" s="1"/>
  <c r="AI327" i="1" s="1"/>
  <c r="AD160" i="1"/>
  <c r="AG160" i="1" s="1"/>
  <c r="AI160" i="1" s="1"/>
  <c r="AD65" i="1"/>
  <c r="AG65" i="1" s="1"/>
  <c r="AD439" i="1"/>
  <c r="AD375" i="1"/>
  <c r="AG375" i="1" s="1"/>
  <c r="AI375" i="1" s="1"/>
  <c r="AD584" i="1"/>
  <c r="AG584" i="1" s="1"/>
  <c r="AI584" i="1" s="1"/>
  <c r="AD169" i="1"/>
  <c r="AG169" i="1" s="1"/>
  <c r="AI169" i="1" s="1"/>
  <c r="AD271" i="1"/>
  <c r="AG271" i="1" s="1"/>
  <c r="AI271" i="1" s="1"/>
  <c r="AD12" i="1"/>
  <c r="AG12" i="1" s="1"/>
  <c r="AI12" i="1" s="1"/>
  <c r="AD329" i="1"/>
  <c r="AG329" i="1" s="1"/>
  <c r="AI329" i="1" s="1"/>
  <c r="AD270" i="1"/>
  <c r="AG270" i="1" s="1"/>
  <c r="AI270" i="1" s="1"/>
  <c r="AD391" i="1"/>
  <c r="AG391" i="1" s="1"/>
  <c r="AI391" i="1" s="1"/>
  <c r="AD9" i="1"/>
  <c r="AG9" i="1" s="1"/>
  <c r="AI9" i="1" s="1"/>
  <c r="AD269" i="1"/>
  <c r="AG269" i="1" s="1"/>
  <c r="AI269" i="1" s="1"/>
  <c r="AD530" i="1"/>
  <c r="AG530" i="1" s="1"/>
  <c r="AI530" i="1" s="1"/>
  <c r="AD217" i="1"/>
  <c r="AG217" i="1" s="1"/>
  <c r="AI217" i="1" s="1"/>
  <c r="AD583" i="1"/>
  <c r="AG583" i="1" s="1"/>
  <c r="AI583" i="1" s="1"/>
  <c r="AD267" i="1"/>
  <c r="AG267" i="1" s="1"/>
  <c r="AI267" i="1" s="1"/>
  <c r="AD66" i="1"/>
  <c r="AG66" i="1" s="1"/>
  <c r="AI66" i="1" s="1"/>
  <c r="AD387" i="1"/>
  <c r="AG387" i="1" s="1"/>
  <c r="AI387" i="1" s="1"/>
  <c r="AD528" i="1"/>
  <c r="AG528" i="1" s="1"/>
  <c r="AI528" i="1" s="1"/>
  <c r="AD385" i="1"/>
  <c r="AG385" i="1" s="1"/>
  <c r="AI385" i="1" s="1"/>
  <c r="AD326" i="1"/>
  <c r="AG326" i="1" s="1"/>
  <c r="AD441" i="1"/>
  <c r="AG441" i="1" s="1"/>
  <c r="AI441" i="1" s="1"/>
  <c r="AD440" i="1"/>
  <c r="AD392" i="1"/>
  <c r="AG392" i="1" s="1"/>
  <c r="AI392" i="1" s="1"/>
  <c r="AD393" i="1"/>
  <c r="AG393" i="1" s="1"/>
  <c r="AI393" i="1" s="1"/>
  <c r="AD331" i="1"/>
  <c r="AG331" i="1" s="1"/>
  <c r="AI331" i="1" s="1"/>
  <c r="AD113" i="1"/>
  <c r="AG113" i="1" s="1"/>
  <c r="AI113" i="1" s="1"/>
  <c r="AD170" i="1"/>
  <c r="AG170" i="1" s="1"/>
  <c r="AI170" i="1" s="1"/>
  <c r="AD532" i="1"/>
  <c r="AG532" i="1" s="1"/>
  <c r="AI532" i="1" s="1"/>
  <c r="AD489" i="1"/>
  <c r="AG489" i="1" s="1"/>
  <c r="AI489" i="1" s="1"/>
  <c r="AD220" i="1"/>
  <c r="AG220" i="1" s="1"/>
  <c r="AI220" i="1" s="1"/>
  <c r="AD531" i="1"/>
  <c r="AG531" i="1" s="1"/>
  <c r="AI531" i="1" s="1"/>
  <c r="AD168" i="1"/>
  <c r="AG168" i="1" s="1"/>
  <c r="AI168" i="1" s="1"/>
  <c r="AG166" i="1"/>
  <c r="AD218" i="1"/>
  <c r="AG218" i="1" s="1"/>
  <c r="AI218" i="1" s="1"/>
  <c r="AD68" i="1"/>
  <c r="AG68" i="1" s="1"/>
  <c r="AI68" i="1" s="1"/>
  <c r="AD445" i="1"/>
  <c r="AG445" i="1" s="1"/>
  <c r="AI445" i="1" s="1"/>
  <c r="AD389" i="1"/>
  <c r="AG389" i="1" s="1"/>
  <c r="AI389" i="1" s="1"/>
  <c r="AD444" i="1"/>
  <c r="AG444" i="1" s="1"/>
  <c r="AI444" i="1" s="1"/>
  <c r="AD484" i="1"/>
  <c r="AG484" i="1" s="1"/>
  <c r="AI484" i="1" s="1"/>
  <c r="AD266" i="1"/>
  <c r="AG266" i="1" s="1"/>
  <c r="AI266" i="1" s="1"/>
  <c r="AD162" i="1"/>
  <c r="AG162" i="1" s="1"/>
  <c r="AI162" i="1" s="1"/>
  <c r="AD443" i="1"/>
  <c r="AG443" i="1" s="1"/>
  <c r="AI443" i="1" s="1"/>
  <c r="AD6" i="1"/>
  <c r="AG6" i="1" s="1"/>
  <c r="AI6" i="1" s="1"/>
  <c r="AD5" i="1"/>
  <c r="AD214" i="1"/>
  <c r="AG214" i="1" s="1"/>
  <c r="AI214" i="1" s="1"/>
  <c r="AD265" i="1"/>
  <c r="AG265" i="1" s="1"/>
  <c r="AI265" i="1" s="1"/>
  <c r="AD384" i="1"/>
  <c r="AI384" i="1" s="1"/>
  <c r="AD582" i="1"/>
  <c r="AG582" i="1" s="1"/>
  <c r="AI582" i="1" s="1"/>
  <c r="AG209" i="1"/>
  <c r="AI209" i="1" s="1"/>
  <c r="AG469" i="1"/>
  <c r="AI469" i="1" s="1"/>
  <c r="AG464" i="1"/>
  <c r="AI464" i="1" s="1"/>
  <c r="AG228" i="1"/>
  <c r="AI228" i="1" s="1"/>
  <c r="AG119" i="1"/>
  <c r="AI119" i="1" s="1"/>
  <c r="AG281" i="1"/>
  <c r="AI281" i="1" s="1"/>
  <c r="AG324" i="1"/>
  <c r="AI324" i="1" s="1"/>
  <c r="AG625" i="1"/>
  <c r="AI625" i="1" s="1"/>
  <c r="AG311" i="1"/>
  <c r="AI311" i="1" s="1"/>
  <c r="AG459" i="1"/>
  <c r="AI459" i="1" s="1"/>
  <c r="AG477" i="1"/>
  <c r="AI477" i="1" s="1"/>
  <c r="Q630" i="1" l="1"/>
  <c r="Q6" i="1"/>
  <c r="Q10" i="1"/>
  <c r="Q14" i="1"/>
  <c r="Q18" i="1"/>
  <c r="Q22" i="1"/>
  <c r="Q26" i="1"/>
  <c r="Q30" i="1"/>
  <c r="Q34" i="1"/>
  <c r="Q38" i="1"/>
  <c r="Q42" i="1"/>
  <c r="Q46" i="1"/>
  <c r="Q50" i="1"/>
  <c r="Q54" i="1"/>
  <c r="Q58" i="1"/>
  <c r="Q62" i="1"/>
  <c r="Q66" i="1"/>
  <c r="Q70" i="1"/>
  <c r="Q74" i="1"/>
  <c r="Q78" i="1"/>
  <c r="Q82" i="1"/>
  <c r="Q86" i="1"/>
  <c r="Q90" i="1"/>
  <c r="Q94" i="1"/>
  <c r="Q98" i="1"/>
  <c r="Q102" i="1"/>
  <c r="Q106" i="1"/>
  <c r="Q110" i="1"/>
  <c r="Q114" i="1"/>
  <c r="Q118" i="1"/>
  <c r="Q122" i="1"/>
  <c r="Q126" i="1"/>
  <c r="Q130" i="1"/>
  <c r="Q134" i="1"/>
  <c r="Q138" i="1"/>
  <c r="Q142" i="1"/>
  <c r="Q146" i="1"/>
  <c r="Q150" i="1"/>
  <c r="Q154" i="1"/>
  <c r="Q158" i="1"/>
  <c r="Q162" i="1"/>
  <c r="Q166" i="1"/>
  <c r="Q170" i="1"/>
  <c r="Q174" i="1"/>
  <c r="Q178" i="1"/>
  <c r="Q182" i="1"/>
  <c r="Q186" i="1"/>
  <c r="Q190" i="1"/>
  <c r="Q194" i="1"/>
  <c r="Q198" i="1"/>
  <c r="Q202" i="1"/>
  <c r="Q206" i="1"/>
  <c r="Q210" i="1"/>
  <c r="Q214" i="1"/>
  <c r="Q218" i="1"/>
  <c r="Q222" i="1"/>
  <c r="Q226" i="1"/>
  <c r="Q230" i="1"/>
  <c r="Q234" i="1"/>
  <c r="Q238" i="1"/>
  <c r="Q242" i="1"/>
  <c r="Q246" i="1"/>
  <c r="Q250" i="1"/>
  <c r="Q254" i="1"/>
  <c r="Q258" i="1"/>
  <c r="Q262" i="1"/>
  <c r="Q266" i="1"/>
  <c r="Q270" i="1"/>
  <c r="Q274" i="1"/>
  <c r="Q278" i="1"/>
  <c r="Q282" i="1"/>
  <c r="Q286" i="1"/>
  <c r="Q290" i="1"/>
  <c r="Q294" i="1"/>
  <c r="Q298" i="1"/>
  <c r="Q302" i="1"/>
  <c r="Q306" i="1"/>
  <c r="Q310" i="1"/>
  <c r="Q314" i="1"/>
  <c r="Q318" i="1"/>
  <c r="Q322" i="1"/>
  <c r="Q326" i="1"/>
  <c r="Q330" i="1"/>
  <c r="Q334" i="1"/>
  <c r="Q3" i="1"/>
  <c r="Q7" i="1"/>
  <c r="Q11" i="1"/>
  <c r="Q15" i="1"/>
  <c r="Q19" i="1"/>
  <c r="Q23" i="1"/>
  <c r="Q27" i="1"/>
  <c r="Q31" i="1"/>
  <c r="Q35" i="1"/>
  <c r="Q39" i="1"/>
  <c r="Q43" i="1"/>
  <c r="Q47" i="1"/>
  <c r="Q51" i="1"/>
  <c r="Q55" i="1"/>
  <c r="Q59" i="1"/>
  <c r="Q63" i="1"/>
  <c r="Q67" i="1"/>
  <c r="Q71" i="1"/>
  <c r="Q75" i="1"/>
  <c r="Q79" i="1"/>
  <c r="Q83" i="1"/>
  <c r="Q87" i="1"/>
  <c r="Q91" i="1"/>
  <c r="Q95" i="1"/>
  <c r="Q99" i="1"/>
  <c r="Q103" i="1"/>
  <c r="Q107" i="1"/>
  <c r="Q111" i="1"/>
  <c r="Q115" i="1"/>
  <c r="Q119" i="1"/>
  <c r="Q123" i="1"/>
  <c r="Q127" i="1"/>
  <c r="Q131" i="1"/>
  <c r="Q135" i="1"/>
  <c r="Q139" i="1"/>
  <c r="Q143" i="1"/>
  <c r="Q147" i="1"/>
  <c r="Q151" i="1"/>
  <c r="Q155" i="1"/>
  <c r="Q159" i="1"/>
  <c r="Q163" i="1"/>
  <c r="Q167" i="1"/>
  <c r="Q171" i="1"/>
  <c r="Q175" i="1"/>
  <c r="Q179" i="1"/>
  <c r="Q183" i="1"/>
  <c r="Q187" i="1"/>
  <c r="Q191" i="1"/>
  <c r="Q195" i="1"/>
  <c r="Q199" i="1"/>
  <c r="Q203" i="1"/>
  <c r="Q207" i="1"/>
  <c r="Q211" i="1"/>
  <c r="Q215" i="1"/>
  <c r="Q219" i="1"/>
  <c r="Q223" i="1"/>
  <c r="Q227" i="1"/>
  <c r="Q231" i="1"/>
  <c r="Q235" i="1"/>
  <c r="Q239" i="1"/>
  <c r="Q243" i="1"/>
  <c r="Q247" i="1"/>
  <c r="Q251" i="1"/>
  <c r="Q255" i="1"/>
  <c r="Q259" i="1"/>
  <c r="Q263" i="1"/>
  <c r="Q267" i="1"/>
  <c r="Q271" i="1"/>
  <c r="Q275" i="1"/>
  <c r="Q279" i="1"/>
  <c r="Q283" i="1"/>
  <c r="Q287" i="1"/>
  <c r="Q291" i="1"/>
  <c r="Q295" i="1"/>
  <c r="Q299" i="1"/>
  <c r="Q303" i="1"/>
  <c r="Q307" i="1"/>
  <c r="Q311" i="1"/>
  <c r="Q315" i="1"/>
  <c r="Q319" i="1"/>
  <c r="Q323" i="1"/>
  <c r="Q327" i="1"/>
  <c r="Q331" i="1"/>
  <c r="Q4" i="1"/>
  <c r="Q8" i="1"/>
  <c r="Q12" i="1"/>
  <c r="Q16" i="1"/>
  <c r="Q20" i="1"/>
  <c r="Q24" i="1"/>
  <c r="Q28" i="1"/>
  <c r="Q32" i="1"/>
  <c r="Q36" i="1"/>
  <c r="Q40" i="1"/>
  <c r="Q44" i="1"/>
  <c r="Q48" i="1"/>
  <c r="Q52" i="1"/>
  <c r="Q56" i="1"/>
  <c r="Q60" i="1"/>
  <c r="Q64" i="1"/>
  <c r="Q68" i="1"/>
  <c r="Q72" i="1"/>
  <c r="Q76" i="1"/>
  <c r="Q80" i="1"/>
  <c r="Q84" i="1"/>
  <c r="Q88" i="1"/>
  <c r="Q92" i="1"/>
  <c r="Q96" i="1"/>
  <c r="Q100" i="1"/>
  <c r="Q104" i="1"/>
  <c r="Q108" i="1"/>
  <c r="Q112" i="1"/>
  <c r="Q116" i="1"/>
  <c r="Q120" i="1"/>
  <c r="Q124" i="1"/>
  <c r="Q128" i="1"/>
  <c r="Q132" i="1"/>
  <c r="Q136" i="1"/>
  <c r="Q140" i="1"/>
  <c r="Q144" i="1"/>
  <c r="Q148" i="1"/>
  <c r="Q152" i="1"/>
  <c r="Q156" i="1"/>
  <c r="Q160" i="1"/>
  <c r="Q164" i="1"/>
  <c r="Q168" i="1"/>
  <c r="Q172" i="1"/>
  <c r="Q176" i="1"/>
  <c r="Q180" i="1"/>
  <c r="Q184" i="1"/>
  <c r="Q188" i="1"/>
  <c r="Q192" i="1"/>
  <c r="Q196" i="1"/>
  <c r="Q200" i="1"/>
  <c r="Q204" i="1"/>
  <c r="Q208" i="1"/>
  <c r="Q212" i="1"/>
  <c r="Q216" i="1"/>
  <c r="Q220" i="1"/>
  <c r="Q224" i="1"/>
  <c r="Q228" i="1"/>
  <c r="Q232" i="1"/>
  <c r="Q236" i="1"/>
  <c r="Q240" i="1"/>
  <c r="Q244" i="1"/>
  <c r="Q248" i="1"/>
  <c r="Q252" i="1"/>
  <c r="Q256" i="1"/>
  <c r="Q260" i="1"/>
  <c r="Q264" i="1"/>
  <c r="Q268" i="1"/>
  <c r="Q272" i="1"/>
  <c r="Q276" i="1"/>
  <c r="Q280" i="1"/>
  <c r="Q284" i="1"/>
  <c r="Q288" i="1"/>
  <c r="Q292" i="1"/>
  <c r="Q296" i="1"/>
  <c r="Q300" i="1"/>
  <c r="Q304" i="1"/>
  <c r="Q308" i="1"/>
  <c r="Q312" i="1"/>
  <c r="Q316" i="1"/>
  <c r="Q320" i="1"/>
  <c r="Q324" i="1"/>
  <c r="Q328" i="1"/>
  <c r="Q332" i="1"/>
  <c r="Q336" i="1"/>
  <c r="Q340" i="1"/>
  <c r="Q5" i="1"/>
  <c r="Q21" i="1"/>
  <c r="Q37" i="1"/>
  <c r="Q53" i="1"/>
  <c r="Q69" i="1"/>
  <c r="Q85" i="1"/>
  <c r="Q101" i="1"/>
  <c r="Q117" i="1"/>
  <c r="Q133" i="1"/>
  <c r="Q149" i="1"/>
  <c r="Q165" i="1"/>
  <c r="Q181" i="1"/>
  <c r="Q197" i="1"/>
  <c r="Q213" i="1"/>
  <c r="Q229" i="1"/>
  <c r="Q245" i="1"/>
  <c r="Q261" i="1"/>
  <c r="Q277" i="1"/>
  <c r="Q293" i="1"/>
  <c r="Q309" i="1"/>
  <c r="Q325" i="1"/>
  <c r="Q337" i="1"/>
  <c r="Q342" i="1"/>
  <c r="Q346" i="1"/>
  <c r="Q350" i="1"/>
  <c r="Q354" i="1"/>
  <c r="Q358" i="1"/>
  <c r="Q362" i="1"/>
  <c r="Q366" i="1"/>
  <c r="Q370" i="1"/>
  <c r="Q374" i="1"/>
  <c r="Q378" i="1"/>
  <c r="Q382" i="1"/>
  <c r="Q386" i="1"/>
  <c r="Q390" i="1"/>
  <c r="Q394" i="1"/>
  <c r="Q398" i="1"/>
  <c r="Q402" i="1"/>
  <c r="Q406" i="1"/>
  <c r="Q410" i="1"/>
  <c r="Q414" i="1"/>
  <c r="Q418" i="1"/>
  <c r="Q422" i="1"/>
  <c r="Q426" i="1"/>
  <c r="Q430" i="1"/>
  <c r="Q434" i="1"/>
  <c r="Q438" i="1"/>
  <c r="Q442" i="1"/>
  <c r="Q446" i="1"/>
  <c r="Q450" i="1"/>
  <c r="Q454" i="1"/>
  <c r="Q458" i="1"/>
  <c r="Q462" i="1"/>
  <c r="Q466" i="1"/>
  <c r="Q470" i="1"/>
  <c r="Q474" i="1"/>
  <c r="Q478" i="1"/>
  <c r="Q482" i="1"/>
  <c r="Q486" i="1"/>
  <c r="Q490" i="1"/>
  <c r="Q494" i="1"/>
  <c r="Q498" i="1"/>
  <c r="Q502" i="1"/>
  <c r="Q506" i="1"/>
  <c r="Q510" i="1"/>
  <c r="Q514" i="1"/>
  <c r="Q518" i="1"/>
  <c r="Q522" i="1"/>
  <c r="Q526" i="1"/>
  <c r="Q530" i="1"/>
  <c r="Q534" i="1"/>
  <c r="Q538" i="1"/>
  <c r="Q542" i="1"/>
  <c r="Q546" i="1"/>
  <c r="Q550" i="1"/>
  <c r="Q554" i="1"/>
  <c r="Q558" i="1"/>
  <c r="Q562" i="1"/>
  <c r="Q566" i="1"/>
  <c r="Q570" i="1"/>
  <c r="Q574" i="1"/>
  <c r="Q578" i="1"/>
  <c r="Q582" i="1"/>
  <c r="Q586" i="1"/>
  <c r="Q590" i="1"/>
  <c r="Q9" i="1"/>
  <c r="Q25" i="1"/>
  <c r="Q41" i="1"/>
  <c r="Q57" i="1"/>
  <c r="Q73" i="1"/>
  <c r="Q89" i="1"/>
  <c r="Q105" i="1"/>
  <c r="Q121" i="1"/>
  <c r="Q137" i="1"/>
  <c r="Q153" i="1"/>
  <c r="Q169" i="1"/>
  <c r="Q185" i="1"/>
  <c r="Q201" i="1"/>
  <c r="Q217" i="1"/>
  <c r="Q233" i="1"/>
  <c r="Q249" i="1"/>
  <c r="Q265" i="1"/>
  <c r="Q281" i="1"/>
  <c r="Q297" i="1"/>
  <c r="Q313" i="1"/>
  <c r="Q329" i="1"/>
  <c r="Q338" i="1"/>
  <c r="Q343" i="1"/>
  <c r="Q347" i="1"/>
  <c r="Q351" i="1"/>
  <c r="Q355" i="1"/>
  <c r="Q359" i="1"/>
  <c r="Q363" i="1"/>
  <c r="Q367" i="1"/>
  <c r="Q371" i="1"/>
  <c r="Q375" i="1"/>
  <c r="Q379" i="1"/>
  <c r="Q383" i="1"/>
  <c r="Q387" i="1"/>
  <c r="Q391" i="1"/>
  <c r="Q395" i="1"/>
  <c r="Q399" i="1"/>
  <c r="Q403" i="1"/>
  <c r="Q407" i="1"/>
  <c r="Q411" i="1"/>
  <c r="Q415" i="1"/>
  <c r="Q419" i="1"/>
  <c r="Q423" i="1"/>
  <c r="Q427" i="1"/>
  <c r="Q431" i="1"/>
  <c r="Q435" i="1"/>
  <c r="Q439" i="1"/>
  <c r="Q443" i="1"/>
  <c r="Q447" i="1"/>
  <c r="Q451" i="1"/>
  <c r="Q455" i="1"/>
  <c r="Q459" i="1"/>
  <c r="Q463" i="1"/>
  <c r="Q467" i="1"/>
  <c r="Q471" i="1"/>
  <c r="Q475" i="1"/>
  <c r="Q479" i="1"/>
  <c r="Q483" i="1"/>
  <c r="Q487" i="1"/>
  <c r="Q491" i="1"/>
  <c r="Q495" i="1"/>
  <c r="Q499" i="1"/>
  <c r="Q503" i="1"/>
  <c r="Q507" i="1"/>
  <c r="Q511" i="1"/>
  <c r="Q515" i="1"/>
  <c r="Q519" i="1"/>
  <c r="Q523" i="1"/>
  <c r="Q527" i="1"/>
  <c r="Q531" i="1"/>
  <c r="Q535" i="1"/>
  <c r="Q539" i="1"/>
  <c r="Q543" i="1"/>
  <c r="Q547" i="1"/>
  <c r="Q551" i="1"/>
  <c r="Q555" i="1"/>
  <c r="Q559" i="1"/>
  <c r="Q563" i="1"/>
  <c r="Q567" i="1"/>
  <c r="Q571" i="1"/>
  <c r="Q575" i="1"/>
  <c r="Q579" i="1"/>
  <c r="Q583" i="1"/>
  <c r="Q587" i="1"/>
  <c r="Q13" i="1"/>
  <c r="Q29" i="1"/>
  <c r="Q45" i="1"/>
  <c r="Q61" i="1"/>
  <c r="Q77" i="1"/>
  <c r="Q93" i="1"/>
  <c r="Q109" i="1"/>
  <c r="Q125" i="1"/>
  <c r="Q141" i="1"/>
  <c r="Q157" i="1"/>
  <c r="Q173" i="1"/>
  <c r="Q189" i="1"/>
  <c r="Q205" i="1"/>
  <c r="Q221" i="1"/>
  <c r="Q237" i="1"/>
  <c r="Q253" i="1"/>
  <c r="Q269" i="1"/>
  <c r="Q285" i="1"/>
  <c r="Q301" i="1"/>
  <c r="Q317" i="1"/>
  <c r="Q333" i="1"/>
  <c r="Q339" i="1"/>
  <c r="Q344" i="1"/>
  <c r="Q348" i="1"/>
  <c r="Q352" i="1"/>
  <c r="Q356" i="1"/>
  <c r="Q360" i="1"/>
  <c r="Q364" i="1"/>
  <c r="Q368" i="1"/>
  <c r="Q372" i="1"/>
  <c r="Q376" i="1"/>
  <c r="Q380" i="1"/>
  <c r="Q384" i="1"/>
  <c r="Q388" i="1"/>
  <c r="Q392" i="1"/>
  <c r="Q396" i="1"/>
  <c r="Q400" i="1"/>
  <c r="Q404" i="1"/>
  <c r="Q408" i="1"/>
  <c r="Q412" i="1"/>
  <c r="Q416" i="1"/>
  <c r="Q420" i="1"/>
  <c r="Q424" i="1"/>
  <c r="Q428" i="1"/>
  <c r="Q432" i="1"/>
  <c r="Q436" i="1"/>
  <c r="Q440" i="1"/>
  <c r="Q444" i="1"/>
  <c r="Q448" i="1"/>
  <c r="Q452" i="1"/>
  <c r="Q456" i="1"/>
  <c r="Q460" i="1"/>
  <c r="Q464" i="1"/>
  <c r="Q468" i="1"/>
  <c r="Q472" i="1"/>
  <c r="Q476" i="1"/>
  <c r="Q480" i="1"/>
  <c r="Q484" i="1"/>
  <c r="Q488" i="1"/>
  <c r="Q492" i="1"/>
  <c r="Q496" i="1"/>
  <c r="Q500" i="1"/>
  <c r="Q504" i="1"/>
  <c r="Q508" i="1"/>
  <c r="Q512" i="1"/>
  <c r="Q516" i="1"/>
  <c r="Q520" i="1"/>
  <c r="Q524" i="1"/>
  <c r="Q528" i="1"/>
  <c r="Q532" i="1"/>
  <c r="Q536" i="1"/>
  <c r="Q540" i="1"/>
  <c r="Q544" i="1"/>
  <c r="Q548" i="1"/>
  <c r="Q552" i="1"/>
  <c r="Q556" i="1"/>
  <c r="Q560" i="1"/>
  <c r="Q564" i="1"/>
  <c r="Q568" i="1"/>
  <c r="Q572" i="1"/>
  <c r="Q576" i="1"/>
  <c r="Q580" i="1"/>
  <c r="Q17" i="1"/>
  <c r="Q81" i="1"/>
  <c r="Q145" i="1"/>
  <c r="Q209" i="1"/>
  <c r="Q273" i="1"/>
  <c r="Q335" i="1"/>
  <c r="Q353" i="1"/>
  <c r="Q369" i="1"/>
  <c r="Q385" i="1"/>
  <c r="Q401" i="1"/>
  <c r="Q417" i="1"/>
  <c r="Q433" i="1"/>
  <c r="Q449" i="1"/>
  <c r="Q465" i="1"/>
  <c r="Q481" i="1"/>
  <c r="Q497" i="1"/>
  <c r="Q513" i="1"/>
  <c r="Q529" i="1"/>
  <c r="Q545" i="1"/>
  <c r="Q561" i="1"/>
  <c r="Q577" i="1"/>
  <c r="Q588" i="1"/>
  <c r="Q593" i="1"/>
  <c r="Q597" i="1"/>
  <c r="Q601" i="1"/>
  <c r="Q605" i="1"/>
  <c r="Q609" i="1"/>
  <c r="Q613" i="1"/>
  <c r="Q617" i="1"/>
  <c r="Q621" i="1"/>
  <c r="Q625" i="1"/>
  <c r="Q629" i="1"/>
  <c r="Q2" i="1"/>
  <c r="Q33" i="1"/>
  <c r="Q97" i="1"/>
  <c r="Q161" i="1"/>
  <c r="Q225" i="1"/>
  <c r="Q289" i="1"/>
  <c r="Q341" i="1"/>
  <c r="Q357" i="1"/>
  <c r="Q373" i="1"/>
  <c r="Q389" i="1"/>
  <c r="Q405" i="1"/>
  <c r="Q421" i="1"/>
  <c r="Q437" i="1"/>
  <c r="Q453" i="1"/>
  <c r="Q469" i="1"/>
  <c r="Q485" i="1"/>
  <c r="Q501" i="1"/>
  <c r="Q517" i="1"/>
  <c r="Q533" i="1"/>
  <c r="Q549" i="1"/>
  <c r="Q565" i="1"/>
  <c r="Q581" i="1"/>
  <c r="Q589" i="1"/>
  <c r="Q594" i="1"/>
  <c r="Q598" i="1"/>
  <c r="Q602" i="1"/>
  <c r="Q606" i="1"/>
  <c r="Q610" i="1"/>
  <c r="Q614" i="1"/>
  <c r="Q618" i="1"/>
  <c r="Q622" i="1"/>
  <c r="Q626" i="1"/>
  <c r="Q631" i="1"/>
  <c r="Q129" i="1"/>
  <c r="Q628" i="1"/>
  <c r="Q49" i="1"/>
  <c r="Q113" i="1"/>
  <c r="Q177" i="1"/>
  <c r="Q241" i="1"/>
  <c r="Q305" i="1"/>
  <c r="Q345" i="1"/>
  <c r="Q361" i="1"/>
  <c r="Q377" i="1"/>
  <c r="Q393" i="1"/>
  <c r="Q409" i="1"/>
  <c r="Q425" i="1"/>
  <c r="Q441" i="1"/>
  <c r="Q457" i="1"/>
  <c r="Q473" i="1"/>
  <c r="Q489" i="1"/>
  <c r="Q505" i="1"/>
  <c r="Q521" i="1"/>
  <c r="Q537" i="1"/>
  <c r="Q553" i="1"/>
  <c r="Q569" i="1"/>
  <c r="Q584" i="1"/>
  <c r="Q591" i="1"/>
  <c r="Q595" i="1"/>
  <c r="Q599" i="1"/>
  <c r="Q603" i="1"/>
  <c r="Q607" i="1"/>
  <c r="Q611" i="1"/>
  <c r="Q615" i="1"/>
  <c r="Q619" i="1"/>
  <c r="Q623" i="1"/>
  <c r="Q627" i="1"/>
  <c r="Q632" i="1"/>
  <c r="Q65" i="1"/>
  <c r="Q193" i="1"/>
  <c r="Q257" i="1"/>
  <c r="Q321" i="1"/>
  <c r="Q349" i="1"/>
  <c r="Q365" i="1"/>
  <c r="Q381" i="1"/>
  <c r="Q397" i="1"/>
  <c r="Q413" i="1"/>
  <c r="Q429" i="1"/>
  <c r="Q445" i="1"/>
  <c r="Q461" i="1"/>
  <c r="Q477" i="1"/>
  <c r="Q493" i="1"/>
  <c r="Q509" i="1"/>
  <c r="Q525" i="1"/>
  <c r="Q541" i="1"/>
  <c r="Q557" i="1"/>
  <c r="Q573" i="1"/>
  <c r="Q585" i="1"/>
  <c r="Q592" i="1"/>
  <c r="Q596" i="1"/>
  <c r="Q600" i="1"/>
  <c r="Q604" i="1"/>
  <c r="Q608" i="1"/>
  <c r="Q612" i="1"/>
  <c r="Q616" i="1"/>
  <c r="Q620" i="1"/>
  <c r="Q624" i="1"/>
  <c r="AI151" i="1"/>
  <c r="AI580" i="1"/>
  <c r="AG384" i="1"/>
  <c r="AG3" i="1"/>
  <c r="AI3" i="1" s="1"/>
  <c r="AI552" i="1"/>
  <c r="AG5" i="1"/>
  <c r="AI5" i="1" s="1"/>
  <c r="AI166" i="1"/>
  <c r="AG321" i="1"/>
  <c r="AI321" i="1" s="1"/>
  <c r="AI420" i="1"/>
  <c r="AI24" i="1"/>
  <c r="AG586" i="1"/>
  <c r="AI586" i="1" s="1"/>
  <c r="AI418" i="1"/>
  <c r="AI102" i="1"/>
  <c r="AI382" i="1"/>
  <c r="AI256" i="1"/>
  <c r="AI247" i="1"/>
  <c r="AG440" i="1"/>
  <c r="AI440" i="1" s="1"/>
  <c r="AG439" i="1"/>
  <c r="AI439" i="1" s="1"/>
  <c r="AI326" i="1"/>
  <c r="AI65" i="1"/>
  <c r="AG207" i="1"/>
  <c r="AI207" i="1" s="1"/>
  <c r="AG27" i="1"/>
  <c r="AI27" i="1" s="1"/>
  <c r="AI322" i="1"/>
  <c r="AI51" i="1"/>
</calcChain>
</file>

<file path=xl/sharedStrings.xml><?xml version="1.0" encoding="utf-8"?>
<sst xmlns="http://schemas.openxmlformats.org/spreadsheetml/2006/main" count="7970" uniqueCount="1545">
  <si>
    <t>OrderID</t>
  </si>
  <si>
    <t>OrderDate</t>
  </si>
  <si>
    <t>Region</t>
  </si>
  <si>
    <t>Country</t>
  </si>
  <si>
    <t>CustomerSegment</t>
  </si>
  <si>
    <t>Channel</t>
  </si>
  <si>
    <t>SKU</t>
  </si>
  <si>
    <t>UnitCost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</si>
  <si>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</si>
  <si>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</si>
  <si>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</si>
  <si>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</si>
  <si>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</si>
  <si>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</si>
  <si>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</si>
  <si>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</si>
  <si>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</si>
  <si>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</si>
  <si>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</si>
  <si>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</si>
  <si>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</si>
  <si>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</si>
  <si>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</si>
  <si>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</si>
  <si>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</si>
  <si>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</si>
  <si>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</si>
  <si>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</si>
  <si>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</si>
  <si>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</si>
  <si>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</si>
  <si>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</si>
  <si>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</si>
  <si>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</si>
  <si>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</si>
  <si>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</si>
  <si>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</si>
  <si>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</si>
  <si>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</si>
  <si>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</si>
  <si>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</si>
  <si>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</si>
  <si>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</si>
  <si>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</si>
  <si>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</si>
  <si>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</si>
  <si>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</si>
  <si>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</si>
  <si>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</si>
  <si>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</si>
  <si>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</si>
  <si>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</si>
  <si>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</si>
  <si>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</si>
  <si>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</si>
  <si>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</si>
  <si>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</si>
  <si>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</si>
  <si>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</si>
  <si>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</si>
  <si>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</si>
  <si>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</si>
  <si>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</si>
  <si>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</si>
  <si>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</si>
  <si>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</si>
  <si>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</si>
  <si>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</si>
  <si>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</si>
  <si>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</si>
  <si>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</si>
  <si>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</si>
  <si>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</si>
  <si>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</si>
  <si>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</si>
  <si>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</si>
  <si>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</si>
  <si>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</si>
  <si>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</si>
  <si>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</si>
  <si>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</si>
  <si>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</si>
  <si>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</si>
  <si>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</si>
  <si>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</si>
  <si>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</si>
  <si>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</si>
  <si>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</si>
  <si>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</si>
  <si>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</si>
  <si>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</si>
  <si>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</si>
  <si>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</si>
  <si>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</si>
  <si>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</si>
  <si>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</si>
  <si>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</si>
  <si>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</si>
  <si>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</si>
  <si>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</si>
  <si>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</si>
  <si>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</si>
  <si>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</si>
  <si>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</si>
  <si>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</si>
  <si>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</si>
  <si>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</si>
  <si>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</si>
  <si>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</si>
  <si>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</si>
  <si>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</si>
  <si>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</si>
  <si>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</si>
  <si>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</si>
  <si>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</si>
  <si>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</si>
  <si>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</si>
  <si>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</si>
  <si>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</si>
  <si>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</si>
  <si>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</si>
  <si>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</si>
  <si>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</si>
  <si>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</si>
  <si>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</si>
  <si>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</si>
  <si>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</si>
  <si>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</si>
  <si>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</si>
  <si>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</si>
  <si>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</si>
  <si>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</si>
  <si>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</si>
  <si>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</si>
  <si>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</si>
  <si>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</si>
  <si>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</si>
  <si>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</si>
  <si>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</si>
  <si>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</si>
  <si>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</si>
  <si>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</si>
  <si>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</si>
  <si>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</si>
  <si>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</si>
  <si>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</si>
  <si>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</si>
  <si>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</si>
  <si>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</si>
  <si>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</si>
  <si>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</si>
  <si>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</si>
  <si>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</si>
  <si>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</si>
  <si>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</si>
  <si>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</si>
  <si>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</si>
  <si>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</si>
  <si>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</si>
  <si>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</si>
  <si>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</si>
  <si>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</si>
  <si>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</si>
  <si>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</si>
  <si>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</si>
  <si>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</si>
  <si>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</si>
  <si>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</si>
  <si>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</si>
  <si>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</si>
  <si>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</si>
  <si>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</si>
  <si>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</si>
  <si>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</si>
  <si>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</si>
  <si>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</si>
  <si>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</si>
  <si>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</si>
  <si>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</si>
  <si>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</si>
  <si>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</si>
  <si>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</si>
  <si>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</si>
  <si>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</si>
  <si>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</si>
  <si>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</si>
  <si>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</si>
  <si>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</si>
  <si>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</si>
  <si>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</si>
  <si>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</si>
  <si>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</si>
  <si>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</si>
  <si>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</si>
  <si>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</si>
  <si>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</si>
  <si>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</si>
  <si>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</si>
  <si>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</si>
  <si>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</si>
  <si>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</si>
  <si>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</si>
  <si>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</si>
  <si>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</si>
  <si>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</si>
  <si>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</si>
  <si>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</si>
  <si>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</si>
  <si>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</si>
  <si>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</si>
  <si>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</si>
  <si>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</si>
  <si>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</si>
  <si>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</si>
  <si>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</si>
  <si>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</si>
  <si>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</si>
  <si>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</si>
  <si>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</si>
  <si>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</si>
  <si>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</si>
  <si>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</si>
  <si>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</si>
  <si>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</si>
  <si>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</si>
  <si>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</si>
  <si>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</si>
  <si>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</si>
  <si>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</si>
  <si>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</si>
  <si>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</si>
  <si>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</si>
  <si>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</si>
  <si>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</si>
  <si>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</si>
  <si>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</si>
  <si>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</si>
  <si>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</si>
  <si>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</si>
  <si>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</si>
  <si>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</si>
  <si>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</si>
  <si>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</si>
  <si>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</si>
  <si>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</si>
  <si>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</si>
  <si>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</si>
  <si>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</si>
  <si>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</si>
  <si>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</si>
  <si>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</si>
  <si>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</si>
  <si>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</si>
  <si>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</si>
  <si>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</si>
  <si>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</si>
  <si>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</si>
  <si>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</si>
  <si>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</si>
  <si>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</si>
  <si>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</si>
  <si>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</si>
  <si>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</si>
  <si>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</si>
  <si>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</si>
  <si>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</si>
  <si>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</si>
  <si>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</si>
  <si>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</si>
  <si>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</si>
  <si>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</si>
  <si>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</si>
  <si>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</si>
  <si>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</si>
  <si>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</si>
  <si>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</si>
  <si>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</si>
  <si>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</si>
  <si>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</si>
  <si>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</si>
  <si>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</si>
  <si>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</si>
  <si>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</si>
  <si>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</si>
  <si>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</si>
  <si>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</si>
  <si>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</si>
  <si>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</si>
  <si>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</si>
  <si>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</si>
  <si>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</si>
  <si>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</si>
  <si>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</si>
  <si>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</si>
  <si>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</si>
  <si>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</si>
  <si>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</si>
  <si>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</si>
  <si>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</si>
  <si>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</si>
  <si>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</si>
  <si>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</si>
  <si>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</si>
  <si>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</si>
  <si>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</si>
  <si>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</si>
  <si>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</si>
  <si>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</si>
  <si>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</si>
  <si>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</si>
  <si>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</si>
  <si>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</si>
  <si>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</si>
  <si>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</si>
  <si>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</si>
  <si>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</si>
  <si>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</si>
  <si>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</si>
  <si>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</si>
  <si>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</si>
  <si>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</si>
  <si>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</si>
  <si>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</si>
  <si>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</si>
  <si>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</si>
  <si>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</si>
  <si>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</si>
  <si>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</si>
  <si>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</si>
  <si>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</si>
  <si>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</si>
  <si>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</si>
  <si>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</si>
  <si>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</si>
  <si>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</si>
  <si>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</si>
  <si>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</si>
  <si>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</si>
  <si>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</si>
  <si>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</si>
  <si>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</si>
  <si>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</si>
  <si>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</si>
  <si>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</si>
  <si>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</si>
  <si>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</si>
  <si>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</si>
  <si>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</si>
  <si>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</si>
  <si>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</si>
  <si>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</si>
  <si>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</si>
  <si>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</si>
  <si>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</si>
  <si>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</si>
  <si>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</si>
  <si>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</si>
  <si>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</si>
  <si>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</si>
  <si>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</si>
  <si>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</si>
  <si>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</si>
  <si>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</si>
  <si>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</si>
  <si>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</si>
  <si>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</si>
  <si>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</si>
  <si>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</si>
  <si>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</si>
  <si>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</si>
  <si>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</si>
  <si>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</si>
  <si>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</si>
  <si>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</si>
  <si>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</si>
  <si>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</si>
  <si>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</si>
  <si>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</si>
  <si>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</si>
  <si>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</si>
  <si>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</si>
  <si>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</si>
  <si>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</si>
  <si>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</si>
  <si>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</si>
  <si>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</si>
  <si>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</si>
  <si>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</si>
  <si>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</si>
  <si>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</si>
  <si>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</si>
  <si>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</si>
  <si>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</si>
  <si>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</si>
  <si>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</si>
  <si>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</si>
  <si>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</si>
  <si>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</si>
  <si>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</si>
  <si>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</si>
  <si>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</si>
  <si>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</si>
  <si>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</si>
  <si>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</si>
  <si>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</si>
  <si>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</si>
  <si>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</si>
  <si>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</si>
  <si>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</si>
  <si>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</si>
  <si>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</si>
  <si>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</si>
  <si>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</si>
  <si>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</si>
  <si>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</si>
  <si>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</si>
  <si>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</si>
  <si>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</si>
  <si>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</si>
  <si>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</si>
  <si>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</si>
  <si>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</si>
  <si>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</si>
  <si>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</si>
  <si>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</si>
  <si>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</si>
  <si>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</si>
  <si>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</si>
  <si>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</si>
  <si>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</si>
  <si>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</si>
  <si>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</si>
  <si>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</si>
  <si>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</si>
  <si>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</si>
  <si>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</si>
  <si>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</si>
  <si>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</si>
  <si>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</si>
  <si>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</si>
  <si>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</si>
  <si>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</si>
  <si>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</si>
  <si>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</si>
  <si>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</si>
  <si>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</si>
  <si>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</si>
  <si>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</si>
  <si>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</si>
  <si>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</si>
  <si>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</si>
  <si>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</si>
  <si>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</si>
  <si>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</si>
  <si>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</si>
  <si>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</si>
  <si>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</si>
  <si>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</si>
  <si>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</si>
  <si>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</si>
  <si>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</si>
  <si>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</si>
  <si>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</si>
  <si>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</si>
  <si>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</si>
  <si>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</si>
  <si>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</si>
  <si>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</si>
  <si>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</si>
  <si>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</si>
  <si>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</si>
  <si>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</si>
  <si>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</si>
  <si>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</si>
  <si>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</si>
  <si>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</si>
  <si>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</si>
  <si>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</si>
  <si>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</si>
  <si>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</si>
  <si>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</si>
  <si>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</si>
  <si>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</si>
  <si>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</si>
  <si>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</si>
  <si>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</si>
  <si>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</si>
  <si>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</si>
  <si>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</si>
  <si>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</si>
  <si>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</si>
  <si>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</si>
  <si>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</si>
  <si>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</si>
  <si>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</si>
  <si>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</si>
  <si>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</si>
  <si>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</si>
  <si>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</si>
  <si>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</si>
  <si>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</si>
  <si>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</si>
  <si>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</si>
  <si>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</si>
  <si>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</si>
  <si>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</si>
  <si>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</si>
  <si>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</si>
  <si>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</si>
  <si>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</si>
  <si>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</si>
  <si>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</si>
  <si>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</si>
  <si>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</si>
  <si>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</si>
  <si>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</si>
  <si>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</si>
  <si>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</si>
  <si>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</si>
  <si>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</si>
  <si>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</si>
  <si>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</si>
  <si>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</si>
  <si>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</si>
  <si>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</si>
  <si>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</si>
  <si>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</si>
  <si>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</si>
  <si>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</si>
  <si>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</si>
  <si>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</si>
  <si>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</si>
  <si>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</si>
  <si>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</si>
  <si>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</si>
  <si>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</si>
  <si>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</si>
  <si>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</si>
  <si>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</si>
  <si>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</si>
  <si>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</si>
  <si>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</si>
  <si>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</si>
  <si>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</si>
  <si>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</si>
  <si>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</si>
  <si>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</si>
  <si>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</si>
  <si>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</si>
  <si>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</si>
  <si>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</si>
  <si>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</si>
  <si>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</si>
  <si>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</si>
  <si>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</si>
  <si>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</si>
  <si>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</si>
  <si>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</si>
  <si>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</si>
  <si>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</si>
  <si>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</si>
  <si>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</si>
  <si>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</si>
  <si>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</si>
  <si>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</si>
  <si>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</si>
  <si>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</si>
  <si>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</si>
  <si>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</si>
  <si>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</si>
  <si>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</si>
  <si>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</si>
  <si>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</si>
  <si>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</si>
  <si>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</si>
  <si>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</si>
  <si>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</si>
  <si>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</si>
  <si>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</si>
  <si>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</si>
  <si>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</si>
  <si>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</si>
  <si>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</si>
  <si>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</si>
  <si>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</si>
  <si>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</si>
  <si>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</si>
  <si>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</si>
  <si>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</si>
  <si>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</si>
  <si>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</si>
  <si>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</si>
  <si>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</si>
  <si>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</si>
  <si>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</si>
  <si>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</si>
  <si>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</si>
  <si>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</si>
  <si>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</si>
  <si>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</si>
  <si>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</si>
  <si>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</si>
  <si>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</si>
  <si>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</si>
  <si>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</si>
  <si>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</si>
  <si>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</si>
  <si>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</si>
  <si>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</si>
  <si>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</si>
  <si>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</si>
  <si>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</si>
  <si>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</si>
  <si>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</si>
  <si>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</si>
  <si>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</si>
  <si>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</si>
  <si>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</si>
  <si>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</si>
  <si>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</si>
  <si>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</si>
  <si>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</si>
  <si>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</si>
  <si>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</si>
  <si>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</si>
  <si>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</si>
  <si>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</si>
  <si>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</si>
  <si>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</si>
  <si>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</si>
  <si>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</si>
  <si>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</si>
  <si>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</si>
  <si>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</si>
  <si>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</si>
  <si>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</si>
  <si>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</si>
  <si>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</si>
  <si>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</si>
  <si>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</si>
  <si>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</si>
  <si>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</si>
  <si>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</si>
  <si>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</si>
  <si>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</si>
  <si>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</si>
  <si>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</si>
  <si>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</si>
  <si>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</si>
  <si>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</si>
  <si>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</si>
  <si>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</si>
  <si>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</si>
  <si>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</si>
  <si>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</si>
  <si>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</si>
  <si>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</si>
  <si>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</si>
  <si>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</si>
  <si>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</si>
  <si>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</si>
  <si>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</si>
  <si>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</si>
  <si>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</si>
  <si>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</si>
  <si>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</si>
  <si>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</si>
  <si>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</si>
  <si>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</si>
  <si>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</si>
  <si>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</si>
  <si>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</si>
  <si>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</si>
  <si>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</si>
  <si>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</si>
  <si>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</si>
  <si>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</si>
  <si>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</si>
  <si>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</si>
  <si>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</si>
  <si>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</si>
  <si>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</si>
  <si>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</si>
  <si>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</si>
  <si>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</si>
  <si>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</si>
  <si>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</si>
  <si>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</si>
  <si>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</si>
  <si>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</si>
  <si>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</si>
  <si>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</si>
  <si>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</si>
  <si>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</si>
  <si>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</si>
  <si>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</si>
  <si>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</si>
  <si>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</si>
  <si>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</si>
  <si>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</si>
  <si>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</si>
  <si>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</si>
  <si>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</si>
  <si>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</si>
  <si>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</si>
  <si>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</si>
  <si>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</si>
  <si>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</si>
  <si>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</si>
  <si>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</si>
  <si>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</si>
  <si>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</si>
  <si>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</si>
  <si>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</si>
  <si>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</si>
  <si>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</si>
  <si>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</si>
  <si>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</si>
  <si>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</si>
  <si>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</si>
  <si>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</si>
  <si>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</si>
  <si>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</si>
  <si>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</si>
  <si>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</si>
  <si>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</si>
  <si>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</si>
  <si>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</si>
  <si>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</si>
  <si>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</si>
  <si>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</si>
  <si>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</si>
  <si>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</si>
  <si>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</si>
  <si>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</si>
  <si>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</si>
  <si>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</si>
  <si>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</si>
  <si>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</si>
  <si>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</si>
  <si>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</si>
  <si>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</si>
  <si>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</si>
  <si>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</si>
  <si>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</si>
  <si>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</si>
  <si>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</si>
  <si>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</si>
  <si>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</si>
  <si>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</si>
  <si>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</si>
  <si>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</si>
  <si>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</si>
  <si>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</si>
  <si>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</si>
  <si>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</si>
  <si>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</si>
  <si>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</si>
  <si>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</si>
  <si>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</si>
  <si>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</si>
  <si>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</si>
  <si>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</si>
  <si>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</si>
  <si>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</si>
  <si>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</si>
  <si>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</si>
  <si>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</si>
  <si>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</si>
  <si>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</si>
  <si>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</si>
  <si>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</si>
  <si>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</si>
  <si>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</si>
  <si>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</si>
  <si>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</si>
  <si>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</si>
  <si>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</si>
  <si>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</si>
  <si>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</si>
  <si>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</si>
  <si>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</si>
  <si>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</si>
  <si>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</si>
  <si>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</si>
  <si>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</si>
  <si>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</si>
  <si>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</si>
  <si>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</si>
  <si>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</si>
  <si>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</si>
  <si>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</si>
  <si>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</si>
  <si>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</si>
  <si>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</si>
  <si>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</si>
  <si>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</si>
  <si>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</si>
  <si>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</si>
  <si>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</si>
  <si>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</si>
  <si>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</si>
  <si>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</si>
  <si>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</si>
  <si>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</si>
  <si>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</si>
  <si>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</si>
  <si>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</si>
  <si>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</si>
  <si>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</si>
  <si>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</si>
  <si>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</si>
  <si>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</si>
  <si>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</si>
  <si>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</si>
  <si>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</si>
  <si>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</si>
  <si>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</si>
  <si>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</si>
  <si>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</si>
  <si>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</si>
  <si>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</si>
  <si>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</si>
  <si>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</si>
  <si>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</si>
  <si>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</si>
  <si>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</si>
  <si>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</si>
  <si>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</si>
  <si>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</si>
  <si>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</si>
  <si>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</si>
  <si>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</si>
  <si>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</si>
  <si>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</si>
  <si>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</si>
  <si>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</si>
  <si>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</si>
  <si>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</si>
  <si>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</si>
  <si>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</si>
  <si>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</si>
  <si>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</si>
  <si>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</si>
  <si>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</si>
  <si>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</si>
  <si>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</si>
  <si>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</si>
  <si>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</si>
  <si>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</si>
  <si>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</si>
  <si>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</si>
  <si>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</si>
  <si>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</si>
  <si>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</si>
  <si>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</si>
  <si>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</si>
  <si>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</si>
  <si>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</si>
  <si>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</si>
  <si>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</si>
  <si>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</si>
  <si>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</si>
  <si>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</si>
  <si>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</si>
  <si>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</si>
  <si>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</si>
  <si>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</si>
  <si>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</si>
  <si>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</si>
  <si>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</si>
  <si>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</si>
  <si>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</si>
  <si>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</si>
  <si>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</si>
  <si>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</si>
  <si>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</si>
  <si>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</si>
  <si>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</si>
  <si>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</si>
  <si>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</si>
  <si>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</si>
  <si>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</si>
  <si>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</si>
  <si>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</si>
  <si>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</si>
  <si>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</si>
  <si>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</si>
  <si>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</si>
  <si>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</si>
  <si>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</si>
  <si>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</si>
  <si>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</si>
  <si>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</si>
  <si>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</si>
  <si>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</si>
  <si>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</si>
  <si>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</si>
  <si>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</si>
  <si>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</si>
  <si>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</si>
  <si>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</si>
  <si>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</si>
  <si>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</si>
  <si>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</si>
  <si>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</si>
  <si>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</si>
  <si>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</si>
  <si>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</si>
  <si>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</si>
  <si>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</si>
  <si>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</si>
  <si>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</si>
  <si>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</si>
  <si>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</si>
  <si>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</si>
  <si>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</si>
  <si>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</si>
  <si>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</si>
  <si>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</si>
  <si>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</si>
  <si>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</si>
  <si>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</si>
  <si>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</si>
  <si>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</si>
  <si>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</si>
  <si>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</si>
  <si>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</si>
  <si>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</si>
  <si>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</si>
  <si>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</si>
  <si>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</si>
  <si>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</si>
  <si>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</si>
  <si>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</si>
  <si>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</si>
  <si>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</si>
  <si>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</si>
  <si>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</si>
  <si>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</si>
  <si>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</si>
  <si>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</si>
  <si>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</si>
  <si>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</si>
  <si>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</si>
  <si>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</si>
  <si>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</si>
  <si>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</si>
  <si>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</si>
  <si>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</si>
  <si>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</si>
  <si>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</si>
  <si>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</si>
  <si>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</si>
  <si>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</si>
  <si>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</si>
  <si>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</si>
  <si>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</si>
  <si>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</si>
  <si>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</si>
  <si>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</si>
  <si>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</si>
  <si>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</si>
  <si>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</si>
  <si>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</si>
  <si>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</si>
  <si>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</si>
  <si>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</si>
  <si>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</si>
  <si>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</si>
  <si>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</si>
  <si>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</si>
  <si>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</si>
  <si>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</si>
  <si>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</si>
  <si>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</si>
  <si>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</si>
  <si>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</si>
  <si>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</si>
  <si>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</si>
  <si>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</si>
  <si>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</si>
  <si>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</si>
  <si>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</si>
  <si>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</si>
  <si>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</si>
  <si>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</si>
  <si>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</si>
  <si>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</si>
  <si>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</si>
  <si>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</si>
  <si>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</si>
  <si>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</si>
  <si>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</si>
  <si>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</si>
  <si>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</si>
  <si>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</si>
  <si>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</si>
  <si>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</si>
  <si>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</si>
  <si>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</si>
  <si>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</si>
  <si>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</si>
  <si>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</si>
  <si>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</si>
  <si>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</si>
  <si>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</si>
  <si>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</si>
  <si>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</si>
  <si>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</si>
  <si>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</si>
  <si>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</si>
  <si>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</si>
  <si>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</si>
  <si>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</si>
  <si>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</si>
  <si>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</si>
  <si>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</si>
  <si>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</si>
  <si>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</si>
  <si>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</si>
  <si>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</si>
  <si>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</si>
  <si>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</si>
  <si>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</si>
  <si>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</si>
  <si>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</si>
  <si>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</si>
  <si>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</si>
  <si>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</si>
  <si>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</si>
  <si>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</si>
  <si>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</si>
  <si>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</si>
  <si>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</si>
  <si>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</si>
  <si>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</si>
  <si>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</si>
  <si>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</si>
  <si>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</si>
  <si>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</si>
  <si>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</si>
  <si>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</si>
  <si>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</si>
  <si>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</si>
  <si>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</si>
  <si>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</si>
  <si>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</si>
  <si>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</si>
  <si>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</si>
  <si>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</si>
  <si>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</si>
  <si>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</si>
  <si>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</si>
  <si>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</si>
  <si>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</si>
  <si>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</si>
  <si>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</si>
  <si>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</si>
  <si>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</si>
  <si>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</si>
  <si>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</si>
  <si>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</si>
  <si>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</si>
  <si>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</si>
  <si>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</si>
  <si>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</si>
  <si>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</si>
  <si>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</si>
  <si>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</si>
  <si>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</si>
  <si>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</si>
  <si>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</si>
  <si>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</si>
  <si>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</si>
  <si>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</si>
  <si>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</si>
  <si>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</si>
  <si>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</si>
  <si>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</si>
  <si>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</si>
  <si>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</si>
  <si>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</si>
  <si>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</si>
  <si>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</si>
  <si>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</si>
  <si>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</si>
  <si>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</si>
  <si>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</si>
  <si>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</si>
  <si>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</si>
  <si>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</si>
  <si>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</si>
  <si>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</si>
  <si>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</si>
  <si>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</si>
  <si>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</si>
  <si>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</si>
  <si>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</si>
  <si>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</si>
  <si>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</si>
  <si>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</si>
  <si>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</si>
  <si>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</si>
  <si>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</si>
  <si>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</si>
  <si>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</si>
  <si>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</si>
  <si>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</si>
  <si>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</si>
  <si>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</si>
  <si>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</si>
  <si>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</si>
  <si>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</si>
  <si>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</si>
  <si>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</si>
  <si>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</si>
  <si>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</si>
  <si>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</si>
  <si>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</si>
  <si>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</si>
  <si>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</si>
  <si>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</si>
  <si>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</si>
  <si>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</si>
  <si>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</si>
  <si>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</si>
  <si>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</si>
  <si>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</si>
  <si>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</si>
  <si>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</si>
  <si>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</si>
  <si>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</si>
  <si>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</si>
  <si>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</si>
  <si>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</si>
  <si>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</si>
  <si>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</si>
  <si>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</si>
  <si>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</si>
  <si>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</si>
  <si>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</si>
  <si>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</si>
  <si>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</si>
  <si>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</si>
  <si>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</si>
  <si>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</si>
  <si>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</si>
  <si>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</si>
  <si>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</si>
  <si>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</si>
  <si>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</si>
  <si>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</si>
  <si>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</si>
  <si>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</si>
  <si>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</si>
  <si>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</si>
  <si>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</si>
  <si>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</si>
  <si>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</si>
  <si>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</si>
  <si>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</si>
  <si>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</si>
  <si>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</si>
  <si>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</si>
  <si>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</si>
  <si>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</si>
  <si>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</si>
  <si>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</si>
  <si>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</si>
  <si>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</si>
  <si>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</si>
  <si>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</si>
  <si>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</si>
  <si>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</si>
  <si>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</si>
  <si>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</si>
  <si>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</si>
  <si>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</si>
  <si>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</si>
  <si>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</si>
  <si>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</si>
  <si>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</si>
  <si>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</si>
  <si>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</si>
  <si>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</si>
  <si>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</si>
  <si>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</si>
  <si>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</si>
  <si>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</si>
  <si>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</si>
  <si>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</si>
  <si>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</si>
  <si>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</si>
  <si>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</si>
  <si>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</si>
  <si>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</si>
  <si>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</si>
  <si>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</si>
  <si>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</si>
  <si>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</si>
  <si>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</si>
  <si>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</si>
  <si>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</si>
  <si>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</si>
  <si>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</si>
  <si>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</si>
  <si>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</si>
  <si>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</si>
  <si>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</si>
  <si>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</si>
  <si>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</si>
  <si>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</si>
  <si>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</si>
  <si>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</si>
  <si>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</si>
  <si>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</si>
  <si>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</si>
  <si>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</si>
  <si>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</si>
  <si>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</si>
  <si>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</si>
  <si>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</si>
  <si>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</si>
  <si>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</si>
  <si>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</si>
  <si>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</si>
  <si>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</si>
  <si>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</si>
  <si>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</si>
  <si>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</si>
  <si>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</si>
  <si>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</si>
  <si>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</si>
  <si>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</si>
  <si>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</si>
  <si>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</si>
  <si>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</si>
  <si>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</si>
  <si>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</si>
  <si>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</si>
  <si>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</si>
  <si>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</si>
  <si>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</si>
  <si>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</si>
  <si>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</si>
  <si>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</si>
  <si>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</si>
  <si>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</si>
  <si>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</si>
  <si>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</si>
  <si>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</si>
  <si>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</si>
  <si>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</si>
  <si>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</si>
  <si>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</si>
  <si>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</si>
  <si>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</si>
  <si>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</si>
  <si>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</si>
  <si>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</si>
  <si>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</si>
  <si>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</si>
  <si>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</si>
  <si>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</si>
  <si>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</si>
  <si>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</si>
  <si>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</si>
  <si>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</si>
  <si>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</si>
  <si>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</si>
  <si>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</si>
  <si>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</si>
  <si>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</si>
  <si>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</si>
  <si>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</si>
  <si>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</si>
  <si>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</si>
  <si>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</si>
  <si>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</si>
  <si>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</si>
  <si>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</si>
  <si>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</si>
  <si>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</si>
  <si>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</si>
  <si>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</si>
  <si>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</si>
  <si>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</si>
  <si>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</si>
  <si>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</si>
  <si>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</si>
  <si>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</si>
  <si>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</si>
  <si>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</si>
  <si>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</si>
  <si>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</si>
  <si>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</si>
  <si>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</si>
  <si>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</si>
  <si>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</si>
  <si>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</si>
  <si>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</si>
  <si>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</si>
  <si>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</si>
  <si>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</si>
  <si>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</si>
  <si>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</si>
  <si>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</si>
  <si>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</si>
  <si>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</si>
  <si>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</si>
  <si>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</si>
  <si>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</si>
  <si>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</si>
  <si>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</si>
  <si>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</si>
  <si>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</si>
  <si>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</si>
  <si>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</si>
  <si>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</si>
  <si>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</si>
  <si>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</si>
  <si>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</si>
  <si>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</si>
  <si>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</si>
  <si>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</si>
  <si>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</si>
  <si>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</si>
  <si>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</si>
  <si>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</si>
  <si>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</si>
  <si>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</si>
  <si>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</si>
  <si>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</si>
  <si>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</si>
  <si>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</si>
  <si>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</si>
  <si>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</si>
  <si>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</si>
  <si>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</si>
  <si>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</si>
  <si>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</si>
  <si>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</si>
  <si>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</si>
  <si>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</si>
  <si>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</si>
  <si>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</si>
  <si>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</si>
  <si>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</si>
  <si>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</si>
  <si>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</si>
  <si>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</si>
  <si>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</si>
  <si>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</si>
  <si>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</si>
  <si>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</si>
  <si>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</si>
  <si>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</si>
  <si>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</si>
  <si>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</si>
  <si>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</si>
  <si>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</si>
  <si>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</si>
  <si>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</si>
  <si>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</si>
  <si>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</si>
  <si>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</si>
  <si>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</si>
  <si>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</si>
  <si>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</si>
  <si>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</si>
  <si>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</si>
  <si>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</si>
  <si>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</si>
  <si>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</si>
  <si>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</si>
  <si>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</si>
  <si>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</si>
  <si>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</si>
  <si>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</si>
  <si>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</si>
  <si>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</si>
  <si>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</si>
  <si>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</si>
  <si>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</si>
  <si>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</si>
  <si>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</si>
  <si>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</si>
  <si>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</si>
  <si>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</si>
  <si>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</si>
  <si>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</si>
  <si>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</si>
  <si>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</si>
  <si>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</si>
  <si>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</si>
  <si>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</si>
  <si>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</si>
  <si>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</si>
  <si>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</si>
  <si>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</si>
  <si>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</si>
  <si>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</si>
  <si>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</si>
  <si>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</si>
  <si>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</si>
  <si>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</si>
  <si>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</si>
  <si>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</si>
  <si>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</si>
  <si>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</si>
  <si>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</si>
  <si>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</si>
  <si>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</si>
  <si>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</si>
  <si>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Lead time days</t>
  </si>
  <si>
    <t>MONTH</t>
  </si>
  <si>
    <t>QUARTER</t>
  </si>
  <si>
    <t>Corrected unit price</t>
  </si>
  <si>
    <t>Discount check</t>
  </si>
  <si>
    <t>Corrected discount</t>
  </si>
  <si>
    <t>City cleaned</t>
  </si>
  <si>
    <t>Salesperson cleaned</t>
  </si>
  <si>
    <t>Channel corrected</t>
  </si>
  <si>
    <t>Corrected required date</t>
  </si>
  <si>
    <t>Gross Revenue</t>
  </si>
  <si>
    <t>Cost of goods</t>
  </si>
  <si>
    <t>Gross profit</t>
  </si>
  <si>
    <t>Margin Pct</t>
  </si>
  <si>
    <t>Region Hierarchy</t>
  </si>
  <si>
    <t>Low/Medium cutoff</t>
  </si>
  <si>
    <t>Medium/High cutoff</t>
  </si>
  <si>
    <t>ProductCategory_std</t>
  </si>
  <si>
    <t>PriceBand</t>
  </si>
  <si>
    <t>(blank)</t>
  </si>
  <si>
    <t>Grand Total</t>
  </si>
  <si>
    <t>Cohort Month</t>
  </si>
  <si>
    <t>MinOrderDate</t>
  </si>
  <si>
    <t>Sum of Gross Revenue</t>
  </si>
  <si>
    <t>2023Q1</t>
  </si>
  <si>
    <t>2023Q2</t>
  </si>
  <si>
    <t>2023Q3</t>
  </si>
  <si>
    <t>2023Q4</t>
  </si>
  <si>
    <t>Not assigned</t>
  </si>
  <si>
    <t>Unkown</t>
  </si>
  <si>
    <t>Count of OrderID</t>
  </si>
  <si>
    <t>Jan</t>
  </si>
  <si>
    <t>Feb</t>
  </si>
  <si>
    <t>Mar</t>
  </si>
  <si>
    <t>Apr</t>
  </si>
  <si>
    <t>May</t>
  </si>
  <si>
    <t>Jun</t>
  </si>
  <si>
    <t>Jul</t>
  </si>
  <si>
    <t>Aug</t>
  </si>
  <si>
    <t>Sep</t>
  </si>
  <si>
    <t>Oct</t>
  </si>
  <si>
    <t>Nov</t>
  </si>
  <si>
    <t>Dec</t>
  </si>
  <si>
    <t>2024Q4</t>
  </si>
  <si>
    <t>1900Q1</t>
  </si>
  <si>
    <t>2024Q1</t>
  </si>
  <si>
    <t>2025Q1</t>
  </si>
  <si>
    <t>2024Q2</t>
  </si>
  <si>
    <t>2025Q2</t>
  </si>
  <si>
    <t>2024Q3</t>
  </si>
  <si>
    <t>2025Q3</t>
  </si>
  <si>
    <t>(blank) Total</t>
  </si>
  <si>
    <t>Jan Total</t>
  </si>
  <si>
    <t>Feb Total</t>
  </si>
  <si>
    <t>Mar Total</t>
  </si>
  <si>
    <t>Apr Total</t>
  </si>
  <si>
    <t>May Total</t>
  </si>
  <si>
    <t>Jun Total</t>
  </si>
  <si>
    <t>Jul Total</t>
  </si>
  <si>
    <t>Aug Total</t>
  </si>
  <si>
    <t>Sep Total</t>
  </si>
  <si>
    <t>Oct Total</t>
  </si>
  <si>
    <t>Nov Total</t>
  </si>
  <si>
    <t>Dec Total</t>
  </si>
  <si>
    <t>Values</t>
  </si>
  <si>
    <t>Total Count of OrderID</t>
  </si>
  <si>
    <t>Total Sum of Gross Revenue</t>
  </si>
  <si>
    <t>Feb-2024</t>
  </si>
  <si>
    <t>Jan-2023</t>
  </si>
  <si>
    <t>Jul-2025</t>
  </si>
  <si>
    <t>Nov-2023</t>
  </si>
  <si>
    <t>Nov-2024</t>
  </si>
  <si>
    <t>Jul-2023</t>
  </si>
  <si>
    <t>May-2025</t>
  </si>
  <si>
    <t>Sep-2023</t>
  </si>
  <si>
    <t>Aug-2023</t>
  </si>
  <si>
    <t>Feb-2025</t>
  </si>
  <si>
    <t>Jan-2025</t>
  </si>
  <si>
    <t>Sep-2025</t>
  </si>
  <si>
    <t>Apr-2023</t>
  </si>
  <si>
    <t>Jun-2025</t>
  </si>
  <si>
    <t>May-2023</t>
  </si>
  <si>
    <t>Dec-2024</t>
  </si>
  <si>
    <t>Jul-2024</t>
  </si>
  <si>
    <t>Mar-2024</t>
  </si>
  <si>
    <t>Oct-2023</t>
  </si>
  <si>
    <t>Jun-2023</t>
  </si>
  <si>
    <t>Mar-2023</t>
  </si>
  <si>
    <t>Apr-2024</t>
  </si>
  <si>
    <t>Jan-2024</t>
  </si>
  <si>
    <t>Mar-2025</t>
  </si>
  <si>
    <t>Aug-2025</t>
  </si>
  <si>
    <t>Aug-2024</t>
  </si>
  <si>
    <t>May-2024</t>
  </si>
  <si>
    <t>Dec-2023</t>
  </si>
  <si>
    <t>Jun-2024</t>
  </si>
  <si>
    <t>Feb-2023</t>
  </si>
  <si>
    <t>Oct-2024</t>
  </si>
  <si>
    <t>Row Labels</t>
  </si>
  <si>
    <t>Apr-2025</t>
  </si>
  <si>
    <t>Jan-1900</t>
  </si>
  <si>
    <t>Sep-2024</t>
  </si>
  <si>
    <t>Sum of Gross profit</t>
  </si>
  <si>
    <t>Column Labels</t>
  </si>
  <si>
    <t>Leadtime target</t>
  </si>
  <si>
    <t>What if Revenue</t>
  </si>
  <si>
    <t>Global DISC</t>
  </si>
  <si>
    <t>UNIT INFLATION</t>
  </si>
  <si>
    <t>QUANTITY UPLIFT</t>
  </si>
  <si>
    <t>Adjusted unit cost</t>
  </si>
  <si>
    <t>Adjusted quantity</t>
  </si>
  <si>
    <t>What if disc</t>
  </si>
  <si>
    <t>What if unit price</t>
  </si>
  <si>
    <t>What if Gross profit</t>
  </si>
  <si>
    <t>2023</t>
  </si>
  <si>
    <t>2024</t>
  </si>
  <si>
    <t>Cumulative revenue</t>
  </si>
  <si>
    <t>%CUM REVENUE</t>
  </si>
  <si>
    <t>KEY INSIGHTS</t>
  </si>
  <si>
    <t>The gross revenue was 10917570.</t>
  </si>
  <si>
    <t>Asia had the largest revenue from the regions category.</t>
  </si>
  <si>
    <t>Europe generated the highest Gross profit followed by America.</t>
  </si>
  <si>
    <t>America had the greatest sale from online channel.</t>
  </si>
  <si>
    <t>B.Chen was the leading sales person.</t>
  </si>
  <si>
    <t>Africa was only able to meet few lead time days.</t>
  </si>
  <si>
    <t>The high revenue but low gross profit experienced shows need for review in the prices.</t>
  </si>
  <si>
    <t>Asia had the highest discount rate which resulted to high revenue.</t>
  </si>
  <si>
    <t>Regions with low revenues should review their prices and discount rates.</t>
  </si>
  <si>
    <t>……………..</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</si>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</sst>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ES]\ #,##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1" fontId="1" fillId="0" borderId="1" xfId="0" applyNumberFormat="1" applyFont="1" applyBorder="1" applyAlignment="1">
      <alignment horizontal="center" vertical="top"/>
    </xf>
    <xf numFmtId="1" fontId="0" fillId="0" borderId="0" xfId="0" applyNumberFormat="1"/>
    <xf numFmtId="1" fontId="1" fillId="0" borderId="0" xfId="0" applyNumberFormat="1" applyFont="1" applyBorder="1" applyAlignment="1">
      <alignment horizontal="center" vertical="top"/>
    </xf>
    <xf numFmtId="1" fontId="1" fillId="0" borderId="0" xfId="0" applyNumberFormat="1" applyFont="1" applyFill="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xf numFmtId="0" fontId="0" fillId="0" borderId="0" xfId="0" pivotButton="1"/>
    <xf numFmtId="10" fontId="1" fillId="0" borderId="1" xfId="0" applyNumberFormat="1" applyFont="1" applyBorder="1" applyAlignment="1">
      <alignment horizontal="center" vertical="top"/>
    </xf>
    <xf numFmtId="10" fontId="0" fillId="0" borderId="0" xfId="0" applyNumberFormat="1"/>
    <xf numFmtId="14" fontId="1" fillId="0" borderId="0" xfId="0" applyNumberFormat="1" applyFont="1" applyFill="1" applyBorder="1" applyAlignment="1">
      <alignment horizontal="center" vertical="top"/>
    </xf>
    <xf numFmtId="0" fontId="0" fillId="0" borderId="0" xfId="0" applyAlignment="1">
      <alignment horizontal="left"/>
    </xf>
    <xf numFmtId="0" fontId="0" fillId="2" borderId="0" xfId="0" applyFill="1" applyAlignment="1">
      <alignment horizontal="left"/>
    </xf>
    <xf numFmtId="0" fontId="0" fillId="2" borderId="0" xfId="0" applyNumberFormat="1" applyFill="1"/>
    <xf numFmtId="0" fontId="0" fillId="3" borderId="0" xfId="0" applyFill="1" applyAlignment="1">
      <alignment horizontal="left"/>
    </xf>
    <xf numFmtId="0" fontId="0" fillId="3" borderId="0" xfId="0" applyNumberFormat="1" applyFill="1"/>
    <xf numFmtId="0" fontId="0" fillId="2" borderId="0" xfId="0" applyFill="1"/>
    <xf numFmtId="0" fontId="1" fillId="0" borderId="0" xfId="0" applyFont="1"/>
    <xf numFmtId="0" fontId="0" fillId="0" borderId="0" xfId="0" applyAlignment="1">
      <alignment horizontal="left" indent="1"/>
    </xf>
    <xf numFmtId="9" fontId="0" fillId="0" borderId="0" xfId="0" applyNumberFormat="1"/>
    <xf numFmtId="1" fontId="1" fillId="0" borderId="0" xfId="0" applyNumberFormat="1" applyFont="1"/>
    <xf numFmtId="1" fontId="0" fillId="4" borderId="0" xfId="0" applyNumberFormat="1" applyFill="1"/>
    <xf numFmtId="1" fontId="1" fillId="4" borderId="0" xfId="0" applyNumberFormat="1" applyFont="1" applyFill="1"/>
    <xf numFmtId="9" fontId="1" fillId="0" borderId="0" xfId="0" applyNumberFormat="1" applyFont="1"/>
    <xf numFmtId="0" fontId="0" fillId="0" borderId="0" xfId="0" applyAlignment="1">
      <alignment horizontal="left" indent="2"/>
    </xf>
    <xf numFmtId="0" fontId="0" fillId="4" borderId="0" xfId="0" applyFill="1"/>
    <xf numFmtId="0" fontId="1" fillId="4" borderId="0" xfId="0" applyFont="1" applyFill="1"/>
  </cellXfs>
  <cellStyles count="1">
    <cellStyle name="Normal" xfId="0" builtinId="0"/>
  </cellStyles>
  <dxfs count="5">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Excel_Assignment.xlsx]REVENUE BY MONTH!PivotTable5</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MONTH'!$A$4:$A$16</c:f>
              <c:multiLvlStrCache>
                <c:ptCount val="4"/>
                <c:lvl>
                  <c:pt idx="0">
                    <c:v>Aug</c:v>
                  </c:pt>
                  <c:pt idx="1">
                    <c:v>Aug</c:v>
                  </c:pt>
                  <c:pt idx="2">
                    <c:v>Aug</c:v>
                  </c:pt>
                  <c:pt idx="3">
                    <c:v>Dec</c:v>
                  </c:pt>
                </c:lvl>
                <c:lvl>
                  <c:pt idx="0">
                    <c:v>2023</c:v>
                  </c:pt>
                  <c:pt idx="1">
                    <c:v>2024</c:v>
                  </c:pt>
                  <c:pt idx="2">
                    <c:v>2025</c:v>
                  </c:pt>
                  <c:pt idx="3">
                    <c:v>2024</c:v>
                  </c:pt>
                </c:lvl>
                <c:lvl>
                  <c:pt idx="0">
                    <c:v>Aug-2023</c:v>
                  </c:pt>
                  <c:pt idx="1">
                    <c:v>Aug-2024</c:v>
                  </c:pt>
                  <c:pt idx="2">
                    <c:v>Aug-2025</c:v>
                  </c:pt>
                  <c:pt idx="3">
                    <c:v>Dec-2024</c:v>
                  </c:pt>
                </c:lvl>
              </c:multiLvlStrCache>
            </c:multiLvlStrRef>
          </c:cat>
          <c:val>
            <c:numRef>
              <c:f>'REVENUE BY MONTH'!$B$4:$B$16</c:f>
              <c:numCache>
                <c:formatCode>General</c:formatCode>
                <c:ptCount val="4"/>
                <c:pt idx="0">
                  <c:v>20595.83324</c:v>
                </c:pt>
                <c:pt idx="1">
                  <c:v>27331.829999999998</c:v>
                </c:pt>
                <c:pt idx="2">
                  <c:v>19066.045319999997</c:v>
                </c:pt>
                <c:pt idx="3">
                  <c:v>12967.958640000001</c:v>
                </c:pt>
              </c:numCache>
            </c:numRef>
          </c:val>
          <c:smooth val="0"/>
          <c:extLst>
            <c:ext xmlns:c16="http://schemas.microsoft.com/office/drawing/2014/chart" uri="{C3380CC4-5D6E-409C-BE32-E72D297353CC}">
              <c16:uniqueId val="{00000000-B25D-4CDB-A865-2E6631D23BEE}"/>
            </c:ext>
          </c:extLst>
        </c:ser>
        <c:dLbls>
          <c:showLegendKey val="0"/>
          <c:showVal val="0"/>
          <c:showCatName val="0"/>
          <c:showSerName val="0"/>
          <c:showPercent val="0"/>
          <c:showBubbleSize val="0"/>
        </c:dLbls>
        <c:smooth val="0"/>
        <c:axId val="893474800"/>
        <c:axId val="893476464"/>
      </c:lineChart>
      <c:catAx>
        <c:axId val="89347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6464"/>
        <c:crosses val="autoZero"/>
        <c:auto val="1"/>
        <c:lblAlgn val="ctr"/>
        <c:lblOffset val="100"/>
        <c:noMultiLvlLbl val="0"/>
      </c:catAx>
      <c:valAx>
        <c:axId val="89347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Excel_Assignment.xlsx]Profit by region and channel!PivotTable6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Profit</a:t>
            </a:r>
            <a:r>
              <a:rPr lang="en-US" b="1" baseline="0">
                <a:solidFill>
                  <a:schemeClr val="tx2"/>
                </a:solidFill>
              </a:rPr>
              <a:t> by Region and channel</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percent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channel'!$A$5:$A$6</c:f>
              <c:strCache>
                <c:ptCount val="1"/>
                <c:pt idx="0">
                  <c:v>Retail</c:v>
                </c:pt>
              </c:strCache>
            </c:strRef>
          </c:cat>
          <c:val>
            <c:numRef>
              <c:f>'Profit by region and channel'!$B$5:$B$6</c:f>
              <c:numCache>
                <c:formatCode>General</c:formatCode>
                <c:ptCount val="1"/>
                <c:pt idx="0">
                  <c:v>35181.707199999997</c:v>
                </c:pt>
              </c:numCache>
            </c:numRef>
          </c:val>
          <c:extLst>
            <c:ext xmlns:c16="http://schemas.microsoft.com/office/drawing/2014/chart" uri="{C3380CC4-5D6E-409C-BE32-E72D297353CC}">
              <c16:uniqueId val="{00000000-5EA8-4249-95EE-6F35B7692B70}"/>
            </c:ext>
          </c:extLst>
        </c:ser>
        <c:dLbls>
          <c:showLegendKey val="0"/>
          <c:showVal val="0"/>
          <c:showCatName val="0"/>
          <c:showSerName val="0"/>
          <c:showPercent val="0"/>
          <c:showBubbleSize val="0"/>
        </c:dLbls>
        <c:gapWidth val="150"/>
        <c:overlap val="100"/>
        <c:axId val="774621568"/>
        <c:axId val="774615744"/>
      </c:barChart>
      <c:catAx>
        <c:axId val="77462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15744"/>
        <c:crosses val="autoZero"/>
        <c:auto val="1"/>
        <c:lblAlgn val="ctr"/>
        <c:lblOffset val="100"/>
        <c:noMultiLvlLbl val="0"/>
      </c:catAx>
      <c:valAx>
        <c:axId val="774615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Excel_Assignment.xlsx]REVENUE BY MONTH!PivotTable5</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MONTH'!$A$4:$A$16</c:f>
              <c:multiLvlStrCache>
                <c:ptCount val="4"/>
                <c:lvl>
                  <c:pt idx="0">
                    <c:v>Aug</c:v>
                  </c:pt>
                  <c:pt idx="1">
                    <c:v>Aug</c:v>
                  </c:pt>
                  <c:pt idx="2">
                    <c:v>Aug</c:v>
                  </c:pt>
                  <c:pt idx="3">
                    <c:v>Dec</c:v>
                  </c:pt>
                </c:lvl>
                <c:lvl>
                  <c:pt idx="0">
                    <c:v>2023</c:v>
                  </c:pt>
                  <c:pt idx="1">
                    <c:v>2024</c:v>
                  </c:pt>
                  <c:pt idx="2">
                    <c:v>2025</c:v>
                  </c:pt>
                  <c:pt idx="3">
                    <c:v>2024</c:v>
                  </c:pt>
                </c:lvl>
                <c:lvl>
                  <c:pt idx="0">
                    <c:v>Aug-2023</c:v>
                  </c:pt>
                  <c:pt idx="1">
                    <c:v>Aug-2024</c:v>
                  </c:pt>
                  <c:pt idx="2">
                    <c:v>Aug-2025</c:v>
                  </c:pt>
                  <c:pt idx="3">
                    <c:v>Dec-2024</c:v>
                  </c:pt>
                </c:lvl>
              </c:multiLvlStrCache>
            </c:multiLvlStrRef>
          </c:cat>
          <c:val>
            <c:numRef>
              <c:f>'REVENUE BY MONTH'!$B$4:$B$16</c:f>
              <c:numCache>
                <c:formatCode>General</c:formatCode>
                <c:ptCount val="4"/>
                <c:pt idx="0">
                  <c:v>20595.83324</c:v>
                </c:pt>
                <c:pt idx="1">
                  <c:v>27331.829999999998</c:v>
                </c:pt>
                <c:pt idx="2">
                  <c:v>19066.045319999997</c:v>
                </c:pt>
                <c:pt idx="3">
                  <c:v>12967.958640000001</c:v>
                </c:pt>
              </c:numCache>
            </c:numRef>
          </c:val>
          <c:smooth val="0"/>
          <c:extLst>
            <c:ext xmlns:c16="http://schemas.microsoft.com/office/drawing/2014/chart" uri="{C3380CC4-5D6E-409C-BE32-E72D297353CC}">
              <c16:uniqueId val="{00000000-D922-4337-87E7-CB483CE2B623}"/>
            </c:ext>
          </c:extLst>
        </c:ser>
        <c:dLbls>
          <c:showLegendKey val="0"/>
          <c:showVal val="0"/>
          <c:showCatName val="0"/>
          <c:showSerName val="0"/>
          <c:showPercent val="0"/>
          <c:showBubbleSize val="0"/>
        </c:dLbls>
        <c:smooth val="0"/>
        <c:axId val="893474800"/>
        <c:axId val="893476464"/>
      </c:lineChart>
      <c:catAx>
        <c:axId val="89347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6464"/>
        <c:crosses val="autoZero"/>
        <c:auto val="1"/>
        <c:lblAlgn val="ctr"/>
        <c:lblOffset val="100"/>
        <c:noMultiLvlLbl val="0"/>
      </c:catAx>
      <c:valAx>
        <c:axId val="89347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4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Excel_Assignment.xlsx]Profit by region and channel!PivotTable6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Profit</a:t>
            </a:r>
            <a:r>
              <a:rPr lang="en-US" b="1" baseline="0">
                <a:solidFill>
                  <a:schemeClr val="tx2"/>
                </a:solidFill>
              </a:rPr>
              <a:t> by Region and channel</a:t>
            </a:r>
            <a:endParaRPr lang="en-US" b="1">
              <a:solidFill>
                <a:schemeClr val="tx2"/>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col"/>
        <c:grouping val="percent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channel'!$A$5:$A$6</c:f>
              <c:strCache>
                <c:ptCount val="1"/>
                <c:pt idx="0">
                  <c:v>Retail</c:v>
                </c:pt>
              </c:strCache>
            </c:strRef>
          </c:cat>
          <c:val>
            <c:numRef>
              <c:f>'Profit by region and channel'!$B$5:$B$6</c:f>
              <c:numCache>
                <c:formatCode>General</c:formatCode>
                <c:ptCount val="1"/>
                <c:pt idx="0">
                  <c:v>35181.707199999997</c:v>
                </c:pt>
              </c:numCache>
            </c:numRef>
          </c:val>
          <c:extLst>
            <c:ext xmlns:c16="http://schemas.microsoft.com/office/drawing/2014/chart" uri="{C3380CC4-5D6E-409C-BE32-E72D297353CC}">
              <c16:uniqueId val="{00000000-A212-4C75-A3FB-2CC7EC10E7A5}"/>
            </c:ext>
          </c:extLst>
        </c:ser>
        <c:dLbls>
          <c:showLegendKey val="0"/>
          <c:showVal val="0"/>
          <c:showCatName val="0"/>
          <c:showSerName val="0"/>
          <c:showPercent val="0"/>
          <c:showBubbleSize val="0"/>
        </c:dLbls>
        <c:gapWidth val="150"/>
        <c:overlap val="100"/>
        <c:axId val="774621568"/>
        <c:axId val="774615744"/>
      </c:barChart>
      <c:catAx>
        <c:axId val="77462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15744"/>
        <c:crosses val="autoZero"/>
        <c:auto val="1"/>
        <c:lblAlgn val="ctr"/>
        <c:lblOffset val="100"/>
        <c:noMultiLvlLbl val="0"/>
      </c:catAx>
      <c:valAx>
        <c:axId val="774615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1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Excel_Assignment.xlsx]Top 10 SKU!PivotTable7</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2"/>
                </a:solidFill>
              </a:rPr>
              <a:t>What</a:t>
            </a:r>
            <a:r>
              <a:rPr lang="en-US" b="1" baseline="0">
                <a:solidFill>
                  <a:schemeClr val="tx2"/>
                </a:solidFill>
              </a:rPr>
              <a:t> are the top 10 SKUS?</a:t>
            </a:r>
            <a:endParaRPr lang="en-US" b="1">
              <a:solidFill>
                <a:schemeClr val="tx2"/>
              </a:solidFill>
            </a:endParaRP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bar"/>
        <c:grouping val="stacked"/>
        <c:varyColors val="0"/>
        <c:ser>
          <c:idx val="0"/>
          <c:order val="0"/>
          <c:tx>
            <c:strRef>
              <c:f>'Top 10 SKU'!$B$3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'Top 10 SKU'!$A$4:$A$9</c:f>
              <c:strCache>
                <c:ptCount val="5"/>
                <c:pt idx="0">
                  <c:v>ACC-4483</c:v>
                </c:pt>
                <c:pt idx="1">
                  <c:v>CMP-1559</c:v>
                </c:pt>
                <c:pt idx="2">
                  <c:v>MON-2296</c:v>
                </c:pt>
                <c:pt idx="3">
                  <c:v>MON-4789</c:v>
                </c:pt>
                <c:pt idx="4">
                  <c:v>PHN-8072</c:v>
                </c:pt>
              </c:strCache>
            </c:strRef>
          </c:cat>
          <c:val>
            <c:numRef>
              <c:f>'Top 10 SKU'!$B$4:$B$9</c:f>
              <c:numCache>
                <c:formatCode>General</c:formatCode>
                <c:ptCount val="5"/>
                <c:pt idx="0">
                  <c:v>19066.045319999997</c:v>
                </c:pt>
                <c:pt idx="1">
                  <c:v>27331.829999999998</c:v>
                </c:pt>
                <c:pt idx="2">
                  <c:v>8671.7354400000004</c:v>
                </c:pt>
                <c:pt idx="3">
                  <c:v>12967.958640000001</c:v>
                </c:pt>
                <c:pt idx="4">
                  <c:v>11924.0978</c:v>
                </c:pt>
              </c:numCache>
            </c:numRef>
          </c:val>
          <c:extLst>
            <c:ext xmlns:c16="http://schemas.microsoft.com/office/drawing/2014/chart" uri="{C3380CC4-5D6E-409C-BE32-E72D297353CC}">
              <c16:uniqueId val="{00000000-C588-40D6-A3D4-6BE38D637258}"/>
            </c:ext>
          </c:extLst>
        </c:ser>
        <c:dLbls>
          <c:showLegendKey val="0"/>
          <c:showVal val="0"/>
          <c:showCatName val="0"/>
          <c:showSerName val="0"/>
          <c:showPercent val="0"/>
          <c:showBubbleSize val="0"/>
        </c:dLbls>
        <c:gapWidth val="150"/>
        <c:overlap val="100"/>
        <c:axId val="895713008"/>
        <c:axId val="895719664"/>
      </c:barChart>
      <c:catAx>
        <c:axId val="89571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5719664"/>
        <c:crosses val="autoZero"/>
        <c:auto val="1"/>
        <c:lblAlgn val="ctr"/>
        <c:lblOffset val="100"/>
        <c:noMultiLvlLbl val="0"/>
      </c:catAx>
      <c:valAx>
        <c:axId val="89571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5713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340518</xdr:colOff>
      <xdr:row>6</xdr:row>
      <xdr:rowOff>14287</xdr:rowOff>
    </xdr:from>
    <xdr:to>
      <xdr:col>10</xdr:col>
      <xdr:colOff>378618</xdr:colOff>
      <xdr:row>21</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740568</xdr:colOff>
      <xdr:row>16</xdr:row>
      <xdr:rowOff>142875</xdr:rowOff>
    </xdr:from>
    <xdr:to>
      <xdr:col>8</xdr:col>
      <xdr:colOff>545306</xdr:colOff>
      <xdr:row>31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433386</xdr:colOff>
      <xdr:row>1</xdr:row>
      <xdr:rowOff>14288</xdr:rowOff>
    </xdr:from>
    <xdr:to>
      <xdr:col>11</xdr:col>
      <xdr:colOff>23811</xdr:colOff>
      <xdr:row>6</xdr:row>
      <xdr:rowOff>23813</xdr:rowOff>
    </xdr:to>
    <xdr:sp macro="" textlink="">
      <xdr:nvSpPr>
        <xdr:cNvPr id="2" name="Rounded Rectangle 1"/>
        <xdr:cNvSpPr/>
      </xdr:nvSpPr>
      <xdr:spPr>
        <a:xfrm>
          <a:off x="433386" y="195263"/>
          <a:ext cx="67151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t>SALES DASHBOARD</a:t>
          </a:r>
        </a:p>
      </xdr:txBody>
    </xdr:sp>
    <xdr:clientData/>
  </xdr:twoCellAnchor>
  <xdr:twoCellAnchor>
    <xdr:from>
      <xdr:col>0</xdr:col>
      <xdr:colOff>223839</xdr:colOff>
      <xdr:row>7</xdr:row>
      <xdr:rowOff>66675</xdr:rowOff>
    </xdr:from>
    <xdr:to>
      <xdr:col>3</xdr:col>
      <xdr:colOff>195263</xdr:colOff>
      <xdr:row>11</xdr:row>
      <xdr:rowOff>85725</xdr:rowOff>
    </xdr:to>
    <xdr:sp macro="" textlink="">
      <xdr:nvSpPr>
        <xdr:cNvPr id="3" name="Rounded Rectangle 2"/>
        <xdr:cNvSpPr/>
      </xdr:nvSpPr>
      <xdr:spPr>
        <a:xfrm>
          <a:off x="223839" y="1333500"/>
          <a:ext cx="1914524" cy="74295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TOTAL REVENUE </a:t>
          </a:r>
          <a:r>
            <a:rPr lang="en-BI" sz="1100" b="1" i="0" u="none" strike="noStrike">
              <a:solidFill>
                <a:schemeClr val="lt1"/>
              </a:solidFill>
              <a:effectLst/>
              <a:latin typeface="+mn-lt"/>
              <a:ea typeface="+mn-ea"/>
              <a:cs typeface="+mn-cs"/>
            </a:rPr>
            <a:t>10917570</a:t>
          </a:r>
          <a:r>
            <a:rPr lang="en-BI"/>
            <a:t> </a:t>
          </a:r>
          <a:endParaRPr lang="en-US" sz="1100"/>
        </a:p>
      </xdr:txBody>
    </xdr:sp>
    <xdr:clientData/>
  </xdr:twoCellAnchor>
  <xdr:twoCellAnchor>
    <xdr:from>
      <xdr:col>3</xdr:col>
      <xdr:colOff>309563</xdr:colOff>
      <xdr:row>7</xdr:row>
      <xdr:rowOff>66675</xdr:rowOff>
    </xdr:from>
    <xdr:to>
      <xdr:col>6</xdr:col>
      <xdr:colOff>338138</xdr:colOff>
      <xdr:row>11</xdr:row>
      <xdr:rowOff>71438</xdr:rowOff>
    </xdr:to>
    <xdr:sp macro="" textlink="">
      <xdr:nvSpPr>
        <xdr:cNvPr id="4" name="Rounded Rectangle 3"/>
        <xdr:cNvSpPr/>
      </xdr:nvSpPr>
      <xdr:spPr>
        <a:xfrm>
          <a:off x="2252663" y="1333500"/>
          <a:ext cx="1971675" cy="728663"/>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GROSS PROFIT </a:t>
          </a:r>
        </a:p>
        <a:p>
          <a:pPr algn="l"/>
          <a:r>
            <a:rPr lang="en-US" sz="1100" b="1" i="0" u="none" strike="noStrike">
              <a:solidFill>
                <a:schemeClr val="lt1"/>
              </a:solidFill>
              <a:effectLst/>
              <a:latin typeface="+mn-lt"/>
              <a:ea typeface="+mn-ea"/>
              <a:cs typeface="+mn-cs"/>
            </a:rPr>
            <a:t> </a:t>
          </a:r>
          <a:r>
            <a:rPr lang="en-BI" sz="1100" b="1" i="0" u="none" strike="noStrike">
              <a:solidFill>
                <a:schemeClr val="lt1"/>
              </a:solidFill>
              <a:effectLst/>
              <a:latin typeface="+mn-lt"/>
              <a:ea typeface="+mn-ea"/>
              <a:cs typeface="+mn-cs"/>
            </a:rPr>
            <a:t>3421374</a:t>
          </a:r>
          <a:r>
            <a:rPr lang="en-BI"/>
            <a:t> </a:t>
          </a:r>
          <a:endParaRPr lang="en-US" sz="1100"/>
        </a:p>
      </xdr:txBody>
    </xdr:sp>
    <xdr:clientData/>
  </xdr:twoCellAnchor>
  <xdr:twoCellAnchor>
    <xdr:from>
      <xdr:col>6</xdr:col>
      <xdr:colOff>438150</xdr:colOff>
      <xdr:row>7</xdr:row>
      <xdr:rowOff>66675</xdr:rowOff>
    </xdr:from>
    <xdr:to>
      <xdr:col>9</xdr:col>
      <xdr:colOff>466725</xdr:colOff>
      <xdr:row>11</xdr:row>
      <xdr:rowOff>85725</xdr:rowOff>
    </xdr:to>
    <xdr:sp macro="" textlink="">
      <xdr:nvSpPr>
        <xdr:cNvPr id="5" name="Rounded Rectangle 4"/>
        <xdr:cNvSpPr/>
      </xdr:nvSpPr>
      <xdr:spPr>
        <a:xfrm>
          <a:off x="4324350" y="1333500"/>
          <a:ext cx="1971675" cy="74295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MARGIN%  </a:t>
          </a:r>
          <a:endParaRPr lang="en-US" sz="1100" b="1" i="0" u="none" strike="noStrike">
            <a:solidFill>
              <a:schemeClr val="lt1"/>
            </a:solidFill>
            <a:effectLst/>
            <a:latin typeface="+mn-lt"/>
            <a:ea typeface="+mn-ea"/>
            <a:cs typeface="+mn-cs"/>
          </a:endParaRPr>
        </a:p>
        <a:p>
          <a:pPr algn="l"/>
          <a:r>
            <a:rPr lang="en-BI"/>
            <a:t> </a:t>
          </a:r>
          <a:r>
            <a:rPr lang="en-BI" sz="1100" b="1" i="0" u="none" strike="noStrike">
              <a:solidFill>
                <a:schemeClr val="lt1"/>
              </a:solidFill>
              <a:effectLst/>
              <a:latin typeface="+mn-lt"/>
              <a:ea typeface="+mn-ea"/>
              <a:cs typeface="+mn-cs"/>
            </a:rPr>
            <a:t>155.4894136</a:t>
          </a:r>
          <a:r>
            <a:rPr lang="en-BI"/>
            <a:t> </a:t>
          </a:r>
          <a:endParaRPr lang="en-US" sz="1100"/>
        </a:p>
      </xdr:txBody>
    </xdr:sp>
    <xdr:clientData/>
  </xdr:twoCellAnchor>
  <xdr:twoCellAnchor>
    <xdr:from>
      <xdr:col>10</xdr:col>
      <xdr:colOff>4763</xdr:colOff>
      <xdr:row>7</xdr:row>
      <xdr:rowOff>66675</xdr:rowOff>
    </xdr:from>
    <xdr:to>
      <xdr:col>13</xdr:col>
      <xdr:colOff>33338</xdr:colOff>
      <xdr:row>11</xdr:row>
      <xdr:rowOff>85725</xdr:rowOff>
    </xdr:to>
    <xdr:sp macro="" textlink="">
      <xdr:nvSpPr>
        <xdr:cNvPr id="7" name="Rounded Rectangle 6"/>
        <xdr:cNvSpPr/>
      </xdr:nvSpPr>
      <xdr:spPr>
        <a:xfrm>
          <a:off x="6481763" y="1333500"/>
          <a:ext cx="1971675" cy="74295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ONTIME LEAD DAYS(&lt;=7 ) </a:t>
          </a:r>
        </a:p>
        <a:p>
          <a:pPr algn="l"/>
          <a:r>
            <a:rPr lang="en-US" sz="1100"/>
            <a:t>172</a:t>
          </a:r>
        </a:p>
      </xdr:txBody>
    </xdr:sp>
    <xdr:clientData/>
  </xdr:twoCellAnchor>
  <xdr:twoCellAnchor>
    <xdr:from>
      <xdr:col>6</xdr:col>
      <xdr:colOff>0</xdr:colOff>
      <xdr:row>12</xdr:row>
      <xdr:rowOff>0</xdr:rowOff>
    </xdr:from>
    <xdr:to>
      <xdr:col>13</xdr:col>
      <xdr:colOff>38100</xdr:colOff>
      <xdr:row>27</xdr:row>
      <xdr:rowOff>28575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27</xdr:row>
      <xdr:rowOff>0</xdr:rowOff>
    </xdr:from>
    <xdr:to>
      <xdr:col>13</xdr:col>
      <xdr:colOff>38100</xdr:colOff>
      <xdr:row>42</xdr:row>
      <xdr:rowOff>28575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42</xdr:row>
      <xdr:rowOff>0</xdr:rowOff>
    </xdr:from>
    <xdr:to>
      <xdr:col>13</xdr:col>
      <xdr:colOff>38100</xdr:colOff>
      <xdr:row>57</xdr:row>
      <xdr:rowOff>28575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12</xdr:row>
      <xdr:rowOff>0</xdr:rowOff>
    </xdr:from>
    <xdr:to>
      <xdr:col>2</xdr:col>
      <xdr:colOff>533400</xdr:colOff>
      <xdr:row>25</xdr:row>
      <xdr:rowOff>171450</xdr:rowOff>
    </xdr:to>
    <mc:AlternateContent xmlns:mc="http://schemas.openxmlformats.org/markup-compatibility/2006" xmlns:a14="http://schemas.microsoft.com/office/drawing/2010/main">
      <mc:Choice Requires="a14">
        <xdr:graphicFrame macro="">
          <xdr:nvGraphicFramePr>
            <xdr:cNvPr id="2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12</xdr:row>
      <xdr:rowOff>0</xdr:rowOff>
    </xdr:from>
    <xdr:to>
      <xdr:col>5</xdr:col>
      <xdr:colOff>533400</xdr:colOff>
      <xdr:row>21</xdr:row>
      <xdr:rowOff>147638</xdr:rowOff>
    </xdr:to>
    <mc:AlternateContent xmlns:mc="http://schemas.openxmlformats.org/markup-compatibility/2006" xmlns:a14="http://schemas.microsoft.com/office/drawing/2010/main">
      <mc:Choice Requires="a14">
        <xdr:graphicFrame macro="">
          <xdr:nvGraphicFramePr>
            <xdr:cNvPr id="2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43100" y="2171700"/>
              <a:ext cx="1828800" cy="1776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2</xdr:col>
      <xdr:colOff>533400</xdr:colOff>
      <xdr:row>39</xdr:row>
      <xdr:rowOff>171450</xdr:rowOff>
    </xdr:to>
    <mc:AlternateContent xmlns:mc="http://schemas.openxmlformats.org/markup-compatibility/2006" xmlns:a14="http://schemas.microsoft.com/office/drawing/2010/main">
      <mc:Choice Requires="a14">
        <xdr:graphicFrame macro="">
          <xdr:nvGraphicFramePr>
            <xdr:cNvPr id="24" name="Salesperson cleaned 1"/>
            <xdr:cNvGraphicFramePr/>
          </xdr:nvGraphicFramePr>
          <xdr:xfrm>
            <a:off x="0" y="0"/>
            <a:ext cx="0" cy="0"/>
          </xdr:xfrm>
          <a:graphic>
            <a:graphicData uri="http://schemas.microsoft.com/office/drawing/2010/slicer">
              <sle:slicer xmlns:sle="http://schemas.microsoft.com/office/drawing/2010/slicer" name="Salesperson cleaned 1"/>
            </a:graphicData>
          </a:graphic>
        </xdr:graphicFrame>
      </mc:Choice>
      <mc:Fallback xmlns="">
        <xdr:sp macro="" textlink="">
          <xdr:nvSpPr>
            <xdr:cNvPr id="0" name=""/>
            <xdr:cNvSpPr>
              <a:spLocks noTextEdit="1"/>
            </xdr:cNvSpPr>
          </xdr:nvSpPr>
          <xdr:spPr>
            <a:xfrm>
              <a:off x="0" y="470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22</xdr:row>
      <xdr:rowOff>0</xdr:rowOff>
    </xdr:from>
    <xdr:to>
      <xdr:col>5</xdr:col>
      <xdr:colOff>533400</xdr:colOff>
      <xdr:row>35</xdr:row>
      <xdr:rowOff>171450</xdr:rowOff>
    </xdr:to>
    <mc:AlternateContent xmlns:mc="http://schemas.openxmlformats.org/markup-compatibility/2006" xmlns:a14="http://schemas.microsoft.com/office/drawing/2010/main">
      <mc:Choice Requires="a14">
        <xdr:graphicFrame macro="">
          <xdr:nvGraphicFramePr>
            <xdr:cNvPr id="25" name="ProductCategory_std 1"/>
            <xdr:cNvGraphicFramePr/>
          </xdr:nvGraphicFramePr>
          <xdr:xfrm>
            <a:off x="0" y="0"/>
            <a:ext cx="0" cy="0"/>
          </xdr:xfrm>
          <a:graphic>
            <a:graphicData uri="http://schemas.microsoft.com/office/drawing/2010/slicer">
              <sle:slicer xmlns:sle="http://schemas.microsoft.com/office/drawing/2010/slicer" name="ProductCategory_std 1"/>
            </a:graphicData>
          </a:graphic>
        </xdr:graphicFrame>
      </mc:Choice>
      <mc:Fallback xmlns="">
        <xdr:sp macro="" textlink="">
          <xdr:nvSpPr>
            <xdr:cNvPr id="0" name=""/>
            <xdr:cNvSpPr>
              <a:spLocks noTextEdit="1"/>
            </xdr:cNvSpPr>
          </xdr:nvSpPr>
          <xdr:spPr>
            <a:xfrm>
              <a:off x="1943100" y="398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36</xdr:row>
      <xdr:rowOff>0</xdr:rowOff>
    </xdr:from>
    <xdr:to>
      <xdr:col>5</xdr:col>
      <xdr:colOff>533400</xdr:colOff>
      <xdr:row>49</xdr:row>
      <xdr:rowOff>171450</xdr:rowOff>
    </xdr:to>
    <mc:AlternateContent xmlns:mc="http://schemas.openxmlformats.org/markup-compatibility/2006" xmlns:a14="http://schemas.microsoft.com/office/drawing/2010/main">
      <mc:Choice Requires="a14">
        <xdr:graphicFrame macro="">
          <xdr:nvGraphicFramePr>
            <xdr:cNvPr id="2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43100" y="651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0</xdr:rowOff>
    </xdr:from>
    <xdr:to>
      <xdr:col>2</xdr:col>
      <xdr:colOff>533400</xdr:colOff>
      <xdr:row>53</xdr:row>
      <xdr:rowOff>171450</xdr:rowOff>
    </xdr:to>
    <mc:AlternateContent xmlns:mc="http://schemas.openxmlformats.org/markup-compatibility/2006" xmlns:a14="http://schemas.microsoft.com/office/drawing/2010/main">
      <mc:Choice Requires="a14">
        <xdr:graphicFrame macro="">
          <xdr:nvGraphicFramePr>
            <xdr:cNvPr id="27" name="Channel corrected 1"/>
            <xdr:cNvGraphicFramePr/>
          </xdr:nvGraphicFramePr>
          <xdr:xfrm>
            <a:off x="0" y="0"/>
            <a:ext cx="0" cy="0"/>
          </xdr:xfrm>
          <a:graphic>
            <a:graphicData uri="http://schemas.microsoft.com/office/drawing/2010/slicer">
              <sle:slicer xmlns:sle="http://schemas.microsoft.com/office/drawing/2010/slicer" name="Channel corrected 1"/>
            </a:graphicData>
          </a:graphic>
        </xdr:graphicFrame>
      </mc:Choice>
      <mc:Fallback xmlns="">
        <xdr:sp macro="" textlink="">
          <xdr:nvSpPr>
            <xdr:cNvPr id="0" name=""/>
            <xdr:cNvSpPr>
              <a:spLocks noTextEdit="1"/>
            </xdr:cNvSpPr>
          </xdr:nvSpPr>
          <xdr:spPr>
            <a:xfrm>
              <a:off x="0" y="723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048.852978587965" createdVersion="6" refreshedVersion="6" minRefreshableVersion="3" recordCount="632">
  <cacheSource type="worksheet">
    <worksheetSource ref="A1:AK632" sheet="Data"/>
  </cacheSource>
  <cacheFields count="37">
    <cacheField name="OrderID" numFmtId="49">
      <sharedItems containsBlank="1" count="632">
        <s v="ORD-2024-275203"/>
        <s v="ORD-2025-997421"/>
        <s v="ORD-2025-487261"/>
        <s v="ORD-2025-840976"/>
        <s v="ORD-2025-843974"/>
        <s v="ORD-2023-271836"/>
        <s v="ORD-2024-215294"/>
        <s v="ORD-2025-765220"/>
        <s v="ORD-2025-931538"/>
        <s v="ORD-2023-239789"/>
        <s v="ORD-2025-640677"/>
        <s v="ORD-2024-446699"/>
        <s v="ORD-2024-451005"/>
        <s v="ORD-2023-374486"/>
        <s v="ORD-2023-869884"/>
        <s v="ORD-2024-588972"/>
        <s v="ORD-2025-650719"/>
        <s v="ORD-2023-309373"/>
        <s v="ORD-2024-219735"/>
        <s v="ORD-2025-667201"/>
        <s v="ORD-2023-825836"/>
        <s v="ORD-2024-503082"/>
        <s v="ORD-2024-444710"/>
        <s v="ORD-2023-653343"/>
        <s v="ORD-2024-777623"/>
        <s v="ORD-2023-195665"/>
        <s v="ORD-2025-757957"/>
        <s v="ORD-2023-747341"/>
        <s v="ORD-2023-888140"/>
        <s v="ORD-2023-630430"/>
        <s v="ORD-2023-967239"/>
        <s v="ORD-2023-253245"/>
        <s v="ORD-2024-499009"/>
        <s v="ORD-2025-752845"/>
        <s v="ORD-2023-594700"/>
        <s v="ORD-2024-403664"/>
        <s v="ORD-2023-619570"/>
        <s v="ORD-2024-206121"/>
        <s v="ORD-2024-500890"/>
        <s v="ORD-2025-779530"/>
        <s v="ORD-2024-129345"/>
        <s v="ORD-2024-225829"/>
        <s v="ORD-2025-949776"/>
        <s v="ORD-2024-510591"/>
        <s v="ORD-2025-915869"/>
        <s v="ORD-2025-909340"/>
        <s v="ORD-2023-581799"/>
        <s v="ORD-2023-588455"/>
        <s v="ORD-2023-867175"/>
        <s v="ORD-2024-516704"/>
        <s v="ORD-2023-434071"/>
        <s v="ORD-2023-406606"/>
        <s v="ORD-2025-823055"/>
        <s v="ORD-2025-680118"/>
        <s v="ORD-2025-149156"/>
        <s v="ORD-2024-202877"/>
        <s v="ORD-2025-419532"/>
        <s v="ORD-2023-244375"/>
        <s v="ORD-2023-856322"/>
        <s v="ORD-2025-246692"/>
        <s v="ORD-2024-585443"/>
        <s v="ORD-2023-552115"/>
        <s v="ORD-2025-907040"/>
        <s v="ORD-2023-723587"/>
        <s v="ORD-2023-562894"/>
        <s v="ORD-2024-389336"/>
        <s v="ORD-2024-468501"/>
        <s v="ORD-2023-343322"/>
        <s v="ORD-2024-478165"/>
        <s v="ORD-2025-698069"/>
        <s v="ORD-2025-956101"/>
        <s v="ORD-2023-603238"/>
        <s v="ORD-2024-389102"/>
        <s v="ORD-2024-438404"/>
        <s v="ORD-2025-246470"/>
        <s v="ORD-2023-987700"/>
        <s v="ORD-2025-586799"/>
        <s v="ORD-2025-132174"/>
        <s v="ORD-2024-544865"/>
        <s v="ORD-2023-276806"/>
        <s v="ORD-2024-220234"/>
        <s v="ORD-2025-898022"/>
        <s v="ORD-2023-369160"/>
        <s v="ORD-2024-792137"/>
        <s v="ORD-2025-191328"/>
        <s v="ORD-2023-890605"/>
        <s v="ORD-2023-163610"/>
        <s v="ORD-2024-901115"/>
        <s v="ORD-2025-306903"/>
        <s v="ORD-2025-822030"/>
        <s v="ORD-2024-170021"/>
        <s v="ORD-2023-987081"/>
        <s v="ORD-2024-510520"/>
        <s v="ORD-2023-769774"/>
        <s v="ORD-2024-886939"/>
        <s v="ORD-2024-257550"/>
        <s v="ORD-2024-371409"/>
        <s v="ORD-2023-488227"/>
        <s v="ORD-2025-874124"/>
        <s v="ORD-2023-356427"/>
        <s v="ORD-2024-355095"/>
        <s v="ORD-2023-126505"/>
        <s v="ORD-2025-281413"/>
        <s v="ORD-2023-713614"/>
        <s v="ORD-2025-705398"/>
        <s v="ORD-2024-550400"/>
        <s v="ORD-2023-921939"/>
        <s v="ORD-2023-867836"/>
        <s v="ORD-2025-718992"/>
        <s v="ORD-2023-809913"/>
        <s v="ORD-2024-800947"/>
        <s v="ORD-2024-594592"/>
        <s v="ORD-2025-541501"/>
        <s v="ORD-2025-328504"/>
        <s v="ORD-2024-771210"/>
        <s v="ORD-2024-909942"/>
        <s v="ORD-2023-427304"/>
        <s v="ORD-2023-883066"/>
        <s v="ORD-2025-354346"/>
        <s v="ORD-2024-836421"/>
        <s v="ORD-2024-232632"/>
        <s v="ORD-2025-418232"/>
        <s v="ORD-2024-357368"/>
        <s v="ORD-2024-134084"/>
        <s v="ORD-2023-157993"/>
        <s v="ORD-2025-652467"/>
        <s v="ORD-2024-237478"/>
        <s v="ORD-2024-760799"/>
        <s v="ORD-2023-925146"/>
        <s v="ORD-2024-988736"/>
        <s v="ORD-2024-720756"/>
        <s v="ORD-2023-603650"/>
        <s v="ORD-2025-509940"/>
        <s v="ORD-2023-166668"/>
        <s v="ORD-2024-571797"/>
        <s v="ORD-2024-961756"/>
        <s v="ORD-2024-343877"/>
        <s v="ORD-2024-868223"/>
        <s v="ORD-2025-188059"/>
        <s v="ORD-2023-619385"/>
        <s v="ORD-2023-368449"/>
        <s v="ORD-2023-854471"/>
        <s v="ORD-2023-674887"/>
        <s v="ORD-2025-222035"/>
        <s v="ORD-2024-468655"/>
        <s v="ORD-2024-651852"/>
        <s v="ORD-2024-581530"/>
        <s v="ORD-2023-184577"/>
        <s v="ORD-2023-880296"/>
        <s v="ORD-2025-779659"/>
        <s v="ORD-2023-744942"/>
        <s v="ORD-2025-331237"/>
        <s v="ORD-2024-732543"/>
        <s v="ORD-2024-468615"/>
        <s v="ORD-2023-700699"/>
        <s v="ORD-2024-626925"/>
        <s v="ORD-2023-885216"/>
        <s v="ORD-2023-548934"/>
        <s v="ORD-2024-890180"/>
        <s v="ORD-2024-206081"/>
        <s v="ORD-2024-788105"/>
        <s v="ORD-2025-548982"/>
        <s v="ORD-2023-292714"/>
        <s v="ORD-2025-578007"/>
        <s v="ORD-2025-639542"/>
        <s v="ORD-2024-906395"/>
        <s v="ORD-2025-526650"/>
        <s v="ORD-2024-192263"/>
        <s v="ORD-2025-114382"/>
        <s v="ORD-2023-576840"/>
        <s v="ORD-2023-867285"/>
        <s v="ORD-2024-783321"/>
        <s v="ORD-2023-192324"/>
        <s v="ORD-2024-764468"/>
        <s v="ORD-2024-329104"/>
        <s v="ORD-2023-399631"/>
        <s v="ORD-2025-542939"/>
        <s v="ORD-2024-885858"/>
        <s v="ORD-2024-834983"/>
        <s v="ORD-2025-939953"/>
        <s v="ORD-2025-138578"/>
        <s v="ORD-2023-884192"/>
        <s v="ORD-2025-231184"/>
        <s v="ORD-2023-888245"/>
        <s v="ORD-2024-332076"/>
        <s v="ORD-2023-813340"/>
        <s v="ORD-2024-398783"/>
        <s v="ORD-2024-307849"/>
        <s v="ORD-2024-678110"/>
        <s v="ORD-2024-375848"/>
        <s v="ORD-2024-811752"/>
        <s v="ORD-2023-808024"/>
        <s v="ORD-2024-202166"/>
        <s v="ORD-2023-243704"/>
        <s v="ORD-2025-683043"/>
        <s v="ORD-2025-417336"/>
        <s v="ORD-2024-382152"/>
        <s v="ORD-2023-597666"/>
        <s v="ORD-2024-792353"/>
        <s v="ORD-2023-867166"/>
        <s v="ORD-2024-892879"/>
        <s v="ORD-2025-778145"/>
        <s v="ORD-2023-215819"/>
        <s v="ORD-2024-766980"/>
        <s v="ORD-2023-340056"/>
        <s v="ORD-2025-281062"/>
        <s v="ORD-2023-727290"/>
        <s v="ORD-2025-993993"/>
        <s v="ORD-2025-856556"/>
        <s v="ORD-2025-189846"/>
        <s v="ORD-2023-451931"/>
        <s v="ORD-2024-756884"/>
        <s v="ORD-2024-210687"/>
        <s v="ORD-2024-692673"/>
        <s v="ORD-2024-635626"/>
        <s v="ORD-2025-820255"/>
        <s v="ORD-2023-235230"/>
        <s v="ORD-2024-289089"/>
        <s v="ORD-2024-287210"/>
        <s v="ORD-2023-422918"/>
        <s v="ORD-2024-474999"/>
        <s v="ORD-2024-584090"/>
        <s v="ORD-2024-902741"/>
        <s v="ORD-2024-211453"/>
        <s v="ORD-2025-766923"/>
        <s v="ORD-2023-884625"/>
        <s v="ORD-2024-960952"/>
        <s v="ORD-2023-575584"/>
        <s v="ORD-2023-701153"/>
        <s v="ORD-2023-390998"/>
        <s v="ORD-2023-613317"/>
        <s v="ORD-2024-866535"/>
        <s v="ORD-2025-946490"/>
        <s v="ORD-2024-855600"/>
        <s v="ORD-2025-184754"/>
        <s v="ORD-2023-521280"/>
        <s v="ORD-2024-745822"/>
        <s v="ORD-2025-678328"/>
        <s v="ORD-2024-366010"/>
        <s v="ORD-2025-541048"/>
        <s v="ORD-2025-398335"/>
        <s v="ORD-2024-819979"/>
        <s v="ORD-2023-212701"/>
        <s v="ORD-2025-677880"/>
        <s v="ORD-2023-933238"/>
        <s v="ORD-2024-749242"/>
        <s v="ORD-2024-381197"/>
        <s v="ORD-2024-745424"/>
        <s v="ORD-2023-191563"/>
        <s v="ORD-2024-356812"/>
        <s v="ORD-2025-795385"/>
        <s v="ORD-2025-947929"/>
        <s v="ORD-2023-799597"/>
        <s v="ORD-2023-609394"/>
        <s v="ORD-2025-252117"/>
        <s v="ORD-2023-349264"/>
        <s v="ORD-2024-402240"/>
        <s v="ORD-2025-926547"/>
        <s v="ORD-2023-811823"/>
        <s v="ORD-2023-453699"/>
        <s v="ORD-2023-472078"/>
        <s v="ORD-2025-337268"/>
        <s v="ORD-2023-961864"/>
        <s v="ORD-2024-336584"/>
        <s v="ORD-2024-170313"/>
        <s v="ORD-2023-864121"/>
        <s v="ORD-2023-308124"/>
        <s v="ORD-2024-260775"/>
        <s v="ORD-2024-247979"/>
        <s v="ORD-2023-722117"/>
        <s v="ORD-2024-604471"/>
        <s v="ORD-2025-526752"/>
        <s v="ORD-2025-262491"/>
        <s v="ORD-2024-851883"/>
        <s v="ORD-2023-906481"/>
        <s v="ORD-2024-553449"/>
        <s v="ORD-2023-848013"/>
        <s v="ORD-2023-304451"/>
        <s v="ORD-2023-431328"/>
        <s v="ORD-2023-964434"/>
        <s v="ORD-2023-517216"/>
        <s v="ORD-2023-474313"/>
        <s v="ORD-2025-484073"/>
        <s v="ORD-2023-211715"/>
        <s v="ORD-2025-983096"/>
        <s v="ORD-2024-862371"/>
        <s v="ORD-2024-153053"/>
        <s v="ORD-2023-944052"/>
        <s v="ORD-2025-323492"/>
        <s v="ORD-2024-647473"/>
        <s v="ORD-2025-480172"/>
        <s v="ORD-2025-624006"/>
        <s v="ORD-2023-676553"/>
        <s v="ORD-2025-866565"/>
        <s v="ORD-2024-390951"/>
        <s v="ORD-2025-512310"/>
        <s v="ORD-2024-465898"/>
        <s v="ORD-2024-655710"/>
        <s v="ORD-2025-411385"/>
        <s v="ORD-2025-831576"/>
        <s v="ORD-2024-515105"/>
        <s v="ORD-2024-993481"/>
        <s v="ORD-2025-673091"/>
        <s v="ORD-2024-972318"/>
        <s v="ORD-2024-446030"/>
        <s v="ORD-2023-842820"/>
        <s v="ORD-2023-109927"/>
        <s v="ORD-2024-851993"/>
        <s v="ORD-2023-728177"/>
        <s v="ORD-2024-578646"/>
        <s v="ORD-2023-573656"/>
        <s v="ORD-2024-776337"/>
        <s v="ORD-2023-913592"/>
        <s v="ORD-2025-137394"/>
        <s v="ORD-2025-635337"/>
        <s v="ORD-2023-472050"/>
        <s v="ORD-2023-957692"/>
        <s v="ORD-2024-872291"/>
        <s v="ORD-2023-868460"/>
        <s v="ORD-2025-177994"/>
        <s v="ORD-2024-817997"/>
        <s v="ORD-2023-561823"/>
        <s v="ORD-2023-249805"/>
        <s v="ORD-2023-824839"/>
        <s v="ORD-2025-515515"/>
        <s v="ORD-2025-233883"/>
        <s v="ORD-2025-779574"/>
        <s v="ORD-2024-347736"/>
        <s v="ORD-2023-258768"/>
        <s v="ORD-2025-626047"/>
        <s v="ORD-2024-792558"/>
        <s v="ORD-2023-975863"/>
        <s v="ORD-2023-596758"/>
        <s v="ORD-2024-136321"/>
        <s v="ORD-2023-240507"/>
        <s v="ORD-2024-605629"/>
        <s v="ORD-2023-450877"/>
        <s v="ORD-2025-898843"/>
        <s v="ORD-2024-668926"/>
        <s v="ORD-2024-197852"/>
        <s v="ORD-2023-290237"/>
        <s v="ORD-2024-569164"/>
        <s v="ORD-2024-281211"/>
        <s v="ORD-2025-646342"/>
        <s v="ORD-2025-248586"/>
        <s v="ORD-2024-350100"/>
        <s v="ORD-2025-685236"/>
        <s v="ORD-2023-610470"/>
        <s v="ORD-2025-487025"/>
        <s v="ORD-2025-415018"/>
        <s v="ORD-2023-363031"/>
        <s v="ORD-2024-892908"/>
        <s v="ORD-2023-573146"/>
        <s v="ORD-2024-915495"/>
        <s v="ORD-2025-125517"/>
        <s v="ORD-2025-486350"/>
        <s v="ORD-2024-102866"/>
        <s v="ORD-2024-542244"/>
        <s v="ORD-2023-623293"/>
        <s v="ORD-2023-752962"/>
        <s v="ORD-2023-580751"/>
        <s v="ORD-2025-417942"/>
        <s v="ORD-2023-539967"/>
        <s v="ORD-2025-496178"/>
        <s v="ORD-2024-105586"/>
        <s v="ORD-2024-207792"/>
        <s v="ORD-2025-254721"/>
        <s v="ORD-2025-703623"/>
        <s v="ORD-2023-568013"/>
        <s v="ORD-2024-532184"/>
        <s v="ORD-2023-139236"/>
        <s v="ORD-2024-536442"/>
        <s v="ORD-2025-169093"/>
        <s v="ORD-2024-594527"/>
        <s v="ORD-2024-572312"/>
        <s v="ORD-2024-947056"/>
        <s v="ORD-2025-683247"/>
        <s v="ORD-2025-752192"/>
        <s v="ORD-2023-107265"/>
        <s v="ORD-2025-532859"/>
        <s v="ORD-2023-455933"/>
        <s v="ORD-2025-728935"/>
        <s v="ORD-2023-373538"/>
        <s v="ORD-2023-937291"/>
        <s v="ORD-2024-798002"/>
        <s v="ORD-2024-855073"/>
        <s v="ORD-2023-897079"/>
        <s v="ORD-2024-998320"/>
        <s v="ORD-2023-419187"/>
        <s v="ORD-2025-762301"/>
        <s v="ORD-2025-863978"/>
        <s v="ORD-2025-725646"/>
        <s v="ORD-2025-662997"/>
        <s v="ORD-2023-251563"/>
        <s v="ORD-2024-166150"/>
        <s v="ORD-2023-178249"/>
        <s v="ORD-2023-613287"/>
        <s v="ORD-2025-244832"/>
        <s v="ORD-2024-201376"/>
        <s v="ORD-2023-842488"/>
        <s v="ORD-2024-968374"/>
        <s v="ORD-2023-586275"/>
        <s v="ORD-2025-146850"/>
        <s v="ORD-2024-687100"/>
        <s v="ORD-2025-564184"/>
        <s v="ORD-2025-762212"/>
        <s v="ORD-2023-949710"/>
        <s v="ORD-2024-805860"/>
        <s v="ORD-2024-320972"/>
        <s v="ORD-2023-274037"/>
        <s v="ORD-2024-878493"/>
        <s v="ORD-2023-835010"/>
        <s v="ORD-2023-536542"/>
        <s v="ORD-2023-261081"/>
        <s v="ORD-2024-333192"/>
        <s v="ORD-2024-819778"/>
        <s v="ORD-2025-608069"/>
        <s v="ORD-2023-378104"/>
        <s v="ORD-2023-156396"/>
        <s v="ORD-2024-508213"/>
        <s v="ORD-2023-931633"/>
        <s v="ORD-2024-647571"/>
        <s v="ORD-2024-833375"/>
        <s v="ORD-2024-364080"/>
        <s v="ORD-2024-713332"/>
        <s v="ORD-2023-286720"/>
        <s v="ORD-2025-332931"/>
        <s v="ORD-2024-555229"/>
        <s v="ORD-2024-331226"/>
        <s v="ORD-2024-979401"/>
        <s v="ORD-2025-155182"/>
        <s v="ORD-2024-689872"/>
        <s v="ORD-2024-442776"/>
        <s v="ORD-2024-266562"/>
        <s v="ORD-2024-341535"/>
        <s v="ORD-2023-755337"/>
        <s v="ORD-2025-649633"/>
        <s v="ORD-2024-358795"/>
        <s v="ORD-2025-168148"/>
        <s v="ORD-2023-112666"/>
        <s v="ORD-2024-589570"/>
        <s v="ORD-2025-580047"/>
        <s v="ORD-2024-599522"/>
        <s v="ORD-2023-128295"/>
        <s v="ORD-2024-966651"/>
        <s v="ORD-2024-997336"/>
        <s v="ORD-2024-638884"/>
        <s v="ORD-2025-501927"/>
        <s v="ORD-2023-334213"/>
        <s v="ORD-2024-640340"/>
        <s v="ORD-2025-629393"/>
        <s v="ORD-2024-423853"/>
        <s v="ORD-2024-853298"/>
        <s v="ORD-2023-638181"/>
        <s v="ORD-2025-440093"/>
        <s v="ORD-2023-632893"/>
        <s v="ORD-2025-922513"/>
        <s v="ORD-2025-944081"/>
        <s v="ORD-2023-660608"/>
        <s v="ORD-2023-898009"/>
        <s v="ORD-2023-208944"/>
        <s v="ORD-2023-479747"/>
        <s v="ORD-2023-159821"/>
        <s v="ORD-2023-545150"/>
        <s v="ORD-2024-527858"/>
        <s v="ORD-2025-881624"/>
        <s v="ORD-2023-732585"/>
        <s v="ORD-2025-650841"/>
        <s v="ORD-2025-803803"/>
        <s v="ORD-2024-837651"/>
        <s v="ORD-2024-566589"/>
        <s v="ORD-2024-787018"/>
        <s v="ORD-2024-247032"/>
        <s v="ORD-2024-310809"/>
        <s v="ORD-2025-828263"/>
        <s v="ORD-2023-125739"/>
        <s v="ORD-2025-460466"/>
        <s v="ORD-2023-960380"/>
        <s v="ORD-2025-929414"/>
        <s v="ORD-2024-243988"/>
        <s v="ORD-2023-502205"/>
        <s v="ORD-2025-474710"/>
        <s v="ORD-2024-167215"/>
        <s v="ORD-2024-296582"/>
        <s v="ORD-2023-480975"/>
        <s v="ORD-2023-749324"/>
        <s v="ORD-2024-939873"/>
        <s v="ORD-2023-382272"/>
        <s v="ORD-2023-159379"/>
        <s v="ORD-2023-841426"/>
        <s v="ORD-2024-155337"/>
        <s v="ORD-2024-919471"/>
        <s v="ORD-2023-825495"/>
        <s v="ORD-2023-497686"/>
        <s v="ORD-2025-700847"/>
        <s v="ORD-2024-970848"/>
        <s v="ORD-2024-686712"/>
        <s v="ORD-2023-713375"/>
        <s v="ORD-2025-678688"/>
        <s v="ORD-2023-946143"/>
        <s v="ORD-2025-908258"/>
        <s v="ORD-2024-580808"/>
        <s v="ORD-2024-277241"/>
        <s v="ORD-2023-369150"/>
        <s v="ORD-2024-427031"/>
        <s v="ORD-2023-144816"/>
        <s v="ORD-2023-825084"/>
        <s v="ORD-2024-892173"/>
        <s v="ORD-2023-281890"/>
        <s v="ORD-2025-636162"/>
        <s v="ORD-2023-835226"/>
        <s v="ORD-2025-485946"/>
        <s v="ORD-2025-588029"/>
        <s v="ORD-2024-972999"/>
        <s v="ORD-2025-473192"/>
        <s v="ORD-2023-704111"/>
        <s v="ORD-2025-306251"/>
        <s v="ORD-2023-640022"/>
        <s v="ORD-2023-525643"/>
        <s v="ORD-2025-312803"/>
        <s v="ORD-2023-621393"/>
        <s v="ORD-2023-974506"/>
        <s v="ORD-2024-419248"/>
        <s v="ORD-2023-689428"/>
        <s v="ORD-2025-262434"/>
        <s v="ORD-2024-838925"/>
        <s v="ORD-2025-745263"/>
        <s v="ORD-2024-629525"/>
        <s v="ORD-2024-548345"/>
        <s v="ORD-2023-548874"/>
        <s v="ORD-2023-290279"/>
        <s v="ORD-2025-330203"/>
        <s v="ORD-2023-868734"/>
        <s v="ORD-2024-286833"/>
        <s v="ORD-2024-223618"/>
        <s v="ORD-2025-184082"/>
        <s v="ORD-2025-537785"/>
        <s v="ORD-2023-430904"/>
        <s v="ORD-2024-942981"/>
        <s v="ORD-2025-845715"/>
        <s v="ORD-2023-664749"/>
        <s v="ORD-2023-197661"/>
        <s v="ORD-2025-964661"/>
        <s v="ORD-2023-920483"/>
        <s v="ORD-2023-501220"/>
        <s v="ORD-2023-256951"/>
        <s v="ORD-2024-500511"/>
        <s v="ORD-2023-667815"/>
        <s v="ORD-2023-375011"/>
        <s v="ORD-2025-278048"/>
        <s v="ORD-2024-165942"/>
        <s v="ORD-2024-925626"/>
        <s v="ORD-2025-737787"/>
        <s v="ORD-2023-181257"/>
        <s v="ORD-2023-735274"/>
        <s v="ORD-2024-921935"/>
        <s v="ORD-2024-704056"/>
        <s v="ORD-2025-591006"/>
        <s v="ORD-2023-386663"/>
        <s v="ORD-2025-269934"/>
        <s v="ORD-2025-192876"/>
        <s v="ORD-2025-789245"/>
        <s v="ORD-2023-927385"/>
        <s v="ORD-2023-659070"/>
        <s v="ORD-2023-780206"/>
        <s v="ORD-2024-641220"/>
        <s v="ORD-2023-569862"/>
        <s v="ORD-2024-973420"/>
        <s v="ORD-2024-728474"/>
        <s v="ORD-2024-567435"/>
        <s v="ORD-2024-964950"/>
        <s v="ORD-2024-140633"/>
        <s v="ORD-2025-659650"/>
        <s v="ORD-2024-207669"/>
        <s v="ORD-2023-173313"/>
        <s v="ORD-2024-496601"/>
        <s v="ORD-2024-907733"/>
        <s v="ORD-2023-294716"/>
        <s v="ORD-2024-930679"/>
        <s v="ORD-2025-150713"/>
        <s v="ORD-2024-500109"/>
        <s v="ORD-2023-651638"/>
        <s v="ORD-2025-488349"/>
        <s v="ORD-2025-649239"/>
        <s v="ORD-2024-605518"/>
        <s v="ORD-2023-521818"/>
        <s v="ORD-2024-164288"/>
        <s v="ORD-2023-912395"/>
        <s v="ORD-2023-286994"/>
        <s v="ORD-2024-212990"/>
        <s v="ORD-2023-177794"/>
        <s v="ORD-2023-382017"/>
        <s v="ORD-2024-999607"/>
        <s v="ORD-2023-133848"/>
        <s v="ORD-2023-271918"/>
        <s v="ORD-2023-302041"/>
        <s v="ORD-2025-289139"/>
        <s v="ORD-2024-897622"/>
        <s v="ORD-2024-664046"/>
        <s v="ORD-2024-301260"/>
        <s v="ORD-2024-948800"/>
        <s v="ORD-2023-715175"/>
        <s v="ORD-2023-602648"/>
        <s v="ORD-2024-207096"/>
        <s v="ORD-2025-364852"/>
        <s v="ORD-2025-861401"/>
        <s v="ORD-2024-719055"/>
        <s v="ORD-2025-653781"/>
        <s v="ORD-2023-766015"/>
        <s v="ORD-2023-132101"/>
        <s v="ORD-2023-855675"/>
        <s v="ORD-2024-690270"/>
        <s v="ORD-2023-594955"/>
        <s v="ORD-2024-251426"/>
        <s v="ORD-2024-626750"/>
        <s v="ORD-2025-276968"/>
        <s v="ORD-2023-172095"/>
        <s v="ORD-2024-433936"/>
        <s v="ORD-2025-474368"/>
        <s v="ORD-2024-961501"/>
        <s v="ORD-2024-206311"/>
        <s v="ORD-2024-353078"/>
        <s v="ORD-2025-960931"/>
        <s v="ORD-2024-687073"/>
        <s v="ORD-2024-250862"/>
        <s v="ORD-2024-437164"/>
        <s v="ORD-2023-378676"/>
        <s v="ORD-2023-619493"/>
        <s v="ORD-2023-664790"/>
        <s v="ORD-2024-331408"/>
        <s v="ORD-2024-741404"/>
        <m/>
      </sharedItems>
    </cacheField>
    <cacheField name="OrderDate" numFmtId="14">
      <sharedItems containsNonDate="0" containsDate="1" containsString="0" containsBlank="1" minDate="2023-01-02T00:00:00" maxDate="2025-09-16T00:00:00" count="469">
        <d v="2024-03-11T00:00:00"/>
        <d v="2025-05-21T00:00:00"/>
        <d v="2025-03-06T00:00:00"/>
        <d v="2025-09-01T00:00:00"/>
        <d v="2025-07-20T00:00:00"/>
        <d v="2023-02-07T00:00:00"/>
        <d v="2024-06-30T00:00:00"/>
        <d v="2025-04-06T00:00:00"/>
        <d v="2025-02-09T00:00:00"/>
        <d v="2023-12-03T00:00:00"/>
        <d v="2025-04-09T00:00:00"/>
        <d v="2024-08-28T00:00:00"/>
        <d v="2023-06-24T00:00:00"/>
        <d v="2023-03-02T00:00:00"/>
        <d v="2024-11-02T00:00:00"/>
        <d v="2025-02-12T00:00:00"/>
        <d v="2023-07-05T00:00:00"/>
        <d v="2024-04-03T00:00:00"/>
        <d v="2025-09-15T00:00:00"/>
        <d v="2023-07-19T00:00:00"/>
        <d v="2024-05-19T00:00:00"/>
        <d v="2024-09-22T00:00:00"/>
        <d v="2023-11-10T00:00:00"/>
        <d v="2024-09-19T00:00:00"/>
        <d v="2023-12-19T00:00:00"/>
        <d v="2025-04-24T00:00:00"/>
        <d v="2023-04-19T00:00:00"/>
        <d v="2023-10-11T00:00:00"/>
        <d v="2023-08-04T00:00:00"/>
        <d v="2023-12-24T00:00:00"/>
        <d v="2023-08-03T00:00:00"/>
        <d v="2024-01-25T00:00:00"/>
        <d v="2025-03-30T00:00:00"/>
        <d v="2023-07-18T00:00:00"/>
        <d v="2024-05-23T00:00:00"/>
        <d v="2023-11-14T00:00:00"/>
        <d v="2024-02-18T00:00:00"/>
        <d v="2024-09-09T00:00:00"/>
        <d v="2025-05-19T00:00:00"/>
        <d v="2024-11-07T00:00:00"/>
        <d v="2025-08-14T00:00:00"/>
        <d v="2025-02-06T00:00:00"/>
        <d v="2025-01-20T00:00:00"/>
        <d v="2023-12-05T00:00:00"/>
        <d v="2023-05-23T00:00:00"/>
        <d v="2023-08-10T00:00:00"/>
        <d v="2024-03-01T00:00:00"/>
        <d v="2023-06-20T00:00:00"/>
        <d v="2023-10-25T00:00:00"/>
        <d v="2025-09-08T00:00:00"/>
        <d v="2025-03-10T00:00:00"/>
        <d v="2025-01-10T00:00:00"/>
        <d v="2024-07-13T00:00:00"/>
        <d v="2025-08-06T00:00:00"/>
        <d v="2023-06-03T00:00:00"/>
        <d v="2023-01-29T00:00:00"/>
        <d v="2025-04-17T00:00:00"/>
        <d v="2024-08-17T00:00:00"/>
        <d v="2023-09-17T00:00:00"/>
        <d v="2023-01-02T00:00:00"/>
        <d v="2023-02-23T00:00:00"/>
        <d v="2024-05-20T00:00:00"/>
        <d v="2024-11-06T00:00:00"/>
        <d v="2023-08-19T00:00:00"/>
        <d v="2024-12-05T00:00:00"/>
        <d v="2025-06-03T00:00:00"/>
        <d v="2025-07-09T00:00:00"/>
        <d v="2023-08-21T00:00:00"/>
        <d v="2024-06-15T00:00:00"/>
        <d v="2024-09-23T00:00:00"/>
        <d v="2025-04-16T00:00:00"/>
        <d v="2023-04-05T00:00:00"/>
        <d v="2025-07-14T00:00:00"/>
        <d v="2025-07-17T00:00:00"/>
        <d v="2024-02-16T00:00:00"/>
        <d v="2023-03-04T00:00:00"/>
        <d v="2024-03-15T00:00:00"/>
        <d v="2025-09-02T00:00:00"/>
        <d v="2023-07-24T00:00:00"/>
        <d v="2024-03-02T00:00:00"/>
        <d v="2025-05-10T00:00:00"/>
        <d v="2023-10-22T00:00:00"/>
        <d v="2024-07-25T00:00:00"/>
        <d v="2025-06-24T00:00:00"/>
        <d v="2025-08-07T00:00:00"/>
        <d v="2024-11-05T00:00:00"/>
        <d v="2023-08-29T00:00:00"/>
        <d v="2024-09-25T00:00:00"/>
        <d v="2023-06-13T00:00:00"/>
        <d v="2024-06-03T00:00:00"/>
        <d v="2024-12-27T00:00:00"/>
        <d v="2024-11-17T00:00:00"/>
        <d v="2023-09-08T00:00:00"/>
        <d v="2025-05-14T00:00:00"/>
        <d v="2023-04-13T00:00:00"/>
        <d v="2024-01-02T00:00:00"/>
        <d v="2025-08-03T00:00:00"/>
        <d v="2023-08-02T00:00:00"/>
        <d v="2025-02-17T00:00:00"/>
        <d v="2024-08-19T00:00:00"/>
        <d v="2023-06-23T00:00:00"/>
        <d v="2023-05-11T00:00:00"/>
        <d v="2023-04-21T00:00:00"/>
        <d v="2024-12-15T00:00:00"/>
        <d v="2024-04-06T00:00:00"/>
        <d v="2025-07-22T00:00:00"/>
        <d v="2025-01-27T00:00:00"/>
        <d v="2024-09-14T00:00:00"/>
        <d v="2024-06-09T00:00:00"/>
        <d v="2023-06-09T00:00:00"/>
        <d v="2023-08-12T00:00:00"/>
        <d v="2025-01-09T00:00:00"/>
        <d v="2024-12-14T00:00:00"/>
        <d v="2024-02-14T00:00:00"/>
        <d v="2025-08-01T00:00:00"/>
        <d v="2024-10-30T00:00:00"/>
        <d v="2024-06-04T00:00:00"/>
        <d v="2023-04-18T00:00:00"/>
        <d v="2025-08-21T00:00:00"/>
        <d v="2024-10-03T00:00:00"/>
        <d v="2024-02-03T00:00:00"/>
        <d v="2023-10-15T00:00:00"/>
        <d v="2024-10-11T00:00:00"/>
        <d v="2025-05-16T00:00:00"/>
        <d v="2023-10-05T00:00:00"/>
        <d v="2024-07-11T00:00:00"/>
        <d v="2024-11-25T00:00:00"/>
        <d v="2024-03-09T00:00:00"/>
        <d v="2024-03-03T00:00:00"/>
        <d v="2025-06-27T00:00:00"/>
        <d v="2023-09-30T00:00:00"/>
        <d v="2023-10-09T00:00:00"/>
        <d v="2023-03-06T00:00:00"/>
        <d v="2023-12-16T00:00:00"/>
        <d v="2025-03-14T00:00:00"/>
        <d v="2024-02-19T00:00:00"/>
        <d v="2024-12-28T00:00:00"/>
        <d v="2024-09-07T00:00:00"/>
        <d v="2023-05-17T00:00:00"/>
        <d v="2023-05-02T00:00:00"/>
        <d v="2025-07-03T00:00:00"/>
        <d v="2025-03-24T00:00:00"/>
        <d v="2024-10-24T00:00:00"/>
        <d v="2024-07-09T00:00:00"/>
        <d v="2023-01-12T00:00:00"/>
        <d v="2024-06-07T00:00:00"/>
        <d v="2024-01-20T00:00:00"/>
        <d v="2024-12-10T00:00:00"/>
        <d v="2024-11-30T00:00:00"/>
        <d v="2025-04-07T00:00:00"/>
        <d v="2023-07-10T00:00:00"/>
        <d v="2025-01-21T00:00:00"/>
        <d v="2025-06-09T00:00:00"/>
        <d v="2024-03-10T00:00:00"/>
        <d v="2025-04-27T00:00:00"/>
        <d v="2024-11-21T00:00:00"/>
        <d v="2023-11-19T00:00:00"/>
        <d v="2023-04-12T00:00:00"/>
        <d v="2024-11-20T00:00:00"/>
        <d v="2023-09-14T00:00:00"/>
        <d v="2024-02-01T00:00:00"/>
        <d v="2023-06-22T00:00:00"/>
        <d v="2025-01-13T00:00:00"/>
        <d v="2024-01-10T00:00:00"/>
        <d v="2024-03-16T00:00:00"/>
        <d v="2025-01-22T00:00:00"/>
        <d v="2023-01-10T00:00:00"/>
        <d v="2025-06-01T00:00:00"/>
        <d v="2023-02-28T00:00:00"/>
        <d v="2024-04-09T00:00:00"/>
        <d v="2023-12-26T00:00:00"/>
        <d v="2024-07-18T00:00:00"/>
        <d v="2024-08-10T00:00:00"/>
        <d v="2024-07-24T00:00:00"/>
        <d v="2024-05-18T00:00:00"/>
        <d v="2024-02-25T00:00:00"/>
        <d v="2023-12-30T00:00:00"/>
        <d v="2024-05-05T00:00:00"/>
        <d v="2025-08-13T00:00:00"/>
        <d v="2025-08-30T00:00:00"/>
        <d v="2024-12-08T00:00:00"/>
        <d v="2025-04-22T00:00:00"/>
        <d v="2023-07-01T00:00:00"/>
        <d v="2024-11-04T00:00:00"/>
        <d v="2023-04-26T00:00:00"/>
        <d v="2025-02-15T00:00:00"/>
        <d v="2023-04-03T00:00:00"/>
        <d v="2025-06-15T00:00:00"/>
        <d v="2025-08-11T00:00:00"/>
        <d v="2023-07-30T00:00:00"/>
        <d v="2024-10-13T00:00:00"/>
        <d v="2024-01-28T00:00:00"/>
        <d v="2024-03-07T00:00:00"/>
        <d v="2024-08-27T00:00:00"/>
        <d v="2025-05-29T00:00:00"/>
        <d v="2023-08-30T00:00:00"/>
        <d v="2024-12-17T00:00:00"/>
        <d v="2024-03-18T00:00:00"/>
        <d v="2024-12-23T00:00:00"/>
        <d v="2024-04-04T00:00:00"/>
        <d v="2023-02-19T00:00:00"/>
        <d v="2023-01-30T00:00:00"/>
        <d v="2023-04-14T00:00:00"/>
        <d v="2023-01-22T00:00:00"/>
        <d v="2024-12-04T00:00:00"/>
        <d v="2024-04-29T00:00:00"/>
        <d v="2023-05-27T00:00:00"/>
        <d v="2024-03-31T00:00:00"/>
        <d v="2024-01-13T00:00:00"/>
        <d v="2025-04-04T00:00:00"/>
        <d v="2024-05-28T00:00:00"/>
        <d v="2023-12-02T00:00:00"/>
        <d v="2023-03-17T00:00:00"/>
        <d v="2024-01-16T00:00:00"/>
        <d v="2024-11-01T00:00:00"/>
        <d v="2024-08-22T00:00:00"/>
        <d v="2023-11-30T00:00:00"/>
        <d v="2025-03-23T00:00:00"/>
        <d v="2023-03-14T00:00:00"/>
        <d v="2023-04-16T00:00:00"/>
        <d v="2025-04-28T00:00:00"/>
        <d v="2023-06-01T00:00:00"/>
        <d v="2024-05-01T00:00:00"/>
        <d v="2025-03-11T00:00:00"/>
        <d v="2023-01-26T00:00:00"/>
        <d v="2025-02-16T00:00:00"/>
        <d v="2023-12-07T00:00:00"/>
        <d v="2023-03-27T00:00:00"/>
        <d v="2024-10-17T00:00:00"/>
        <d v="2023-09-18T00:00:00"/>
        <d v="2024-01-21T00:00:00"/>
        <d v="2023-02-20T00:00:00"/>
        <d v="2023-10-07T00:00:00"/>
        <d v="2023-12-20T00:00:00"/>
        <d v="2023-11-28T00:00:00"/>
        <d v="2023-09-19T00:00:00"/>
        <d v="2025-02-19T00:00:00"/>
        <d v="2023-10-30T00:00:00"/>
        <d v="2025-05-17T00:00:00"/>
        <d v="2024-01-12T00:00:00"/>
        <d v="2024-02-17T00:00:00"/>
        <d v="2025-06-17T00:00:00"/>
        <d v="2025-03-15T00:00:00"/>
        <d v="2023-05-20T00:00:00"/>
        <d v="2025-05-12T00:00:00"/>
        <d v="2024-12-20T00:00:00"/>
        <d v="2025-03-08T00:00:00"/>
        <d v="2024-06-06T00:00:00"/>
        <d v="2025-06-05T00:00:00"/>
        <d v="2024-02-27T00:00:00"/>
        <d v="2024-08-18T00:00:00"/>
        <d v="2025-05-07T00:00:00"/>
        <d v="2024-12-24T00:00:00"/>
        <d v="2024-03-23T00:00:00"/>
        <d v="2023-09-20T00:00:00"/>
        <d v="2023-07-22T00:00:00"/>
        <d v="2023-12-18T00:00:00"/>
        <d v="2024-05-27T00:00:00"/>
        <d v="2024-11-12T00:00:00"/>
        <d v="2023-05-10T00:00:00"/>
        <d v="2025-01-04T00:00:00"/>
        <d v="2025-08-05T00:00:00"/>
        <d v="2023-05-07T00:00:00"/>
        <d v="2024-01-08T00:00:00"/>
        <d v="2024-07-28T00:00:00"/>
        <d v="2023-12-22T00:00:00"/>
        <d v="2023-12-06T00:00:00"/>
        <d v="2025-01-03T00:00:00"/>
        <d v="2025-09-10T00:00:00"/>
        <d v="2024-05-22T00:00:00"/>
        <d v="2023-06-29T00:00:00"/>
        <d v="2024-10-16T00:00:00"/>
        <d v="2023-11-20T00:00:00"/>
        <d v="2024-08-07T00:00:00"/>
        <d v="2023-03-25T00:00:00"/>
        <d v="2024-07-15T00:00:00"/>
        <d v="2023-09-21T00:00:00"/>
        <d v="2025-02-02T00:00:00"/>
        <d v="2024-10-23T00:00:00"/>
        <d v="2024-02-29T00:00:00"/>
        <d v="2024-09-05T00:00:00"/>
        <d v="2024-01-11T00:00:00"/>
        <d v="2025-08-02T00:00:00"/>
        <d v="2025-09-12T00:00:00"/>
        <d v="2024-10-27T00:00:00"/>
        <d v="2025-04-11T00:00:00"/>
        <d v="2023-05-06T00:00:00"/>
        <d v="2023-12-01T00:00:00"/>
        <d v="2024-08-08T00:00:00"/>
        <d v="2025-03-21T00:00:00"/>
        <d v="2025-05-27T00:00:00"/>
        <d v="2024-12-12T00:00:00"/>
        <d v="2024-08-30T00:00:00"/>
        <d v="2023-10-12T00:00:00"/>
        <d v="2023-07-09T00:00:00"/>
        <d v="2025-07-27T00:00:00"/>
        <d v="2024-09-03T00:00:00"/>
        <d v="2025-05-15T00:00:00"/>
        <d v="2025-07-23T00:00:00"/>
        <d v="2023-03-03T00:00:00"/>
        <d v="2024-08-31T00:00:00"/>
        <d v="2025-04-13T00:00:00"/>
        <d v="2024-09-06T00:00:00"/>
        <d v="2024-06-16T00:00:00"/>
        <d v="2024-07-31T00:00:00"/>
        <d v="2023-04-22T00:00:00"/>
        <d v="2025-02-28T00:00:00"/>
        <d v="2023-04-23T00:00:00"/>
        <d v="2024-07-19T00:00:00"/>
        <d v="2024-10-25T00:00:00"/>
        <d v="2023-03-31T00:00:00"/>
        <d v="2025-05-02T00:00:00"/>
        <d v="2025-03-31T00:00:00"/>
        <d v="2024-06-02T00:00:00"/>
        <d v="2023-12-29T00:00:00"/>
        <d v="2025-09-11T00:00:00"/>
        <d v="2023-10-31T00:00:00"/>
        <d v="2024-02-11T00:00:00"/>
        <d v="2023-01-20T00:00:00"/>
        <d v="2024-09-10T00:00:00"/>
        <d v="2025-01-29T00:00:00"/>
        <d v="2025-08-25T00:00:00"/>
        <d v="2023-03-07T00:00:00"/>
        <d v="2024-09-13T00:00:00"/>
        <d v="2024-11-08T00:00:00"/>
        <d v="2023-08-15T00:00:00"/>
        <d v="2024-06-19T00:00:00"/>
        <d v="2023-03-23T00:00:00"/>
        <d v="2023-06-10T00:00:00"/>
        <d v="2024-10-29T00:00:00"/>
        <d v="2025-04-12T00:00:00"/>
        <d v="2023-10-18T00:00:00"/>
        <d v="2023-02-21T00:00:00"/>
        <d v="2024-11-22T00:00:00"/>
        <d v="2023-05-14T00:00:00"/>
        <d v="2024-02-06T00:00:00"/>
        <d v="2024-04-24T00:00:00"/>
        <d v="2024-04-16T00:00:00"/>
        <d v="2024-06-05T00:00:00"/>
        <d v="2023-07-08T00:00:00"/>
        <d v="2024-02-08T00:00:00"/>
        <d v="2025-07-11T00:00:00"/>
        <d v="2024-08-03T00:00:00"/>
        <d v="2024-11-27T00:00:00"/>
        <d v="2024-06-25T00:00:00"/>
        <d v="2025-07-19T00:00:00"/>
        <d v="2025-03-29T00:00:00"/>
        <d v="2023-01-15T00:00:00"/>
        <d v="2024-05-04T00:00:00"/>
        <d v="2025-06-14T00:00:00"/>
        <d v="2024-04-19T00:00:00"/>
        <d v="2024-10-14T00:00:00"/>
        <d v="2024-10-04T00:00:00"/>
        <d v="2025-03-03T00:00:00"/>
        <d v="2024-10-22T00:00:00"/>
        <d v="2025-07-21T00:00:00"/>
        <d v="2024-03-06T00:00:00"/>
        <d v="2025-08-28T00:00:00"/>
        <d v="2025-03-25T00:00:00"/>
        <d v="2023-07-25T00:00:00"/>
        <d v="2023-05-04T00:00:00"/>
        <d v="2023-12-21T00:00:00"/>
        <d v="2023-07-14T00:00:00"/>
        <d v="2023-04-06T00:00:00"/>
        <d v="2024-05-07T00:00:00"/>
        <d v="2025-02-21T00:00:00"/>
        <d v="2023-08-25T00:00:00"/>
        <d v="2024-06-11T00:00:00"/>
        <d v="2024-06-23T00:00:00"/>
        <d v="2024-04-21T00:00:00"/>
        <d v="2024-04-05T00:00:00"/>
        <d v="2023-05-01T00:00:00"/>
        <d v="2025-02-07T00:00:00"/>
        <d v="2023-02-11T00:00:00"/>
        <d v="2025-06-26T00:00:00"/>
        <d v="2024-03-13T00:00:00"/>
        <d v="2025-07-24T00:00:00"/>
        <d v="2024-08-23T00:00:00"/>
        <d v="2023-02-15T00:00:00"/>
        <d v="2024-04-12T00:00:00"/>
        <d v="2023-02-08T00:00:00"/>
        <d v="2024-05-21T00:00:00"/>
        <d v="2024-06-29T00:00:00"/>
        <d v="2023-07-03T00:00:00"/>
        <d v="2024-10-02T00:00:00"/>
        <d v="2023-08-26T00:00:00"/>
        <d v="2025-07-16T00:00:00"/>
        <d v="2025-06-21T00:00:00"/>
        <d v="2024-06-08T00:00:00"/>
        <d v="2024-01-18T00:00:00"/>
        <d v="2023-03-13T00:00:00"/>
        <d v="2025-01-07T00:00:00"/>
        <d v="2023-10-26T00:00:00"/>
        <d v="2025-09-14T00:00:00"/>
        <d v="2025-04-10T00:00:00"/>
        <d v="2023-08-24T00:00:00"/>
        <d v="2023-08-17T00:00:00"/>
        <d v="2023-07-07T00:00:00"/>
        <d v="2023-12-28T00:00:00"/>
        <d v="2024-03-04T00:00:00"/>
        <d v="2023-01-07T00:00:00"/>
        <d v="2025-06-19T00:00:00"/>
        <d v="2024-04-18T00:00:00"/>
        <d v="2024-05-14T00:00:00"/>
        <d v="2023-03-19T00:00:00"/>
        <d v="2023-06-14T00:00:00"/>
        <d v="2024-08-14T00:00:00"/>
        <d v="2024-06-10T00:00:00"/>
        <d v="2023-01-27T00:00:00"/>
        <d v="2024-10-09T00:00:00"/>
        <d v="2025-04-14T00:00:00"/>
        <d v="2023-08-27T00:00:00"/>
        <d v="2023-08-08T00:00:00"/>
        <d v="2025-02-04T00:00:00"/>
        <d v="2023-07-02T00:00:00"/>
        <d v="2024-10-08T00:00:00"/>
        <d v="2023-10-21T00:00:00"/>
        <d v="2023-08-23T00:00:00"/>
        <d v="2025-06-22T00:00:00"/>
        <d v="2024-12-29T00:00:00"/>
        <d v="2023-11-15T00:00:00"/>
        <d v="2024-01-01T00:00:00"/>
        <d v="2025-06-25T00:00:00"/>
        <d v="2023-06-05T00:00:00"/>
        <d v="2025-01-31T00:00:00"/>
        <d v="2023-05-29T00:00:00"/>
        <d v="2023-01-19T00:00:00"/>
        <d v="2024-05-10T00:00:00"/>
        <d v="2023-07-16T00:00:00"/>
        <d v="2024-05-12T00:00:00"/>
        <d v="2024-04-26T00:00:00"/>
        <d v="2024-10-10T00:00:00"/>
        <d v="2024-12-07T00:00:00"/>
        <d v="2024-01-24T00:00:00"/>
        <d v="2023-06-15T00:00:00"/>
        <d v="2024-11-11T00:00:00"/>
        <d v="2023-04-10T00:00:00"/>
        <d v="2023-06-17T00:00:00"/>
        <d v="2025-04-23T00:00:00"/>
        <d v="2025-01-17T00:00:00"/>
        <d v="2024-05-30T00:00:00"/>
        <d v="2024-12-21T00:00:00"/>
        <d v="2023-07-26T00:00:00"/>
        <d v="2023-02-24T00:00:00"/>
        <d v="2024-08-12T00:00:00"/>
        <d v="2023-01-13T00:00:00"/>
        <d v="2023-09-25T00:00:00"/>
        <d v="2023-10-04T00:00:00"/>
        <d v="2025-08-10T00:00:00"/>
        <d v="2024-03-30T00:00:00"/>
        <d v="2024-09-02T00:00:00"/>
        <d v="2024-07-29T00:00:00"/>
        <d v="2024-03-27T00:00:00"/>
        <d v="2024-03-26T00:00:00"/>
        <d v="2025-05-18T00:00:00"/>
        <d v="2025-04-01T00:00:00"/>
        <d v="2025-01-11T00:00:00"/>
        <d v="2023-02-05T00:00:00"/>
        <d v="2024-05-17T00:00:00"/>
        <d v="2025-02-25T00:00:00"/>
        <d v="2023-05-24T00:00:00"/>
        <d v="2024-08-04T00:00:00"/>
        <d v="2024-08-16T00:00:00"/>
        <d v="2025-08-20T00:00:00"/>
        <d v="2024-02-20T00:00:00"/>
        <d v="2023-05-03T00:00:00"/>
        <d v="2023-02-27T00:00:00"/>
        <d v="2024-10-19T00:00:00"/>
        <m/>
      </sharedItems>
      <fieldGroup base="1">
        <rangePr groupBy="months" startDate="2023-01-02T00:00:00" endDate="2025-09-16T00:00:00"/>
        <groupItems count="14">
          <s v="(blank)"/>
          <s v="Jan"/>
          <s v="Feb"/>
          <s v="Mar"/>
          <s v="Apr"/>
          <s v="May"/>
          <s v="Jun"/>
          <s v="Jul"/>
          <s v="Aug"/>
          <s v="Sep"/>
          <s v="Oct"/>
          <s v="Nov"/>
          <s v="Dec"/>
          <s v="&gt;9/16/2025"/>
        </groupItems>
      </fieldGroup>
    </cacheField>
    <cacheField name="MONTH" numFmtId="1">
      <sharedItems count="34">
        <s v="Mar-2024"/>
        <s v="May-2025"/>
        <s v="Mar-2025"/>
        <s v="Sep-2025"/>
        <s v="Jul-2025"/>
        <s v="Feb-2023"/>
        <s v="Jun-2024"/>
        <s v="Apr-2025"/>
        <s v="Feb-2025"/>
        <s v="Dec-2023"/>
        <s v="Aug-2024"/>
        <s v="Jun-2023"/>
        <s v="Mar-2023"/>
        <s v="Nov-2024"/>
        <s v="Jul-2023"/>
        <s v="Apr-2024"/>
        <s v="May-2024"/>
        <s v="Sep-2024"/>
        <s v="Nov-2023"/>
        <s v="Apr-2023"/>
        <s v="Oct-2023"/>
        <s v="Aug-2023"/>
        <s v="Jan-2024"/>
        <s v="Feb-2024"/>
        <s v="Aug-2025"/>
        <s v="Jan-2025"/>
        <s v="May-2023"/>
        <s v="Jul-2024"/>
        <s v="Jan-2023"/>
        <s v="Sep-2023"/>
        <s v="Dec-2024"/>
        <s v="Jun-2025"/>
        <s v="Oct-2024"/>
        <s v="Jan-1900"/>
      </sharedItems>
    </cacheField>
    <cacheField name="QUARTER" numFmtId="14">
      <sharedItems count="12">
        <s v="2024Q1"/>
        <s v="2025Q2"/>
        <s v="2025Q1"/>
        <s v="2025Q3"/>
        <s v="2023Q1"/>
        <s v="2024Q2"/>
        <s v="2023Q4"/>
        <s v="2024Q3"/>
        <s v="2023Q2"/>
        <s v="2024Q4"/>
        <s v="2023Q3"/>
        <s v="1900Q1"/>
      </sharedItems>
    </cacheField>
    <cacheField name="RequiredDate" numFmtId="14">
      <sharedItems containsNonDate="0" containsDate="1" containsString="0" containsBlank="1" minDate="2023-01-05T00:00:00" maxDate="2025-10-06T00:00:00"/>
    </cacheField>
    <cacheField name="Date Check" numFmtId="1">
      <sharedItems/>
    </cacheField>
    <cacheField name="Corrected required date" numFmtId="14">
      <sharedItems containsSemiMixedTypes="0" containsNonDate="0" containsDate="1" containsString="0" minDate="1899-12-30T00:00:00" maxDate="2025-10-06T00:00:00"/>
    </cacheField>
    <cacheField name="Lead time days" numFmtId="1">
      <sharedItems containsSemiMixedTypes="0" containsString="0" containsNumber="1" containsInteger="1" minValue="0" maxValue="30"/>
    </cacheField>
    <cacheField name="Region" numFmtId="49">
      <sharedItems containsBlank="1"/>
    </cacheField>
    <cacheField name="Country" numFmtId="49">
      <sharedItems containsBlank="1" count="13">
        <s v="Kenya"/>
        <s v="Brazil"/>
        <s v="Canada"/>
        <s v="China"/>
        <s v="France"/>
        <s v="Germany"/>
        <s v="India"/>
        <s v="Japan"/>
        <s v="Nigeria"/>
        <s v="South Africa"/>
        <s v="United Kingdom"/>
        <s v="USA"/>
        <m/>
      </sharedItems>
    </cacheField>
    <cacheField name="City" numFmtId="49">
      <sharedItems containsBlank="1"/>
    </cacheField>
    <cacheField name="City cleaned" numFmtId="0">
      <sharedItems/>
    </cacheField>
    <cacheField name="Region Hierarchy" numFmtId="0">
      <sharedItems/>
    </cacheField>
    <cacheField name="CustomerSegment" numFmtId="49">
      <sharedItems containsBlank="1"/>
    </cacheField>
    <cacheField name="Channel" numFmtId="49">
      <sharedItems containsBlank="1"/>
    </cacheField>
    <cacheField name="Channel corrected" numFmtId="0">
      <sharedItems/>
    </cacheField>
    <cacheField name="Salesperson" numFmtId="49">
      <sharedItems containsBlank="1"/>
    </cacheField>
    <cacheField name="Salesperson cleaned" numFmtId="0">
      <sharedItems count="16">
        <s v="C. Otieno"/>
        <s v="A. Patel"/>
        <s v="J. Njeri"/>
        <s v="K. Singh"/>
        <s v="G. Dubois"/>
        <s v="N. Brown"/>
        <s v="B. Chen"/>
        <s v="O. Wang"/>
        <s v="F. Müller"/>
        <s v="Not assigned"/>
        <s v="L. Okafor"/>
        <s v="E. Garcia"/>
        <s v="I. Johnson"/>
        <s v="M. Rossi"/>
        <s v="D. Smith"/>
        <s v="H. Kim"/>
      </sharedItems>
    </cacheField>
    <cacheField name="ProductCategory" numFmtId="49">
      <sharedItems containsBlank="1"/>
    </cacheField>
    <cacheField name="ProductCategory_std" numFmtId="0">
      <sharedItems count="8">
        <s v="Components"/>
        <s v="Accessories"/>
        <s v="Monitors"/>
        <s v="Laptops"/>
        <s v="Phones"/>
        <s v="Printers"/>
        <s v="Networking"/>
        <s v=""/>
      </sharedItems>
    </cacheField>
    <cacheField name="PriceBand" numFmtId="0">
      <sharedItems/>
    </cacheField>
    <cacheField name="SKU" numFmtId="49">
      <sharedItems containsBlank="1" count="630">
        <s v="CMP-8270"/>
        <s v="CMP-3731"/>
        <s v="CMP-3693"/>
        <s v="ACC-1663"/>
        <s v="ACC-8098"/>
        <s v="CMP-2693"/>
        <s v="ACC-8683"/>
        <s v="MON-4925"/>
        <s v="LAP-6989"/>
        <s v="PHN-4644"/>
        <s v="LAP-4517"/>
        <s v="ACC-4490"/>
        <s v="ACC-9162"/>
        <s v="PRN-6490"/>
        <s v="MON-2828"/>
        <s v="NET-8561"/>
        <s v="MON-5179"/>
        <s v="NET-2394"/>
        <s v="PHN-5445"/>
        <s v="ACC-6777"/>
        <s v="MON-7869"/>
        <s v="MON-4271"/>
        <s v="MON-6341"/>
        <s v="ACC-5260"/>
        <s v="PRN-2749"/>
        <s v="PHN-7274"/>
        <s v="PHN-2787"/>
        <s v="PHN-7132"/>
        <s v="ACC-3567"/>
        <s v="NET-9125"/>
        <s v="PHN-3014"/>
        <s v="ACC-3951"/>
        <s v="LAP-7056"/>
        <s v="PRN-8763"/>
        <s v="NET-1699"/>
        <s v="NET-1166"/>
        <s v="NET-4104"/>
        <s v="CMP-9801"/>
        <s v="CMP-3093"/>
        <s v="MON-2993"/>
        <s v="PRN-5384"/>
        <s v="PRN-9960"/>
        <s v="PRN-9490"/>
        <s v="NET-3850"/>
        <s v="NET-5482"/>
        <s v="CMP-8658"/>
        <s v="PHN-6506"/>
        <s v="PRN-1271"/>
        <s v="NET-2894"/>
        <s v="PHN-7852"/>
        <s v="NET-1228"/>
        <s v="ACC-2867"/>
        <s v="MON-9274"/>
        <s v="NET-6269"/>
        <s v="LAP-7353"/>
        <s v="MON-6287"/>
        <s v="MON-4317"/>
        <s v="CMP-1223"/>
        <s v="MON-7207"/>
        <s v="PHN-4566"/>
        <s v="MON-2849"/>
        <s v="LAP-4932"/>
        <s v="NET-8610"/>
        <s v="LAP-8555"/>
        <s v="PHN-4854"/>
        <s v="CMP-5946"/>
        <s v="ACC-6348"/>
        <s v="PRN-9669"/>
        <s v="ACC-2386"/>
        <s v="PRN-6429"/>
        <s v="LAP-2218"/>
        <s v="CMP-2136"/>
        <s v="PRN-4453"/>
        <s v="PHN-4568"/>
        <s v="PRN-6178"/>
        <s v="MON-5259"/>
        <s v="MON-7868"/>
        <s v="CMP-8851"/>
        <s v="LAP-2774"/>
        <s v="LAP-6160"/>
        <s v="MON-4361"/>
        <s v="PRN-1276"/>
        <s v="MON-3307"/>
        <s v="PRN-7976"/>
        <s v="CMP-9307"/>
        <s v="ACC-2903"/>
        <s v="LAP-9024"/>
        <s v="ACC-6626"/>
        <s v="PRN-3775"/>
        <s v="NET-1336"/>
        <s v="CMP-2015"/>
        <s v="PRN-9975"/>
        <s v="PRN-9557"/>
        <s v="PRN-8008"/>
        <s v="MON-5386"/>
        <s v="ACC-8620"/>
        <s v="PRN-1371"/>
        <s v="ACC-3415"/>
        <s v="PRN-2407"/>
        <s v="MON-6053"/>
        <s v="LAP-3581"/>
        <s v="MON-6065"/>
        <s v="NET-3785"/>
        <s v="NET-3689"/>
        <s v="CMP-5065"/>
        <s v="PRN-9793"/>
        <s v="PHN-4677"/>
        <s v="NET-3255"/>
        <s v="CMP-8390"/>
        <s v="CMP-7371"/>
        <s v="NET-1846"/>
        <s v="CMP-8196"/>
        <s v="NET-1804"/>
        <s v="PHN-8368"/>
        <s v="LAP-5150"/>
        <s v="CMP-6392"/>
        <s v="MON-9194"/>
        <s v="CMP-6352"/>
        <s v="PHN-2875"/>
        <s v="CMP-3720"/>
        <s v="ACC-1021"/>
        <s v="PHN-9234"/>
        <s v="CMP-4610"/>
        <s v="PRN-4097"/>
        <s v="LAP-1482"/>
        <s v="PRN-8137"/>
        <s v="PHN-7488"/>
        <s v="LAP-5531"/>
        <s v="PRN-4983"/>
        <s v="PRN-3014"/>
        <s v="PRN-5666"/>
        <s v="CMP-6925"/>
        <s v="PHN-3800"/>
        <s v="PRN-6520"/>
        <s v="PHN-7815"/>
        <s v="ACC-7047"/>
        <s v="MON-5749"/>
        <s v="PHN-4915"/>
        <s v="NET-3535"/>
        <s v="LAP-5763"/>
        <s v="CMP-2096"/>
        <s v="MON-2073"/>
        <s v="ACC-9644"/>
        <s v="PRN-5815"/>
        <s v="PRN-6308"/>
        <s v="LAP-8825"/>
        <s v="NET-7998"/>
        <s v="PRN-1923"/>
        <s v="MON-5086"/>
        <s v="CMP-1220"/>
        <s v="PRN-1060"/>
        <s v="NET-8329"/>
        <s v="NET-3728"/>
        <s v="ACC-3721"/>
        <s v="PRN-1641"/>
        <s v="MON-8688"/>
        <s v="NET-4735"/>
        <s v="MON-3773"/>
        <s v="PRN-8392"/>
        <s v="PRN-6791"/>
        <s v="PRN-4170"/>
        <s v="NET-9716"/>
        <s v="PRN-1504"/>
        <s v="LAP-3779"/>
        <s v="ACC-1770"/>
        <s v="CMP-8002"/>
        <s v="PHN-8350"/>
        <s v="MON-7943"/>
        <s v="CMP-2865"/>
        <s v="MON-3745"/>
        <s v="MON-3043"/>
        <s v="PRN-4911"/>
        <s v="PRN-4432"/>
        <s v="NET-8761"/>
        <s v="MON-2100"/>
        <s v="ACC-3385"/>
        <s v="MON-1593"/>
        <s v="PRN-6776"/>
        <s v="PRN-8758"/>
        <s v="ACC-5422"/>
        <s v="MON-5276"/>
        <s v="LAP-4551"/>
        <s v="CMP-4093"/>
        <s v="NET-5195"/>
        <s v="PRN-1086"/>
        <s v="LAP-2942"/>
        <s v="MON-7622"/>
        <s v="PRN-1183"/>
        <s v="LAP-9901"/>
        <s v="PRN-1725"/>
        <s v="MON-3350"/>
        <s v="ACC-6594"/>
        <s v="CMP-3313"/>
        <s v="PRN-7079"/>
        <s v="PHN-9465"/>
        <s v="LAP-3220"/>
        <s v="CMP-2335"/>
        <s v="PHN-5938"/>
        <s v="CMP-5435"/>
        <s v="LAP-3565"/>
        <s v="CMP-5825"/>
        <s v="MON-9216"/>
        <s v="NET-6533"/>
        <s v="MON-1118"/>
        <s v="CMP-4945"/>
        <s v="ACC-1604"/>
        <s v="ACC-4815"/>
        <s v="CMP-5311"/>
        <s v="ACC-7906"/>
        <s v="NET-6218"/>
        <s v="NET-5423"/>
        <s v="CMP-5006"/>
        <s v="ACC-7938"/>
        <s v="CMP-7617"/>
        <s v="MON-9967"/>
        <s v="PRN-9787"/>
        <s v="NET-9989"/>
        <s v="ACC-5780"/>
        <s v="ACC-2761"/>
        <s v="LAP-3679"/>
        <s v="LAP-8214"/>
        <s v="CMP-2040"/>
        <s v="PHN-8057"/>
        <s v="ACC-6543"/>
        <s v="ACC-3989"/>
        <s v="MON-6699"/>
        <s v="CMP-9264"/>
        <s v="NET-3460"/>
        <s v="PRN-7019"/>
        <s v="MON-1663"/>
        <s v="MON-2537"/>
        <s v="PRN-5492"/>
        <s v="MON-2842"/>
        <s v="LAP-5009"/>
        <s v="MON-7626"/>
        <s v="ACC-1882"/>
        <s v="MON-8651"/>
        <s v="ACC-8094"/>
        <s v="LAP-9931"/>
        <s v="PHN-3803"/>
        <s v="LAP-1619"/>
        <s v="PHN-9399"/>
        <s v="MON-4278"/>
        <s v="MON-9662"/>
        <s v="PHN-8483"/>
        <s v="MON-4195"/>
        <s v="PRN-2409"/>
        <s v="PRN-4892"/>
        <s v="LAP-4899"/>
        <s v="PRN-6911"/>
        <s v="CMP-4159"/>
        <s v="PRN-3159"/>
        <s v="CMP-8675"/>
        <s v="ACC-1731"/>
        <s v="PHN-2462"/>
        <s v="PHN-1924"/>
        <s v="NET-4228"/>
        <s v="PHN-3007"/>
        <s v="NET-8787"/>
        <s v="LAP-4666"/>
        <s v="PRN-9624"/>
        <s v="ACC-5150"/>
        <s v="CMP-1940"/>
        <s v="MON-8629"/>
        <s v="CMP-6919"/>
        <s v="PRN-4506"/>
        <s v="NET-2062"/>
        <s v="MON-4330"/>
        <s v="MON-5188"/>
        <s v="CMP-1009"/>
        <s v="MON-8973"/>
        <s v="PHN-3482"/>
        <s v="MON-1822"/>
        <s v="CMP-8141"/>
        <s v="MON-2266"/>
        <s v="CMP-3875"/>
        <s v="MON-9906"/>
        <s v="MON-7602"/>
        <s v="MON-1572"/>
        <s v="PHN-2447"/>
        <s v="PRN-5005"/>
        <s v="CMP-4807"/>
        <s v="MON-1436"/>
        <s v="LAP-2378"/>
        <s v="LAP-9016"/>
        <s v="NET-9835"/>
        <s v="CMP-5138"/>
        <s v="ACC-3068"/>
        <s v="PHN-3854"/>
        <s v="PHN-1717"/>
        <s v="LAP-1990"/>
        <s v="CMP-3259"/>
        <s v="LAP-2806"/>
        <s v="PRN-8850"/>
        <s v="PRN-9378"/>
        <s v="LAP-8119"/>
        <s v="NET-6578"/>
        <s v="ACC-1075"/>
        <s v="ACC-2902"/>
        <s v="PHN-2859"/>
        <s v="LAP-8469"/>
        <s v="PHN-3077"/>
        <s v="PHN-5683"/>
        <s v="NET-9832"/>
        <s v="PHN-4346"/>
        <s v="ACC-1375"/>
        <s v="PRN-2301"/>
        <s v="CMP-6811"/>
        <s v="NET-6014"/>
        <s v="ACC-7240"/>
        <s v="MON-4830"/>
        <s v="LAP-5078"/>
        <s v="MON-2465"/>
        <s v="CMP-1156"/>
        <s v="LAP-3905"/>
        <s v="LAP-6499"/>
        <s v="ACC-9283"/>
        <s v="PRN-6585"/>
        <s v="ACC-4587"/>
        <s v="PHN-4395"/>
        <s v="NET-4675"/>
        <s v="NET-2460"/>
        <s v="CMP-1555"/>
        <s v="PRN-8041"/>
        <s v="PHN-7019"/>
        <s v="PHN-1197"/>
        <s v="CMP-6971"/>
        <s v="MON-6870"/>
        <s v="MON-2990"/>
        <s v="NET-1966"/>
        <s v="NET-6387"/>
        <s v="NET-3033"/>
        <s v="PRN-8175"/>
        <s v="NET-7924"/>
        <s v="MON-9227"/>
        <s v="ACC-2735"/>
        <s v="CMP-5211"/>
        <s v="ACC-9591"/>
        <s v="PHN-9789"/>
        <s v="NET-7588"/>
        <s v="NET-1645"/>
        <s v="MON-5249"/>
        <s v="PRN-7816"/>
        <s v="LAP-4828"/>
        <s v="MON-2998"/>
        <s v="MON-8939"/>
        <s v="NET-8430"/>
        <s v="PHN-6818"/>
        <s v="CMP-3743"/>
        <s v="PRN-2991"/>
        <s v="PHN-6131"/>
        <s v="NET-9575"/>
        <s v="LAP-3604"/>
        <s v="NET-8957"/>
        <s v="CMP-7055"/>
        <s v="ACC-1249"/>
        <s v="LAP-8347"/>
        <s v="LAP-7009"/>
        <s v="PHN-8478"/>
        <s v="CMP-8604"/>
        <s v="LAP-1946"/>
        <s v="PHN-5675"/>
        <s v="CMP-6649"/>
        <s v="CMP-5658"/>
        <s v="NET-1893"/>
        <s v="PRN-3917"/>
        <s v="PHN-6480"/>
        <s v="ACC-1596"/>
        <s v="PRN-1786"/>
        <s v="NET-9569"/>
        <s v="NET-7349"/>
        <s v="PHN-6111"/>
        <s v="CMP-6495"/>
        <s v="LAP-4483"/>
        <s v="PHN-9677"/>
        <s v="MON-1564"/>
        <s v="PRN-9867"/>
        <s v="PRN-6131"/>
        <s v="ACC-7713"/>
        <s v="PRN-5264"/>
        <s v="PHN-9184"/>
        <s v="LAP-3017"/>
        <s v="NET-9666"/>
        <s v="LAP-1698"/>
        <s v="LAP-9815"/>
        <s v="PHN-6854"/>
        <s v="PHN-1784"/>
        <s v="PRN-3143"/>
        <s v="LAP-7819"/>
        <s v="ACC-2252"/>
        <s v="CMP-2854"/>
        <s v="PHN-6954"/>
        <s v="LAP-7136"/>
        <s v="PHN-8970"/>
        <s v="ACC-9820"/>
        <s v="PHN-7924"/>
        <s v="PHN-8014"/>
        <s v="LAP-3278"/>
        <s v="PRN-7089"/>
        <s v="ACC-4124"/>
        <s v="PHN-5082"/>
        <s v="NET-6036"/>
        <s v="ACC-1659"/>
        <s v="PRN-6068"/>
        <s v="PHN-1671"/>
        <s v="CMP-4970"/>
        <s v="PRN-7049"/>
        <s v="PHN-8804"/>
        <s v="NET-2628"/>
        <s v="PHN-1234"/>
        <s v="LAP-4607"/>
        <s v="ACC-2988"/>
        <s v="PHN-2337"/>
        <s v="ACC-1238"/>
        <s v="PRN-4893"/>
        <s v="PHN-6866"/>
        <s v="NET-3432"/>
        <s v="PHN-8891"/>
        <s v="NET-2499"/>
        <s v="CMP-3938"/>
        <s v="PRN-9488"/>
        <s v="MON-2462"/>
        <s v="MON-6190"/>
        <s v="PRN-2641"/>
        <s v="LAP-1739"/>
        <s v="LAP-1989"/>
        <s v="ACC-5144"/>
        <s v="ACC-7354"/>
        <s v="PHN-1919"/>
        <s v="CMP-5911"/>
        <s v="PHN-7636"/>
        <s v="LAP-1969"/>
        <s v="LAP-6577"/>
        <s v="PRN-5569"/>
        <s v="NET-5987"/>
        <s v="ACC-4766"/>
        <s v="ACC-1028"/>
        <s v="PRN-9322"/>
        <s v="PHN-4556"/>
        <s v="PRN-6276"/>
        <s v="MON-6892"/>
        <s v="ACC-3961"/>
        <s v="PRN-7303"/>
        <s v="PRN-2542"/>
        <s v="NET-5268"/>
        <s v="ACC-9038"/>
        <s v="ACC-5177"/>
        <s v="ACC-4056"/>
        <s v="MON-5517"/>
        <s v="MON-8758"/>
        <s v="ACC-8999"/>
        <s v="PRN-1141"/>
        <s v="PHN-4741"/>
        <s v="CMP-4630"/>
        <s v="LAP-3490"/>
        <s v="CMP-9392"/>
        <s v="ACC-4483"/>
        <s v="ACC-9533"/>
        <s v="ACC-8178"/>
        <s v="PHN-1670"/>
        <s v="CMP-4792"/>
        <s v="ACC-5334"/>
        <s v="LAP-3904"/>
        <s v="MON-4373"/>
        <s v="LAP-9100"/>
        <s v="PHN-5887"/>
        <s v="PHN-3971"/>
        <s v="LAP-8910"/>
        <s v="LAP-7553"/>
        <s v="MON-4789"/>
        <s v="PHN-2436"/>
        <s v="ACC-7671"/>
        <s v="ACC-2990"/>
        <s v="CMP-6529"/>
        <s v="ACC-3349"/>
        <s v="CMP-5633"/>
        <s v="PRN-1882"/>
        <s v="ACC-8242"/>
        <s v="LAP-7523"/>
        <s v="CMP-9001"/>
        <s v="NET-8856"/>
        <s v="NET-7966"/>
        <s v="CMP-1559"/>
        <s v="NET-1412"/>
        <s v="LAP-3393"/>
        <s v="MON-2296"/>
        <s v="LAP-8489"/>
        <s v="CMP-5208"/>
        <s v="NET-5018"/>
        <s v="CMP-4531"/>
        <s v="CMP-8101"/>
        <s v="NET-4241"/>
        <s v="LAP-1525"/>
        <s v="LAP-6342"/>
        <s v="LAP-7099"/>
        <s v="PRN-3785"/>
        <s v="CMP-3978"/>
        <s v="CMP-7063"/>
        <s v="NET-1612"/>
        <s v="CMP-8230"/>
        <s v="PHN-3819"/>
        <s v="PHN-6832"/>
        <s v="ACC-6223"/>
        <s v="CMP-8659"/>
        <s v="MON-1389"/>
        <s v="ACC-2364"/>
        <s v="MON-1018"/>
        <s v="PRN-6660"/>
        <s v="CMP-2574"/>
        <s v="NET-7901"/>
        <s v="LAP-7320"/>
        <s v="MON-5891"/>
        <s v="CMP-6898"/>
        <s v="MON-3504"/>
        <s v="MON-7106"/>
        <s v="ACC-5206"/>
        <s v="NET-5270"/>
        <s v="PRN-4732"/>
        <s v="PHN-8072"/>
        <s v="LAP-1308"/>
        <s v="ACC-9445"/>
        <s v="PRN-1654"/>
        <s v="MON-8422"/>
        <s v="PRN-4787"/>
        <s v="PHN-7379"/>
        <s v="CMP-1470"/>
        <s v="LAP-3385"/>
        <s v="LAP-9932"/>
        <s v="NET-2365"/>
        <s v="ACC-9150"/>
        <s v="CMP-5820"/>
        <s v="NET-7166"/>
        <s v="PRN-8970"/>
        <s v="PHN-2341"/>
        <s v="LAP-9230"/>
        <s v="NET-6370"/>
        <s v="CMP-6346"/>
        <s v="LAP-9782"/>
        <s v="CMP-1072"/>
        <s v="MON-6962"/>
        <s v="PRN-5107"/>
        <s v="MON-7511"/>
        <s v="MON-4959"/>
        <s v="CMP-7256"/>
        <s v="LAP-9766"/>
        <s v="NET-2439"/>
        <s v="MON-9733"/>
        <s v="ACC-8557"/>
        <s v="ACC-1492"/>
        <s v="PHN-5316"/>
        <s v="MON-6310"/>
        <s v="PRN-2293"/>
        <s v="NET-9003"/>
        <s v="ACC-1060"/>
        <s v="PRN-7410"/>
        <s v="ACC-3103"/>
        <s v="ACC-7838"/>
        <s v="PHN-5383"/>
        <s v="PRN-3690"/>
        <s v="PRN-8657"/>
        <s v="PRN-5876"/>
        <s v="CMP-8545"/>
        <s v="MON-8697"/>
        <s v="ACC-3645"/>
        <s v="LAP-1066"/>
        <s v="LAP-1178"/>
        <s v="PRN-5813"/>
        <s v="NET-1145"/>
        <s v="PHN-9107"/>
        <s v="CMP-8127"/>
        <s v="NET-4491"/>
        <s v="NET-2502"/>
        <s v="LAP-5689"/>
        <s v="ACC-3833"/>
        <s v="NET-2932"/>
        <s v="LAP-8633"/>
        <s v="PRN-5067"/>
        <s v="MON-4215"/>
        <s v="PRN-5753"/>
        <s v="LAP-4987"/>
        <s v="PRN-6536"/>
        <s v="MON-3371"/>
        <s v="ACC-4511"/>
        <s v="PHN-4356"/>
        <s v="NET-4155"/>
        <s v="PRN-4788"/>
        <s v="ACC-7078"/>
        <s v="CMP-1632"/>
        <s v="LAP-7979"/>
        <s v="NET-5941"/>
        <s v="PHN-3159"/>
        <s v="PRN-8604"/>
        <s v="PHN-2013"/>
        <s v="ACC-3551"/>
        <s v="ACC-5079"/>
        <s v="PRN-2098"/>
        <s v="LAP-2846"/>
        <s v="CMP-7563"/>
        <s v="PRN-2829"/>
        <s v="NET-5523"/>
        <s v="MON-5424"/>
        <s v="MON-4326"/>
        <s v="MON-5444"/>
        <s v="NET-3749"/>
        <s v="MON-9319"/>
        <s v="NET-4554"/>
        <s v="PHN-6307"/>
        <s v="NET-1816"/>
        <s v="LAP-6750"/>
        <s v="PHN-2036"/>
        <s v="PHN-7974"/>
        <s v="NET-3828"/>
        <s v="PHN-3398"/>
        <s v="PRN-5591"/>
        <s v="PHN-1044"/>
        <s v="MON-6882"/>
        <s v="MON-8867"/>
        <s v="PHN-8776"/>
        <s v="CMP-3223"/>
        <s v="CMP-2410"/>
        <s v="NET-5196"/>
        <s v="MON-7099"/>
        <s v="CMP-9498"/>
        <s v="NET-9177"/>
        <s v="PHN-5366"/>
        <s v="NET-1282"/>
        <s v="PRN-9249"/>
        <s v="PRN-4906"/>
        <s v="MON-8129"/>
        <m/>
      </sharedItems>
    </cacheField>
    <cacheField name="UnitCost" numFmtId="164">
      <sharedItems containsString="0" containsBlank="1" containsNumber="1" minValue="5.34" maxValue="1495.79"/>
    </cacheField>
    <cacheField name="UnitPrice" numFmtId="164">
      <sharedItems containsString="0" containsBlank="1" containsNumber="1" minValue="-33.659999999999997" maxValue="3661.07"/>
    </cacheField>
    <cacheField name="Unitprice_check" numFmtId="164">
      <sharedItems/>
    </cacheField>
    <cacheField name="Corrected unit price" numFmtId="164">
      <sharedItems containsMixedTypes="1" containsNumber="1" minValue="0" maxValue="3661.07"/>
    </cacheField>
    <cacheField name="DiscountPct" numFmtId="10">
      <sharedItems containsString="0" containsBlank="1" containsNumber="1" minValue="0" maxValue="0.56499999999999995"/>
    </cacheField>
    <cacheField name="Discount check" numFmtId="0">
      <sharedItems/>
    </cacheField>
    <cacheField name="Corrected discount" numFmtId="10">
      <sharedItems containsSemiMixedTypes="0" containsString="0" containsNumber="1" minValue="0" maxValue="0.3"/>
    </cacheField>
    <cacheField name="Quantity" numFmtId="1">
      <sharedItems containsString="0" containsBlank="1" containsNumber="1" containsInteger="1" minValue="2" maxValue="61"/>
    </cacheField>
    <cacheField name="Gross Revenue" numFmtId="1">
      <sharedItems containsMixedTypes="1" containsNumber="1" minValue="0" maxValue="139277.83032000001"/>
    </cacheField>
    <cacheField name="Revenue per sku" numFmtId="1">
      <sharedItems containsMixedTypes="1" containsNumber="1" minValue="0" maxValue="1711094.3775999998"/>
    </cacheField>
    <cacheField name="Cost of goods" numFmtId="1">
      <sharedItems containsSemiMixedTypes="0" containsString="0" containsNumber="1" minValue="0" maxValue="83258.290000000008"/>
    </cacheField>
    <cacheField name="Gross profit" numFmtId="1">
      <sharedItems containsMixedTypes="1" containsNumber="1" minValue="-15655.657510000005" maxValue="65188.659999999996"/>
    </cacheField>
    <cacheField name="Margin Pct" numFmtId="0">
      <sharedItems containsMixedTypes="1" containsNumber="1" minValue="-0.87167486187856302" maxValue="0.59672531214528945"/>
    </cacheField>
    <cacheField name="MinOrderDate" numFmtId="0">
      <sharedItems containsSemiMixedTypes="0" containsString="0" containsNumber="1" containsInteger="1" minValue="44928" maxValue="44928"/>
    </cacheField>
    <cacheField name="Cohort 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50.771617592596" createdVersion="6" refreshedVersion="6" minRefreshableVersion="3" recordCount="632">
  <cacheSource type="worksheet">
    <worksheetSource ref="A1:AN632" sheet="Data"/>
  </cacheSource>
  <cacheFields count="33">
    <cacheField name="OrderID" numFmtId="49">
      <sharedItems containsMixedTypes="1" containsNumber="1" containsInteger="1" minValue="0" maxValue="0" count="632">
        <s v="ORD-2024-275203"/>
        <s v="ORD-2025-997421"/>
        <s v="ORD-2025-487261"/>
        <s v="ORD-2025-840976"/>
        <s v="ORD-2025-843974"/>
        <s v="ORD-2023-271836"/>
        <s v="ORD-2024-215294"/>
        <s v="ORD-2025-765220"/>
        <s v="ORD-2025-931538"/>
        <s v="ORD-2023-239789"/>
        <s v="ORD-2025-640677"/>
        <s v="ORD-2024-446699"/>
        <s v="ORD-2024-451005"/>
        <s v="ORD-2023-374486"/>
        <s v="ORD-2023-869884"/>
        <s v="ORD-2024-588972"/>
        <s v="ORD-2025-650719"/>
        <s v="ORD-2023-309373"/>
        <s v="ORD-2024-219735"/>
        <s v="ORD-2025-667201"/>
        <s v="ORD-2023-825836"/>
        <s v="ORD-2024-503082"/>
        <s v="ORD-2024-444710"/>
        <s v="ORD-2023-653343"/>
        <s v="ORD-2024-777623"/>
        <s v="ORD-2023-195665"/>
        <s v="ORD-2025-757957"/>
        <s v="ORD-2023-747341"/>
        <s v="ORD-2023-888140"/>
        <s v="ORD-2023-630430"/>
        <s v="ORD-2023-967239"/>
        <s v="ORD-2023-253245"/>
        <s v="ORD-2024-499009"/>
        <s v="ORD-2025-752845"/>
        <s v="ORD-2023-594700"/>
        <s v="ORD-2024-403664"/>
        <s v="ORD-2023-619570"/>
        <s v="ORD-2024-206121"/>
        <s v="ORD-2024-500890"/>
        <s v="ORD-2025-779530"/>
        <s v="ORD-2024-129345"/>
        <s v="ORD-2024-225829"/>
        <s v="ORD-2025-949776"/>
        <s v="ORD-2024-510591"/>
        <s v="ORD-2025-915869"/>
        <s v="ORD-2025-909340"/>
        <s v="ORD-2023-581799"/>
        <s v="ORD-2023-588455"/>
        <s v="ORD-2023-867175"/>
        <s v="ORD-2024-516704"/>
        <s v="ORD-2023-434071"/>
        <s v="ORD-2023-406606"/>
        <s v="ORD-2025-823055"/>
        <s v="ORD-2025-680118"/>
        <s v="ORD-2025-149156"/>
        <s v="ORD-2024-202877"/>
        <s v="ORD-2025-419532"/>
        <s v="ORD-2023-244375"/>
        <s v="ORD-2023-856322"/>
        <s v="ORD-2025-246692"/>
        <s v="ORD-2024-585443"/>
        <s v="ORD-2023-552115"/>
        <s v="ORD-2025-907040"/>
        <s v="ORD-2023-723587"/>
        <s v="ORD-2023-562894"/>
        <s v="ORD-2024-389336"/>
        <s v="ORD-2024-468501"/>
        <s v="ORD-2023-343322"/>
        <s v="ORD-2024-478165"/>
        <s v="ORD-2025-698069"/>
        <s v="ORD-2025-956101"/>
        <s v="ORD-2023-603238"/>
        <s v="ORD-2024-389102"/>
        <s v="ORD-2024-438404"/>
        <s v="ORD-2025-246470"/>
        <s v="ORD-2023-987700"/>
        <s v="ORD-2025-586799"/>
        <s v="ORD-2025-132174"/>
        <s v="ORD-2024-544865"/>
        <s v="ORD-2023-276806"/>
        <s v="ORD-2024-220234"/>
        <s v="ORD-2025-898022"/>
        <s v="ORD-2023-369160"/>
        <s v="ORD-2024-792137"/>
        <s v="ORD-2025-191328"/>
        <s v="ORD-2023-890605"/>
        <s v="ORD-2023-163610"/>
        <s v="ORD-2024-901115"/>
        <s v="ORD-2025-306903"/>
        <s v="ORD-2025-822030"/>
        <s v="ORD-2024-170021"/>
        <s v="ORD-2023-987081"/>
        <s v="ORD-2024-510520"/>
        <s v="ORD-2023-769774"/>
        <s v="ORD-2024-886939"/>
        <s v="ORD-2024-257550"/>
        <s v="ORD-2024-371409"/>
        <s v="ORD-2023-488227"/>
        <s v="ORD-2025-874124"/>
        <s v="ORD-2023-356427"/>
        <s v="ORD-2024-355095"/>
        <s v="ORD-2023-126505"/>
        <s v="ORD-2025-281413"/>
        <s v="ORD-2023-713614"/>
        <s v="ORD-2025-705398"/>
        <s v="ORD-2024-550400"/>
        <s v="ORD-2023-921939"/>
        <s v="ORD-2023-867836"/>
        <s v="ORD-2025-718992"/>
        <s v="ORD-2023-809913"/>
        <s v="ORD-2024-800947"/>
        <s v="ORD-2024-594592"/>
        <s v="ORD-2025-541501"/>
        <s v="ORD-2025-328504"/>
        <s v="ORD-2024-771210"/>
        <s v="ORD-2024-909942"/>
        <s v="ORD-2023-427304"/>
        <s v="ORD-2023-883066"/>
        <s v="ORD-2025-354346"/>
        <s v="ORD-2024-836421"/>
        <s v="ORD-2024-232632"/>
        <s v="ORD-2025-418232"/>
        <s v="ORD-2024-357368"/>
        <s v="ORD-2024-134084"/>
        <s v="ORD-2023-157993"/>
        <s v="ORD-2025-652467"/>
        <s v="ORD-2024-237478"/>
        <s v="ORD-2024-760799"/>
        <s v="ORD-2023-925146"/>
        <s v="ORD-2024-988736"/>
        <s v="ORD-2024-720756"/>
        <s v="ORD-2023-603650"/>
        <s v="ORD-2025-509940"/>
        <s v="ORD-2023-166668"/>
        <s v="ORD-2024-571797"/>
        <s v="ORD-2024-961756"/>
        <s v="ORD-2024-343877"/>
        <s v="ORD-2024-868223"/>
        <s v="ORD-2025-188059"/>
        <s v="ORD-2023-619385"/>
        <s v="ORD-2023-368449"/>
        <s v="ORD-2023-854471"/>
        <s v="ORD-2023-674887"/>
        <s v="ORD-2025-222035"/>
        <s v="ORD-2024-468655"/>
        <s v="ORD-2024-651852"/>
        <s v="ORD-2024-581530"/>
        <s v="ORD-2023-184577"/>
        <s v="ORD-2023-880296"/>
        <s v="ORD-2025-779659"/>
        <s v="ORD-2023-744942"/>
        <s v="ORD-2025-331237"/>
        <s v="ORD-2024-732543"/>
        <s v="ORD-2024-468615"/>
        <s v="ORD-2023-700699"/>
        <s v="ORD-2024-626925"/>
        <s v="ORD-2023-885216"/>
        <s v="ORD-2023-548934"/>
        <s v="ORD-2024-890180"/>
        <s v="ORD-2024-206081"/>
        <s v="ORD-2024-788105"/>
        <s v="ORD-2025-548982"/>
        <s v="ORD-2023-292714"/>
        <s v="ORD-2025-578007"/>
        <s v="ORD-2025-639542"/>
        <s v="ORD-2024-906395"/>
        <s v="ORD-2025-526650"/>
        <s v="ORD-2024-192263"/>
        <s v="ORD-2025-114382"/>
        <s v="ORD-2023-576840"/>
        <s v="ORD-2023-867285"/>
        <s v="ORD-2024-783321"/>
        <s v="ORD-2023-192324"/>
        <s v="ORD-2024-764468"/>
        <s v="ORD-2024-329104"/>
        <s v="ORD-2023-399631"/>
        <s v="ORD-2025-542939"/>
        <s v="ORD-2024-885858"/>
        <s v="ORD-2024-834983"/>
        <s v="ORD-2025-939953"/>
        <s v="ORD-2025-138578"/>
        <s v="ORD-2023-884192"/>
        <s v="ORD-2025-231184"/>
        <s v="ORD-2023-888245"/>
        <s v="ORD-2024-332076"/>
        <s v="ORD-2023-813340"/>
        <s v="ORD-2024-398783"/>
        <s v="ORD-2024-307849"/>
        <s v="ORD-2024-678110"/>
        <s v="ORD-2024-375848"/>
        <s v="ORD-2024-811752"/>
        <s v="ORD-2023-808024"/>
        <s v="ORD-2024-202166"/>
        <s v="ORD-2023-243704"/>
        <s v="ORD-2025-683043"/>
        <s v="ORD-2025-417336"/>
        <s v="ORD-2024-382152"/>
        <s v="ORD-2023-597666"/>
        <s v="ORD-2024-792353"/>
        <s v="ORD-2023-867166"/>
        <s v="ORD-2024-892879"/>
        <s v="ORD-2025-778145"/>
        <s v="ORD-2023-215819"/>
        <s v="ORD-2024-766980"/>
        <s v="ORD-2023-340056"/>
        <s v="ORD-2025-281062"/>
        <s v="ORD-2023-727290"/>
        <s v="ORD-2025-993993"/>
        <s v="ORD-2025-856556"/>
        <s v="ORD-2025-189846"/>
        <s v="ORD-2023-451931"/>
        <s v="ORD-2024-756884"/>
        <s v="ORD-2024-210687"/>
        <s v="ORD-2024-692673"/>
        <s v="ORD-2024-635626"/>
        <s v="ORD-2025-820255"/>
        <s v="ORD-2023-235230"/>
        <s v="ORD-2024-289089"/>
        <s v="ORD-2024-287210"/>
        <s v="ORD-2023-422918"/>
        <s v="ORD-2024-474999"/>
        <s v="ORD-2024-584090"/>
        <s v="ORD-2024-902741"/>
        <s v="ORD-2024-211453"/>
        <s v="ORD-2025-766923"/>
        <s v="ORD-2023-884625"/>
        <s v="ORD-2024-960952"/>
        <s v="ORD-2023-575584"/>
        <s v="ORD-2023-701153"/>
        <s v="ORD-2023-390998"/>
        <s v="ORD-2023-613317"/>
        <s v="ORD-2024-866535"/>
        <s v="ORD-2025-946490"/>
        <s v="ORD-2024-855600"/>
        <s v="ORD-2025-184754"/>
        <s v="ORD-2023-521280"/>
        <s v="ORD-2024-745822"/>
        <s v="ORD-2025-678328"/>
        <s v="ORD-2024-366010"/>
        <s v="ORD-2025-541048"/>
        <s v="ORD-2025-398335"/>
        <s v="ORD-2024-819979"/>
        <s v="ORD-2023-212701"/>
        <s v="ORD-2025-677880"/>
        <s v="ORD-2023-933238"/>
        <s v="ORD-2024-749242"/>
        <s v="ORD-2024-381197"/>
        <s v="ORD-2024-745424"/>
        <s v="ORD-2023-191563"/>
        <s v="ORD-2024-356812"/>
        <s v="ORD-2025-795385"/>
        <s v="ORD-2025-947929"/>
        <s v="ORD-2023-799597"/>
        <s v="ORD-2023-609394"/>
        <s v="ORD-2025-252117"/>
        <s v="ORD-2023-349264"/>
        <s v="ORD-2024-402240"/>
        <s v="ORD-2025-926547"/>
        <s v="ORD-2023-811823"/>
        <s v="ORD-2023-453699"/>
        <s v="ORD-2023-472078"/>
        <s v="ORD-2025-337268"/>
        <s v="ORD-2023-961864"/>
        <s v="ORD-2024-336584"/>
        <s v="ORD-2024-170313"/>
        <s v="ORD-2023-864121"/>
        <s v="ORD-2023-308124"/>
        <s v="ORD-2024-260775"/>
        <s v="ORD-2024-247979"/>
        <s v="ORD-2023-722117"/>
        <s v="ORD-2024-604471"/>
        <s v="ORD-2025-526752"/>
        <s v="ORD-2025-262491"/>
        <s v="ORD-2024-851883"/>
        <s v="ORD-2023-906481"/>
        <s v="ORD-2024-553449"/>
        <s v="ORD-2023-848013"/>
        <s v="ORD-2023-304451"/>
        <s v="ORD-2023-431328"/>
        <s v="ORD-2023-964434"/>
        <s v="ORD-2023-517216"/>
        <s v="ORD-2023-474313"/>
        <s v="ORD-2025-484073"/>
        <s v="ORD-2023-211715"/>
        <s v="ORD-2025-983096"/>
        <s v="ORD-2024-862371"/>
        <s v="ORD-2024-153053"/>
        <s v="ORD-2023-944052"/>
        <s v="ORD-2025-323492"/>
        <s v="ORD-2024-647473"/>
        <s v="ORD-2025-480172"/>
        <s v="ORD-2025-624006"/>
        <s v="ORD-2023-676553"/>
        <s v="ORD-2025-866565"/>
        <s v="ORD-2024-390951"/>
        <s v="ORD-2025-512310"/>
        <s v="ORD-2024-465898"/>
        <s v="ORD-2024-655710"/>
        <s v="ORD-2025-411385"/>
        <s v="ORD-2025-831576"/>
        <s v="ORD-2024-515105"/>
        <s v="ORD-2024-993481"/>
        <s v="ORD-2025-673091"/>
        <s v="ORD-2024-972318"/>
        <s v="ORD-2024-446030"/>
        <s v="ORD-2023-842820"/>
        <s v="ORD-2023-109927"/>
        <s v="ORD-2024-851993"/>
        <s v="ORD-2023-728177"/>
        <s v="ORD-2024-578646"/>
        <s v="ORD-2023-573656"/>
        <s v="ORD-2024-776337"/>
        <s v="ORD-2023-913592"/>
        <s v="ORD-2025-137394"/>
        <s v="ORD-2025-635337"/>
        <s v="ORD-2023-472050"/>
        <s v="ORD-2023-957692"/>
        <s v="ORD-2024-872291"/>
        <s v="ORD-2023-868460"/>
        <s v="ORD-2025-177994"/>
        <s v="ORD-2024-817997"/>
        <s v="ORD-2023-561823"/>
        <s v="ORD-2023-249805"/>
        <s v="ORD-2023-824839"/>
        <s v="ORD-2025-515515"/>
        <s v="ORD-2025-233883"/>
        <s v="ORD-2025-779574"/>
        <s v="ORD-2024-347736"/>
        <s v="ORD-2023-258768"/>
        <s v="ORD-2025-626047"/>
        <s v="ORD-2024-792558"/>
        <s v="ORD-2023-975863"/>
        <s v="ORD-2023-596758"/>
        <s v="ORD-2024-136321"/>
        <s v="ORD-2023-240507"/>
        <s v="ORD-2024-605629"/>
        <s v="ORD-2023-450877"/>
        <s v="ORD-2025-898843"/>
        <s v="ORD-2024-668926"/>
        <s v="ORD-2024-197852"/>
        <s v="ORD-2023-290237"/>
        <s v="ORD-2024-569164"/>
        <s v="ORD-2024-281211"/>
        <s v="ORD-2025-646342"/>
        <s v="ORD-2025-248586"/>
        <s v="ORD-2024-350100"/>
        <s v="ORD-2025-685236"/>
        <s v="ORD-2023-610470"/>
        <s v="ORD-2025-487025"/>
        <s v="ORD-2025-415018"/>
        <s v="ORD-2023-363031"/>
        <s v="ORD-2024-892908"/>
        <s v="ORD-2023-573146"/>
        <s v="ORD-2024-915495"/>
        <s v="ORD-2025-125517"/>
        <s v="ORD-2025-486350"/>
        <s v="ORD-2024-102866"/>
        <s v="ORD-2024-542244"/>
        <s v="ORD-2023-623293"/>
        <s v="ORD-2023-752962"/>
        <s v="ORD-2023-580751"/>
        <s v="ORD-2025-417942"/>
        <s v="ORD-2023-539967"/>
        <s v="ORD-2025-496178"/>
        <s v="ORD-2024-105586"/>
        <s v="ORD-2024-207792"/>
        <s v="ORD-2025-254721"/>
        <s v="ORD-2025-703623"/>
        <s v="ORD-2023-568013"/>
        <s v="ORD-2024-532184"/>
        <s v="ORD-2023-139236"/>
        <s v="ORD-2024-536442"/>
        <s v="ORD-2025-169093"/>
        <s v="ORD-2024-594527"/>
        <s v="ORD-2024-572312"/>
        <s v="ORD-2024-947056"/>
        <s v="ORD-2025-683247"/>
        <s v="ORD-2025-752192"/>
        <s v="ORD-2023-107265"/>
        <s v="ORD-2025-532859"/>
        <s v="ORD-2023-455933"/>
        <s v="ORD-2025-728935"/>
        <s v="ORD-2023-373538"/>
        <s v="ORD-2023-937291"/>
        <s v="ORD-2024-798002"/>
        <s v="ORD-2024-855073"/>
        <s v="ORD-2023-897079"/>
        <s v="ORD-2024-998320"/>
        <s v="ORD-2023-419187"/>
        <s v="ORD-2025-762301"/>
        <s v="ORD-2025-863978"/>
        <s v="ORD-2025-725646"/>
        <s v="ORD-2025-662997"/>
        <s v="ORD-2023-251563"/>
        <s v="ORD-2024-166150"/>
        <s v="ORD-2023-178249"/>
        <s v="ORD-2023-613287"/>
        <s v="ORD-2025-244832"/>
        <s v="ORD-2024-201376"/>
        <s v="ORD-2023-842488"/>
        <s v="ORD-2024-968374"/>
        <s v="ORD-2023-586275"/>
        <s v="ORD-2025-146850"/>
        <s v="ORD-2024-687100"/>
        <s v="ORD-2025-564184"/>
        <s v="ORD-2025-762212"/>
        <s v="ORD-2023-949710"/>
        <s v="ORD-2024-805860"/>
        <s v="ORD-2024-320972"/>
        <s v="ORD-2023-274037"/>
        <s v="ORD-2024-878493"/>
        <s v="ORD-2023-835010"/>
        <s v="ORD-2023-536542"/>
        <s v="ORD-2023-261081"/>
        <s v="ORD-2024-333192"/>
        <s v="ORD-2024-819778"/>
        <s v="ORD-2025-608069"/>
        <s v="ORD-2023-378104"/>
        <s v="ORD-2023-156396"/>
        <s v="ORD-2024-508213"/>
        <s v="ORD-2023-931633"/>
        <s v="ORD-2024-647571"/>
        <s v="ORD-2024-833375"/>
        <s v="ORD-2024-364080"/>
        <s v="ORD-2024-713332"/>
        <s v="ORD-2023-286720"/>
        <s v="ORD-2025-332931"/>
        <s v="ORD-2024-555229"/>
        <s v="ORD-2024-331226"/>
        <s v="ORD-2024-979401"/>
        <s v="ORD-2025-155182"/>
        <s v="ORD-2024-689872"/>
        <s v="ORD-2024-442776"/>
        <s v="ORD-2024-266562"/>
        <s v="ORD-2024-341535"/>
        <s v="ORD-2023-755337"/>
        <s v="ORD-2025-649633"/>
        <s v="ORD-2024-358795"/>
        <s v="ORD-2025-168148"/>
        <s v="ORD-2023-112666"/>
        <s v="ORD-2024-589570"/>
        <s v="ORD-2025-580047"/>
        <s v="ORD-2024-599522"/>
        <s v="ORD-2023-128295"/>
        <s v="ORD-2024-966651"/>
        <s v="ORD-2024-997336"/>
        <s v="ORD-2024-638884"/>
        <s v="ORD-2025-501927"/>
        <s v="ORD-2023-334213"/>
        <s v="ORD-2024-640340"/>
        <s v="ORD-2025-629393"/>
        <s v="ORD-2024-423853"/>
        <s v="ORD-2024-853298"/>
        <s v="ORD-2023-638181"/>
        <s v="ORD-2025-440093"/>
        <s v="ORD-2023-632893"/>
        <s v="ORD-2025-922513"/>
        <s v="ORD-2025-944081"/>
        <s v="ORD-2023-660608"/>
        <s v="ORD-2023-898009"/>
        <s v="ORD-2023-208944"/>
        <s v="ORD-2023-479747"/>
        <s v="ORD-2023-159821"/>
        <s v="ORD-2023-545150"/>
        <s v="ORD-2024-527858"/>
        <s v="ORD-2025-881624"/>
        <s v="ORD-2023-732585"/>
        <s v="ORD-2025-650841"/>
        <s v="ORD-2025-803803"/>
        <s v="ORD-2024-837651"/>
        <s v="ORD-2024-566589"/>
        <s v="ORD-2024-787018"/>
        <s v="ORD-2024-247032"/>
        <s v="ORD-2024-310809"/>
        <s v="ORD-2025-828263"/>
        <s v="ORD-2023-125739"/>
        <s v="ORD-2025-460466"/>
        <s v="ORD-2023-960380"/>
        <s v="ORD-2025-929414"/>
        <s v="ORD-2024-243988"/>
        <s v="ORD-2023-502205"/>
        <s v="ORD-2025-474710"/>
        <s v="ORD-2024-167215"/>
        <s v="ORD-2024-296582"/>
        <s v="ORD-2023-480975"/>
        <s v="ORD-2023-749324"/>
        <s v="ORD-2024-939873"/>
        <s v="ORD-2023-382272"/>
        <s v="ORD-2023-159379"/>
        <s v="ORD-2023-841426"/>
        <s v="ORD-2024-155337"/>
        <s v="ORD-2024-919471"/>
        <s v="ORD-2023-825495"/>
        <s v="ORD-2023-497686"/>
        <s v="ORD-2025-700847"/>
        <s v="ORD-2024-970848"/>
        <s v="ORD-2024-686712"/>
        <s v="ORD-2023-713375"/>
        <s v="ORD-2025-678688"/>
        <s v="ORD-2023-946143"/>
        <s v="ORD-2025-908258"/>
        <s v="ORD-2024-580808"/>
        <s v="ORD-2024-277241"/>
        <s v="ORD-2023-369150"/>
        <s v="ORD-2024-427031"/>
        <s v="ORD-2023-144816"/>
        <s v="ORD-2023-825084"/>
        <s v="ORD-2024-892173"/>
        <s v="ORD-2023-281890"/>
        <s v="ORD-2025-636162"/>
        <s v="ORD-2023-835226"/>
        <s v="ORD-2025-485946"/>
        <s v="ORD-2025-588029"/>
        <s v="ORD-2024-972999"/>
        <s v="ORD-2025-473192"/>
        <s v="ORD-2023-704111"/>
        <s v="ORD-2025-306251"/>
        <s v="ORD-2023-640022"/>
        <s v="ORD-2023-525643"/>
        <s v="ORD-2025-312803"/>
        <s v="ORD-2023-621393"/>
        <s v="ORD-2023-974506"/>
        <s v="ORD-2024-419248"/>
        <s v="ORD-2023-689428"/>
        <s v="ORD-2025-262434"/>
        <s v="ORD-2024-838925"/>
        <s v="ORD-2025-745263"/>
        <s v="ORD-2024-629525"/>
        <s v="ORD-2024-548345"/>
        <s v="ORD-2023-548874"/>
        <s v="ORD-2023-290279"/>
        <s v="ORD-2025-330203"/>
        <s v="ORD-2023-868734"/>
        <s v="ORD-2024-286833"/>
        <s v="ORD-2024-223618"/>
        <s v="ORD-2025-184082"/>
        <s v="ORD-2025-537785"/>
        <s v="ORD-2023-430904"/>
        <s v="ORD-2024-942981"/>
        <s v="ORD-2025-845715"/>
        <s v="ORD-2023-664749"/>
        <s v="ORD-2023-197661"/>
        <s v="ORD-2025-964661"/>
        <s v="ORD-2023-920483"/>
        <s v="ORD-2023-501220"/>
        <s v="ORD-2023-256951"/>
        <s v="ORD-2024-500511"/>
        <s v="ORD-2023-667815"/>
        <s v="ORD-2023-375011"/>
        <s v="ORD-2025-278048"/>
        <s v="ORD-2024-165942"/>
        <s v="ORD-2024-925626"/>
        <s v="ORD-2025-737787"/>
        <s v="ORD-2023-181257"/>
        <s v="ORD-2023-735274"/>
        <s v="ORD-2024-921935"/>
        <s v="ORD-2024-704056"/>
        <s v="ORD-2025-591006"/>
        <s v="ORD-2023-386663"/>
        <s v="ORD-2025-269934"/>
        <s v="ORD-2025-192876"/>
        <s v="ORD-2025-789245"/>
        <s v="ORD-2023-927385"/>
        <s v="ORD-2023-659070"/>
        <s v="ORD-2023-780206"/>
        <s v="ORD-2024-641220"/>
        <s v="ORD-2023-569862"/>
        <s v="ORD-2024-973420"/>
        <s v="ORD-2024-728474"/>
        <s v="ORD-2024-567435"/>
        <s v="ORD-2024-964950"/>
        <s v="ORD-2024-140633"/>
        <s v="ORD-2025-659650"/>
        <s v="ORD-2024-207669"/>
        <s v="ORD-2023-173313"/>
        <s v="ORD-2024-496601"/>
        <s v="ORD-2024-907733"/>
        <s v="ORD-2023-294716"/>
        <s v="ORD-2024-930679"/>
        <s v="ORD-2025-150713"/>
        <s v="ORD-2024-500109"/>
        <s v="ORD-2023-651638"/>
        <s v="ORD-2025-488349"/>
        <s v="ORD-2025-649239"/>
        <s v="ORD-2024-605518"/>
        <s v="ORD-2023-521818"/>
        <s v="ORD-2024-164288"/>
        <s v="ORD-2023-912395"/>
        <s v="ORD-2023-286994"/>
        <s v="ORD-2024-212990"/>
        <s v="ORD-2023-177794"/>
        <s v="ORD-2023-382017"/>
        <s v="ORD-2024-999607"/>
        <s v="ORD-2023-133848"/>
        <s v="ORD-2023-271918"/>
        <s v="ORD-2023-302041"/>
        <s v="ORD-2025-289139"/>
        <s v="ORD-2024-897622"/>
        <s v="ORD-2024-664046"/>
        <s v="ORD-2024-301260"/>
        <s v="ORD-2024-948800"/>
        <s v="ORD-2023-715175"/>
        <s v="ORD-2023-602648"/>
        <s v="ORD-2024-207096"/>
        <s v="ORD-2025-364852"/>
        <s v="ORD-2025-861401"/>
        <s v="ORD-2024-719055"/>
        <s v="ORD-2025-653781"/>
        <s v="ORD-2023-766015"/>
        <s v="ORD-2023-132101"/>
        <s v="ORD-2023-855675"/>
        <s v="ORD-2024-690270"/>
        <s v="ORD-2023-594955"/>
        <s v="ORD-2024-251426"/>
        <s v="ORD-2024-626750"/>
        <s v="ORD-2025-276968"/>
        <s v="ORD-2023-172095"/>
        <s v="ORD-2024-433936"/>
        <s v="ORD-2025-474368"/>
        <s v="ORD-2024-961501"/>
        <s v="ORD-2024-206311"/>
        <s v="ORD-2024-353078"/>
        <s v="ORD-2025-960931"/>
        <s v="ORD-2024-687073"/>
        <s v="ORD-2024-250862"/>
        <s v="ORD-2024-437164"/>
        <s v="ORD-2023-378676"/>
        <s v="ORD-2023-619493"/>
        <s v="ORD-2023-664790"/>
        <s v="ORD-2024-331408"/>
        <s v="ORD-2024-741404"/>
        <n v="0"/>
      </sharedItems>
    </cacheField>
    <cacheField name="OrderDate" numFmtId="14">
      <sharedItems containsSemiMixedTypes="0" containsNonDate="0" containsDate="1" containsString="0" minDate="1899-12-30T00:00:00" maxDate="2025-09-16T00:00:00"/>
    </cacheField>
    <cacheField name="MONTH" numFmtId="1">
      <sharedItems count="34">
        <s v="Mar-2024"/>
        <s v="May-2025"/>
        <s v="Mar-2025"/>
        <s v="Sep-2025"/>
        <s v="Jul-2025"/>
        <s v="Feb-2023"/>
        <s v="Jun-2024"/>
        <s v="Apr-2025"/>
        <s v="Feb-2025"/>
        <s v="Dec-2023"/>
        <s v="Aug-2024"/>
        <s v="Jun-2023"/>
        <s v="Mar-2023"/>
        <s v="Nov-2024"/>
        <s v="Jul-2023"/>
        <s v="Apr-2024"/>
        <s v="May-2024"/>
        <s v="Sep-2024"/>
        <s v="Nov-2023"/>
        <s v="Apr-2023"/>
        <s v="Oct-2023"/>
        <s v="Aug-2023"/>
        <s v="Jan-2024"/>
        <s v="Feb-2024"/>
        <s v="Aug-2025"/>
        <s v="Jan-2025"/>
        <s v="May-2023"/>
        <s v="Jul-2024"/>
        <s v="Jan-2023"/>
        <s v="Sep-2023"/>
        <s v="Dec-2024"/>
        <s v="Jun-2025"/>
        <s v="Oct-2024"/>
        <s v="Jan-1900"/>
      </sharedItems>
    </cacheField>
    <cacheField name="QUARTER" numFmtId="14">
      <sharedItems/>
    </cacheField>
    <cacheField name="Corrected required date" numFmtId="14">
      <sharedItems containsSemiMixedTypes="0" containsNonDate="0" containsDate="1" containsString="0" minDate="1899-12-30T00:00:00" maxDate="2025-10-06T00:00:00"/>
    </cacheField>
    <cacheField name="Lead time days" numFmtId="1">
      <sharedItems containsSemiMixedTypes="0" containsString="0" containsNumber="1" containsInteger="1" minValue="0" maxValue="30" count="31">
        <n v="26"/>
        <n v="19"/>
        <n v="25"/>
        <n v="29"/>
        <n v="16"/>
        <n v="5"/>
        <n v="14"/>
        <n v="24"/>
        <n v="20"/>
        <n v="23"/>
        <n v="27"/>
        <n v="28"/>
        <n v="3"/>
        <n v="9"/>
        <n v="4"/>
        <n v="12"/>
        <n v="18"/>
        <n v="1"/>
        <n v="2"/>
        <n v="8"/>
        <n v="11"/>
        <n v="22"/>
        <n v="7"/>
        <n v="17"/>
        <n v="21"/>
        <n v="0"/>
        <n v="15"/>
        <n v="30"/>
        <n v="13"/>
        <n v="6"/>
        <n v="10"/>
      </sharedItems>
    </cacheField>
    <cacheField name="Region" numFmtId="49">
      <sharedItems containsMixedTypes="1" containsNumber="1" containsInteger="1" minValue="0" maxValue="0" count="5">
        <s v="Africa"/>
        <s v="Americas"/>
        <s v="Asia"/>
        <s v="Europe"/>
        <n v="0"/>
      </sharedItems>
    </cacheField>
    <cacheField name="Country" numFmtId="49">
      <sharedItems containsMixedTypes="1" containsNumber="1" containsInteger="1" minValue="0" maxValue="0" count="13">
        <s v="Kenya"/>
        <s v="Brazil"/>
        <s v="Canada"/>
        <s v="China"/>
        <s v="France"/>
        <s v="Germany"/>
        <s v="India"/>
        <s v="Japan"/>
        <s v="Nigeria"/>
        <s v="South Africa"/>
        <s v="United Kingdom"/>
        <s v="USA"/>
        <n v="0"/>
      </sharedItems>
    </cacheField>
    <cacheField name="City cleaned" numFmtId="49">
      <sharedItems/>
    </cacheField>
    <cacheField name="Region Hierarchy" numFmtId="0">
      <sharedItems/>
    </cacheField>
    <cacheField name="CustomerSegment" numFmtId="49">
      <sharedItems containsMixedTypes="1" containsNumber="1" containsInteger="1" minValue="0" maxValue="0"/>
    </cacheField>
    <cacheField name="Channel" numFmtId="49">
      <sharedItems containsMixedTypes="1" containsNumber="1" containsInteger="1" minValue="0" maxValue="0" count="6">
        <s v="Retail"/>
        <s v="Online"/>
        <s v="Marketplace"/>
        <s v="Distributor"/>
        <s v="Direct"/>
        <n v="0"/>
      </sharedItems>
    </cacheField>
    <cacheField name="Channel corrected" numFmtId="0">
      <sharedItems containsMixedTypes="1" containsNumber="1" containsInteger="1" minValue="0" maxValue="0" count="6">
        <s v="Retail"/>
        <s v="Online"/>
        <s v="Marketplace"/>
        <s v="Distributor"/>
        <s v="Direct"/>
        <n v="0"/>
      </sharedItems>
    </cacheField>
    <cacheField name="Salesperson cleaned" numFmtId="49">
      <sharedItems count="16">
        <s v="C. Otieno"/>
        <s v="A. Patel"/>
        <s v="J. Njeri"/>
        <s v="K. Singh"/>
        <s v="G. Dubois"/>
        <s v="N. Brown"/>
        <s v="B. Chen"/>
        <s v="O. Wang"/>
        <s v="F. Müller"/>
        <s v="Not assigned"/>
        <s v="L. Okafor"/>
        <s v="E. Garcia"/>
        <s v="I. Johnson"/>
        <s v="M. Rossi"/>
        <s v="D. Smith"/>
        <s v="H. Kim"/>
      </sharedItems>
    </cacheField>
    <cacheField name="ProductCategory_std" numFmtId="49">
      <sharedItems containsMixedTypes="1" containsNumber="1" containsInteger="1" minValue="0" maxValue="0" count="8">
        <s v="Components"/>
        <s v="Accessories"/>
        <s v="Monitors"/>
        <s v="Laptops"/>
        <s v="Phones"/>
        <s v="Printers"/>
        <s v="Networking"/>
        <n v="0"/>
      </sharedItems>
    </cacheField>
    <cacheField name="PriceBand" numFmtId="0">
      <sharedItems/>
    </cacheField>
    <cacheField name="SKU" numFmtId="49">
      <sharedItems containsMixedTypes="1" containsNumber="1" containsInteger="1" minValue="0" maxValue="0" count="630">
        <s v="CMP-8270"/>
        <s v="CMP-3731"/>
        <s v="CMP-3693"/>
        <s v="ACC-1663"/>
        <s v="ACC-8098"/>
        <s v="CMP-2693"/>
        <s v="ACC-8683"/>
        <s v="MON-4925"/>
        <s v="LAP-6989"/>
        <s v="PHN-4644"/>
        <s v="LAP-4517"/>
        <s v="ACC-4490"/>
        <s v="ACC-9162"/>
        <s v="PRN-6490"/>
        <s v="MON-2828"/>
        <s v="NET-8561"/>
        <s v="MON-5179"/>
        <s v="NET-2394"/>
        <s v="PHN-5445"/>
        <s v="ACC-6777"/>
        <s v="MON-7869"/>
        <s v="MON-4271"/>
        <s v="MON-6341"/>
        <s v="ACC-5260"/>
        <s v="PRN-2749"/>
        <s v="PHN-7274"/>
        <s v="PHN-2787"/>
        <s v="PHN-7132"/>
        <s v="ACC-3567"/>
        <s v="NET-9125"/>
        <s v="PHN-3014"/>
        <s v="ACC-3951"/>
        <s v="LAP-7056"/>
        <s v="PRN-8763"/>
        <s v="NET-1699"/>
        <s v="NET-1166"/>
        <s v="NET-4104"/>
        <s v="CMP-9801"/>
        <s v="CMP-3093"/>
        <s v="MON-2993"/>
        <s v="PRN-5384"/>
        <s v="PRN-9960"/>
        <s v="PRN-9490"/>
        <s v="NET-3850"/>
        <s v="NET-5482"/>
        <s v="CMP-8658"/>
        <s v="PHN-6506"/>
        <s v="PRN-1271"/>
        <s v="NET-2894"/>
        <s v="PHN-7852"/>
        <s v="NET-1228"/>
        <s v="ACC-2867"/>
        <s v="MON-9274"/>
        <s v="NET-6269"/>
        <s v="LAP-7353"/>
        <s v="MON-6287"/>
        <s v="MON-4317"/>
        <s v="CMP-1223"/>
        <s v="MON-7207"/>
        <s v="PHN-4566"/>
        <s v="MON-2849"/>
        <s v="LAP-4932"/>
        <s v="NET-8610"/>
        <s v="LAP-8555"/>
        <s v="PHN-4854"/>
        <s v="CMP-5946"/>
        <s v="ACC-6348"/>
        <s v="PRN-9669"/>
        <s v="ACC-2386"/>
        <s v="PRN-6429"/>
        <s v="LAP-2218"/>
        <s v="CMP-2136"/>
        <s v="PRN-4453"/>
        <s v="PHN-4568"/>
        <s v="PRN-6178"/>
        <s v="MON-5259"/>
        <s v="MON-7868"/>
        <s v="CMP-8851"/>
        <s v="LAP-2774"/>
        <s v="LAP-6160"/>
        <s v="MON-4361"/>
        <s v="PRN-1276"/>
        <s v="MON-3307"/>
        <s v="PRN-7976"/>
        <s v="CMP-9307"/>
        <s v="ACC-2903"/>
        <s v="LAP-9024"/>
        <s v="ACC-6626"/>
        <s v="PRN-3775"/>
        <s v="NET-1336"/>
        <s v="CMP-2015"/>
        <s v="PRN-9975"/>
        <s v="PRN-9557"/>
        <s v="PRN-8008"/>
        <s v="MON-5386"/>
        <s v="ACC-8620"/>
        <s v="PRN-1371"/>
        <s v="ACC-3415"/>
        <s v="PRN-2407"/>
        <s v="MON-6053"/>
        <s v="LAP-3581"/>
        <s v="MON-6065"/>
        <s v="NET-3785"/>
        <s v="NET-3689"/>
        <s v="CMP-5065"/>
        <s v="PRN-9793"/>
        <s v="PHN-4677"/>
        <s v="NET-3255"/>
        <s v="CMP-8390"/>
        <s v="CMP-7371"/>
        <s v="NET-1846"/>
        <s v="CMP-8196"/>
        <s v="NET-1804"/>
        <s v="PHN-8368"/>
        <s v="LAP-5150"/>
        <s v="CMP-6392"/>
        <s v="MON-9194"/>
        <s v="CMP-6352"/>
        <s v="PHN-2875"/>
        <s v="CMP-3720"/>
        <s v="ACC-1021"/>
        <s v="PHN-9234"/>
        <s v="CMP-4610"/>
        <s v="PRN-4097"/>
        <s v="LAP-1482"/>
        <s v="PRN-8137"/>
        <s v="PHN-7488"/>
        <s v="LAP-5531"/>
        <s v="PRN-4983"/>
        <s v="PRN-3014"/>
        <s v="PRN-5666"/>
        <s v="CMP-6925"/>
        <s v="PHN-3800"/>
        <s v="PRN-6520"/>
        <s v="PHN-7815"/>
        <s v="ACC-7047"/>
        <s v="MON-5749"/>
        <s v="PHN-4915"/>
        <s v="NET-3535"/>
        <s v="LAP-5763"/>
        <s v="CMP-2096"/>
        <s v="MON-2073"/>
        <s v="ACC-9644"/>
        <s v="PRN-5815"/>
        <s v="PRN-6308"/>
        <s v="LAP-8825"/>
        <s v="NET-7998"/>
        <s v="PRN-1923"/>
        <s v="MON-5086"/>
        <s v="CMP-1220"/>
        <s v="PRN-1060"/>
        <s v="NET-8329"/>
        <s v="NET-3728"/>
        <s v="ACC-3721"/>
        <s v="PRN-1641"/>
        <s v="MON-8688"/>
        <s v="NET-4735"/>
        <s v="MON-3773"/>
        <s v="PRN-8392"/>
        <s v="PRN-6791"/>
        <s v="PRN-4170"/>
        <s v="NET-9716"/>
        <s v="PRN-1504"/>
        <s v="LAP-3779"/>
        <s v="ACC-1770"/>
        <s v="CMP-8002"/>
        <s v="PHN-8350"/>
        <s v="MON-7943"/>
        <s v="CMP-2865"/>
        <s v="MON-3745"/>
        <s v="MON-3043"/>
        <s v="PRN-4911"/>
        <s v="PRN-4432"/>
        <s v="NET-8761"/>
        <s v="MON-2100"/>
        <s v="ACC-3385"/>
        <s v="MON-1593"/>
        <s v="PRN-6776"/>
        <s v="PRN-8758"/>
        <s v="ACC-5422"/>
        <s v="MON-5276"/>
        <s v="LAP-4551"/>
        <s v="CMP-4093"/>
        <s v="NET-5195"/>
        <s v="PRN-1086"/>
        <s v="LAP-2942"/>
        <s v="MON-7622"/>
        <s v="PRN-1183"/>
        <s v="LAP-9901"/>
        <s v="PRN-1725"/>
        <s v="MON-3350"/>
        <s v="ACC-6594"/>
        <s v="CMP-3313"/>
        <s v="PRN-7079"/>
        <s v="PHN-9465"/>
        <s v="LAP-3220"/>
        <s v="CMP-2335"/>
        <s v="PHN-5938"/>
        <s v="CMP-5435"/>
        <s v="LAP-3565"/>
        <s v="CMP-5825"/>
        <s v="MON-9216"/>
        <s v="NET-6533"/>
        <s v="MON-1118"/>
        <s v="CMP-4945"/>
        <s v="ACC-1604"/>
        <s v="ACC-4815"/>
        <s v="CMP-5311"/>
        <s v="ACC-7906"/>
        <s v="NET-6218"/>
        <s v="NET-5423"/>
        <s v="CMP-5006"/>
        <s v="ACC-7938"/>
        <s v="CMP-7617"/>
        <s v="MON-9967"/>
        <s v="PRN-9787"/>
        <s v="NET-9989"/>
        <s v="ACC-5780"/>
        <s v="ACC-2761"/>
        <s v="LAP-3679"/>
        <s v="LAP-8214"/>
        <s v="CMP-2040"/>
        <s v="PHN-8057"/>
        <s v="ACC-6543"/>
        <s v="ACC-3989"/>
        <s v="MON-6699"/>
        <s v="CMP-9264"/>
        <s v="NET-3460"/>
        <s v="PRN-7019"/>
        <s v="MON-1663"/>
        <s v="MON-2537"/>
        <s v="PRN-5492"/>
        <s v="MON-2842"/>
        <s v="LAP-5009"/>
        <s v="MON-7626"/>
        <s v="ACC-1882"/>
        <s v="MON-8651"/>
        <s v="ACC-8094"/>
        <s v="LAP-9931"/>
        <s v="PHN-3803"/>
        <s v="LAP-1619"/>
        <s v="PHN-9399"/>
        <s v="MON-4278"/>
        <s v="MON-9662"/>
        <s v="PHN-8483"/>
        <s v="MON-4195"/>
        <s v="PRN-2409"/>
        <s v="PRN-4892"/>
        <s v="LAP-4899"/>
        <s v="PRN-6911"/>
        <s v="CMP-4159"/>
        <s v="PRN-3159"/>
        <s v="CMP-8675"/>
        <s v="ACC-1731"/>
        <s v="PHN-2462"/>
        <s v="PHN-1924"/>
        <s v="NET-4228"/>
        <s v="PHN-3007"/>
        <s v="NET-8787"/>
        <s v="LAP-4666"/>
        <s v="PRN-9624"/>
        <s v="ACC-5150"/>
        <s v="CMP-1940"/>
        <s v="MON-8629"/>
        <s v="CMP-6919"/>
        <s v="PRN-4506"/>
        <s v="NET-2062"/>
        <s v="MON-4330"/>
        <s v="MON-5188"/>
        <s v="CMP-1009"/>
        <s v="MON-8973"/>
        <s v="PHN-3482"/>
        <s v="MON-1822"/>
        <s v="CMP-8141"/>
        <s v="MON-2266"/>
        <s v="CMP-3875"/>
        <s v="MON-9906"/>
        <s v="MON-7602"/>
        <s v="MON-1572"/>
        <s v="PHN-2447"/>
        <s v="PRN-5005"/>
        <s v="CMP-4807"/>
        <s v="MON-1436"/>
        <s v="LAP-2378"/>
        <s v="LAP-9016"/>
        <s v="NET-9835"/>
        <s v="CMP-5138"/>
        <s v="ACC-3068"/>
        <s v="PHN-3854"/>
        <s v="PHN-1717"/>
        <s v="LAP-1990"/>
        <s v="CMP-3259"/>
        <s v="LAP-2806"/>
        <s v="PRN-8850"/>
        <s v="PRN-9378"/>
        <s v="LAP-8119"/>
        <s v="NET-6578"/>
        <s v="ACC-1075"/>
        <s v="ACC-2902"/>
        <s v="PHN-2859"/>
        <s v="LAP-8469"/>
        <s v="PHN-3077"/>
        <s v="PHN-5683"/>
        <s v="NET-9832"/>
        <s v="PHN-4346"/>
        <s v="ACC-1375"/>
        <s v="PRN-2301"/>
        <s v="CMP-6811"/>
        <s v="NET-6014"/>
        <s v="ACC-7240"/>
        <s v="MON-4830"/>
        <s v="LAP-5078"/>
        <s v="MON-2465"/>
        <s v="CMP-1156"/>
        <s v="LAP-3905"/>
        <s v="LAP-6499"/>
        <s v="ACC-9283"/>
        <s v="PRN-6585"/>
        <s v="ACC-4587"/>
        <s v="PHN-4395"/>
        <s v="NET-4675"/>
        <s v="NET-2460"/>
        <s v="CMP-1555"/>
        <s v="PRN-8041"/>
        <s v="PHN-7019"/>
        <s v="PHN-1197"/>
        <s v="CMP-6971"/>
        <s v="MON-6870"/>
        <s v="MON-2990"/>
        <s v="NET-1966"/>
        <s v="NET-6387"/>
        <s v="NET-3033"/>
        <s v="PRN-8175"/>
        <s v="NET-7924"/>
        <s v="MON-9227"/>
        <s v="ACC-2735"/>
        <s v="CMP-5211"/>
        <s v="ACC-9591"/>
        <s v="PHN-9789"/>
        <s v="NET-7588"/>
        <s v="NET-1645"/>
        <s v="MON-5249"/>
        <s v="PRN-7816"/>
        <s v="LAP-4828"/>
        <s v="MON-2998"/>
        <s v="MON-8939"/>
        <s v="NET-8430"/>
        <s v="PHN-6818"/>
        <s v="CMP-3743"/>
        <s v="PRN-2991"/>
        <s v="PHN-6131"/>
        <s v="NET-9575"/>
        <s v="LAP-3604"/>
        <s v="NET-8957"/>
        <s v="CMP-7055"/>
        <s v="ACC-1249"/>
        <s v="LAP-8347"/>
        <s v="LAP-7009"/>
        <s v="PHN-8478"/>
        <s v="CMP-8604"/>
        <s v="LAP-1946"/>
        <s v="PHN-5675"/>
        <s v="CMP-6649"/>
        <s v="CMP-5658"/>
        <s v="NET-1893"/>
        <s v="PRN-3917"/>
        <s v="PHN-6480"/>
        <s v="ACC-1596"/>
        <s v="PRN-1786"/>
        <s v="NET-9569"/>
        <s v="NET-7349"/>
        <s v="PHN-6111"/>
        <s v="CMP-6495"/>
        <s v="LAP-4483"/>
        <s v="PHN-9677"/>
        <s v="MON-1564"/>
        <s v="PRN-9867"/>
        <s v="PRN-6131"/>
        <s v="ACC-7713"/>
        <s v="PRN-5264"/>
        <s v="PHN-9184"/>
        <s v="LAP-3017"/>
        <s v="NET-9666"/>
        <s v="LAP-1698"/>
        <s v="LAP-9815"/>
        <s v="PHN-6854"/>
        <s v="PHN-1784"/>
        <s v="PRN-3143"/>
        <s v="LAP-7819"/>
        <s v="ACC-2252"/>
        <s v="CMP-2854"/>
        <s v="PHN-6954"/>
        <s v="LAP-7136"/>
        <s v="PHN-8970"/>
        <s v="ACC-9820"/>
        <s v="PHN-7924"/>
        <s v="PHN-8014"/>
        <s v="LAP-3278"/>
        <s v="PRN-7089"/>
        <s v="ACC-4124"/>
        <s v="PHN-5082"/>
        <s v="NET-6036"/>
        <s v="ACC-1659"/>
        <s v="PRN-6068"/>
        <s v="PHN-1671"/>
        <s v="CMP-4970"/>
        <s v="PRN-7049"/>
        <s v="PHN-8804"/>
        <s v="NET-2628"/>
        <s v="PHN-1234"/>
        <s v="LAP-4607"/>
        <s v="ACC-2988"/>
        <s v="PHN-2337"/>
        <s v="ACC-1238"/>
        <s v="PRN-4893"/>
        <s v="PHN-6866"/>
        <s v="NET-3432"/>
        <s v="PHN-8891"/>
        <s v="NET-2499"/>
        <s v="CMP-3938"/>
        <s v="PRN-9488"/>
        <s v="MON-2462"/>
        <s v="MON-6190"/>
        <s v="PRN-2641"/>
        <s v="LAP-1739"/>
        <s v="LAP-1989"/>
        <s v="ACC-5144"/>
        <s v="ACC-7354"/>
        <s v="PHN-1919"/>
        <s v="CMP-5911"/>
        <s v="PHN-7636"/>
        <s v="LAP-1969"/>
        <s v="LAP-6577"/>
        <s v="PRN-5569"/>
        <s v="NET-5987"/>
        <s v="ACC-4766"/>
        <s v="ACC-1028"/>
        <s v="PRN-9322"/>
        <s v="PHN-4556"/>
        <s v="PRN-6276"/>
        <s v="MON-6892"/>
        <s v="ACC-3961"/>
        <s v="PRN-7303"/>
        <s v="PRN-2542"/>
        <s v="NET-5268"/>
        <s v="ACC-9038"/>
        <s v="ACC-5177"/>
        <s v="ACC-4056"/>
        <s v="MON-5517"/>
        <s v="MON-8758"/>
        <s v="ACC-8999"/>
        <s v="PRN-1141"/>
        <s v="PHN-4741"/>
        <s v="CMP-4630"/>
        <s v="LAP-3490"/>
        <s v="CMP-9392"/>
        <s v="ACC-4483"/>
        <s v="ACC-9533"/>
        <s v="ACC-8178"/>
        <s v="PHN-1670"/>
        <s v="CMP-4792"/>
        <s v="ACC-5334"/>
        <s v="LAP-3904"/>
        <s v="MON-4373"/>
        <s v="LAP-9100"/>
        <s v="PHN-5887"/>
        <s v="PHN-3971"/>
        <s v="LAP-8910"/>
        <s v="LAP-7553"/>
        <s v="MON-4789"/>
        <s v="PHN-2436"/>
        <s v="ACC-7671"/>
        <s v="ACC-2990"/>
        <s v="CMP-6529"/>
        <s v="ACC-3349"/>
        <s v="CMP-5633"/>
        <s v="PRN-1882"/>
        <s v="ACC-8242"/>
        <s v="LAP-7523"/>
        <s v="CMP-9001"/>
        <s v="NET-8856"/>
        <s v="NET-7966"/>
        <s v="CMP-1559"/>
        <s v="NET-1412"/>
        <s v="LAP-3393"/>
        <s v="MON-2296"/>
        <s v="LAP-8489"/>
        <s v="CMP-5208"/>
        <s v="NET-5018"/>
        <s v="CMP-4531"/>
        <s v="CMP-8101"/>
        <s v="NET-4241"/>
        <s v="LAP-1525"/>
        <s v="LAP-6342"/>
        <s v="LAP-7099"/>
        <s v="PRN-3785"/>
        <s v="CMP-3978"/>
        <s v="CMP-7063"/>
        <s v="NET-1612"/>
        <s v="CMP-8230"/>
        <s v="PHN-3819"/>
        <s v="PHN-6832"/>
        <s v="ACC-6223"/>
        <s v="CMP-8659"/>
        <s v="MON-1389"/>
        <s v="ACC-2364"/>
        <s v="MON-1018"/>
        <s v="PRN-6660"/>
        <s v="CMP-2574"/>
        <s v="NET-7901"/>
        <s v="LAP-7320"/>
        <s v="MON-5891"/>
        <s v="CMP-6898"/>
        <s v="MON-3504"/>
        <s v="MON-7106"/>
        <s v="ACC-5206"/>
        <s v="NET-5270"/>
        <s v="PRN-4732"/>
        <s v="PHN-8072"/>
        <s v="LAP-1308"/>
        <s v="ACC-9445"/>
        <s v="PRN-1654"/>
        <s v="MON-8422"/>
        <s v="PRN-4787"/>
        <s v="PHN-7379"/>
        <s v="CMP-1470"/>
        <s v="LAP-3385"/>
        <s v="LAP-9932"/>
        <s v="NET-2365"/>
        <s v="ACC-9150"/>
        <s v="CMP-5820"/>
        <s v="NET-7166"/>
        <s v="PRN-8970"/>
        <s v="PHN-2341"/>
        <s v="LAP-9230"/>
        <s v="NET-6370"/>
        <s v="CMP-6346"/>
        <s v="LAP-9782"/>
        <s v="CMP-1072"/>
        <s v="MON-6962"/>
        <s v="PRN-5107"/>
        <s v="MON-7511"/>
        <s v="MON-4959"/>
        <s v="CMP-7256"/>
        <s v="LAP-9766"/>
        <s v="NET-2439"/>
        <s v="MON-9733"/>
        <s v="ACC-8557"/>
        <s v="ACC-1492"/>
        <s v="PHN-5316"/>
        <s v="MON-6310"/>
        <s v="PRN-2293"/>
        <s v="NET-9003"/>
        <s v="ACC-1060"/>
        <s v="PRN-7410"/>
        <s v="ACC-3103"/>
        <s v="ACC-7838"/>
        <s v="PHN-5383"/>
        <s v="PRN-3690"/>
        <s v="PRN-8657"/>
        <s v="PRN-5876"/>
        <s v="CMP-8545"/>
        <s v="MON-8697"/>
        <s v="ACC-3645"/>
        <s v="LAP-1066"/>
        <s v="LAP-1178"/>
        <s v="PRN-5813"/>
        <s v="NET-1145"/>
        <s v="PHN-9107"/>
        <s v="CMP-8127"/>
        <s v="NET-4491"/>
        <s v="NET-2502"/>
        <s v="LAP-5689"/>
        <s v="ACC-3833"/>
        <s v="NET-2932"/>
        <s v="LAP-8633"/>
        <s v="PRN-5067"/>
        <s v="MON-4215"/>
        <s v="PRN-5753"/>
        <s v="LAP-4987"/>
        <s v="PRN-6536"/>
        <s v="MON-3371"/>
        <s v="ACC-4511"/>
        <s v="PHN-4356"/>
        <s v="NET-4155"/>
        <s v="PRN-4788"/>
        <s v="ACC-7078"/>
        <s v="CMP-1632"/>
        <s v="LAP-7979"/>
        <s v="NET-5941"/>
        <s v="PHN-3159"/>
        <s v="PRN-8604"/>
        <s v="PHN-2013"/>
        <s v="ACC-3551"/>
        <s v="ACC-5079"/>
        <s v="PRN-2098"/>
        <s v="LAP-2846"/>
        <s v="CMP-7563"/>
        <s v="PRN-2829"/>
        <s v="NET-5523"/>
        <s v="MON-5424"/>
        <s v="MON-4326"/>
        <s v="MON-5444"/>
        <s v="NET-3749"/>
        <s v="MON-9319"/>
        <s v="NET-4554"/>
        <s v="PHN-6307"/>
        <s v="NET-1816"/>
        <s v="LAP-6750"/>
        <s v="PHN-2036"/>
        <s v="PHN-7974"/>
        <s v="NET-3828"/>
        <s v="PHN-3398"/>
        <s v="PRN-5591"/>
        <s v="PHN-1044"/>
        <s v="MON-6882"/>
        <s v="MON-8867"/>
        <s v="PHN-8776"/>
        <s v="CMP-3223"/>
        <s v="CMP-2410"/>
        <s v="NET-5196"/>
        <s v="MON-7099"/>
        <s v="CMP-9498"/>
        <s v="NET-9177"/>
        <s v="PHN-5366"/>
        <s v="NET-1282"/>
        <s v="PRN-9249"/>
        <s v="PRN-4906"/>
        <s v="MON-8129"/>
        <n v="0"/>
      </sharedItems>
    </cacheField>
    <cacheField name="UnitCost" numFmtId="164">
      <sharedItems containsSemiMixedTypes="0" containsString="0" containsNumber="1" minValue="0" maxValue="1495.79"/>
    </cacheField>
    <cacheField name="Corrected unit price" numFmtId="164">
      <sharedItems containsSemiMixedTypes="0" containsString="0" containsNumber="1" minValue="0" maxValue="3661.07"/>
    </cacheField>
    <cacheField name="Corrected unit price2" numFmtId="164">
      <sharedItems containsSemiMixedTypes="0" containsString="0" containsNumber="1" minValue="0" maxValue="3661.07"/>
    </cacheField>
    <cacheField name="Corrected discount" numFmtId="10">
      <sharedItems containsSemiMixedTypes="0" containsString="0" containsNumber="1" minValue="0" maxValue="0.3" count="221">
        <n v="0.112"/>
        <n v="0.14899999999999999"/>
        <n v="9.4E-2"/>
        <n v="0"/>
        <n v="0.109"/>
        <n v="7.0000000000000001E-3"/>
        <n v="0.16800000000000001"/>
        <n v="0.14699999999999999"/>
        <n v="3.5000000000000003E-2"/>
        <n v="0.184"/>
        <n v="0.14199999999999999"/>
        <n v="0.13400000000000001"/>
        <n v="7.1999999999999995E-2"/>
        <n v="9.6000000000000002E-2"/>
        <n v="0.108"/>
        <n v="5.7000000000000002E-2"/>
        <n v="6.3E-2"/>
        <n v="8.2000000000000003E-2"/>
        <n v="0.13300000000000001"/>
        <n v="0.21199999999999999"/>
        <n v="0.11799999999999999"/>
        <n v="1.2E-2"/>
        <n v="0.159"/>
        <n v="0.157"/>
        <n v="0.26600000000000001"/>
        <n v="0.17499999999999999"/>
        <n v="0.14000000000000001"/>
        <n v="0.216"/>
        <n v="0.13500000000000001"/>
        <n v="0.156"/>
        <n v="0.129"/>
        <n v="4.4999999999999998E-2"/>
        <n v="7.4999999999999997E-2"/>
        <n v="0.17599999999999999"/>
        <n v="5.0999999999999997E-2"/>
        <n v="0.3"/>
        <n v="0.21"/>
        <n v="0.128"/>
        <n v="0.17"/>
        <n v="3.2000000000000001E-2"/>
        <n v="0.111"/>
        <n v="4.2000000000000003E-2"/>
        <n v="0.123"/>
        <n v="0.13200000000000001"/>
        <n v="0.218"/>
        <n v="7.0000000000000007E-2"/>
        <n v="0.19"/>
        <n v="0.01"/>
        <n v="0.22600000000000001"/>
        <n v="4.1000000000000002E-2"/>
        <n v="0.186"/>
        <n v="8.8999999999999996E-2"/>
        <n v="0.182"/>
        <n v="0.29199999999999998"/>
        <n v="0.24099999999999999"/>
        <n v="0.18"/>
        <n v="4.2999999999999997E-2"/>
        <n v="0.245"/>
        <n v="2.1000000000000001E-2"/>
        <n v="0.13100000000000001"/>
        <n v="5.6000000000000001E-2"/>
        <n v="0.10199999999999999"/>
        <n v="0.17199999999999999"/>
        <n v="0.26300000000000001"/>
        <n v="0.20300000000000001"/>
        <n v="0.22500000000000001"/>
        <n v="0.19600000000000001"/>
        <n v="0.16400000000000001"/>
        <n v="0.16900000000000001"/>
        <n v="8.7999999999999995E-2"/>
        <n v="0.2"/>
        <n v="0.10299999999999999"/>
        <n v="0.115"/>
        <n v="0.106"/>
        <n v="2.8000000000000001E-2"/>
        <n v="0.104"/>
        <n v="7.3999999999999996E-2"/>
        <n v="0.20799999999999999"/>
        <n v="5.3999999999999999E-2"/>
        <n v="0.13700000000000001"/>
        <n v="0.20699999999999999"/>
        <n v="0.16"/>
        <n v="0.14299999999999999"/>
        <n v="0.13600000000000001"/>
        <n v="0.05"/>
        <n v="4.7E-2"/>
        <n v="0.154"/>
        <n v="9.1999999999999998E-2"/>
        <n v="7.0999999999999994E-2"/>
        <n v="8.4000000000000005E-2"/>
        <n v="0.187"/>
        <n v="8.9999999999999993E-3"/>
        <n v="0.25900000000000001"/>
        <n v="0.18099999999999999"/>
        <n v="0.02"/>
        <n v="0.19700000000000001"/>
        <n v="0.17299999999999999"/>
        <n v="0.215"/>
        <n v="4.0000000000000001E-3"/>
        <n v="0.14799999999999999"/>
        <n v="9.5000000000000001E-2"/>
        <n v="0.19400000000000001"/>
        <n v="6.6000000000000003E-2"/>
        <n v="0.27200000000000002"/>
        <n v="9.9000000000000005E-2"/>
        <n v="6.4000000000000001E-2"/>
        <n v="0.217"/>
        <n v="0.24299999999999999"/>
        <n v="0.214"/>
        <n v="0.15"/>
        <n v="6.9000000000000006E-2"/>
        <n v="0.10100000000000001"/>
        <n v="0.161"/>
        <n v="0.151"/>
        <n v="0.13900000000000001"/>
        <n v="0.126"/>
        <n v="0.11899999999999999"/>
        <n v="0.188"/>
        <n v="1.7999999999999999E-2"/>
        <n v="0.254"/>
        <n v="2.5000000000000001E-2"/>
        <n v="0.21099999999999999"/>
        <n v="3.7999999999999999E-2"/>
        <n v="0.09"/>
        <n v="0.158"/>
        <n v="5.8000000000000003E-2"/>
        <n v="0.105"/>
        <n v="0.23899999999999999"/>
        <n v="0.17399999999999999"/>
        <n v="0.13800000000000001"/>
        <n v="0.20499999999999999"/>
        <n v="0.222"/>
        <n v="9.8000000000000004E-2"/>
        <n v="0.114"/>
        <n v="0.121"/>
        <n v="0.08"/>
        <n v="0.17100000000000001"/>
        <n v="6.0000000000000001E-3"/>
        <n v="3.6999999999999998E-2"/>
        <n v="0.14599999999999999"/>
        <n v="0.14399999999999999"/>
        <n v="6.8000000000000005E-2"/>
        <n v="7.2999999999999995E-2"/>
        <n v="0.127"/>
        <n v="5.2999999999999999E-2"/>
        <n v="0.17699999999999999"/>
        <n v="0.155"/>
        <n v="2.9000000000000001E-2"/>
        <n v="0.23799999999999999"/>
        <n v="3.4000000000000002E-2"/>
        <n v="0.113"/>
        <n v="7.5999999999999998E-2"/>
        <n v="0.125"/>
        <n v="0.152"/>
        <n v="0.23"/>
        <n v="4.5999999999999999E-2"/>
        <n v="0.16500000000000001"/>
        <n v="0.122"/>
        <n v="6.2E-2"/>
        <n v="8.6999999999999994E-2"/>
        <n v="0.29499999999999998"/>
        <n v="0.255"/>
        <n v="0.03"/>
        <n v="0.185"/>
        <n v="0.23499999999999999"/>
        <n v="8.5999999999999993E-2"/>
        <n v="0.27"/>
        <n v="0.14499999999999999"/>
        <n v="0.26100000000000001"/>
        <n v="7.6999999999999999E-2"/>
        <n v="0.20899999999999999"/>
        <n v="0.1"/>
        <n v="0.12"/>
        <n v="0.192"/>
        <n v="0.25"/>
        <n v="0.183"/>
        <n v="0.11"/>
        <n v="0.20100000000000001"/>
        <n v="0.107"/>
        <n v="0.22"/>
        <n v="0.153"/>
        <n v="0.14099999999999999"/>
        <n v="0.17899999999999999"/>
        <n v="0.25700000000000001"/>
        <n v="9.0999999999999998E-2"/>
        <n v="8.3000000000000004E-2"/>
        <n v="0.16300000000000001"/>
        <n v="8.1000000000000003E-2"/>
        <n v="0.22900000000000001"/>
        <n v="0.26500000000000001"/>
        <n v="5.5E-2"/>
        <n v="0.189"/>
        <n v="4.9000000000000002E-2"/>
        <n v="5.8999999999999997E-2"/>
        <n v="2.1999999999999999E-2"/>
        <n v="0.23699999999999999"/>
        <n v="3.1E-2"/>
        <n v="0.11600000000000001"/>
        <n v="0.16700000000000001"/>
        <n v="7.8E-2"/>
        <n v="0.24"/>
        <n v="3.9E-2"/>
        <n v="1.4E-2"/>
        <n v="9.2999999999999999E-2"/>
        <n v="0.13"/>
        <n v="0.20399999999999999"/>
        <n v="0.27800000000000002"/>
        <n v="0.29899999999999999"/>
        <n v="0.29299999999999998"/>
        <n v="0.124"/>
        <n v="0.248"/>
        <n v="4.3999999999999997E-2"/>
        <n v="9.7000000000000003E-2"/>
        <n v="6.7000000000000004E-2"/>
        <n v="0.23599999999999999"/>
        <n v="0.25800000000000001"/>
        <n v="6.5000000000000002E-2"/>
        <n v="0.28199999999999997"/>
        <n v="0.25600000000000001"/>
        <n v="1.9E-2"/>
        <n v="1.7000000000000001E-2"/>
      </sharedItems>
    </cacheField>
    <cacheField name="Discount check" numFmtId="0">
      <sharedItems/>
    </cacheField>
    <cacheField name="Corrected discount2" numFmtId="10">
      <sharedItems containsSemiMixedTypes="0" containsString="0" containsNumber="1" minValue="0" maxValue="0.3"/>
    </cacheField>
    <cacheField name="Quantity" numFmtId="1">
      <sharedItems containsSemiMixedTypes="0" containsString="0" containsNumber="1" containsInteger="1" minValue="0" maxValue="61"/>
    </cacheField>
    <cacheField name="Gross Revenue" numFmtId="1">
      <sharedItems containsSemiMixedTypes="0" containsString="0" containsNumber="1" minValue="0" maxValue="139277.83032000001"/>
    </cacheField>
    <cacheField name="Cost of goods" numFmtId="1">
      <sharedItems containsSemiMixedTypes="0" containsString="0" containsNumber="1" minValue="0" maxValue="83258.290000000008"/>
    </cacheField>
    <cacheField name="Gross profit" numFmtId="1">
      <sharedItems containsSemiMixedTypes="0" containsString="0" containsNumber="1" minValue="-68628" maxValue="65188.659999999996"/>
    </cacheField>
    <cacheField name="Margin Pct" numFmtId="0">
      <sharedItems containsSemiMixedTypes="0" containsString="0" containsNumber="1" minValue="-0.87167486187856302" maxValue="0.59672531214528945"/>
    </cacheField>
    <cacheField name="MinOrderDate" numFmtId="14">
      <sharedItems containsSemiMixedTypes="0" containsNonDate="0" containsDate="1" containsString="0" minDate="1899-12-30T00:00:00" maxDate="1899-12-31T00:00:00"/>
    </cacheField>
    <cacheField name="Cohort Month" numFmtId="0">
      <sharedItems/>
    </cacheField>
    <cacheField name="0" numFmtId="0">
      <sharedItems containsMixedTypes="1" containsNumber="1" containsInteger="1" minValue="0" maxValue="0"/>
    </cacheField>
    <cacheField name="02" numFmtId="0">
      <sharedItems containsSemiMixedTypes="0" containsString="0" containsNumber="1" minValue="0" maxValue="1619.115"/>
    </cacheField>
    <cacheField name="03"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050.818590856485" createdVersion="6" refreshedVersion="6" minRefreshableVersion="3" recordCount="633">
  <cacheSource type="worksheet">
    <worksheetSource ref="A1:AN632" sheet="Data"/>
  </cacheSource>
  <cacheFields count="34">
    <cacheField name="OrderID" numFmtId="49">
      <sharedItems containsBlank="1"/>
    </cacheField>
    <cacheField name="OrderDate" numFmtId="14">
      <sharedItems containsNonDate="0" containsDate="1" containsString="0" containsBlank="1" minDate="2023-01-02T00:00:00" maxDate="2025-09-16T00:00:00"/>
    </cacheField>
    <cacheField name="MONTH" numFmtId="1">
      <sharedItems containsBlank="1"/>
    </cacheField>
    <cacheField name="QUARTER" numFmtId="14">
      <sharedItems containsBlank="1"/>
    </cacheField>
    <cacheField name="Corrected required date"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Leadtime target" numFmtId="0">
      <sharedItems containsMixedTypes="1" containsNumber="1" minValue="0.74683544303797467" maxValue="472"/>
    </cacheField>
    <cacheField name="Region" numFmtId="49">
      <sharedItems containsBlank="1" count="5">
        <s v="Africa"/>
        <s v="Americas"/>
        <s v="Asia"/>
        <s v="Europe"/>
        <m/>
      </sharedItems>
    </cacheField>
    <cacheField name="Country" numFmtId="49">
      <sharedItems containsBlank="1"/>
    </cacheField>
    <cacheField name="City cleaned" numFmtId="49">
      <sharedItems containsBlank="1"/>
    </cacheField>
    <cacheField name="Region Hierarchy" numFmtId="0">
      <sharedItems containsBlank="1"/>
    </cacheField>
    <cacheField name="CustomerSegment" numFmtId="49">
      <sharedItems containsBlank="1"/>
    </cacheField>
    <cacheField name="Channel" numFmtId="49">
      <sharedItems containsBlank="1" containsMixedTypes="1" containsNumber="1" containsInteger="1" minValue="0" maxValue="0"/>
    </cacheField>
    <cacheField name="Channel corrected" numFmtId="0">
      <sharedItems containsBlank="1" containsMixedTypes="1" containsNumber="1" containsInteger="1" minValue="0" maxValue="0"/>
    </cacheField>
    <cacheField name="Salesperson cleaned" numFmtId="49">
      <sharedItems containsBlank="1" count="17">
        <s v="C. Otieno"/>
        <s v="A. Patel"/>
        <s v="J. Njeri"/>
        <s v="K. Singh"/>
        <s v="G. Dubois"/>
        <s v="N. Brown"/>
        <s v="B. Chen"/>
        <s v="O. Wang"/>
        <s v="F. Müller"/>
        <s v="Not assigned"/>
        <s v="L. Okafor"/>
        <s v="E. Garcia"/>
        <s v="I. Johnson"/>
        <s v="M. Rossi"/>
        <s v="D. Smith"/>
        <s v="H. Kim"/>
        <m/>
      </sharedItems>
    </cacheField>
    <cacheField name="ProductCategory_std" numFmtId="49">
      <sharedItems containsBlank="1"/>
    </cacheField>
    <cacheField name="PriceBand" numFmtId="0">
      <sharedItems containsBlank="1"/>
    </cacheField>
    <cacheField name="SKU" numFmtId="49">
      <sharedItems containsBlank="1"/>
    </cacheField>
    <cacheField name="UnitCost" numFmtId="164">
      <sharedItems containsString="0" containsBlank="1" containsNumber="1" minValue="5.34" maxValue="1495.79"/>
    </cacheField>
    <cacheField name="Corrected unit price" numFmtId="164">
      <sharedItems containsString="0" containsBlank="1" containsNumber="1" minValue="0" maxValue="3661.07"/>
    </cacheField>
    <cacheField name="Corrected unit price2" numFmtId="164">
      <sharedItems containsString="0" containsBlank="1" containsNumber="1" minValue="0" maxValue="3661.07"/>
    </cacheField>
    <cacheField name="Corrected discount" numFmtId="10">
      <sharedItems containsString="0" containsBlank="1" containsNumber="1" minValue="0" maxValue="0.3" count="222">
        <n v="0.112"/>
        <n v="0.14899999999999999"/>
        <n v="9.4E-2"/>
        <n v="0"/>
        <n v="0.109"/>
        <n v="7.0000000000000001E-3"/>
        <n v="0.16800000000000001"/>
        <n v="0.14699999999999999"/>
        <n v="3.5000000000000003E-2"/>
        <n v="0.184"/>
        <n v="0.14199999999999999"/>
        <n v="0.13400000000000001"/>
        <n v="7.1999999999999995E-2"/>
        <n v="9.6000000000000002E-2"/>
        <n v="0.108"/>
        <n v="5.7000000000000002E-2"/>
        <n v="6.3E-2"/>
        <n v="8.2000000000000003E-2"/>
        <n v="0.13300000000000001"/>
        <n v="0.21199999999999999"/>
        <n v="0.11799999999999999"/>
        <n v="1.2E-2"/>
        <n v="0.159"/>
        <n v="0.157"/>
        <n v="0.26600000000000001"/>
        <n v="0.17499999999999999"/>
        <n v="0.14000000000000001"/>
        <n v="0.216"/>
        <n v="0.13500000000000001"/>
        <n v="0.156"/>
        <n v="0.129"/>
        <n v="4.4999999999999998E-2"/>
        <n v="7.4999999999999997E-2"/>
        <n v="0.17599999999999999"/>
        <n v="5.0999999999999997E-2"/>
        <n v="0.3"/>
        <n v="0.21"/>
        <n v="0.128"/>
        <n v="0.17"/>
        <n v="3.2000000000000001E-2"/>
        <n v="0.111"/>
        <n v="4.2000000000000003E-2"/>
        <n v="0.123"/>
        <n v="0.13200000000000001"/>
        <n v="0.218"/>
        <n v="7.0000000000000007E-2"/>
        <n v="0.19"/>
        <n v="0.01"/>
        <n v="0.22600000000000001"/>
        <n v="4.1000000000000002E-2"/>
        <n v="0.186"/>
        <n v="8.8999999999999996E-2"/>
        <n v="0.182"/>
        <n v="0.29199999999999998"/>
        <n v="0.24099999999999999"/>
        <n v="0.18"/>
        <n v="4.2999999999999997E-2"/>
        <n v="0.245"/>
        <n v="2.1000000000000001E-2"/>
        <n v="0.13100000000000001"/>
        <n v="5.6000000000000001E-2"/>
        <n v="0.10199999999999999"/>
        <n v="0.17199999999999999"/>
        <n v="0.26300000000000001"/>
        <n v="0.20300000000000001"/>
        <n v="0.22500000000000001"/>
        <n v="0.19600000000000001"/>
        <n v="0.16400000000000001"/>
        <n v="0.16900000000000001"/>
        <n v="8.7999999999999995E-2"/>
        <n v="0.2"/>
        <n v="0.10299999999999999"/>
        <n v="0.115"/>
        <n v="0.106"/>
        <n v="2.8000000000000001E-2"/>
        <n v="0.104"/>
        <n v="7.3999999999999996E-2"/>
        <n v="0.20799999999999999"/>
        <n v="5.3999999999999999E-2"/>
        <n v="0.13700000000000001"/>
        <n v="0.20699999999999999"/>
        <n v="0.16"/>
        <n v="0.14299999999999999"/>
        <n v="0.13600000000000001"/>
        <n v="0.05"/>
        <n v="4.7E-2"/>
        <n v="0.154"/>
        <n v="9.1999999999999998E-2"/>
        <n v="7.0999999999999994E-2"/>
        <n v="8.4000000000000005E-2"/>
        <n v="0.187"/>
        <n v="8.9999999999999993E-3"/>
        <n v="0.25900000000000001"/>
        <n v="0.18099999999999999"/>
        <n v="0.02"/>
        <n v="0.19700000000000001"/>
        <n v="0.17299999999999999"/>
        <n v="0.215"/>
        <n v="4.0000000000000001E-3"/>
        <n v="0.14799999999999999"/>
        <n v="9.5000000000000001E-2"/>
        <n v="0.19400000000000001"/>
        <n v="6.6000000000000003E-2"/>
        <n v="0.27200000000000002"/>
        <n v="9.9000000000000005E-2"/>
        <n v="6.4000000000000001E-2"/>
        <n v="0.217"/>
        <n v="0.24299999999999999"/>
        <n v="0.214"/>
        <n v="0.15"/>
        <n v="6.9000000000000006E-2"/>
        <n v="0.10100000000000001"/>
        <n v="0.161"/>
        <n v="0.151"/>
        <n v="0.13900000000000001"/>
        <n v="0.126"/>
        <n v="0.11899999999999999"/>
        <n v="0.188"/>
        <n v="1.7999999999999999E-2"/>
        <n v="0.254"/>
        <n v="2.5000000000000001E-2"/>
        <n v="0.21099999999999999"/>
        <n v="3.7999999999999999E-2"/>
        <n v="0.09"/>
        <n v="0.158"/>
        <n v="5.8000000000000003E-2"/>
        <n v="0.105"/>
        <n v="0.23899999999999999"/>
        <n v="0.17399999999999999"/>
        <n v="0.13800000000000001"/>
        <n v="0.20499999999999999"/>
        <n v="0.222"/>
        <n v="9.8000000000000004E-2"/>
        <n v="0.114"/>
        <n v="0.121"/>
        <n v="0.08"/>
        <n v="0.17100000000000001"/>
        <n v="6.0000000000000001E-3"/>
        <n v="3.6999999999999998E-2"/>
        <n v="0.14599999999999999"/>
        <n v="0.14399999999999999"/>
        <n v="6.8000000000000005E-2"/>
        <n v="7.2999999999999995E-2"/>
        <n v="0.127"/>
        <n v="5.2999999999999999E-2"/>
        <n v="0.17699999999999999"/>
        <n v="0.155"/>
        <n v="2.9000000000000001E-2"/>
        <n v="0.23799999999999999"/>
        <n v="3.4000000000000002E-2"/>
        <n v="0.113"/>
        <n v="7.5999999999999998E-2"/>
        <n v="0.125"/>
        <n v="0.152"/>
        <n v="0.23"/>
        <n v="4.5999999999999999E-2"/>
        <n v="0.16500000000000001"/>
        <n v="0.122"/>
        <n v="6.2E-2"/>
        <n v="8.6999999999999994E-2"/>
        <n v="0.29499999999999998"/>
        <n v="0.255"/>
        <n v="0.03"/>
        <n v="0.185"/>
        <n v="0.23499999999999999"/>
        <n v="8.5999999999999993E-2"/>
        <n v="0.27"/>
        <n v="0.14499999999999999"/>
        <n v="0.26100000000000001"/>
        <n v="7.6999999999999999E-2"/>
        <n v="0.20899999999999999"/>
        <n v="0.1"/>
        <n v="0.12"/>
        <n v="0.192"/>
        <n v="0.25"/>
        <n v="0.183"/>
        <n v="0.11"/>
        <n v="0.20100000000000001"/>
        <n v="0.107"/>
        <n v="0.22"/>
        <n v="0.153"/>
        <n v="0.14099999999999999"/>
        <n v="0.17899999999999999"/>
        <n v="0.25700000000000001"/>
        <n v="9.0999999999999998E-2"/>
        <n v="8.3000000000000004E-2"/>
        <n v="0.16300000000000001"/>
        <n v="8.1000000000000003E-2"/>
        <n v="0.22900000000000001"/>
        <n v="0.26500000000000001"/>
        <n v="5.5E-2"/>
        <n v="0.189"/>
        <n v="4.9000000000000002E-2"/>
        <n v="5.8999999999999997E-2"/>
        <n v="2.1999999999999999E-2"/>
        <n v="0.23699999999999999"/>
        <n v="3.1E-2"/>
        <n v="0.11600000000000001"/>
        <n v="0.16700000000000001"/>
        <n v="7.8E-2"/>
        <n v="0.24"/>
        <n v="3.9E-2"/>
        <n v="1.4E-2"/>
        <n v="9.2999999999999999E-2"/>
        <n v="0.13"/>
        <n v="0.20399999999999999"/>
        <n v="0.27800000000000002"/>
        <n v="0.29899999999999999"/>
        <n v="0.29299999999999998"/>
        <n v="0.124"/>
        <n v="0.248"/>
        <n v="4.3999999999999997E-2"/>
        <n v="9.7000000000000003E-2"/>
        <n v="6.7000000000000004E-2"/>
        <n v="0.23599999999999999"/>
        <n v="0.25800000000000001"/>
        <n v="6.5000000000000002E-2"/>
        <n v="0.28199999999999997"/>
        <n v="0.25600000000000001"/>
        <n v="1.9E-2"/>
        <n v="1.7000000000000001E-2"/>
        <m/>
      </sharedItems>
    </cacheField>
    <cacheField name="Discount check" numFmtId="0">
      <sharedItems containsBlank="1"/>
    </cacheField>
    <cacheField name="Corrected discount2" numFmtId="10">
      <sharedItems containsString="0" containsBlank="1" containsNumber="1" minValue="0" maxValue="0.3"/>
    </cacheField>
    <cacheField name="Quantity" numFmtId="1">
      <sharedItems containsString="0" containsBlank="1" containsNumber="1" containsInteger="1" minValue="2" maxValue="61"/>
    </cacheField>
    <cacheField name="Gross Revenue" numFmtId="1">
      <sharedItems containsString="0" containsBlank="1" containsNumber="1" minValue="0" maxValue="139277.83032000001"/>
    </cacheField>
    <cacheField name="Cost of goods" numFmtId="1">
      <sharedItems containsString="0" containsBlank="1" containsNumber="1" minValue="22" maxValue="83258.290000000008"/>
    </cacheField>
    <cacheField name="Gross profit" numFmtId="0">
      <sharedItems containsString="0" containsBlank="1" containsNumber="1" minValue="-68628" maxValue="65188.659999999996"/>
    </cacheField>
    <cacheField name="Margin Pct" numFmtId="0">
      <sharedItems containsString="0" containsBlank="1" containsNumber="1" minValue="-0.87167486187856302" maxValue="0.59672531214528945"/>
    </cacheField>
    <cacheField name="MinOrderDate" numFmtId="14">
      <sharedItems containsNonDate="0" containsDate="1" containsString="0" containsBlank="1" minDate="2023-01-02T00:00:00" maxDate="2023-01-03T00:00:00"/>
    </cacheField>
    <cacheField name="Cohort Month" numFmtId="0">
      <sharedItems containsBlank="1"/>
    </cacheField>
    <cacheField name="0" numFmtId="0">
      <sharedItems containsBlank="1" containsMixedTypes="1" containsNumber="1" containsInteger="1" minValue="0" maxValue="0"/>
    </cacheField>
    <cacheField name="02" numFmtId="0">
      <sharedItems containsString="0" containsBlank="1" containsNumber="1" minValue="0" maxValue="1620.05"/>
    </cacheField>
    <cacheField name="03"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051.222349884258" createdVersion="6" refreshedVersion="6" minRefreshableVersion="3" recordCount="632">
  <cacheSource type="worksheet">
    <worksheetSource ref="A1:AN633" sheet="Data"/>
  </cacheSource>
  <cacheFields count="42">
    <cacheField name="OrderID" numFmtId="49">
      <sharedItems containsBlank="1"/>
    </cacheField>
    <cacheField name="OrderDate" numFmtId="14">
      <sharedItems containsNonDate="0" containsDate="1" containsString="0" containsBlank="1" minDate="2023-01-02T00:00:00" maxDate="2025-09-16T00:00:00" count="469">
        <d v="2024-03-11T00:00:00"/>
        <d v="2025-05-21T00:00:00"/>
        <d v="2025-03-06T00:00:00"/>
        <d v="2025-09-01T00:00:00"/>
        <d v="2025-07-20T00:00:00"/>
        <d v="2023-02-07T00:00:00"/>
        <d v="2024-06-30T00:00:00"/>
        <d v="2025-04-06T00:00:00"/>
        <d v="2025-02-09T00:00:00"/>
        <d v="2023-12-03T00:00:00"/>
        <d v="2025-04-09T00:00:00"/>
        <d v="2024-08-28T00:00:00"/>
        <d v="2023-06-24T00:00:00"/>
        <d v="2023-03-02T00:00:00"/>
        <d v="2024-11-02T00:00:00"/>
        <d v="2025-02-12T00:00:00"/>
        <d v="2023-07-05T00:00:00"/>
        <d v="2024-04-03T00:00:00"/>
        <d v="2025-09-15T00:00:00"/>
        <d v="2023-07-19T00:00:00"/>
        <d v="2024-05-19T00:00:00"/>
        <d v="2024-09-22T00:00:00"/>
        <d v="2023-11-10T00:00:00"/>
        <d v="2024-09-19T00:00:00"/>
        <d v="2023-12-19T00:00:00"/>
        <d v="2025-04-24T00:00:00"/>
        <d v="2023-04-19T00:00:00"/>
        <d v="2023-10-11T00:00:00"/>
        <d v="2023-08-04T00:00:00"/>
        <d v="2023-12-24T00:00:00"/>
        <d v="2023-08-03T00:00:00"/>
        <d v="2024-01-25T00:00:00"/>
        <d v="2025-03-30T00:00:00"/>
        <d v="2023-07-18T00:00:00"/>
        <d v="2024-05-23T00:00:00"/>
        <d v="2023-11-14T00:00:00"/>
        <d v="2024-02-18T00:00:00"/>
        <d v="2024-09-09T00:00:00"/>
        <d v="2025-05-19T00:00:00"/>
        <d v="2024-11-07T00:00:00"/>
        <d v="2025-08-14T00:00:00"/>
        <d v="2025-02-06T00:00:00"/>
        <d v="2025-01-20T00:00:00"/>
        <d v="2023-12-05T00:00:00"/>
        <d v="2023-05-23T00:00:00"/>
        <d v="2023-08-10T00:00:00"/>
        <d v="2024-03-01T00:00:00"/>
        <d v="2023-06-20T00:00:00"/>
        <d v="2023-10-25T00:00:00"/>
        <d v="2025-09-08T00:00:00"/>
        <d v="2025-03-10T00:00:00"/>
        <d v="2025-01-10T00:00:00"/>
        <d v="2024-07-13T00:00:00"/>
        <d v="2025-08-06T00:00:00"/>
        <d v="2023-06-03T00:00:00"/>
        <d v="2023-01-29T00:00:00"/>
        <d v="2025-04-17T00:00:00"/>
        <d v="2024-08-17T00:00:00"/>
        <d v="2023-09-17T00:00:00"/>
        <d v="2023-01-02T00:00:00"/>
        <d v="2023-02-23T00:00:00"/>
        <d v="2024-05-20T00:00:00"/>
        <d v="2024-11-06T00:00:00"/>
        <d v="2023-08-19T00:00:00"/>
        <d v="2024-12-05T00:00:00"/>
        <d v="2025-06-03T00:00:00"/>
        <d v="2025-07-09T00:00:00"/>
        <d v="2023-08-21T00:00:00"/>
        <d v="2024-06-15T00:00:00"/>
        <d v="2024-09-23T00:00:00"/>
        <d v="2025-04-16T00:00:00"/>
        <d v="2023-04-05T00:00:00"/>
        <d v="2025-07-14T00:00:00"/>
        <d v="2025-07-17T00:00:00"/>
        <d v="2024-02-16T00:00:00"/>
        <d v="2023-03-04T00:00:00"/>
        <d v="2024-03-15T00:00:00"/>
        <d v="2025-09-02T00:00:00"/>
        <d v="2023-07-24T00:00:00"/>
        <d v="2024-03-02T00:00:00"/>
        <d v="2025-05-10T00:00:00"/>
        <d v="2023-10-22T00:00:00"/>
        <d v="2024-07-25T00:00:00"/>
        <d v="2025-06-24T00:00:00"/>
        <d v="2025-08-07T00:00:00"/>
        <d v="2024-11-05T00:00:00"/>
        <d v="2023-08-29T00:00:00"/>
        <d v="2024-09-25T00:00:00"/>
        <d v="2023-06-13T00:00:00"/>
        <d v="2024-06-03T00:00:00"/>
        <d v="2024-12-27T00:00:00"/>
        <d v="2024-11-17T00:00:00"/>
        <d v="2023-09-08T00:00:00"/>
        <d v="2025-05-14T00:00:00"/>
        <d v="2023-04-13T00:00:00"/>
        <d v="2024-01-02T00:00:00"/>
        <d v="2025-08-03T00:00:00"/>
        <d v="2023-08-02T00:00:00"/>
        <d v="2025-02-17T00:00:00"/>
        <d v="2024-08-19T00:00:00"/>
        <d v="2023-06-23T00:00:00"/>
        <d v="2023-05-11T00:00:00"/>
        <d v="2023-04-21T00:00:00"/>
        <d v="2024-12-15T00:00:00"/>
        <d v="2024-04-06T00:00:00"/>
        <d v="2025-07-22T00:00:00"/>
        <d v="2025-01-27T00:00:00"/>
        <d v="2024-09-14T00:00:00"/>
        <d v="2024-06-09T00:00:00"/>
        <d v="2023-06-09T00:00:00"/>
        <d v="2023-08-12T00:00:00"/>
        <d v="2025-01-09T00:00:00"/>
        <d v="2024-12-14T00:00:00"/>
        <d v="2024-02-14T00:00:00"/>
        <d v="2025-08-01T00:00:00"/>
        <d v="2024-10-30T00:00:00"/>
        <d v="2024-06-04T00:00:00"/>
        <d v="2023-04-18T00:00:00"/>
        <d v="2025-08-21T00:00:00"/>
        <d v="2024-10-03T00:00:00"/>
        <d v="2024-02-03T00:00:00"/>
        <d v="2023-10-15T00:00:00"/>
        <d v="2024-10-11T00:00:00"/>
        <d v="2025-05-16T00:00:00"/>
        <d v="2023-10-05T00:00:00"/>
        <d v="2024-07-11T00:00:00"/>
        <d v="2024-11-25T00:00:00"/>
        <d v="2024-03-09T00:00:00"/>
        <d v="2024-03-03T00:00:00"/>
        <d v="2025-06-27T00:00:00"/>
        <d v="2023-09-30T00:00:00"/>
        <d v="2023-10-09T00:00:00"/>
        <d v="2023-03-06T00:00:00"/>
        <d v="2023-12-16T00:00:00"/>
        <d v="2025-03-14T00:00:00"/>
        <d v="2024-02-19T00:00:00"/>
        <d v="2024-12-28T00:00:00"/>
        <d v="2024-09-07T00:00:00"/>
        <d v="2023-05-17T00:00:00"/>
        <d v="2023-05-02T00:00:00"/>
        <d v="2025-07-03T00:00:00"/>
        <d v="2025-03-24T00:00:00"/>
        <d v="2024-10-24T00:00:00"/>
        <d v="2024-07-09T00:00:00"/>
        <d v="2023-01-12T00:00:00"/>
        <d v="2024-06-07T00:00:00"/>
        <d v="2024-01-20T00:00:00"/>
        <d v="2024-12-10T00:00:00"/>
        <d v="2024-11-30T00:00:00"/>
        <d v="2025-04-07T00:00:00"/>
        <d v="2023-07-10T00:00:00"/>
        <d v="2025-01-21T00:00:00"/>
        <d v="2025-06-09T00:00:00"/>
        <d v="2024-03-10T00:00:00"/>
        <d v="2025-04-27T00:00:00"/>
        <d v="2024-11-21T00:00:00"/>
        <d v="2023-11-19T00:00:00"/>
        <d v="2023-04-12T00:00:00"/>
        <d v="2024-11-20T00:00:00"/>
        <d v="2023-09-14T00:00:00"/>
        <d v="2024-02-01T00:00:00"/>
        <d v="2023-06-22T00:00:00"/>
        <d v="2025-01-13T00:00:00"/>
        <d v="2024-01-10T00:00:00"/>
        <d v="2024-03-16T00:00:00"/>
        <d v="2025-01-22T00:00:00"/>
        <d v="2023-01-10T00:00:00"/>
        <d v="2025-06-01T00:00:00"/>
        <d v="2023-02-28T00:00:00"/>
        <d v="2024-04-09T00:00:00"/>
        <d v="2023-12-26T00:00:00"/>
        <d v="2024-07-18T00:00:00"/>
        <d v="2024-08-10T00:00:00"/>
        <d v="2024-07-24T00:00:00"/>
        <d v="2024-05-18T00:00:00"/>
        <d v="2024-02-25T00:00:00"/>
        <d v="2023-12-30T00:00:00"/>
        <d v="2024-05-05T00:00:00"/>
        <d v="2025-08-13T00:00:00"/>
        <d v="2025-08-30T00:00:00"/>
        <d v="2024-12-08T00:00:00"/>
        <d v="2025-04-22T00:00:00"/>
        <d v="2023-07-01T00:00:00"/>
        <d v="2024-11-04T00:00:00"/>
        <d v="2023-04-26T00:00:00"/>
        <d v="2025-02-15T00:00:00"/>
        <d v="2023-04-03T00:00:00"/>
        <d v="2025-06-15T00:00:00"/>
        <d v="2025-08-11T00:00:00"/>
        <d v="2023-07-30T00:00:00"/>
        <d v="2024-10-13T00:00:00"/>
        <d v="2024-01-28T00:00:00"/>
        <d v="2024-03-07T00:00:00"/>
        <d v="2024-08-27T00:00:00"/>
        <d v="2025-05-29T00:00:00"/>
        <d v="2023-08-30T00:00:00"/>
        <d v="2024-12-17T00:00:00"/>
        <d v="2024-03-18T00:00:00"/>
        <d v="2024-12-23T00:00:00"/>
        <d v="2024-04-04T00:00:00"/>
        <d v="2023-02-19T00:00:00"/>
        <d v="2023-01-30T00:00:00"/>
        <d v="2023-04-14T00:00:00"/>
        <d v="2023-01-22T00:00:00"/>
        <d v="2024-12-04T00:00:00"/>
        <d v="2024-04-29T00:00:00"/>
        <d v="2023-05-27T00:00:00"/>
        <d v="2024-03-31T00:00:00"/>
        <d v="2024-01-13T00:00:00"/>
        <d v="2025-04-04T00:00:00"/>
        <d v="2024-05-28T00:00:00"/>
        <d v="2023-12-02T00:00:00"/>
        <d v="2023-03-17T00:00:00"/>
        <d v="2024-01-16T00:00:00"/>
        <d v="2024-11-01T00:00:00"/>
        <d v="2024-08-22T00:00:00"/>
        <d v="2023-11-30T00:00:00"/>
        <d v="2025-03-23T00:00:00"/>
        <d v="2023-03-14T00:00:00"/>
        <d v="2023-04-16T00:00:00"/>
        <d v="2025-04-28T00:00:00"/>
        <d v="2023-06-01T00:00:00"/>
        <d v="2024-05-01T00:00:00"/>
        <d v="2025-03-11T00:00:00"/>
        <d v="2023-01-26T00:00:00"/>
        <d v="2025-02-16T00:00:00"/>
        <d v="2023-12-07T00:00:00"/>
        <d v="2023-03-27T00:00:00"/>
        <d v="2024-10-17T00:00:00"/>
        <d v="2023-09-18T00:00:00"/>
        <d v="2024-01-21T00:00:00"/>
        <d v="2023-02-20T00:00:00"/>
        <d v="2023-10-07T00:00:00"/>
        <d v="2023-12-20T00:00:00"/>
        <d v="2023-11-28T00:00:00"/>
        <d v="2023-09-19T00:00:00"/>
        <d v="2025-02-19T00:00:00"/>
        <d v="2023-10-30T00:00:00"/>
        <d v="2025-05-17T00:00:00"/>
        <d v="2024-01-12T00:00:00"/>
        <d v="2024-02-17T00:00:00"/>
        <d v="2025-06-17T00:00:00"/>
        <d v="2025-03-15T00:00:00"/>
        <d v="2023-05-20T00:00:00"/>
        <d v="2025-05-12T00:00:00"/>
        <d v="2024-12-20T00:00:00"/>
        <d v="2025-03-08T00:00:00"/>
        <d v="2024-06-06T00:00:00"/>
        <d v="2025-06-05T00:00:00"/>
        <d v="2024-02-27T00:00:00"/>
        <d v="2024-08-18T00:00:00"/>
        <d v="2025-05-07T00:00:00"/>
        <d v="2024-12-24T00:00:00"/>
        <d v="2024-03-23T00:00:00"/>
        <d v="2023-09-20T00:00:00"/>
        <d v="2023-07-22T00:00:00"/>
        <d v="2023-12-18T00:00:00"/>
        <d v="2024-05-27T00:00:00"/>
        <d v="2024-11-12T00:00:00"/>
        <d v="2023-05-10T00:00:00"/>
        <d v="2025-01-04T00:00:00"/>
        <d v="2025-08-05T00:00:00"/>
        <d v="2023-05-07T00:00:00"/>
        <d v="2024-01-08T00:00:00"/>
        <d v="2024-07-28T00:00:00"/>
        <d v="2023-12-22T00:00:00"/>
        <d v="2023-12-06T00:00:00"/>
        <d v="2025-01-03T00:00:00"/>
        <d v="2025-09-10T00:00:00"/>
        <d v="2024-05-22T00:00:00"/>
        <d v="2023-06-29T00:00:00"/>
        <d v="2024-10-16T00:00:00"/>
        <d v="2023-11-20T00:00:00"/>
        <d v="2024-08-07T00:00:00"/>
        <d v="2023-03-25T00:00:00"/>
        <d v="2024-07-15T00:00:00"/>
        <d v="2023-09-21T00:00:00"/>
        <d v="2025-02-02T00:00:00"/>
        <d v="2024-10-23T00:00:00"/>
        <d v="2024-02-29T00:00:00"/>
        <d v="2024-09-05T00:00:00"/>
        <d v="2024-01-11T00:00:00"/>
        <d v="2025-08-02T00:00:00"/>
        <d v="2025-09-12T00:00:00"/>
        <d v="2024-10-27T00:00:00"/>
        <d v="2025-04-11T00:00:00"/>
        <d v="2023-05-06T00:00:00"/>
        <d v="2023-12-01T00:00:00"/>
        <d v="2024-08-08T00:00:00"/>
        <d v="2025-03-21T00:00:00"/>
        <d v="2025-05-27T00:00:00"/>
        <d v="2024-12-12T00:00:00"/>
        <d v="2024-08-30T00:00:00"/>
        <d v="2023-10-12T00:00:00"/>
        <d v="2023-07-09T00:00:00"/>
        <d v="2025-07-27T00:00:00"/>
        <d v="2024-09-03T00:00:00"/>
        <d v="2025-05-15T00:00:00"/>
        <d v="2025-07-23T00:00:00"/>
        <d v="2023-03-03T00:00:00"/>
        <d v="2024-08-31T00:00:00"/>
        <d v="2025-04-13T00:00:00"/>
        <d v="2024-09-06T00:00:00"/>
        <d v="2024-06-16T00:00:00"/>
        <d v="2024-07-31T00:00:00"/>
        <d v="2023-04-22T00:00:00"/>
        <d v="2025-02-28T00:00:00"/>
        <d v="2023-04-23T00:00:00"/>
        <d v="2024-07-19T00:00:00"/>
        <d v="2024-10-25T00:00:00"/>
        <d v="2023-03-31T00:00:00"/>
        <d v="2025-05-02T00:00:00"/>
        <d v="2025-03-31T00:00:00"/>
        <d v="2024-06-02T00:00:00"/>
        <d v="2023-12-29T00:00:00"/>
        <d v="2025-09-11T00:00:00"/>
        <d v="2023-10-31T00:00:00"/>
        <d v="2024-02-11T00:00:00"/>
        <d v="2023-01-20T00:00:00"/>
        <d v="2024-09-10T00:00:00"/>
        <d v="2025-01-29T00:00:00"/>
        <d v="2025-08-25T00:00:00"/>
        <d v="2023-03-07T00:00:00"/>
        <d v="2024-09-13T00:00:00"/>
        <d v="2024-11-08T00:00:00"/>
        <d v="2023-08-15T00:00:00"/>
        <d v="2024-06-19T00:00:00"/>
        <d v="2023-03-23T00:00:00"/>
        <d v="2023-06-10T00:00:00"/>
        <d v="2024-10-29T00:00:00"/>
        <d v="2025-04-12T00:00:00"/>
        <d v="2023-10-18T00:00:00"/>
        <d v="2023-02-21T00:00:00"/>
        <d v="2024-11-22T00:00:00"/>
        <d v="2023-05-14T00:00:00"/>
        <d v="2024-02-06T00:00:00"/>
        <d v="2024-04-24T00:00:00"/>
        <d v="2024-04-16T00:00:00"/>
        <d v="2024-06-05T00:00:00"/>
        <d v="2023-07-08T00:00:00"/>
        <d v="2024-02-08T00:00:00"/>
        <d v="2025-07-11T00:00:00"/>
        <d v="2024-08-03T00:00:00"/>
        <d v="2024-11-27T00:00:00"/>
        <d v="2024-06-25T00:00:00"/>
        <d v="2025-07-19T00:00:00"/>
        <d v="2025-03-29T00:00:00"/>
        <d v="2023-01-15T00:00:00"/>
        <d v="2024-05-04T00:00:00"/>
        <d v="2025-06-14T00:00:00"/>
        <d v="2024-04-19T00:00:00"/>
        <d v="2024-10-14T00:00:00"/>
        <d v="2024-10-04T00:00:00"/>
        <d v="2025-03-03T00:00:00"/>
        <d v="2024-10-22T00:00:00"/>
        <d v="2025-07-21T00:00:00"/>
        <d v="2024-03-06T00:00:00"/>
        <d v="2025-08-28T00:00:00"/>
        <d v="2025-03-25T00:00:00"/>
        <d v="2023-07-25T00:00:00"/>
        <d v="2023-05-04T00:00:00"/>
        <d v="2023-12-21T00:00:00"/>
        <d v="2023-07-14T00:00:00"/>
        <d v="2023-04-06T00:00:00"/>
        <d v="2024-05-07T00:00:00"/>
        <d v="2025-02-21T00:00:00"/>
        <d v="2023-08-25T00:00:00"/>
        <d v="2024-06-11T00:00:00"/>
        <d v="2024-06-23T00:00:00"/>
        <d v="2024-04-21T00:00:00"/>
        <d v="2024-04-05T00:00:00"/>
        <d v="2023-05-01T00:00:00"/>
        <d v="2025-02-07T00:00:00"/>
        <d v="2023-02-11T00:00:00"/>
        <d v="2025-06-26T00:00:00"/>
        <d v="2024-03-13T00:00:00"/>
        <d v="2025-07-24T00:00:00"/>
        <d v="2024-08-23T00:00:00"/>
        <d v="2023-02-15T00:00:00"/>
        <d v="2024-04-12T00:00:00"/>
        <d v="2023-02-08T00:00:00"/>
        <d v="2024-05-21T00:00:00"/>
        <d v="2024-06-29T00:00:00"/>
        <d v="2023-07-03T00:00:00"/>
        <d v="2024-10-02T00:00:00"/>
        <d v="2023-08-26T00:00:00"/>
        <d v="2025-07-16T00:00:00"/>
        <d v="2025-06-21T00:00:00"/>
        <d v="2024-06-08T00:00:00"/>
        <d v="2024-01-18T00:00:00"/>
        <d v="2023-03-13T00:00:00"/>
        <d v="2025-01-07T00:00:00"/>
        <d v="2023-10-26T00:00:00"/>
        <d v="2025-09-14T00:00:00"/>
        <d v="2025-04-10T00:00:00"/>
        <d v="2023-08-24T00:00:00"/>
        <d v="2023-08-17T00:00:00"/>
        <d v="2023-07-07T00:00:00"/>
        <d v="2023-12-28T00:00:00"/>
        <d v="2024-03-04T00:00:00"/>
        <d v="2023-01-07T00:00:00"/>
        <d v="2025-06-19T00:00:00"/>
        <d v="2024-04-18T00:00:00"/>
        <d v="2024-05-14T00:00:00"/>
        <d v="2023-03-19T00:00:00"/>
        <d v="2023-06-14T00:00:00"/>
        <d v="2024-08-14T00:00:00"/>
        <d v="2024-06-10T00:00:00"/>
        <d v="2023-01-27T00:00:00"/>
        <d v="2024-10-09T00:00:00"/>
        <d v="2025-04-14T00:00:00"/>
        <d v="2023-08-27T00:00:00"/>
        <d v="2023-08-08T00:00:00"/>
        <d v="2025-02-04T00:00:00"/>
        <d v="2023-07-02T00:00:00"/>
        <d v="2024-10-08T00:00:00"/>
        <d v="2023-10-21T00:00:00"/>
        <d v="2023-08-23T00:00:00"/>
        <d v="2025-06-22T00:00:00"/>
        <d v="2024-12-29T00:00:00"/>
        <d v="2023-11-15T00:00:00"/>
        <d v="2024-01-01T00:00:00"/>
        <d v="2025-06-25T00:00:00"/>
        <d v="2023-06-05T00:00:00"/>
        <d v="2025-01-31T00:00:00"/>
        <d v="2023-05-29T00:00:00"/>
        <d v="2023-01-19T00:00:00"/>
        <d v="2024-05-10T00:00:00"/>
        <d v="2023-07-16T00:00:00"/>
        <d v="2024-05-12T00:00:00"/>
        <d v="2024-04-26T00:00:00"/>
        <d v="2024-10-10T00:00:00"/>
        <d v="2024-12-07T00:00:00"/>
        <d v="2024-01-24T00:00:00"/>
        <d v="2023-06-15T00:00:00"/>
        <d v="2024-11-11T00:00:00"/>
        <d v="2023-04-10T00:00:00"/>
        <d v="2023-06-17T00:00:00"/>
        <d v="2025-04-23T00:00:00"/>
        <d v="2025-01-17T00:00:00"/>
        <d v="2024-05-30T00:00:00"/>
        <d v="2024-12-21T00:00:00"/>
        <d v="2023-07-26T00:00:00"/>
        <d v="2023-02-24T00:00:00"/>
        <d v="2024-08-12T00:00:00"/>
        <d v="2023-01-13T00:00:00"/>
        <d v="2023-09-25T00:00:00"/>
        <d v="2023-10-04T00:00:00"/>
        <d v="2025-08-10T00:00:00"/>
        <d v="2024-03-30T00:00:00"/>
        <d v="2024-09-02T00:00:00"/>
        <d v="2024-07-29T00:00:00"/>
        <d v="2024-03-27T00:00:00"/>
        <d v="2024-03-26T00:00:00"/>
        <d v="2025-05-18T00:00:00"/>
        <d v="2025-04-01T00:00:00"/>
        <d v="2025-01-11T00:00:00"/>
        <d v="2023-02-05T00:00:00"/>
        <d v="2024-05-17T00:00:00"/>
        <d v="2025-02-25T00:00:00"/>
        <d v="2023-05-24T00:00:00"/>
        <d v="2024-08-04T00:00:00"/>
        <d v="2024-08-16T00:00:00"/>
        <d v="2025-08-20T00:00:00"/>
        <d v="2024-02-20T00:00:00"/>
        <d v="2023-05-03T00:00:00"/>
        <d v="2023-02-27T00:00:00"/>
        <d v="2024-10-19T00:00:00"/>
        <m/>
      </sharedItems>
      <fieldGroup par="41" base="1">
        <rangePr groupBy="months" startDate="2023-01-02T00:00:00" endDate="2025-09-16T00:00:00"/>
        <groupItems count="14">
          <s v="(blank)"/>
          <s v="Jan"/>
          <s v="Feb"/>
          <s v="Mar"/>
          <s v="Apr"/>
          <s v="May"/>
          <s v="Jun"/>
          <s v="Jul"/>
          <s v="Aug"/>
          <s v="Sep"/>
          <s v="Oct"/>
          <s v="Nov"/>
          <s v="Dec"/>
          <s v="&gt;9/16/2025"/>
        </groupItems>
      </fieldGroup>
    </cacheField>
    <cacheField name="MONTH" numFmtId="1">
      <sharedItems containsBlank="1" count="34">
        <s v="Mar-2024"/>
        <s v="May-2025"/>
        <s v="Mar-2025"/>
        <s v="Sep-2025"/>
        <s v="Jul-2025"/>
        <s v="Feb-2023"/>
        <s v="Jun-2024"/>
        <s v="Apr-2025"/>
        <s v="Feb-2025"/>
        <s v="Dec-2023"/>
        <s v="Aug-2024"/>
        <s v="Jun-2023"/>
        <s v="Mar-2023"/>
        <s v="Nov-2024"/>
        <s v="Jul-2023"/>
        <s v="Apr-2024"/>
        <s v="May-2024"/>
        <s v="Sep-2024"/>
        <s v="Nov-2023"/>
        <s v="Apr-2023"/>
        <s v="Oct-2023"/>
        <s v="Aug-2023"/>
        <s v="Jan-2024"/>
        <s v="Feb-2024"/>
        <s v="Aug-2025"/>
        <s v="Jan-2025"/>
        <s v="May-2023"/>
        <s v="Jul-2024"/>
        <s v="Jan-2023"/>
        <s v="Sep-2023"/>
        <s v="Dec-2024"/>
        <s v="Jun-2025"/>
        <s v="Oct-2024"/>
        <m/>
      </sharedItems>
    </cacheField>
    <cacheField name="QUARTER" numFmtId="14">
      <sharedItems containsBlank="1"/>
    </cacheField>
    <cacheField name="Corrected required date"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Leadtime target" numFmtId="1">
      <sharedItems containsMixedTypes="1" containsNumber="1" containsInteger="1" minValue="172" maxValue="172"/>
    </cacheField>
    <cacheField name="Region" numFmtId="49">
      <sharedItems containsBlank="1" count="5">
        <s v="Africa"/>
        <s v="Americas"/>
        <s v="Asia"/>
        <s v="Europe"/>
        <m/>
      </sharedItems>
    </cacheField>
    <cacheField name="Country" numFmtId="49">
      <sharedItems containsBlank="1" count="13">
        <s v="Kenya"/>
        <s v="Brazil"/>
        <s v="Canada"/>
        <s v="China"/>
        <s v="France"/>
        <s v="Germany"/>
        <s v="India"/>
        <s v="Japan"/>
        <s v="Nigeria"/>
        <s v="South Africa"/>
        <s v="United Kingdom"/>
        <s v="USA"/>
        <m/>
      </sharedItems>
    </cacheField>
    <cacheField name="City cleaned" numFmtId="49">
      <sharedItems containsBlank="1"/>
    </cacheField>
    <cacheField name="Region Hierarchy" numFmtId="0">
      <sharedItems containsBlank="1"/>
    </cacheField>
    <cacheField name="CustomerSegment" numFmtId="49">
      <sharedItems containsBlank="1"/>
    </cacheField>
    <cacheField name="Channel" numFmtId="49">
      <sharedItems containsBlank="1" containsMixedTypes="1" containsNumber="1" containsInteger="1" minValue="0" maxValue="0"/>
    </cacheField>
    <cacheField name="Channel corrected" numFmtId="0">
      <sharedItems containsBlank="1" containsMixedTypes="1" containsNumber="1" containsInteger="1" minValue="0" maxValue="0" count="7">
        <s v="Retail"/>
        <s v="Online"/>
        <s v="Marketplace"/>
        <s v="Distributor"/>
        <s v="Direct"/>
        <n v="0"/>
        <m/>
      </sharedItems>
    </cacheField>
    <cacheField name="Salesperson cleaned" numFmtId="49">
      <sharedItems containsBlank="1" count="17">
        <s v="C. Otieno"/>
        <s v="A. Patel"/>
        <s v="J. Njeri"/>
        <s v="K. Singh"/>
        <s v="G. Dubois"/>
        <s v="N. Brown"/>
        <s v="B. Chen"/>
        <s v="O. Wang"/>
        <s v="F. Müller"/>
        <s v="Not assigned"/>
        <s v="L. Okafor"/>
        <s v="E. Garcia"/>
        <s v="I. Johnson"/>
        <s v="M. Rossi"/>
        <s v="D. Smith"/>
        <s v="H. Kim"/>
        <m/>
      </sharedItems>
    </cacheField>
    <cacheField name="ProductCategory_std" numFmtId="49">
      <sharedItems containsBlank="1" count="8">
        <s v="Components"/>
        <s v="Accessories"/>
        <s v="Monitors"/>
        <s v="Laptops"/>
        <s v="Phones"/>
        <s v="Printers"/>
        <s v="Networking"/>
        <m/>
      </sharedItems>
    </cacheField>
    <cacheField name="PriceBand" numFmtId="0">
      <sharedItems containsBlank="1"/>
    </cacheField>
    <cacheField name="SKU" numFmtId="49">
      <sharedItems containsBlank="1" count="630">
        <s v="CMP-8270"/>
        <s v="CMP-3731"/>
        <s v="CMP-3693"/>
        <s v="ACC-1663"/>
        <s v="ACC-8098"/>
        <s v="CMP-2693"/>
        <s v="ACC-8683"/>
        <s v="MON-4925"/>
        <s v="LAP-6989"/>
        <s v="PHN-4644"/>
        <s v="LAP-4517"/>
        <s v="ACC-4490"/>
        <s v="ACC-9162"/>
        <s v="PRN-6490"/>
        <s v="MON-2828"/>
        <s v="NET-8561"/>
        <s v="MON-5179"/>
        <s v="NET-2394"/>
        <s v="PHN-5445"/>
        <s v="ACC-6777"/>
        <s v="MON-7869"/>
        <s v="MON-4271"/>
        <s v="MON-6341"/>
        <s v="ACC-5260"/>
        <s v="PRN-2749"/>
        <s v="PHN-7274"/>
        <s v="PHN-2787"/>
        <s v="PHN-7132"/>
        <s v="ACC-3567"/>
        <s v="NET-9125"/>
        <s v="PHN-3014"/>
        <s v="ACC-3951"/>
        <s v="LAP-7056"/>
        <s v="PRN-8763"/>
        <s v="NET-1699"/>
        <s v="NET-1166"/>
        <s v="NET-4104"/>
        <s v="CMP-9801"/>
        <s v="CMP-3093"/>
        <s v="MON-2993"/>
        <s v="PRN-5384"/>
        <s v="PRN-9960"/>
        <s v="PRN-9490"/>
        <s v="NET-3850"/>
        <s v="NET-5482"/>
        <s v="CMP-8658"/>
        <s v="PHN-6506"/>
        <s v="PRN-1271"/>
        <s v="NET-2894"/>
        <s v="PHN-7852"/>
        <s v="NET-1228"/>
        <s v="ACC-2867"/>
        <s v="MON-9274"/>
        <s v="NET-6269"/>
        <s v="LAP-7353"/>
        <s v="MON-6287"/>
        <s v="MON-4317"/>
        <s v="CMP-1223"/>
        <s v="MON-7207"/>
        <s v="PHN-4566"/>
        <s v="MON-2849"/>
        <s v="LAP-4932"/>
        <s v="NET-8610"/>
        <s v="LAP-8555"/>
        <s v="PHN-4854"/>
        <s v="CMP-5946"/>
        <s v="ACC-6348"/>
        <s v="PRN-9669"/>
        <s v="ACC-2386"/>
        <s v="PRN-6429"/>
        <s v="LAP-2218"/>
        <s v="CMP-2136"/>
        <s v="PRN-4453"/>
        <s v="PHN-4568"/>
        <s v="PRN-6178"/>
        <s v="MON-5259"/>
        <s v="MON-7868"/>
        <s v="CMP-8851"/>
        <s v="LAP-2774"/>
        <s v="LAP-6160"/>
        <s v="MON-4361"/>
        <s v="PRN-1276"/>
        <s v="MON-3307"/>
        <s v="PRN-7976"/>
        <s v="CMP-9307"/>
        <s v="ACC-2903"/>
        <s v="LAP-9024"/>
        <s v="ACC-6626"/>
        <s v="PRN-3775"/>
        <s v="NET-1336"/>
        <s v="CMP-2015"/>
        <s v="PRN-9975"/>
        <s v="PRN-9557"/>
        <s v="PRN-8008"/>
        <s v="MON-5386"/>
        <s v="ACC-8620"/>
        <s v="PRN-1371"/>
        <s v="ACC-3415"/>
        <s v="PRN-2407"/>
        <s v="MON-6053"/>
        <s v="LAP-3581"/>
        <s v="MON-6065"/>
        <s v="NET-3785"/>
        <s v="NET-3689"/>
        <s v="CMP-5065"/>
        <s v="PRN-9793"/>
        <s v="PHN-4677"/>
        <s v="NET-3255"/>
        <s v="CMP-8390"/>
        <s v="CMP-7371"/>
        <s v="NET-1846"/>
        <s v="CMP-8196"/>
        <s v="NET-1804"/>
        <s v="PHN-8368"/>
        <s v="LAP-5150"/>
        <s v="CMP-6392"/>
        <s v="MON-9194"/>
        <s v="CMP-6352"/>
        <s v="PHN-2875"/>
        <s v="CMP-3720"/>
        <s v="ACC-1021"/>
        <s v="PHN-9234"/>
        <s v="CMP-4610"/>
        <s v="PRN-4097"/>
        <s v="LAP-1482"/>
        <s v="PRN-8137"/>
        <s v="PHN-7488"/>
        <s v="LAP-5531"/>
        <s v="PRN-4983"/>
        <s v="PRN-3014"/>
        <s v="PRN-5666"/>
        <s v="CMP-6925"/>
        <s v="PHN-3800"/>
        <s v="PRN-6520"/>
        <s v="PHN-7815"/>
        <s v="ACC-7047"/>
        <s v="MON-5749"/>
        <s v="PHN-4915"/>
        <s v="NET-3535"/>
        <s v="LAP-5763"/>
        <s v="CMP-2096"/>
        <s v="MON-2073"/>
        <s v="ACC-9644"/>
        <s v="PRN-5815"/>
        <s v="PRN-6308"/>
        <s v="LAP-8825"/>
        <s v="NET-7998"/>
        <s v="PRN-1923"/>
        <s v="MON-5086"/>
        <s v="CMP-1220"/>
        <s v="PRN-1060"/>
        <s v="NET-8329"/>
        <s v="NET-3728"/>
        <s v="ACC-3721"/>
        <s v="PRN-1641"/>
        <s v="MON-8688"/>
        <s v="NET-4735"/>
        <s v="MON-3773"/>
        <s v="PRN-8392"/>
        <s v="PRN-6791"/>
        <s v="PRN-4170"/>
        <s v="NET-9716"/>
        <s v="PRN-1504"/>
        <s v="LAP-3779"/>
        <s v="ACC-1770"/>
        <s v="CMP-8002"/>
        <s v="PHN-8350"/>
        <s v="MON-7943"/>
        <s v="CMP-2865"/>
        <s v="MON-3745"/>
        <s v="MON-3043"/>
        <s v="PRN-4911"/>
        <s v="PRN-4432"/>
        <s v="NET-8761"/>
        <s v="MON-2100"/>
        <s v="ACC-3385"/>
        <s v="MON-1593"/>
        <s v="PRN-6776"/>
        <s v="PRN-8758"/>
        <s v="ACC-5422"/>
        <s v="MON-5276"/>
        <s v="LAP-4551"/>
        <s v="CMP-4093"/>
        <s v="NET-5195"/>
        <s v="PRN-1086"/>
        <s v="LAP-2942"/>
        <s v="MON-7622"/>
        <s v="PRN-1183"/>
        <s v="LAP-9901"/>
        <s v="PRN-1725"/>
        <s v="MON-3350"/>
        <s v="ACC-6594"/>
        <s v="CMP-3313"/>
        <s v="PRN-7079"/>
        <s v="PHN-9465"/>
        <s v="LAP-3220"/>
        <s v="CMP-2335"/>
        <s v="PHN-5938"/>
        <s v="CMP-5435"/>
        <s v="LAP-3565"/>
        <s v="CMP-5825"/>
        <s v="MON-9216"/>
        <s v="NET-6533"/>
        <s v="MON-1118"/>
        <s v="CMP-4945"/>
        <s v="ACC-1604"/>
        <s v="ACC-4815"/>
        <s v="CMP-5311"/>
        <s v="ACC-7906"/>
        <s v="NET-6218"/>
        <s v="NET-5423"/>
        <s v="CMP-5006"/>
        <s v="ACC-7938"/>
        <s v="CMP-7617"/>
        <s v="MON-9967"/>
        <s v="PRN-9787"/>
        <s v="NET-9989"/>
        <s v="ACC-5780"/>
        <s v="ACC-2761"/>
        <s v="LAP-3679"/>
        <s v="LAP-8214"/>
        <s v="CMP-2040"/>
        <s v="PHN-8057"/>
        <s v="ACC-6543"/>
        <s v="ACC-3989"/>
        <s v="MON-6699"/>
        <s v="CMP-9264"/>
        <s v="NET-3460"/>
        <s v="PRN-7019"/>
        <s v="MON-1663"/>
        <s v="MON-2537"/>
        <s v="PRN-5492"/>
        <s v="MON-2842"/>
        <s v="LAP-5009"/>
        <s v="MON-7626"/>
        <s v="ACC-1882"/>
        <s v="MON-8651"/>
        <s v="ACC-8094"/>
        <s v="LAP-9931"/>
        <s v="PHN-3803"/>
        <s v="LAP-1619"/>
        <s v="PHN-9399"/>
        <s v="MON-4278"/>
        <s v="MON-9662"/>
        <s v="PHN-8483"/>
        <s v="MON-4195"/>
        <s v="PRN-2409"/>
        <s v="PRN-4892"/>
        <s v="LAP-4899"/>
        <s v="PRN-6911"/>
        <s v="CMP-4159"/>
        <s v="PRN-3159"/>
        <s v="CMP-8675"/>
        <s v="ACC-1731"/>
        <s v="PHN-2462"/>
        <s v="PHN-1924"/>
        <s v="NET-4228"/>
        <s v="PHN-3007"/>
        <s v="NET-8787"/>
        <s v="LAP-4666"/>
        <s v="PRN-9624"/>
        <s v="ACC-5150"/>
        <s v="CMP-1940"/>
        <s v="MON-8629"/>
        <s v="CMP-6919"/>
        <s v="PRN-4506"/>
        <s v="NET-2062"/>
        <s v="MON-4330"/>
        <s v="MON-5188"/>
        <s v="CMP-1009"/>
        <s v="MON-8973"/>
        <s v="PHN-3482"/>
        <s v="MON-1822"/>
        <s v="CMP-8141"/>
        <s v="MON-2266"/>
        <s v="CMP-3875"/>
        <s v="MON-9906"/>
        <s v="MON-7602"/>
        <s v="MON-1572"/>
        <s v="PHN-2447"/>
        <s v="PRN-5005"/>
        <s v="CMP-4807"/>
        <s v="MON-1436"/>
        <s v="LAP-2378"/>
        <s v="LAP-9016"/>
        <s v="NET-9835"/>
        <s v="CMP-5138"/>
        <s v="ACC-3068"/>
        <s v="PHN-3854"/>
        <s v="PHN-1717"/>
        <s v="LAP-1990"/>
        <s v="CMP-3259"/>
        <s v="LAP-2806"/>
        <s v="PRN-8850"/>
        <s v="PRN-9378"/>
        <s v="LAP-8119"/>
        <s v="NET-6578"/>
        <s v="ACC-1075"/>
        <s v="ACC-2902"/>
        <s v="PHN-2859"/>
        <s v="LAP-8469"/>
        <s v="PHN-3077"/>
        <s v="PHN-5683"/>
        <s v="NET-9832"/>
        <s v="PHN-4346"/>
        <s v="ACC-1375"/>
        <s v="PRN-2301"/>
        <s v="CMP-6811"/>
        <s v="NET-6014"/>
        <s v="ACC-7240"/>
        <s v="MON-4830"/>
        <s v="LAP-5078"/>
        <s v="MON-2465"/>
        <s v="CMP-1156"/>
        <s v="LAP-3905"/>
        <s v="LAP-6499"/>
        <s v="ACC-9283"/>
        <s v="PRN-6585"/>
        <s v="ACC-4587"/>
        <s v="PHN-4395"/>
        <s v="NET-4675"/>
        <s v="NET-2460"/>
        <s v="CMP-1555"/>
        <s v="PRN-8041"/>
        <s v="PHN-7019"/>
        <s v="PHN-1197"/>
        <s v="CMP-6971"/>
        <s v="MON-6870"/>
        <s v="MON-2990"/>
        <s v="NET-1966"/>
        <s v="NET-6387"/>
        <s v="NET-3033"/>
        <s v="PRN-8175"/>
        <s v="NET-7924"/>
        <s v="MON-9227"/>
        <s v="ACC-2735"/>
        <s v="CMP-5211"/>
        <s v="ACC-9591"/>
        <s v="PHN-9789"/>
        <s v="NET-7588"/>
        <s v="NET-1645"/>
        <s v="MON-5249"/>
        <s v="PRN-7816"/>
        <s v="LAP-4828"/>
        <s v="MON-2998"/>
        <s v="MON-8939"/>
        <s v="NET-8430"/>
        <s v="PHN-6818"/>
        <s v="CMP-3743"/>
        <s v="PRN-2991"/>
        <s v="PHN-6131"/>
        <s v="NET-9575"/>
        <s v="LAP-3604"/>
        <s v="NET-8957"/>
        <s v="CMP-7055"/>
        <s v="ACC-1249"/>
        <s v="LAP-8347"/>
        <s v="LAP-7009"/>
        <s v="PHN-8478"/>
        <s v="CMP-8604"/>
        <s v="LAP-1946"/>
        <s v="PHN-5675"/>
        <s v="CMP-6649"/>
        <s v="CMP-5658"/>
        <s v="NET-1893"/>
        <s v="PRN-3917"/>
        <s v="PHN-6480"/>
        <s v="ACC-1596"/>
        <s v="PRN-1786"/>
        <s v="NET-9569"/>
        <s v="NET-7349"/>
        <s v="PHN-6111"/>
        <s v="CMP-6495"/>
        <s v="LAP-4483"/>
        <s v="PHN-9677"/>
        <s v="MON-1564"/>
        <s v="PRN-9867"/>
        <s v="PRN-6131"/>
        <s v="ACC-7713"/>
        <s v="PRN-5264"/>
        <s v="PHN-9184"/>
        <s v="LAP-3017"/>
        <s v="NET-9666"/>
        <s v="LAP-1698"/>
        <s v="LAP-9815"/>
        <s v="PHN-6854"/>
        <s v="PHN-1784"/>
        <s v="PRN-3143"/>
        <s v="LAP-7819"/>
        <s v="ACC-2252"/>
        <s v="CMP-2854"/>
        <s v="PHN-6954"/>
        <s v="LAP-7136"/>
        <s v="PHN-8970"/>
        <s v="ACC-9820"/>
        <s v="PHN-7924"/>
        <s v="PHN-8014"/>
        <s v="LAP-3278"/>
        <s v="PRN-7089"/>
        <s v="ACC-4124"/>
        <s v="PHN-5082"/>
        <s v="NET-6036"/>
        <s v="ACC-1659"/>
        <s v="PRN-6068"/>
        <s v="PHN-1671"/>
        <s v="CMP-4970"/>
        <s v="PRN-7049"/>
        <s v="PHN-8804"/>
        <s v="NET-2628"/>
        <s v="PHN-1234"/>
        <s v="LAP-4607"/>
        <s v="ACC-2988"/>
        <s v="PHN-2337"/>
        <s v="ACC-1238"/>
        <s v="PRN-4893"/>
        <s v="PHN-6866"/>
        <s v="NET-3432"/>
        <s v="PHN-8891"/>
        <s v="NET-2499"/>
        <s v="CMP-3938"/>
        <s v="PRN-9488"/>
        <s v="MON-2462"/>
        <s v="MON-6190"/>
        <s v="PRN-2641"/>
        <s v="LAP-1739"/>
        <s v="LAP-1989"/>
        <s v="ACC-5144"/>
        <s v="ACC-7354"/>
        <s v="PHN-1919"/>
        <s v="CMP-5911"/>
        <s v="PHN-7636"/>
        <s v="LAP-1969"/>
        <s v="LAP-6577"/>
        <s v="PRN-5569"/>
        <s v="NET-5987"/>
        <s v="ACC-4766"/>
        <s v="ACC-1028"/>
        <s v="PRN-9322"/>
        <s v="PHN-4556"/>
        <s v="PRN-6276"/>
        <s v="MON-6892"/>
        <s v="ACC-3961"/>
        <s v="PRN-7303"/>
        <s v="PRN-2542"/>
        <s v="NET-5268"/>
        <s v="ACC-9038"/>
        <s v="ACC-5177"/>
        <s v="ACC-4056"/>
        <s v="MON-5517"/>
        <s v="MON-8758"/>
        <s v="ACC-8999"/>
        <s v="PRN-1141"/>
        <s v="PHN-4741"/>
        <s v="CMP-4630"/>
        <s v="LAP-3490"/>
        <s v="CMP-9392"/>
        <s v="ACC-4483"/>
        <s v="ACC-9533"/>
        <s v="ACC-8178"/>
        <s v="PHN-1670"/>
        <s v="CMP-4792"/>
        <s v="ACC-5334"/>
        <s v="LAP-3904"/>
        <s v="MON-4373"/>
        <s v="LAP-9100"/>
        <s v="PHN-5887"/>
        <s v="PHN-3971"/>
        <s v="LAP-8910"/>
        <s v="LAP-7553"/>
        <s v="MON-4789"/>
        <s v="PHN-2436"/>
        <s v="ACC-7671"/>
        <s v="ACC-2990"/>
        <s v="CMP-6529"/>
        <s v="ACC-3349"/>
        <s v="CMP-5633"/>
        <s v="PRN-1882"/>
        <s v="ACC-8242"/>
        <s v="LAP-7523"/>
        <s v="CMP-9001"/>
        <s v="NET-8856"/>
        <s v="NET-7966"/>
        <s v="CMP-1559"/>
        <s v="NET-1412"/>
        <s v="LAP-3393"/>
        <s v="MON-2296"/>
        <s v="LAP-8489"/>
        <s v="CMP-5208"/>
        <s v="NET-5018"/>
        <s v="CMP-4531"/>
        <s v="CMP-8101"/>
        <s v="NET-4241"/>
        <s v="LAP-1525"/>
        <s v="LAP-6342"/>
        <s v="LAP-7099"/>
        <s v="PRN-3785"/>
        <s v="CMP-3978"/>
        <s v="CMP-7063"/>
        <s v="NET-1612"/>
        <s v="CMP-8230"/>
        <s v="PHN-3819"/>
        <s v="PHN-6832"/>
        <s v="ACC-6223"/>
        <s v="CMP-8659"/>
        <s v="MON-1389"/>
        <s v="ACC-2364"/>
        <s v="MON-1018"/>
        <s v="PRN-6660"/>
        <s v="CMP-2574"/>
        <s v="NET-7901"/>
        <s v="LAP-7320"/>
        <s v="MON-5891"/>
        <s v="CMP-6898"/>
        <s v="MON-3504"/>
        <s v="MON-7106"/>
        <s v="ACC-5206"/>
        <s v="NET-5270"/>
        <s v="PRN-4732"/>
        <s v="PHN-8072"/>
        <s v="LAP-1308"/>
        <s v="ACC-9445"/>
        <s v="PRN-1654"/>
        <s v="MON-8422"/>
        <s v="PRN-4787"/>
        <s v="PHN-7379"/>
        <s v="CMP-1470"/>
        <s v="LAP-3385"/>
        <s v="LAP-9932"/>
        <s v="NET-2365"/>
        <s v="ACC-9150"/>
        <s v="CMP-5820"/>
        <s v="NET-7166"/>
        <s v="PRN-8970"/>
        <s v="PHN-2341"/>
        <s v="LAP-9230"/>
        <s v="NET-6370"/>
        <s v="CMP-6346"/>
        <s v="LAP-9782"/>
        <s v="CMP-1072"/>
        <s v="MON-6962"/>
        <s v="PRN-5107"/>
        <s v="MON-7511"/>
        <s v="MON-4959"/>
        <s v="CMP-7256"/>
        <s v="LAP-9766"/>
        <s v="NET-2439"/>
        <s v="MON-9733"/>
        <s v="ACC-8557"/>
        <s v="ACC-1492"/>
        <s v="PHN-5316"/>
        <s v="MON-6310"/>
        <s v="PRN-2293"/>
        <s v="NET-9003"/>
        <s v="ACC-1060"/>
        <s v="PRN-7410"/>
        <s v="ACC-3103"/>
        <s v="ACC-7838"/>
        <s v="PHN-5383"/>
        <s v="PRN-3690"/>
        <s v="PRN-8657"/>
        <s v="PRN-5876"/>
        <s v="CMP-8545"/>
        <s v="MON-8697"/>
        <s v="ACC-3645"/>
        <s v="LAP-1066"/>
        <s v="LAP-1178"/>
        <s v="PRN-5813"/>
        <s v="NET-1145"/>
        <s v="PHN-9107"/>
        <s v="CMP-8127"/>
        <s v="NET-4491"/>
        <s v="NET-2502"/>
        <s v="LAP-5689"/>
        <s v="ACC-3833"/>
        <s v="NET-2932"/>
        <s v="LAP-8633"/>
        <s v="PRN-5067"/>
        <s v="MON-4215"/>
        <s v="PRN-5753"/>
        <s v="LAP-4987"/>
        <s v="PRN-6536"/>
        <s v="MON-3371"/>
        <s v="ACC-4511"/>
        <s v="PHN-4356"/>
        <s v="NET-4155"/>
        <s v="PRN-4788"/>
        <s v="ACC-7078"/>
        <s v="CMP-1632"/>
        <s v="LAP-7979"/>
        <s v="NET-5941"/>
        <s v="PHN-3159"/>
        <s v="PRN-8604"/>
        <s v="PHN-2013"/>
        <s v="ACC-3551"/>
        <s v="ACC-5079"/>
        <s v="PRN-2098"/>
        <s v="LAP-2846"/>
        <s v="CMP-7563"/>
        <s v="PRN-2829"/>
        <s v="NET-5523"/>
        <s v="MON-5424"/>
        <s v="MON-4326"/>
        <s v="MON-5444"/>
        <s v="NET-3749"/>
        <s v="MON-9319"/>
        <s v="NET-4554"/>
        <s v="PHN-6307"/>
        <s v="NET-1816"/>
        <s v="LAP-6750"/>
        <s v="PHN-2036"/>
        <s v="PHN-7974"/>
        <s v="NET-3828"/>
        <s v="PHN-3398"/>
        <s v="PRN-5591"/>
        <s v="PHN-1044"/>
        <s v="MON-6882"/>
        <s v="MON-8867"/>
        <s v="PHN-8776"/>
        <s v="CMP-3223"/>
        <s v="CMP-2410"/>
        <s v="NET-5196"/>
        <s v="MON-7099"/>
        <s v="CMP-9498"/>
        <s v="NET-9177"/>
        <s v="PHN-5366"/>
        <s v="NET-1282"/>
        <s v="PRN-9249"/>
        <s v="PRN-4906"/>
        <s v="MON-8129"/>
        <m/>
      </sharedItems>
    </cacheField>
    <cacheField name="UnitCost" numFmtId="164">
      <sharedItems containsString="0" containsBlank="1" containsNumber="1" minValue="5.34" maxValue="1495.79"/>
    </cacheField>
    <cacheField name="Adjusted unit cost" numFmtId="164">
      <sharedItems containsString="0" containsBlank="1" containsNumber="1" minValue="6.1409999999999991" maxValue="1720.1584999999998"/>
    </cacheField>
    <cacheField name="Corrected unit price" numFmtId="164">
      <sharedItems containsString="0" containsBlank="1" containsNumber="1" minValue="0" maxValue="3661.07"/>
    </cacheField>
    <cacheField name="Corrected unit price2" numFmtId="164">
      <sharedItems containsString="0" containsBlank="1" containsNumber="1" minValue="0" maxValue="3661.07"/>
    </cacheField>
    <cacheField name="What if unit price" numFmtId="164">
      <sharedItems containsString="0" containsBlank="1" containsNumber="1" minValue="0" maxValue="4210.2304999999997"/>
    </cacheField>
    <cacheField name="Corrected discount" numFmtId="10">
      <sharedItems containsString="0" containsBlank="1" containsNumber="1" minValue="0" maxValue="0.3"/>
    </cacheField>
    <cacheField name="Discount check" numFmtId="0">
      <sharedItems containsBlank="1"/>
    </cacheField>
    <cacheField name="Corrected discount2" numFmtId="10">
      <sharedItems containsString="0" containsBlank="1" containsNumber="1" minValue="0" maxValue="0.3"/>
    </cacheField>
    <cacheField name="What if disc" numFmtId="10">
      <sharedItems containsString="0" containsBlank="1" containsNumber="1" minValue="0" maxValue="0.25"/>
    </cacheField>
    <cacheField name="Quantity" numFmtId="1">
      <sharedItems containsString="0" containsBlank="1" containsNumber="1" containsInteger="1" minValue="2" maxValue="61"/>
    </cacheField>
    <cacheField name="Adjusted quantity" numFmtId="1">
      <sharedItems containsString="0" containsBlank="1" containsNumber="1" minValue="2.4" maxValue="73.2"/>
    </cacheField>
    <cacheField name="Gross Revenue" numFmtId="1">
      <sharedItems containsSemiMixedTypes="0" containsString="0" containsNumber="1" minValue="0" maxValue="10917569.569679989"/>
    </cacheField>
    <cacheField name="What if Revenue" numFmtId="1">
      <sharedItems containsSemiMixedTypes="0" containsString="0" containsNumber="1" minValue="0" maxValue="19282678.580878232"/>
    </cacheField>
    <cacheField name="Cost of goods" numFmtId="1">
      <sharedItems containsString="0" containsBlank="1" containsNumber="1" minValue="22" maxValue="83258.290000000008"/>
    </cacheField>
    <cacheField name="Gross profit" numFmtId="1">
      <sharedItems containsSemiMixedTypes="0" containsString="0" containsNumber="1" minValue="-68628" maxValue="3421374.359679997"/>
    </cacheField>
    <cacheField name="What if Gross profit" numFmtId="0">
      <sharedItems containsString="0" containsBlank="1" containsNumber="1" minValue="-68628" maxValue="188797.73855839999"/>
    </cacheField>
    <cacheField name="Margin Pct" numFmtId="0">
      <sharedItems containsSemiMixedTypes="0" containsString="0" containsNumber="1" minValue="-0.87167486187856302" maxValue="155.48941355903798"/>
    </cacheField>
    <cacheField name="MinOrderDate" numFmtId="14">
      <sharedItems containsNonDate="0" containsDate="1" containsString="0" containsBlank="1" minDate="2023-01-02T00:00:00" maxDate="2023-01-03T00:00:00"/>
    </cacheField>
    <cacheField name="Cohort Month" numFmtId="0">
      <sharedItems containsBlank="1"/>
    </cacheField>
    <cacheField name="0" numFmtId="0">
      <sharedItems containsBlank="1" containsMixedTypes="1" containsNumber="1" containsInteger="1" minValue="0" maxValue="0"/>
    </cacheField>
    <cacheField name="02" numFmtId="0">
      <sharedItems containsString="0" containsBlank="1" containsNumber="1" minValue="0" maxValue="1620.05"/>
    </cacheField>
    <cacheField name="03" numFmtId="0">
      <sharedItems containsString="0" containsBlank="1" containsNumber="1" containsInteger="1" minValue="0" maxValue="0"/>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32">
  <r>
    <x v="0"/>
    <x v="0"/>
    <x v="0"/>
    <x v="0"/>
    <d v="2024-04-06T00:00:00"/>
    <s v="OK"/>
    <d v="2024-04-06T00:00:00"/>
    <n v="26"/>
    <s v="Africa"/>
    <x v="0"/>
    <s v="Kisumu"/>
    <s v="Kisumu"/>
    <s v="Africa &gt; Kenya &gt; Kisumu"/>
    <s v="Corporate"/>
    <s v="Retail"/>
    <s v="Retail"/>
    <s v="C. Otieno"/>
    <x v="0"/>
    <s v="Components"/>
    <x v="0"/>
    <s v="Low"/>
    <x v="0"/>
    <n v="279.24"/>
    <n v="608.9"/>
    <s v="OK"/>
    <n v="608.9"/>
    <n v="0.112"/>
    <s v="OK"/>
    <n v="0.112"/>
    <n v="9"/>
    <n v="4866.3287999999993"/>
    <n v="1550200.534329999"/>
    <n v="2513.16"/>
    <n v="2353.1687999999995"/>
    <n v="0.48356140670149533"/>
    <n v="44928"/>
    <s v="Jan-2023"/>
  </r>
  <r>
    <x v="1"/>
    <x v="1"/>
    <x v="1"/>
    <x v="1"/>
    <d v="2025-06-09T00:00:00"/>
    <s v="OK"/>
    <d v="2025-06-09T00:00:00"/>
    <n v="19"/>
    <s v="Americas"/>
    <x v="1"/>
    <s v="São Paulo"/>
    <s v="São Paulo"/>
    <s v="Americas &gt; Brazil &gt; São Paulo"/>
    <s v="Non-Profit"/>
    <s v="Online"/>
    <s v="Online"/>
    <s v="A. Patel"/>
    <x v="1"/>
    <s v="Components"/>
    <x v="0"/>
    <s v="High"/>
    <x v="1"/>
    <n v="1331.38"/>
    <n v="2309.56"/>
    <s v="OK"/>
    <n v="2309.56"/>
    <n v="0.14899999999999999"/>
    <s v="OK"/>
    <n v="0.14899999999999999"/>
    <n v="31"/>
    <n v="60928.502359999999"/>
    <n v="1550200.534329999"/>
    <n v="41272.780000000006"/>
    <n v="19655.722359999992"/>
    <n v="0.32260307735553528"/>
    <n v="44928"/>
    <s v="Jan-2023"/>
  </r>
  <r>
    <x v="2"/>
    <x v="2"/>
    <x v="2"/>
    <x v="2"/>
    <d v="2025-03-31T00:00:00"/>
    <s v="OK"/>
    <d v="2025-03-31T00:00:00"/>
    <n v="25"/>
    <s v="Americas"/>
    <x v="1"/>
    <s v="Brasília"/>
    <s v="Brasília"/>
    <s v="Americas &gt; Brazil &gt; Brasília"/>
    <s v="Non-Profit"/>
    <s v="Online"/>
    <s v="Online"/>
    <s v="J. Njeri"/>
    <x v="2"/>
    <s v="Components"/>
    <x v="0"/>
    <s v="Low"/>
    <x v="2"/>
    <n v="331.57"/>
    <n v="548.4"/>
    <s v="OK"/>
    <n v="548.4"/>
    <n v="9.4E-2"/>
    <s v="OK"/>
    <n v="9.4E-2"/>
    <n v="10"/>
    <n v="4968.5039999999999"/>
    <n v="1550200.534329999"/>
    <n v="3315.7"/>
    <n v="1652.8040000000001"/>
    <n v="0.33265626836568918"/>
    <n v="44928"/>
    <s v="Jan-2023"/>
  </r>
  <r>
    <x v="3"/>
    <x v="3"/>
    <x v="3"/>
    <x v="3"/>
    <d v="2025-09-30T00:00:00"/>
    <s v="OK"/>
    <d v="2025-09-30T00:00:00"/>
    <n v="29"/>
    <s v="Americas"/>
    <x v="1"/>
    <s v="Brasília"/>
    <s v="Brasília"/>
    <s v="Americas &gt; Brazil &gt; Brasília"/>
    <s v="Education"/>
    <s v="Retail"/>
    <s v="Retail"/>
    <s v="K. Singh"/>
    <x v="3"/>
    <s v="Accessories"/>
    <x v="1"/>
    <s v="Low"/>
    <x v="3"/>
    <n v="780.59"/>
    <n v="631.57000000000005"/>
    <s v="OK"/>
    <n v="631.57000000000005"/>
    <n v="0"/>
    <s v="OK"/>
    <n v="0"/>
    <n v="12"/>
    <n v="7578.84"/>
    <e v="#VALUE!"/>
    <n v="9367.08"/>
    <n v="-1788.2399999999998"/>
    <n v="-0.23595167598207639"/>
    <n v="44928"/>
    <s v="Jan-2023"/>
  </r>
  <r>
    <x v="4"/>
    <x v="4"/>
    <x v="4"/>
    <x v="3"/>
    <d v="2025-08-05T00:00:00"/>
    <s v="OK"/>
    <d v="2025-08-05T00:00:00"/>
    <n v="16"/>
    <s v="Americas"/>
    <x v="1"/>
    <s v="Brasília"/>
    <s v="Brasília"/>
    <s v="Americas &gt; Brazil &gt; Brasília"/>
    <s v="Enterprise"/>
    <s v="Marketplace"/>
    <s v="Marketplace"/>
    <s v="G. Dubois"/>
    <x v="4"/>
    <s v="Accessories"/>
    <x v="1"/>
    <s v="High"/>
    <x v="4"/>
    <n v="1068.17"/>
    <n v="2375.37"/>
    <s v="OK"/>
    <n v="2375.37"/>
    <n v="0.109"/>
    <s v="OK"/>
    <n v="0.109"/>
    <n v="18"/>
    <n v="38096.18406"/>
    <e v="#VALUE!"/>
    <n v="19227.060000000001"/>
    <n v="18869.124059999998"/>
    <n v="0.49530220744108822"/>
    <n v="44928"/>
    <s v="Jan-2023"/>
  </r>
  <r>
    <x v="5"/>
    <x v="5"/>
    <x v="5"/>
    <x v="4"/>
    <d v="2023-02-12T00:00:00"/>
    <s v="OK"/>
    <d v="2023-02-12T00:00:00"/>
    <n v="5"/>
    <s v="Americas"/>
    <x v="1"/>
    <s v="São Paulo"/>
    <s v="São Paulo"/>
    <s v="Americas &gt; Brazil &gt; São Paulo"/>
    <s v="Education"/>
    <s v="Online"/>
    <s v="Online"/>
    <s v="N. Brown"/>
    <x v="5"/>
    <s v="Components"/>
    <x v="0"/>
    <s v="High"/>
    <x v="5"/>
    <n v="948.55"/>
    <n v="2089.16"/>
    <s v="OK"/>
    <n v="2089.16"/>
    <n v="7.0000000000000001E-3"/>
    <s v="OK"/>
    <n v="7.0000000000000001E-3"/>
    <n v="12"/>
    <n v="24894.430559999997"/>
    <n v="1550200.534329999"/>
    <n v="11382.599999999999"/>
    <n v="13511.830559999999"/>
    <n v="0.54276519912492427"/>
    <n v="44928"/>
    <s v="Jan-2023"/>
  </r>
  <r>
    <x v="6"/>
    <x v="6"/>
    <x v="6"/>
    <x v="5"/>
    <d v="2024-07-14T00:00:00"/>
    <s v="OK"/>
    <d v="2024-07-14T00:00:00"/>
    <n v="14"/>
    <s v="Americas"/>
    <x v="1"/>
    <s v="Brasília"/>
    <s v="Brasília"/>
    <s v="Americas &gt; Brazil &gt; Brasília"/>
    <s v="Education"/>
    <s v="Retail"/>
    <s v="Retail"/>
    <s v="C. Otieno"/>
    <x v="0"/>
    <s v="Accessories"/>
    <x v="1"/>
    <s v="High"/>
    <x v="6"/>
    <n v="1491.85"/>
    <n v="2583.02"/>
    <s v="OK"/>
    <n v="2583.02"/>
    <n v="0.16800000000000001"/>
    <s v="OK"/>
    <n v="0.16800000000000001"/>
    <n v="4"/>
    <n v="8596.2905599999995"/>
    <e v="#VALUE!"/>
    <n v="5967.4"/>
    <n v="2628.8905599999998"/>
    <n v="0.30581685689321325"/>
    <n v="44928"/>
    <s v="Jan-2023"/>
  </r>
  <r>
    <x v="7"/>
    <x v="7"/>
    <x v="7"/>
    <x v="1"/>
    <d v="2025-04-30T00:00:00"/>
    <s v="OK"/>
    <d v="2025-04-30T00:00:00"/>
    <n v="24"/>
    <s v="Americas"/>
    <x v="1"/>
    <s v="Brasília"/>
    <s v="Brasília"/>
    <s v="Americas &gt; Brazil &gt; Brasília"/>
    <s v="Education"/>
    <s v="Online"/>
    <s v="Online"/>
    <s v="K. Singh"/>
    <x v="3"/>
    <s v="Monitors"/>
    <x v="2"/>
    <s v="High"/>
    <x v="7"/>
    <n v="855.78"/>
    <n v="977.38"/>
    <s v="OK"/>
    <n v="977.38"/>
    <n v="0.14699999999999999"/>
    <s v="OK"/>
    <n v="0.14699999999999999"/>
    <n v="38"/>
    <n v="31680.795320000001"/>
    <e v="#VALUE!"/>
    <n v="32519.64"/>
    <n v="-838.84467999999833"/>
    <n v="-2.6478018355506307E-2"/>
    <n v="44928"/>
    <s v="Jan-2023"/>
  </r>
  <r>
    <x v="8"/>
    <x v="8"/>
    <x v="8"/>
    <x v="2"/>
    <d v="2025-03-01T00:00:00"/>
    <s v="OK"/>
    <d v="2025-03-01T00:00:00"/>
    <n v="20"/>
    <s v="Americas"/>
    <x v="1"/>
    <s v="São Paulo"/>
    <s v="São Paulo"/>
    <s v="Americas &gt; Brazil &gt; São Paulo"/>
    <s v="Corporate"/>
    <s v="Distributor"/>
    <s v="Distributor"/>
    <s v="B. Chen"/>
    <x v="6"/>
    <s v="Laptops"/>
    <x v="3"/>
    <s v="High"/>
    <x v="8"/>
    <n v="1154.6400000000001"/>
    <n v="2794.13"/>
    <s v="OK"/>
    <n v="2794.13"/>
    <n v="3.5000000000000003E-2"/>
    <s v="OK"/>
    <n v="3.5000000000000003E-2"/>
    <n v="11"/>
    <n v="29659.68995"/>
    <n v="1711094.3775999998"/>
    <n v="12701.04"/>
    <n v="16958.649949999999"/>
    <n v="0.57177435025749479"/>
    <n v="44928"/>
    <s v="Jan-2023"/>
  </r>
  <r>
    <x v="9"/>
    <x v="9"/>
    <x v="9"/>
    <x v="6"/>
    <d v="2023-12-26T00:00:00"/>
    <s v="OK"/>
    <d v="2023-12-26T00:00:00"/>
    <n v="23"/>
    <s v="Americas"/>
    <x v="1"/>
    <s v="Rio de Janeiro"/>
    <s v="Rio de Janeiro"/>
    <s v="Americas &gt; Brazil &gt; Rio de Janeiro"/>
    <s v="Education"/>
    <s v="Retail"/>
    <s v="Retail"/>
    <s v="O. Wang"/>
    <x v="7"/>
    <s v="Phones"/>
    <x v="4"/>
    <s v="High"/>
    <x v="9"/>
    <n v="1303.1099999999999"/>
    <n v="1145.67"/>
    <s v="OK"/>
    <n v="1145.67"/>
    <n v="0.184"/>
    <s v="OK"/>
    <n v="0.184"/>
    <n v="13"/>
    <n v="12153.267360000002"/>
    <n v="1399242.2240200008"/>
    <n v="16940.43"/>
    <n v="-4787.1626399999986"/>
    <n v="-0.39389922875851208"/>
    <n v="44928"/>
    <s v="Jan-2023"/>
  </r>
  <r>
    <x v="10"/>
    <x v="10"/>
    <x v="7"/>
    <x v="1"/>
    <d v="2025-05-06T00:00:00"/>
    <s v="OK"/>
    <d v="2025-05-06T00:00:00"/>
    <n v="27"/>
    <s v="Americas"/>
    <x v="1"/>
    <s v="Brasília"/>
    <s v="Brasília"/>
    <s v="Americas &gt; Brazil &gt; Brasília"/>
    <s v="Enterprise"/>
    <s v="Marketplace"/>
    <s v="Marketplace"/>
    <s v="F. Müller"/>
    <x v="8"/>
    <s v="Laptops"/>
    <x v="3"/>
    <s v="Low"/>
    <x v="10"/>
    <n v="264.19"/>
    <n v="620.92999999999995"/>
    <s v="OK"/>
    <n v="620.92999999999995"/>
    <n v="0.14199999999999999"/>
    <s v="OK"/>
    <n v="0.14199999999999999"/>
    <n v="12"/>
    <n v="6393.0952799999995"/>
    <n v="1711094.3775999998"/>
    <n v="3170.2799999999997"/>
    <n v="3222.8152799999998"/>
    <n v="0.50410875152794532"/>
    <n v="44928"/>
    <s v="Jan-2023"/>
  </r>
  <r>
    <x v="11"/>
    <x v="11"/>
    <x v="10"/>
    <x v="7"/>
    <d v="2024-09-25T00:00:00"/>
    <s v="OK"/>
    <d v="2024-09-25T00:00:00"/>
    <n v="28"/>
    <s v="Americas"/>
    <x v="1"/>
    <s v="Rio de Janeiro"/>
    <s v="Rio de Janeiro"/>
    <s v="Americas &gt; Brazil &gt; Rio de Janeiro"/>
    <s v="Non-Profit"/>
    <s v="Online"/>
    <s v="Online"/>
    <m/>
    <x v="9"/>
    <s v="Accessories"/>
    <x v="1"/>
    <s v="High"/>
    <x v="11"/>
    <n v="1394.65"/>
    <n v="3144.1"/>
    <s v="OK"/>
    <n v="3144.1"/>
    <n v="0.13400000000000001"/>
    <s v="OK"/>
    <n v="0.13400000000000001"/>
    <n v="13"/>
    <n v="35396.277799999996"/>
    <e v="#VALUE!"/>
    <n v="18130.45"/>
    <n v="17265.827799999995"/>
    <n v="0.4877865378263021"/>
    <n v="44928"/>
    <s v="Jan-2023"/>
  </r>
  <r>
    <x v="12"/>
    <x v="6"/>
    <x v="6"/>
    <x v="5"/>
    <d v="2024-06-28T00:00:00"/>
    <s v="Invalid date"/>
    <d v="2024-07-05T00:00:00"/>
    <n v="5"/>
    <s v="Americas"/>
    <x v="1"/>
    <s v="Rio de Janeiro"/>
    <s v="Rio de Janeiro"/>
    <s v="Americas &gt; Brazil &gt; Rio de Janeiro"/>
    <s v="Small Business"/>
    <s v="Direct"/>
    <s v="Direct"/>
    <s v="L. Okafor"/>
    <x v="10"/>
    <s v="Accessories"/>
    <x v="1"/>
    <s v="High"/>
    <x v="12"/>
    <n v="1112.98"/>
    <n v="2095.73"/>
    <s v="OK"/>
    <n v="2095.73"/>
    <n v="7.1999999999999995E-2"/>
    <s v="OK"/>
    <n v="7.1999999999999995E-2"/>
    <n v="17"/>
    <n v="33062.236480000007"/>
    <e v="#VALUE!"/>
    <n v="18920.66"/>
    <n v="14141.576480000007"/>
    <n v="0.42772594916724777"/>
    <n v="44928"/>
    <s v="Jan-2023"/>
  </r>
  <r>
    <x v="13"/>
    <x v="12"/>
    <x v="11"/>
    <x v="8"/>
    <d v="2023-06-23T00:00:00"/>
    <s v="Invalid date"/>
    <d v="2023-06-29T00:00:00"/>
    <n v="5"/>
    <s v="Americas"/>
    <x v="1"/>
    <s v="Rio de Janeiro"/>
    <s v="Rio de Janeiro"/>
    <s v="Americas &gt; Brazil &gt; Rio de Janeiro"/>
    <s v="Non-Profit"/>
    <s v="Retail"/>
    <s v="Retail"/>
    <s v="E. Garcia"/>
    <x v="11"/>
    <s v="Printers"/>
    <x v="5"/>
    <s v="High"/>
    <x v="13"/>
    <n v="804.01"/>
    <n v="1405.07"/>
    <s v="OK"/>
    <n v="1405.07"/>
    <n v="9.6000000000000002E-2"/>
    <s v="OK"/>
    <n v="9.6000000000000002E-2"/>
    <n v="8"/>
    <n v="10161.46624"/>
    <n v="1616910.1886600002"/>
    <n v="6432.08"/>
    <n v="3729.3862399999998"/>
    <n v="0.36701260939287439"/>
    <n v="44928"/>
    <s v="Jan-2023"/>
  </r>
  <r>
    <x v="14"/>
    <x v="13"/>
    <x v="12"/>
    <x v="4"/>
    <d v="2023-03-05T00:00:00"/>
    <s v="OK"/>
    <d v="2023-03-05T00:00:00"/>
    <n v="3"/>
    <s v="Americas"/>
    <x v="1"/>
    <s v="Brasília"/>
    <s v="Brasília"/>
    <s v="Americas &gt; Brazil &gt; Brasília"/>
    <s v="Enterprise"/>
    <s v="Direct"/>
    <s v="Direct"/>
    <s v="G. Dubois"/>
    <x v="4"/>
    <s v="Monitors"/>
    <x v="2"/>
    <s v="High"/>
    <x v="14"/>
    <n v="1473.58"/>
    <n v="3436.52"/>
    <s v="OK"/>
    <n v="3436.52"/>
    <n v="0.108"/>
    <s v="OK"/>
    <n v="0.108"/>
    <n v="8"/>
    <n v="24523.006720000001"/>
    <e v="#VALUE!"/>
    <n v="11788.64"/>
    <n v="12734.366720000002"/>
    <n v="0.51928243813652564"/>
    <n v="44928"/>
    <s v="Jan-2023"/>
  </r>
  <r>
    <x v="15"/>
    <x v="14"/>
    <x v="13"/>
    <x v="9"/>
    <d v="2024-11-29T00:00:00"/>
    <s v="OK"/>
    <d v="2024-11-29T00:00:00"/>
    <n v="27"/>
    <s v="Americas"/>
    <x v="1"/>
    <s v="Brasília"/>
    <s v="Brasília"/>
    <s v="Americas &gt; Brazil &gt; Brasília"/>
    <s v="Small Business"/>
    <s v="Direct"/>
    <s v="Direct"/>
    <s v="I. Johnson"/>
    <x v="12"/>
    <s v="Networking"/>
    <x v="6"/>
    <s v="High"/>
    <x v="15"/>
    <n v="1363.51"/>
    <n v="1433.9"/>
    <s v="OK"/>
    <n v="1433.9"/>
    <n v="5.7000000000000002E-2"/>
    <s v="OK"/>
    <n v="5.7000000000000002E-2"/>
    <n v="8"/>
    <n v="10817.3416"/>
    <e v="#VALUE!"/>
    <n v="10908.08"/>
    <n v="-90.738400000000183"/>
    <n v="-8.3882346842037592E-3"/>
    <n v="44928"/>
    <s v="Jan-2023"/>
  </r>
  <r>
    <x v="16"/>
    <x v="15"/>
    <x v="8"/>
    <x v="2"/>
    <d v="2025-02-28T00:00:00"/>
    <s v="OK"/>
    <d v="2025-02-28T00:00:00"/>
    <n v="16"/>
    <s v="Americas"/>
    <x v="1"/>
    <s v="São Paulo"/>
    <s v="São Paulo"/>
    <s v="Americas &gt; Brazil &gt; São Paulo"/>
    <s v="Non-Profit"/>
    <s v="Direct"/>
    <s v="Direct"/>
    <s v="B. Chen"/>
    <x v="6"/>
    <s v="Monitors"/>
    <x v="2"/>
    <s v="High"/>
    <x v="16"/>
    <n v="414.95"/>
    <n v="1027.73"/>
    <s v="OK"/>
    <n v="1027.73"/>
    <n v="6.3E-2"/>
    <s v="OK"/>
    <n v="6.3E-2"/>
    <n v="8"/>
    <n v="7703.8640800000003"/>
    <e v="#VALUE!"/>
    <n v="3319.6"/>
    <n v="4384.2640800000008"/>
    <n v="0.56909935513815568"/>
    <n v="44928"/>
    <s v="Jan-2023"/>
  </r>
  <r>
    <x v="17"/>
    <x v="16"/>
    <x v="14"/>
    <x v="10"/>
    <d v="2023-07-14T00:00:00"/>
    <s v="OK"/>
    <d v="2023-07-14T00:00:00"/>
    <n v="9"/>
    <s v="Americas"/>
    <x v="1"/>
    <s v="Brasília"/>
    <s v="Brasília"/>
    <s v="Americas &gt; Brazil &gt; Brasília"/>
    <s v="Enterprise"/>
    <s v="Direct"/>
    <s v="Direct"/>
    <s v="B. Chen"/>
    <x v="6"/>
    <s v="Networking"/>
    <x v="6"/>
    <s v="High"/>
    <x v="17"/>
    <n v="578.85"/>
    <n v="998.76"/>
    <s v="OK"/>
    <n v="998.76"/>
    <n v="8.2000000000000003E-2"/>
    <s v="OK"/>
    <n v="8.2000000000000003E-2"/>
    <n v="28"/>
    <n v="25672.127039999999"/>
    <e v="#VALUE!"/>
    <n v="16207.800000000001"/>
    <n v="9464.3270399999983"/>
    <n v="0.36866158480960831"/>
    <n v="44928"/>
    <s v="Jan-2023"/>
  </r>
  <r>
    <x v="18"/>
    <x v="17"/>
    <x v="15"/>
    <x v="5"/>
    <d v="2024-04-07T00:00:00"/>
    <s v="OK"/>
    <d v="2024-04-07T00:00:00"/>
    <n v="4"/>
    <s v="Americas"/>
    <x v="1"/>
    <s v="Brasília"/>
    <s v="Brasília"/>
    <s v="Americas &gt; Brazil &gt; Brasília"/>
    <s v="Non-Profit"/>
    <s v="Direct"/>
    <s v="Direct"/>
    <s v="N. Brown"/>
    <x v="5"/>
    <s v="Phones"/>
    <x v="4"/>
    <s v="High"/>
    <x v="18"/>
    <n v="1023.27"/>
    <n v="1343.64"/>
    <s v="OK"/>
    <n v="1343.64"/>
    <n v="0.13300000000000001"/>
    <s v="OK"/>
    <n v="0.13300000000000001"/>
    <n v="7"/>
    <n v="8154.5511600000009"/>
    <n v="1399242.2240200008"/>
    <n v="7162.8899999999994"/>
    <n v="991.66116000000147"/>
    <n v="0.12160830688810116"/>
    <n v="44928"/>
    <s v="Jan-2023"/>
  </r>
  <r>
    <x v="19"/>
    <x v="18"/>
    <x v="3"/>
    <x v="3"/>
    <d v="2025-09-18T00:00:00"/>
    <s v="OK"/>
    <d v="2025-09-18T00:00:00"/>
    <n v="3"/>
    <s v="Americas"/>
    <x v="1"/>
    <s v="Rio de Janeiro"/>
    <s v="Rio de Janeiro"/>
    <s v="Americas &gt; Brazil &gt; Rio de Janeiro"/>
    <s v="Non-Profit"/>
    <s v="Direct"/>
    <s v="Direct"/>
    <s v="L. Okafor"/>
    <x v="10"/>
    <s v="Accessories"/>
    <x v="1"/>
    <s v="Low"/>
    <x v="19"/>
    <n v="5.5"/>
    <n v="5.92"/>
    <s v="OK"/>
    <n v="5.92"/>
    <n v="0.21199999999999999"/>
    <s v="OK"/>
    <n v="0.21199999999999999"/>
    <n v="4"/>
    <n v="18.659839999999999"/>
    <e v="#VALUE!"/>
    <n v="22"/>
    <n v="-3.3401600000000009"/>
    <n v="-0.17900260666758133"/>
    <n v="44928"/>
    <s v="Jan-2023"/>
  </r>
  <r>
    <x v="20"/>
    <x v="19"/>
    <x v="14"/>
    <x v="10"/>
    <d v="2023-07-31T00:00:00"/>
    <s v="OK"/>
    <d v="2023-07-31T00:00:00"/>
    <n v="12"/>
    <s v="Americas"/>
    <x v="1"/>
    <s v="Rio de Janeiro"/>
    <s v="Rio de Janeiro"/>
    <s v="Americas &gt; Brazil &gt; Rio de Janeiro"/>
    <s v="Corporate"/>
    <s v="Retail"/>
    <s v="Retail"/>
    <s v="C. Otieno"/>
    <x v="0"/>
    <s v="Monitors"/>
    <x v="2"/>
    <s v="High"/>
    <x v="20"/>
    <n v="1334.64"/>
    <n v="2273.42"/>
    <s v="OK"/>
    <n v="2273.42"/>
    <n v="0.11799999999999999"/>
    <s v="OK"/>
    <n v="0.11799999999999999"/>
    <n v="14"/>
    <n v="28072.190160000002"/>
    <e v="#VALUE!"/>
    <n v="18684.960000000003"/>
    <n v="9387.2301599999992"/>
    <n v="0.33439607335575267"/>
    <n v="44928"/>
    <s v="Jan-2023"/>
  </r>
  <r>
    <x v="21"/>
    <x v="20"/>
    <x v="16"/>
    <x v="5"/>
    <d v="2024-06-08T00:00:00"/>
    <s v="OK"/>
    <d v="2024-06-08T00:00:00"/>
    <n v="20"/>
    <s v="Americas"/>
    <x v="1"/>
    <s v="Brasília"/>
    <s v="Brasília"/>
    <s v="Americas &gt; Brazil &gt; Brasília"/>
    <s v="Small Business"/>
    <s v="Retail"/>
    <s v="Retail"/>
    <s v="E. Garcia"/>
    <x v="11"/>
    <s v="Monitors"/>
    <x v="2"/>
    <s v="High"/>
    <x v="21"/>
    <n v="1075.9000000000001"/>
    <n v="1242.1500000000001"/>
    <s v="OK"/>
    <n v="1242.1500000000001"/>
    <n v="1.2E-2"/>
    <s v="OK"/>
    <n v="1.2E-2"/>
    <n v="7"/>
    <n v="8590.7094000000016"/>
    <e v="#VALUE!"/>
    <n v="7531.3000000000011"/>
    <n v="1059.4094000000005"/>
    <n v="0.12332036280961853"/>
    <n v="44928"/>
    <s v="Jan-2023"/>
  </r>
  <r>
    <x v="22"/>
    <x v="21"/>
    <x v="17"/>
    <x v="7"/>
    <d v="2024-10-01T00:00:00"/>
    <s v="OK"/>
    <d v="2024-10-01T00:00:00"/>
    <n v="9"/>
    <s v="Americas"/>
    <x v="1"/>
    <s v="São Paulo"/>
    <s v="São Paulo"/>
    <s v="Americas &gt; Brazil &gt; São Paulo"/>
    <s v="Non-Profit"/>
    <s v="Online"/>
    <s v="Online"/>
    <s v="K. Singh"/>
    <x v="3"/>
    <s v="Monitors"/>
    <x v="2"/>
    <s v="High"/>
    <x v="22"/>
    <n v="1378.8"/>
    <n v="1952.04"/>
    <s v="OK"/>
    <n v="1952.04"/>
    <n v="0.159"/>
    <s v="OK"/>
    <n v="0.159"/>
    <n v="19"/>
    <n v="31191.64716"/>
    <e v="#VALUE!"/>
    <n v="26197.200000000001"/>
    <n v="4994.4471599999997"/>
    <n v="0.16012130216723058"/>
    <n v="44928"/>
    <s v="Jan-2023"/>
  </r>
  <r>
    <x v="23"/>
    <x v="22"/>
    <x v="18"/>
    <x v="6"/>
    <d v="2023-11-28T00:00:00"/>
    <s v="OK"/>
    <d v="2023-11-28T00:00:00"/>
    <n v="18"/>
    <s v="Americas"/>
    <x v="1"/>
    <s v="Brasília"/>
    <s v="Brasília"/>
    <s v="Americas &gt; Brazil &gt; Brasília"/>
    <s v="Education"/>
    <s v="Marketplace"/>
    <s v="Marketplace"/>
    <s v="L. Okafor"/>
    <x v="10"/>
    <s v="Accessories"/>
    <x v="1"/>
    <s v="Low"/>
    <x v="23"/>
    <n v="388.51"/>
    <n v="776.46"/>
    <s v="OK"/>
    <n v="776.46"/>
    <n v="0.157"/>
    <s v="OK"/>
    <n v="0.157"/>
    <n v="12"/>
    <n v="7854.6693599999999"/>
    <e v="#VALUE!"/>
    <n v="4662.12"/>
    <n v="3192.54936"/>
    <n v="0.40645241876864946"/>
    <n v="44928"/>
    <s v="Jan-2023"/>
  </r>
  <r>
    <x v="24"/>
    <x v="23"/>
    <x v="17"/>
    <x v="7"/>
    <d v="2024-10-14T00:00:00"/>
    <s v="OK"/>
    <d v="2024-10-14T00:00:00"/>
    <n v="25"/>
    <s v="Americas"/>
    <x v="1"/>
    <s v="Rio de Janeiro"/>
    <s v="Rio de Janeiro"/>
    <s v="Americas &gt; Brazil &gt; Rio de Janeiro"/>
    <s v="Small Business"/>
    <s v="Retail"/>
    <s v="Retail"/>
    <s v="K. Singh"/>
    <x v="3"/>
    <s v="Printers"/>
    <x v="5"/>
    <s v="High"/>
    <x v="24"/>
    <n v="386.96"/>
    <n v="937.46"/>
    <s v="OK"/>
    <n v="937.46"/>
    <n v="0.26600000000000001"/>
    <s v="OK"/>
    <n v="0.26600000000000001"/>
    <n v="41"/>
    <n v="28211.92124"/>
    <n v="1616910.1886600002"/>
    <n v="15865.359999999999"/>
    <n v="12346.561240000001"/>
    <n v="0.43763631462626335"/>
    <n v="44928"/>
    <s v="Jan-2023"/>
  </r>
  <r>
    <x v="25"/>
    <x v="24"/>
    <x v="9"/>
    <x v="6"/>
    <d v="2023-12-20T00:00:00"/>
    <s v="OK"/>
    <d v="2023-12-20T00:00:00"/>
    <n v="1"/>
    <s v="Americas"/>
    <x v="1"/>
    <s v="Rio de Janeiro"/>
    <s v="Rio de Janeiro"/>
    <s v="Americas &gt; Brazil &gt; Rio de Janeiro"/>
    <s v="Consumer"/>
    <s v="Distributor"/>
    <s v="Distributor"/>
    <s v="J. Njeri"/>
    <x v="2"/>
    <s v="Phones"/>
    <x v="4"/>
    <s v="High"/>
    <x v="25"/>
    <n v="1080.43"/>
    <n v="2529.15"/>
    <s v="OK"/>
    <n v="2529.15"/>
    <n v="0.14699999999999999"/>
    <s v="OK"/>
    <n v="0.14699999999999999"/>
    <n v="10"/>
    <n v="21573.6495"/>
    <n v="1399242.2240200008"/>
    <n v="10804.300000000001"/>
    <n v="10769.349499999998"/>
    <n v="0.49918997247081437"/>
    <n v="44928"/>
    <s v="Jan-2023"/>
  </r>
  <r>
    <x v="26"/>
    <x v="25"/>
    <x v="7"/>
    <x v="1"/>
    <d v="2025-05-06T00:00:00"/>
    <s v="OK"/>
    <d v="2025-05-06T00:00:00"/>
    <n v="12"/>
    <s v="Americas"/>
    <x v="1"/>
    <s v="Brasília"/>
    <s v="Brasília"/>
    <s v="Americas &gt; Brazil &gt; Brasília"/>
    <s v="Consumer"/>
    <s v="Online"/>
    <s v="Online"/>
    <s v="C. Otieno"/>
    <x v="0"/>
    <s v="Phones"/>
    <x v="4"/>
    <s v="High"/>
    <x v="26"/>
    <n v="394.13"/>
    <n v="932.29"/>
    <s v="OK"/>
    <n v="932.29"/>
    <n v="0.109"/>
    <s v="OK"/>
    <n v="0.109"/>
    <n v="7"/>
    <n v="5814.6927299999998"/>
    <n v="1399242.2240200008"/>
    <n v="2758.91"/>
    <n v="3055.7827299999999"/>
    <n v="0.5255278089303268"/>
    <n v="44928"/>
    <s v="Jan-2023"/>
  </r>
  <r>
    <x v="27"/>
    <x v="26"/>
    <x v="19"/>
    <x v="8"/>
    <d v="2023-04-28T00:00:00"/>
    <s v="OK"/>
    <d v="2023-04-28T00:00:00"/>
    <n v="9"/>
    <s v="Americas"/>
    <x v="1"/>
    <s v="Rio de Janeiro"/>
    <s v="Rio de Janeiro"/>
    <s v="Americas &gt; Brazil &gt; Rio de Janeiro"/>
    <s v="Corporate"/>
    <s v="Distributor"/>
    <s v="Distributor"/>
    <s v="M. Rossi"/>
    <x v="13"/>
    <s v="Phones"/>
    <x v="4"/>
    <s v="High"/>
    <x v="27"/>
    <n v="1013.54"/>
    <n v="927.93"/>
    <s v="OK"/>
    <n v="927.93"/>
    <n v="0.17499999999999999"/>
    <s v="OK"/>
    <n v="0.17499999999999999"/>
    <n v="16"/>
    <n v="12248.675999999999"/>
    <n v="1399242.2240200008"/>
    <n v="16216.64"/>
    <n v="-3967.9639999999999"/>
    <n v="-0.32395044166406234"/>
    <n v="44928"/>
    <s v="Jan-2023"/>
  </r>
  <r>
    <x v="28"/>
    <x v="27"/>
    <x v="20"/>
    <x v="6"/>
    <d v="2023-10-13T00:00:00"/>
    <s v="OK"/>
    <d v="2023-10-13T00:00:00"/>
    <n v="2"/>
    <s v="Americas"/>
    <x v="1"/>
    <s v="Brasília"/>
    <s v="Brasília"/>
    <s v="Americas &gt; Brazil &gt; Brasília"/>
    <s v="Consumer"/>
    <s v="Distributor"/>
    <s v="Distributor"/>
    <m/>
    <x v="9"/>
    <s v="Accessories"/>
    <x v="1"/>
    <s v="Low"/>
    <x v="28"/>
    <n v="715.94"/>
    <n v="550.07000000000005"/>
    <s v="OK"/>
    <n v="550.07000000000005"/>
    <n v="0.14000000000000001"/>
    <s v="OK"/>
    <n v="0.14000000000000001"/>
    <n v="16"/>
    <n v="7568.9632000000001"/>
    <e v="#VALUE!"/>
    <n v="11455.04"/>
    <n v="-3886.0768000000007"/>
    <n v="-0.51342260456491595"/>
    <n v="44928"/>
    <s v="Jan-2023"/>
  </r>
  <r>
    <x v="29"/>
    <x v="28"/>
    <x v="21"/>
    <x v="10"/>
    <d v="2023-08-24T00:00:00"/>
    <s v="OK"/>
    <d v="2023-08-24T00:00:00"/>
    <n v="20"/>
    <s v="Americas"/>
    <x v="1"/>
    <s v="Brasília"/>
    <s v="Brasília"/>
    <s v="Americas &gt; Brazil &gt; Brasília"/>
    <s v="Non-Profit"/>
    <s v="Direct"/>
    <s v="Direct"/>
    <m/>
    <x v="9"/>
    <s v="Networking"/>
    <x v="6"/>
    <s v="High"/>
    <x v="29"/>
    <n v="582.88"/>
    <n v="1044.1400000000001"/>
    <s v="OK"/>
    <n v="1044.1400000000001"/>
    <n v="0.216"/>
    <s v="OK"/>
    <n v="0.216"/>
    <n v="10"/>
    <n v="8186.057600000001"/>
    <e v="#VALUE!"/>
    <n v="5828.8"/>
    <n v="2357.2576000000008"/>
    <n v="0.28796005539956138"/>
    <n v="44928"/>
    <s v="Jan-2023"/>
  </r>
  <r>
    <x v="30"/>
    <x v="29"/>
    <x v="9"/>
    <x v="6"/>
    <d v="2024-01-01T00:00:00"/>
    <s v="OK"/>
    <d v="2024-01-01T00:00:00"/>
    <n v="8"/>
    <s v="Americas"/>
    <x v="1"/>
    <s v="São Paulo"/>
    <s v="São Paulo"/>
    <s v="Americas &gt; Brazil &gt; São Paulo"/>
    <s v="Education"/>
    <s v="Direct"/>
    <s v="Direct"/>
    <s v="C. Otieno"/>
    <x v="0"/>
    <s v="Phones"/>
    <x v="4"/>
    <s v="Low"/>
    <x v="30"/>
    <n v="526.49"/>
    <n v="496.2"/>
    <s v="OK"/>
    <n v="496.2"/>
    <n v="0"/>
    <s v="OK"/>
    <n v="0"/>
    <n v="14"/>
    <n v="6946.8"/>
    <n v="1399242.2240200008"/>
    <n v="7370.8600000000006"/>
    <n v="-424.0600000000004"/>
    <n v="-6.1043933897621985E-2"/>
    <n v="44928"/>
    <s v="Jan-2023"/>
  </r>
  <r>
    <x v="31"/>
    <x v="30"/>
    <x v="21"/>
    <x v="10"/>
    <d v="2023-08-14T00:00:00"/>
    <s v="OK"/>
    <d v="2023-08-14T00:00:00"/>
    <n v="11"/>
    <s v="Americas"/>
    <x v="1"/>
    <s v="Brasília"/>
    <s v="Brasília"/>
    <s v="Americas &gt; Brazil &gt; Brasília"/>
    <s v="Corporate"/>
    <s v="Direct"/>
    <s v="Direct"/>
    <s v="J. Njeri"/>
    <x v="2"/>
    <s v="Accessories"/>
    <x v="1"/>
    <s v="Low"/>
    <x v="31"/>
    <n v="232.73"/>
    <n v="334.19"/>
    <s v="OK"/>
    <n v="334.19"/>
    <n v="0.13400000000000001"/>
    <s v="OK"/>
    <n v="0.13400000000000001"/>
    <n v="25"/>
    <n v="7235.2134999999998"/>
    <e v="#VALUE!"/>
    <n v="5818.25"/>
    <n v="1416.9634999999998"/>
    <n v="0.1958426658729559"/>
    <n v="44928"/>
    <s v="Jan-2023"/>
  </r>
  <r>
    <x v="32"/>
    <x v="31"/>
    <x v="22"/>
    <x v="0"/>
    <d v="2024-01-27T00:00:00"/>
    <s v="OK"/>
    <d v="2024-01-27T00:00:00"/>
    <n v="2"/>
    <s v="Americas"/>
    <x v="1"/>
    <s v="São Paulo"/>
    <s v="São Paulo"/>
    <s v="Americas &gt; Brazil &gt; São Paulo"/>
    <s v="Non-Profit"/>
    <s v="Marketplace"/>
    <s v="Marketplace"/>
    <s v="N. Brown"/>
    <x v="5"/>
    <s v="Laptops"/>
    <x v="3"/>
    <s v="High"/>
    <x v="32"/>
    <n v="1410.97"/>
    <n v="1650.75"/>
    <s v="OK"/>
    <n v="1650.75"/>
    <n v="0.13500000000000001"/>
    <s v="OK"/>
    <n v="0.13500000000000001"/>
    <n v="6"/>
    <n v="8567.3924999999999"/>
    <n v="1711094.3775999998"/>
    <n v="8465.82"/>
    <n v="101.57250000000022"/>
    <n v="1.1855707556295596E-2"/>
    <n v="44928"/>
    <s v="Jan-2023"/>
  </r>
  <r>
    <x v="33"/>
    <x v="32"/>
    <x v="2"/>
    <x v="2"/>
    <d v="2025-04-07T00:00:00"/>
    <s v="OK"/>
    <d v="2025-04-07T00:00:00"/>
    <n v="8"/>
    <s v="Americas"/>
    <x v="1"/>
    <s v="São Paulo"/>
    <s v="São Paulo"/>
    <s v="Americas &gt; Brazil &gt; São Paulo"/>
    <s v="Non-Profit"/>
    <s v="Direct"/>
    <s v="Direct"/>
    <s v="L. Okafor"/>
    <x v="10"/>
    <s v="Printers"/>
    <x v="5"/>
    <s v="Low"/>
    <x v="33"/>
    <n v="71.62"/>
    <n v="118.37"/>
    <s v="OK"/>
    <n v="118.37"/>
    <n v="0.156"/>
    <s v="OK"/>
    <n v="0.156"/>
    <n v="11"/>
    <n v="1098.9470800000001"/>
    <n v="1616910.1886600002"/>
    <n v="787.82"/>
    <n v="311.12708000000009"/>
    <n v="0.28311379652603474"/>
    <n v="44928"/>
    <s v="Jan-2023"/>
  </r>
  <r>
    <x v="34"/>
    <x v="33"/>
    <x v="14"/>
    <x v="10"/>
    <d v="2023-07-22T00:00:00"/>
    <s v="OK"/>
    <d v="2023-07-22T00:00:00"/>
    <n v="4"/>
    <s v="Americas"/>
    <x v="1"/>
    <s v="São Paulo"/>
    <s v="São Paulo"/>
    <s v="Americas &gt; Brazil &gt; São Paulo"/>
    <s v="Consumer"/>
    <s v="Direct"/>
    <s v="Direct"/>
    <s v="F. Müller"/>
    <x v="8"/>
    <s v="Networking"/>
    <x v="6"/>
    <s v="High"/>
    <x v="34"/>
    <n v="1269.55"/>
    <n v="2071.1"/>
    <s v="OK"/>
    <n v="2071.1"/>
    <n v="0.129"/>
    <s v="OK"/>
    <n v="0.129"/>
    <n v="22"/>
    <n v="39686.4182"/>
    <e v="#VALUE!"/>
    <n v="27930.1"/>
    <n v="11756.318200000002"/>
    <n v="0.29623026549672354"/>
    <n v="44928"/>
    <s v="Jan-2023"/>
  </r>
  <r>
    <x v="35"/>
    <x v="34"/>
    <x v="16"/>
    <x v="5"/>
    <d v="2024-06-06T00:00:00"/>
    <s v="OK"/>
    <d v="2024-06-06T00:00:00"/>
    <n v="14"/>
    <s v="Americas"/>
    <x v="1"/>
    <s v="Rio de Janeiro"/>
    <s v="Rio de Janeiro"/>
    <s v="Americas &gt; Brazil &gt; Rio de Janeiro"/>
    <s v="Non-Profit"/>
    <s v="Online"/>
    <s v="Online"/>
    <s v="I. Johnson"/>
    <x v="12"/>
    <s v="Networking"/>
    <x v="6"/>
    <s v="Low"/>
    <x v="35"/>
    <n v="51.13"/>
    <n v="57.53"/>
    <s v="OK"/>
    <n v="57.53"/>
    <n v="4.4999999999999998E-2"/>
    <s v="OK"/>
    <n v="4.4999999999999998E-2"/>
    <n v="16"/>
    <n v="879.05840000000001"/>
    <e v="#VALUE!"/>
    <n v="818.08"/>
    <n v="60.978399999999965"/>
    <n v="6.9367859973808302E-2"/>
    <n v="44928"/>
    <s v="Jan-2023"/>
  </r>
  <r>
    <x v="36"/>
    <x v="35"/>
    <x v="18"/>
    <x v="6"/>
    <d v="2023-11-30T00:00:00"/>
    <s v="OK"/>
    <d v="2023-11-30T00:00:00"/>
    <n v="16"/>
    <s v="Americas"/>
    <x v="1"/>
    <s v="São Paulo"/>
    <s v="São Paulo"/>
    <s v="Americas &gt; Brazil &gt; São Paulo"/>
    <s v="Enterprise"/>
    <s v="Direct"/>
    <s v="Direct"/>
    <s v="K. Singh"/>
    <x v="3"/>
    <s v="Networking"/>
    <x v="6"/>
    <s v="High"/>
    <x v="36"/>
    <n v="1017.92"/>
    <n v="1175.25"/>
    <s v="OK"/>
    <n v="1175.25"/>
    <n v="7.4999999999999997E-2"/>
    <s v="OK"/>
    <n v="7.4999999999999997E-2"/>
    <n v="15"/>
    <n v="16306.59375"/>
    <e v="#VALUE!"/>
    <n v="15268.8"/>
    <n v="1037.7937500000007"/>
    <n v="6.3642583234159542E-2"/>
    <n v="44928"/>
    <s v="Jan-2023"/>
  </r>
  <r>
    <x v="37"/>
    <x v="36"/>
    <x v="23"/>
    <x v="0"/>
    <d v="2024-03-11T00:00:00"/>
    <s v="OK"/>
    <d v="2024-03-11T00:00:00"/>
    <n v="22"/>
    <s v="Americas"/>
    <x v="1"/>
    <s v="São Paulo"/>
    <s v="São Paulo"/>
    <s v="Americas &gt; Brazil &gt; São Paulo"/>
    <s v="Consumer"/>
    <s v="Online"/>
    <s v="Online"/>
    <s v="A. Patel"/>
    <x v="1"/>
    <s v="Components"/>
    <x v="0"/>
    <s v="Low"/>
    <x v="37"/>
    <n v="80.48"/>
    <n v="65.650000000000006"/>
    <s v="OK"/>
    <n v="65.650000000000006"/>
    <n v="0.17599999999999999"/>
    <s v="OK"/>
    <n v="0.17599999999999999"/>
    <n v="13"/>
    <n v="703.2428000000001"/>
    <n v="1550200.534329999"/>
    <n v="1046.24"/>
    <n v="-342.99719999999991"/>
    <n v="-0.48773652570634191"/>
    <n v="44928"/>
    <s v="Jan-2023"/>
  </r>
  <r>
    <x v="38"/>
    <x v="37"/>
    <x v="17"/>
    <x v="7"/>
    <d v="2024-10-08T00:00:00"/>
    <s v="OK"/>
    <d v="2024-10-08T00:00:00"/>
    <n v="29"/>
    <s v="Americas"/>
    <x v="1"/>
    <s v="São Paulo"/>
    <s v="São Paulo"/>
    <s v="Americas &gt; Brazil &gt; São Paulo"/>
    <s v="Education"/>
    <s v="Direct"/>
    <s v="Direct"/>
    <s v="J. Njeri"/>
    <x v="2"/>
    <s v="Components"/>
    <x v="0"/>
    <s v="High"/>
    <x v="38"/>
    <n v="1010.33"/>
    <n v="2492.14"/>
    <s v="OK"/>
    <n v="2492.14"/>
    <n v="5.0999999999999997E-2"/>
    <s v="OK"/>
    <n v="5.0999999999999997E-2"/>
    <n v="11"/>
    <n v="26015.449459999996"/>
    <n v="1550200.534329999"/>
    <n v="11113.630000000001"/>
    <n v="14901.819459999995"/>
    <n v="0.57280653493656752"/>
    <n v="44928"/>
    <s v="Jan-2023"/>
  </r>
  <r>
    <x v="39"/>
    <x v="38"/>
    <x v="1"/>
    <x v="1"/>
    <d v="2025-05-17T00:00:00"/>
    <s v="Invalid date"/>
    <d v="2025-05-24T00:00:00"/>
    <n v="5"/>
    <s v="Americas"/>
    <x v="1"/>
    <s v="São Paulo"/>
    <s v="São Paulo"/>
    <s v="Americas &gt; Brazil &gt; São Paulo"/>
    <s v="Small Business"/>
    <s v="Distributor"/>
    <s v="Distributor"/>
    <s v="L. Okafor"/>
    <x v="10"/>
    <s v="Monitors"/>
    <x v="2"/>
    <s v="High"/>
    <x v="39"/>
    <n v="383.77"/>
    <n v="952.56"/>
    <s v="OK"/>
    <n v="952.56"/>
    <n v="0.34599999999999997"/>
    <s v="Excess dis"/>
    <n v="0.3"/>
    <n v="10"/>
    <n v="6667.9199999999983"/>
    <e v="#VALUE!"/>
    <n v="3837.7"/>
    <n v="2830.2199999999984"/>
    <n v="0.42445320279787385"/>
    <n v="44928"/>
    <s v="Jan-2023"/>
  </r>
  <r>
    <x v="40"/>
    <x v="36"/>
    <x v="23"/>
    <x v="0"/>
    <d v="2024-03-03T00:00:00"/>
    <s v="OK"/>
    <d v="2024-03-03T00:00:00"/>
    <n v="14"/>
    <s v="Americas"/>
    <x v="1"/>
    <m/>
    <s v="Unkown"/>
    <s v="Americas &gt; Brazil &gt; Unkown"/>
    <s v="Enterprise"/>
    <s v="Distributor"/>
    <s v="Distributor"/>
    <s v="A. Patel"/>
    <x v="1"/>
    <s v="Printers"/>
    <x v="5"/>
    <s v="High"/>
    <x v="40"/>
    <n v="624.23"/>
    <n v="1318.37"/>
    <s v="OK"/>
    <n v="1318.37"/>
    <n v="0.21"/>
    <s v="OK"/>
    <n v="0.21"/>
    <n v="37"/>
    <n v="38535.955099999999"/>
    <n v="1616910.1886600002"/>
    <n v="23096.510000000002"/>
    <n v="15439.445099999997"/>
    <n v="0.40065038118128793"/>
    <n v="44928"/>
    <s v="Jan-2023"/>
  </r>
  <r>
    <x v="41"/>
    <x v="39"/>
    <x v="13"/>
    <x v="9"/>
    <d v="2024-11-26T00:00:00"/>
    <s v="OK"/>
    <d v="2024-11-26T00:00:00"/>
    <n v="19"/>
    <s v="Americas"/>
    <x v="1"/>
    <s v="Rio de Janeiro"/>
    <s v="Rio de Janeiro"/>
    <s v="Americas &gt; Brazil &gt; Rio de Janeiro"/>
    <s v="Non-Profit"/>
    <s v="Distributor"/>
    <s v="Distributor"/>
    <s v="J. Njeri"/>
    <x v="2"/>
    <s v="Printers"/>
    <x v="5"/>
    <s v="Low"/>
    <x v="41"/>
    <n v="55.35"/>
    <n v="128.68"/>
    <s v="OK"/>
    <n v="128.68"/>
    <n v="0.128"/>
    <s v="OK"/>
    <n v="0.128"/>
    <n v="10"/>
    <n v="1122.0896000000002"/>
    <n v="1616910.1886600002"/>
    <n v="553.5"/>
    <n v="568.58960000000025"/>
    <n v="0.50672388372550647"/>
    <n v="44928"/>
    <s v="Jan-2023"/>
  </r>
  <r>
    <x v="42"/>
    <x v="40"/>
    <x v="24"/>
    <x v="3"/>
    <d v="2025-09-11T00:00:00"/>
    <s v="OK"/>
    <d v="2025-09-11T00:00:00"/>
    <n v="28"/>
    <s v="Americas"/>
    <x v="1"/>
    <s v="São Paulo"/>
    <s v="São Paulo"/>
    <s v="Americas &gt; Brazil &gt; São Paulo"/>
    <s v="Non-Profit"/>
    <s v="Direct"/>
    <s v="Direct"/>
    <s v="F. Müller"/>
    <x v="8"/>
    <s v="Printers"/>
    <x v="5"/>
    <s v="High"/>
    <x v="42"/>
    <n v="1203.02"/>
    <n v="2439.33"/>
    <s v="OK"/>
    <n v="2439.33"/>
    <n v="0"/>
    <s v="OK"/>
    <n v="0"/>
    <n v="18"/>
    <n v="43907.94"/>
    <n v="1616910.1886600002"/>
    <n v="21654.36"/>
    <n v="22253.58"/>
    <n v="0.50682359500354612"/>
    <n v="44928"/>
    <s v="Jan-2023"/>
  </r>
  <r>
    <x v="43"/>
    <x v="17"/>
    <x v="15"/>
    <x v="5"/>
    <d v="2024-04-21T00:00:00"/>
    <s v="OK"/>
    <d v="2024-04-21T00:00:00"/>
    <n v="18"/>
    <s v="Americas"/>
    <x v="1"/>
    <s v="Brasília"/>
    <s v="Brasília"/>
    <s v="Americas &gt; Brazil &gt; Brasília"/>
    <s v="Small Business"/>
    <s v="Distributor"/>
    <s v="Distributor"/>
    <s v="B. Chen"/>
    <x v="6"/>
    <s v="Networking"/>
    <x v="6"/>
    <s v="High"/>
    <x v="43"/>
    <n v="1176.69"/>
    <n v="2201.54"/>
    <s v="OK"/>
    <n v="2201.54"/>
    <n v="0.17"/>
    <s v="OK"/>
    <n v="0.17"/>
    <n v="27"/>
    <n v="49336.511399999996"/>
    <e v="#VALUE!"/>
    <n v="31770.63"/>
    <n v="17565.881399999995"/>
    <n v="0.35604222717701106"/>
    <n v="44928"/>
    <s v="Jan-2023"/>
  </r>
  <r>
    <x v="44"/>
    <x v="41"/>
    <x v="8"/>
    <x v="2"/>
    <d v="2025-02-15T00:00:00"/>
    <s v="OK"/>
    <d v="2025-02-15T00:00:00"/>
    <n v="9"/>
    <s v="Americas"/>
    <x v="1"/>
    <s v="São Paulo"/>
    <s v="São Paulo"/>
    <s v="Americas &gt; Brazil &gt; São Paulo"/>
    <s v="Non-Profit"/>
    <s v="Distributor"/>
    <s v="Distributor"/>
    <s v="F. Müller"/>
    <x v="8"/>
    <s v="Networking"/>
    <x v="6"/>
    <s v="High"/>
    <x v="44"/>
    <n v="837.39"/>
    <n v="1905.42"/>
    <s v="OK"/>
    <n v="1905.42"/>
    <n v="3.2000000000000001E-2"/>
    <s v="OK"/>
    <n v="3.2000000000000001E-2"/>
    <n v="18"/>
    <n v="33200.038079999998"/>
    <e v="#VALUE!"/>
    <n v="15073.02"/>
    <n v="18127.018079999998"/>
    <n v="0.54599389423350919"/>
    <n v="44928"/>
    <s v="Jan-2023"/>
  </r>
  <r>
    <x v="45"/>
    <x v="42"/>
    <x v="25"/>
    <x v="2"/>
    <d v="2025-02-03T00:00:00"/>
    <s v="OK"/>
    <d v="2025-02-03T00:00:00"/>
    <n v="14"/>
    <s v="Americas"/>
    <x v="1"/>
    <s v="Brasília"/>
    <s v="Brasília"/>
    <s v="Americas &gt; Brazil &gt; Brasília"/>
    <s v="Enterprise"/>
    <s v="Marketplace"/>
    <s v="Marketplace"/>
    <s v="F. Müller"/>
    <x v="8"/>
    <s v="Components"/>
    <x v="0"/>
    <s v="High"/>
    <x v="45"/>
    <n v="974.11"/>
    <n v="880.99"/>
    <s v="OK"/>
    <n v="880.99"/>
    <n v="0.111"/>
    <s v="OK"/>
    <n v="0.111"/>
    <n v="10"/>
    <n v="7832.0010999999995"/>
    <n v="1550200.534329999"/>
    <n v="9741.1"/>
    <n v="-1909.0989000000009"/>
    <n v="-0.2437562093805121"/>
    <n v="44928"/>
    <s v="Jan-2023"/>
  </r>
  <r>
    <x v="46"/>
    <x v="43"/>
    <x v="9"/>
    <x v="6"/>
    <d v="2023-12-12T00:00:00"/>
    <s v="OK"/>
    <d v="2023-12-12T00:00:00"/>
    <n v="7"/>
    <s v="Americas"/>
    <x v="1"/>
    <s v="Brasília"/>
    <s v="Brasília"/>
    <s v="Americas &gt; Brazil &gt; Brasília"/>
    <s v="Corporate"/>
    <s v="Direct"/>
    <s v="Direct"/>
    <s v="F. Müller"/>
    <x v="8"/>
    <s v="Phones"/>
    <x v="4"/>
    <s v="Low"/>
    <x v="46"/>
    <n v="307.43"/>
    <n v="495.19"/>
    <s v="OK"/>
    <n v="495.19"/>
    <n v="0"/>
    <s v="OK"/>
    <n v="0"/>
    <n v="42"/>
    <n v="20797.98"/>
    <n v="1399242.2240200008"/>
    <n v="12912.06"/>
    <n v="7885.92"/>
    <n v="0.37916759223732305"/>
    <n v="44928"/>
    <s v="Jan-2023"/>
  </r>
  <r>
    <x v="47"/>
    <x v="44"/>
    <x v="26"/>
    <x v="8"/>
    <d v="2023-05-25T00:00:00"/>
    <s v="OK"/>
    <d v="2023-05-25T00:00:00"/>
    <n v="2"/>
    <s v="Americas"/>
    <x v="1"/>
    <s v="Rio de Janeiro"/>
    <s v="Rio de Janeiro"/>
    <s v="Americas &gt; Brazil &gt; Rio de Janeiro"/>
    <s v="Enterprise"/>
    <s v="Retail"/>
    <s v="Retail"/>
    <s v="M. Rossi"/>
    <x v="13"/>
    <s v="Printers"/>
    <x v="5"/>
    <s v="High"/>
    <x v="47"/>
    <n v="690.49"/>
    <n v="1290.29"/>
    <s v="OK"/>
    <n v="1290.29"/>
    <n v="4.2000000000000003E-2"/>
    <s v="OK"/>
    <n v="4.2000000000000003E-2"/>
    <n v="22"/>
    <n v="27194.152039999997"/>
    <n v="1616910.1886600002"/>
    <n v="15190.78"/>
    <n v="12003.372039999997"/>
    <n v="0.44139534199647718"/>
    <n v="44928"/>
    <s v="Jan-2023"/>
  </r>
  <r>
    <x v="48"/>
    <x v="45"/>
    <x v="21"/>
    <x v="10"/>
    <d v="2023-08-15T00:00:00"/>
    <s v="OK"/>
    <d v="2023-08-15T00:00:00"/>
    <n v="5"/>
    <s v="Americas"/>
    <x v="1"/>
    <s v="São Paulo"/>
    <s v="São Paulo"/>
    <s v="Americas &gt; Brazil &gt; São Paulo"/>
    <s v="Education"/>
    <s v="Direct"/>
    <s v="Direct"/>
    <s v="G. Dubois"/>
    <x v="4"/>
    <s v="Networking"/>
    <x v="6"/>
    <s v="High"/>
    <x v="48"/>
    <n v="1307.52"/>
    <n v="1921.65"/>
    <s v="OK"/>
    <n v="1921.65"/>
    <n v="0.123"/>
    <s v="OK"/>
    <n v="0.123"/>
    <n v="13"/>
    <n v="21908.731650000002"/>
    <e v="#VALUE!"/>
    <n v="16997.759999999998"/>
    <n v="4910.9716500000031"/>
    <n v="0.22415590863289445"/>
    <n v="44928"/>
    <s v="Jan-2023"/>
  </r>
  <r>
    <x v="49"/>
    <x v="46"/>
    <x v="0"/>
    <x v="0"/>
    <d v="2024-02-29T00:00:00"/>
    <s v="Invalid date"/>
    <d v="2024-03-06T00:00:00"/>
    <n v="5"/>
    <s v="Americas"/>
    <x v="1"/>
    <s v="São Paulo"/>
    <s v="São Paulo"/>
    <s v="Americas &gt; Brazil &gt; São Paulo"/>
    <s v="Non-Profit"/>
    <s v="Direct"/>
    <s v="Direct"/>
    <s v="I. Johnson"/>
    <x v="12"/>
    <s v="Phones"/>
    <x v="4"/>
    <s v="Low"/>
    <x v="49"/>
    <n v="5.34"/>
    <n v="12.69"/>
    <s v="OK"/>
    <n v="12.69"/>
    <n v="0.13200000000000001"/>
    <s v="OK"/>
    <n v="0.13200000000000001"/>
    <n v="10"/>
    <n v="110.14919999999999"/>
    <n v="1399242.2240200008"/>
    <n v="53.4"/>
    <n v="56.749199999999995"/>
    <n v="0.51520301554618642"/>
    <n v="44928"/>
    <s v="Jan-2023"/>
  </r>
  <r>
    <x v="50"/>
    <x v="47"/>
    <x v="11"/>
    <x v="8"/>
    <d v="2023-07-04T00:00:00"/>
    <s v="OK"/>
    <d v="2023-07-04T00:00:00"/>
    <n v="14"/>
    <s v="Americas"/>
    <x v="1"/>
    <s v="Brasília"/>
    <s v="Brasília"/>
    <s v="Americas &gt; Brazil &gt; Brasília"/>
    <s v="Non-Profit"/>
    <s v="Direct"/>
    <s v="Direct"/>
    <s v="C. Otieno"/>
    <x v="0"/>
    <s v="Networking"/>
    <x v="6"/>
    <s v="High"/>
    <x v="50"/>
    <n v="1292.8599999999999"/>
    <n v="2981.01"/>
    <s v="OK"/>
    <n v="2981.01"/>
    <n v="0.14199999999999999"/>
    <s v="OK"/>
    <n v="0.14199999999999999"/>
    <n v="12"/>
    <n v="30692.47896"/>
    <e v="#VALUE!"/>
    <n v="15514.32"/>
    <n v="15178.158960000001"/>
    <n v="0.49452372288927687"/>
    <n v="44928"/>
    <s v="Jan-2023"/>
  </r>
  <r>
    <x v="51"/>
    <x v="48"/>
    <x v="20"/>
    <x v="6"/>
    <d v="2023-10-28T00:00:00"/>
    <s v="OK"/>
    <d v="2023-10-28T00:00:00"/>
    <n v="3"/>
    <s v="Americas"/>
    <x v="1"/>
    <s v="Brasília"/>
    <s v="Brasília"/>
    <s v="Americas &gt; Brazil &gt; Brasília"/>
    <s v="Corporate"/>
    <s v="Distributor"/>
    <s v="Distributor"/>
    <s v="L. Okafor"/>
    <x v="10"/>
    <s v="Accessories"/>
    <x v="1"/>
    <s v="High"/>
    <x v="51"/>
    <n v="509.31"/>
    <n v="1145.9000000000001"/>
    <s v="OK"/>
    <n v="1145.9000000000001"/>
    <n v="5.7000000000000002E-2"/>
    <s v="OK"/>
    <n v="5.7000000000000002E-2"/>
    <n v="8"/>
    <n v="8644.6696000000011"/>
    <e v="#VALUE!"/>
    <n v="4074.48"/>
    <n v="4570.1896000000015"/>
    <n v="0.52867140231709964"/>
    <n v="44928"/>
    <s v="Jan-2023"/>
  </r>
  <r>
    <x v="52"/>
    <x v="49"/>
    <x v="3"/>
    <x v="3"/>
    <d v="2025-10-05T00:00:00"/>
    <s v="OK"/>
    <d v="2025-10-05T00:00:00"/>
    <n v="27"/>
    <s v="Americas"/>
    <x v="1"/>
    <s v="Rio de Janeiro"/>
    <s v="Rio de Janeiro"/>
    <s v="Americas &gt; Brazil &gt; Rio de Janeiro"/>
    <s v="Education"/>
    <s v="Online"/>
    <s v="Online"/>
    <s v="C. Otieno"/>
    <x v="0"/>
    <s v="Monitors"/>
    <x v="2"/>
    <s v="High"/>
    <x v="52"/>
    <n v="660.78"/>
    <n v="1630.39"/>
    <s v="OK"/>
    <n v="1630.39"/>
    <n v="0.218"/>
    <s v="OK"/>
    <n v="0.218"/>
    <n v="13"/>
    <n v="16574.544740000001"/>
    <e v="#VALUE!"/>
    <n v="8590.14"/>
    <n v="7984.4047400000018"/>
    <n v="0.48172694123724097"/>
    <n v="44928"/>
    <s v="Jan-2023"/>
  </r>
  <r>
    <x v="53"/>
    <x v="50"/>
    <x v="2"/>
    <x v="2"/>
    <d v="2025-03-27T00:00:00"/>
    <s v="OK"/>
    <d v="2025-03-27T00:00:00"/>
    <n v="17"/>
    <s v="Americas"/>
    <x v="1"/>
    <s v="Rio de Janeiro"/>
    <s v="Rio de Janeiro"/>
    <s v="Americas &gt; Brazil &gt; Rio de Janeiro"/>
    <s v="Enterprise"/>
    <s v="Direct"/>
    <s v="Direct"/>
    <s v="F. Müller"/>
    <x v="8"/>
    <s v="Networking"/>
    <x v="6"/>
    <s v="High"/>
    <x v="53"/>
    <n v="996.73"/>
    <n v="1217.43"/>
    <s v="OK"/>
    <n v="1217.43"/>
    <n v="7.0000000000000007E-2"/>
    <s v="OK"/>
    <n v="7.0000000000000007E-2"/>
    <n v="9"/>
    <n v="10189.8891"/>
    <e v="#VALUE!"/>
    <n v="8970.57"/>
    <n v="1219.3191000000006"/>
    <n v="0.11965970267527255"/>
    <n v="44928"/>
    <s v="Jan-2023"/>
  </r>
  <r>
    <x v="54"/>
    <x v="51"/>
    <x v="25"/>
    <x v="2"/>
    <d v="2025-02-06T00:00:00"/>
    <s v="OK"/>
    <d v="2025-02-06T00:00:00"/>
    <n v="27"/>
    <s v="Americas"/>
    <x v="1"/>
    <s v="Brasília"/>
    <s v="Brasília"/>
    <s v="Americas &gt; Brazil &gt; Brasília"/>
    <s v="Non-Profit"/>
    <s v="Retail"/>
    <s v="Retail"/>
    <s v="B. Chen"/>
    <x v="6"/>
    <s v="Laptops"/>
    <x v="3"/>
    <s v="High"/>
    <x v="54"/>
    <n v="725.62"/>
    <n v="1559.19"/>
    <s v="OK"/>
    <n v="1559.19"/>
    <n v="0.19"/>
    <s v="OK"/>
    <n v="0.19"/>
    <n v="12"/>
    <n v="15155.326800000001"/>
    <n v="1711094.3775999998"/>
    <n v="8707.44"/>
    <n v="6447.8868000000002"/>
    <n v="0.42545349797405885"/>
    <n v="44928"/>
    <s v="Jan-2023"/>
  </r>
  <r>
    <x v="55"/>
    <x v="52"/>
    <x v="27"/>
    <x v="7"/>
    <d v="2024-08-03T00:00:00"/>
    <s v="OK"/>
    <d v="2024-08-03T00:00:00"/>
    <n v="21"/>
    <s v="Americas"/>
    <x v="1"/>
    <s v="Rio de Janeiro"/>
    <s v="Rio de Janeiro"/>
    <s v="Americas &gt; Brazil &gt; Rio de Janeiro"/>
    <s v="Corporate"/>
    <s v="Marketplace"/>
    <s v="Marketplace"/>
    <s v="M. Rossi"/>
    <x v="13"/>
    <s v="Monitors"/>
    <x v="2"/>
    <s v="High"/>
    <x v="55"/>
    <n v="702.98"/>
    <n v="1104.8"/>
    <s v="OK"/>
    <n v="1104.8"/>
    <n v="0.17499999999999999"/>
    <s v="OK"/>
    <n v="0.17499999999999999"/>
    <n v="12"/>
    <n v="10937.519999999999"/>
    <e v="#VALUE!"/>
    <n v="8435.76"/>
    <n v="2501.7599999999984"/>
    <n v="0.22873192460448061"/>
    <n v="44928"/>
    <s v="Jan-2023"/>
  </r>
  <r>
    <x v="56"/>
    <x v="53"/>
    <x v="24"/>
    <x v="3"/>
    <d v="2025-08-23T00:00:00"/>
    <s v="OK"/>
    <d v="2025-08-23T00:00:00"/>
    <n v="17"/>
    <s v="Americas"/>
    <x v="1"/>
    <s v="Brasília"/>
    <s v="Brasília"/>
    <s v="Americas &gt; Brazil &gt; Brasília"/>
    <s v="Consumer"/>
    <s v="Distributor"/>
    <s v="Distributor"/>
    <s v="A. Patel"/>
    <x v="1"/>
    <s v="Monitors"/>
    <x v="2"/>
    <s v="Low"/>
    <x v="56"/>
    <n v="86.64"/>
    <n v="213.06"/>
    <s v="OK"/>
    <n v="213.06"/>
    <n v="0.21199999999999999"/>
    <s v="OK"/>
    <n v="0.21199999999999999"/>
    <n v="11"/>
    <n v="1846.8040799999999"/>
    <e v="#VALUE!"/>
    <n v="953.04"/>
    <n v="893.76407999999992"/>
    <n v="0.48395175735154322"/>
    <n v="44928"/>
    <s v="Jan-2023"/>
  </r>
  <r>
    <x v="57"/>
    <x v="54"/>
    <x v="11"/>
    <x v="8"/>
    <d v="2023-07-01T00:00:00"/>
    <s v="OK"/>
    <d v="2023-07-01T00:00:00"/>
    <n v="28"/>
    <s v="Americas"/>
    <x v="1"/>
    <s v="Brasília"/>
    <s v="Brasília"/>
    <s v="Americas &gt; Brazil &gt; Brasília"/>
    <s v="Small Business"/>
    <s v="Marketplace"/>
    <s v="Marketplace"/>
    <s v="A. Patel"/>
    <x v="1"/>
    <s v="Components"/>
    <x v="0"/>
    <s v="High"/>
    <x v="57"/>
    <n v="860.4"/>
    <n v="2066.6"/>
    <s v="OK"/>
    <n v="2066.6"/>
    <n v="0.01"/>
    <s v="OK"/>
    <n v="0.01"/>
    <n v="3"/>
    <n v="6137.8019999999988"/>
    <n v="1550200.534329999"/>
    <n v="2581.1999999999998"/>
    <n v="3556.601999999999"/>
    <n v="0.57945857491004105"/>
    <n v="44928"/>
    <s v="Jan-2023"/>
  </r>
  <r>
    <x v="58"/>
    <x v="55"/>
    <x v="28"/>
    <x v="4"/>
    <d v="2023-02-06T00:00:00"/>
    <s v="OK"/>
    <d v="2023-02-06T00:00:00"/>
    <n v="8"/>
    <s v="Americas"/>
    <x v="1"/>
    <s v="Brasília"/>
    <s v="Brasília"/>
    <s v="Americas &gt; Brazil &gt; Brasília"/>
    <s v="Corporate"/>
    <s v="Marketplace"/>
    <s v="Marketplace"/>
    <s v="D. Smith"/>
    <x v="14"/>
    <s v="Monitors"/>
    <x v="2"/>
    <s v="Low"/>
    <x v="58"/>
    <n v="41.84"/>
    <n v="86.2"/>
    <s v="OK"/>
    <n v="86.2"/>
    <n v="0.22600000000000001"/>
    <s v="OK"/>
    <n v="0.22600000000000001"/>
    <n v="27"/>
    <n v="1801.4076000000002"/>
    <e v="#VALUE!"/>
    <n v="1129.68"/>
    <n v="671.72760000000017"/>
    <n v="0.37289039970742882"/>
    <n v="44928"/>
    <s v="Jan-2023"/>
  </r>
  <r>
    <x v="59"/>
    <x v="56"/>
    <x v="7"/>
    <x v="1"/>
    <d v="2025-04-17T00:00:00"/>
    <s v="OK"/>
    <d v="2025-04-17T00:00:00"/>
    <n v="0"/>
    <s v="Americas"/>
    <x v="1"/>
    <s v="São Paulo"/>
    <s v="São Paulo"/>
    <s v="Americas &gt; Brazil &gt; São Paulo"/>
    <s v="Corporate"/>
    <s v="Distributor"/>
    <s v="Distributor"/>
    <s v="L. Okafor"/>
    <x v="10"/>
    <s v="Phones"/>
    <x v="4"/>
    <s v="High"/>
    <x v="59"/>
    <n v="719.41"/>
    <n v="1125.99"/>
    <s v="OK"/>
    <n v="1125.99"/>
    <n v="4.1000000000000002E-2"/>
    <s v="OK"/>
    <n v="4.1000000000000002E-2"/>
    <n v="21"/>
    <n v="22676.312610000001"/>
    <n v="1399242.2240200008"/>
    <n v="15107.609999999999"/>
    <n v="7568.7026100000021"/>
    <n v="0.33377131194876403"/>
    <n v="44928"/>
    <s v="Jan-2023"/>
  </r>
  <r>
    <x v="60"/>
    <x v="57"/>
    <x v="10"/>
    <x v="7"/>
    <d v="2024-08-15T00:00:00"/>
    <s v="Invalid date"/>
    <d v="2024-08-22T00:00:00"/>
    <n v="5"/>
    <s v="Americas"/>
    <x v="1"/>
    <s v="Rio de Janeiro"/>
    <s v="Rio de Janeiro"/>
    <s v="Americas &gt; Brazil &gt; Rio de Janeiro"/>
    <s v="Consumer"/>
    <s v="Direct"/>
    <s v="Direct"/>
    <s v="M. Rossi"/>
    <x v="13"/>
    <s v="Monitors"/>
    <x v="2"/>
    <s v="Low"/>
    <x v="60"/>
    <n v="165.3"/>
    <n v="275.07"/>
    <s v="OK"/>
    <n v="275.07"/>
    <n v="0.13300000000000001"/>
    <s v="OK"/>
    <n v="0.13300000000000001"/>
    <n v="25"/>
    <n v="5962.1422499999999"/>
    <e v="#VALUE!"/>
    <n v="4132.5"/>
    <n v="1829.6422499999999"/>
    <n v="0.30687665159280625"/>
    <n v="44928"/>
    <s v="Jan-2023"/>
  </r>
  <r>
    <x v="61"/>
    <x v="58"/>
    <x v="29"/>
    <x v="10"/>
    <d v="2023-10-02T00:00:00"/>
    <s v="OK"/>
    <d v="2023-10-02T00:00:00"/>
    <n v="15"/>
    <s v="Americas"/>
    <x v="1"/>
    <s v="Rio de Janeiro"/>
    <s v="Rio de Janeiro"/>
    <s v="Americas &gt; Brazil &gt; Rio de Janeiro"/>
    <s v="Small Business"/>
    <s v="Retail"/>
    <s v="Retail"/>
    <s v="B. Chen"/>
    <x v="6"/>
    <s v="Laptops"/>
    <x v="3"/>
    <s v="Low"/>
    <x v="61"/>
    <n v="689.33"/>
    <n v="668.27"/>
    <s v="OK"/>
    <n v="668.27"/>
    <n v="0.186"/>
    <s v="OK"/>
    <n v="0.186"/>
    <n v="13"/>
    <n v="7071.6331400000008"/>
    <n v="1711094.3775999998"/>
    <n v="8961.2900000000009"/>
    <n v="-1889.6568600000001"/>
    <n v="-0.26721647214861033"/>
    <n v="44928"/>
    <s v="Jan-2023"/>
  </r>
  <r>
    <x v="62"/>
    <x v="56"/>
    <x v="7"/>
    <x v="1"/>
    <d v="2025-05-03T00:00:00"/>
    <s v="OK"/>
    <d v="2025-05-03T00:00:00"/>
    <n v="16"/>
    <s v="Americas"/>
    <x v="1"/>
    <s v="Rio de Janeiro"/>
    <s v="Rio de Janeiro"/>
    <s v="Americas &gt; Brazil &gt; Rio de Janeiro"/>
    <s v="Consumer"/>
    <s v="Marketplace"/>
    <s v="Marketplace"/>
    <s v="J. Njeri"/>
    <x v="2"/>
    <s v="Networking"/>
    <x v="6"/>
    <s v="Low"/>
    <x v="62"/>
    <n v="168.68"/>
    <n v="413.34"/>
    <s v="OK"/>
    <n v="413.34"/>
    <n v="0.186"/>
    <s v="OK"/>
    <n v="0.186"/>
    <n v="7"/>
    <n v="2355.2113199999999"/>
    <e v="#VALUE!"/>
    <n v="1180.76"/>
    <n v="1174.4513199999999"/>
    <n v="0.49866069767361682"/>
    <n v="44928"/>
    <s v="Jan-2023"/>
  </r>
  <r>
    <x v="63"/>
    <x v="59"/>
    <x v="28"/>
    <x v="4"/>
    <d v="2023-01-05T00:00:00"/>
    <s v="OK"/>
    <d v="2023-01-05T00:00:00"/>
    <n v="3"/>
    <s v="Americas"/>
    <x v="2"/>
    <s v="Toronto"/>
    <s v="Toronto"/>
    <s v="Americas &gt; Canada &gt; Toronto"/>
    <s v="Corporate"/>
    <s v="Distributor"/>
    <s v="Distributor"/>
    <s v="B. Chen"/>
    <x v="6"/>
    <s v="Laptops"/>
    <x v="3"/>
    <s v="Low"/>
    <x v="63"/>
    <n v="315.87"/>
    <n v="591.67999999999995"/>
    <s v="OK"/>
    <n v="591.67999999999995"/>
    <n v="0"/>
    <s v="OK"/>
    <n v="0"/>
    <n v="7"/>
    <n v="4141.7599999999993"/>
    <n v="1711094.3775999998"/>
    <n v="2211.09"/>
    <n v="1930.6699999999992"/>
    <n v="0.46614724175229844"/>
    <n v="44928"/>
    <s v="Jan-2023"/>
  </r>
  <r>
    <x v="64"/>
    <x v="60"/>
    <x v="5"/>
    <x v="4"/>
    <d v="2023-03-25T00:00:00"/>
    <s v="OK"/>
    <d v="2023-03-25T00:00:00"/>
    <n v="30"/>
    <s v="Americas"/>
    <x v="2"/>
    <s v="Montreal"/>
    <s v="Montreal"/>
    <s v="Americas &gt; Canada &gt; Montreal"/>
    <s v="Enterprise"/>
    <s v="Online"/>
    <s v="Online"/>
    <s v="D. Smith"/>
    <x v="14"/>
    <s v="Phones"/>
    <x v="4"/>
    <s v="High"/>
    <x v="64"/>
    <n v="1242.6600000000001"/>
    <n v="1794.07"/>
    <s v="OK"/>
    <n v="1794.07"/>
    <n v="8.8999999999999996E-2"/>
    <s v="OK"/>
    <n v="8.8999999999999996E-2"/>
    <n v="16"/>
    <n v="26150.364320000001"/>
    <n v="1399242.2240200008"/>
    <n v="19882.560000000001"/>
    <n v="6267.8043199999993"/>
    <n v="0.23968325042440553"/>
    <n v="44928"/>
    <s v="Jan-2023"/>
  </r>
  <r>
    <x v="65"/>
    <x v="61"/>
    <x v="16"/>
    <x v="5"/>
    <d v="2024-06-02T00:00:00"/>
    <s v="OK"/>
    <d v="2024-06-02T00:00:00"/>
    <n v="13"/>
    <s v="Americas"/>
    <x v="2"/>
    <s v="Vancouver"/>
    <s v="Vancouver"/>
    <s v="Americas &gt; Canada &gt; Vancouver"/>
    <s v="Enterprise"/>
    <s v="Marketplace"/>
    <s v="Marketplace"/>
    <s v="K. Singh"/>
    <x v="3"/>
    <s v="Components"/>
    <x v="0"/>
    <s v="High"/>
    <x v="65"/>
    <n v="675.43"/>
    <n v="996.36"/>
    <s v="OK"/>
    <n v="996.36"/>
    <n v="0.182"/>
    <s v="OK"/>
    <n v="0.182"/>
    <n v="22"/>
    <n v="17930.494560000003"/>
    <n v="1550200.534329999"/>
    <n v="14859.46"/>
    <n v="3071.0345600000037"/>
    <n v="0.17127439233332575"/>
    <n v="44928"/>
    <s v="Jan-2023"/>
  </r>
  <r>
    <x v="66"/>
    <x v="62"/>
    <x v="13"/>
    <x v="9"/>
    <d v="2024-11-22T00:00:00"/>
    <s v="OK"/>
    <d v="2024-11-22T00:00:00"/>
    <n v="16"/>
    <s v="Americas"/>
    <x v="2"/>
    <s v="Toronto"/>
    <s v="Toronto"/>
    <s v="Americas &gt; Canada &gt; Toronto"/>
    <s v="Non-Profit"/>
    <s v="Distributor"/>
    <s v="Distributor"/>
    <s v="D. Smith"/>
    <x v="14"/>
    <s v="Accessories"/>
    <x v="1"/>
    <s v="High"/>
    <x v="66"/>
    <n v="1454.11"/>
    <n v="2629.75"/>
    <s v="OK"/>
    <n v="2629.75"/>
    <n v="0.29199999999999998"/>
    <s v="OK"/>
    <n v="0.29199999999999998"/>
    <n v="8"/>
    <n v="14894.903999999999"/>
    <e v="#VALUE!"/>
    <n v="11632.88"/>
    <n v="3262.0239999999994"/>
    <n v="0.21900268709351867"/>
    <n v="44928"/>
    <s v="Jan-2023"/>
  </r>
  <r>
    <x v="67"/>
    <x v="63"/>
    <x v="21"/>
    <x v="10"/>
    <d v="2023-09-12T00:00:00"/>
    <s v="OK"/>
    <d v="2023-09-12T00:00:00"/>
    <n v="24"/>
    <s v="Americas"/>
    <x v="2"/>
    <s v="Vancouver"/>
    <s v="Vancouver"/>
    <s v="Americas &gt; Canada &gt; Vancouver"/>
    <s v="Enterprise"/>
    <s v="Retail"/>
    <s v="Retail"/>
    <s v="I. Johnson"/>
    <x v="12"/>
    <s v="Printers"/>
    <x v="5"/>
    <s v="High"/>
    <x v="67"/>
    <n v="1183.95"/>
    <n v="1503.53"/>
    <s v="OK"/>
    <n v="1503.53"/>
    <n v="0.24099999999999999"/>
    <s v="OK"/>
    <n v="0.24099999999999999"/>
    <n v="16"/>
    <n v="18258.868320000001"/>
    <n v="1616910.1886600002"/>
    <n v="18943.2"/>
    <n v="-684.33167999999932"/>
    <n v="-3.7479413729623705E-2"/>
    <n v="44928"/>
    <s v="Jan-2023"/>
  </r>
  <r>
    <x v="68"/>
    <x v="64"/>
    <x v="30"/>
    <x v="9"/>
    <d v="2024-12-28T00:00:00"/>
    <s v="OK"/>
    <d v="2024-12-28T00:00:00"/>
    <n v="23"/>
    <s v="Americas"/>
    <x v="2"/>
    <s v="Vancouver"/>
    <s v="Vancouver"/>
    <s v="Americas &gt; Canada &gt; Vancouver"/>
    <s v="Corporate"/>
    <s v="Direct"/>
    <s v="Direct"/>
    <s v="F. Müller"/>
    <x v="8"/>
    <s v="Accessories"/>
    <x v="1"/>
    <s v="Low"/>
    <x v="68"/>
    <n v="107.03"/>
    <n v="242.29"/>
    <s v="OK"/>
    <n v="242.29"/>
    <n v="0.18"/>
    <s v="OK"/>
    <n v="0.18"/>
    <n v="30"/>
    <n v="5960.3340000000007"/>
    <e v="#VALUE!"/>
    <n v="3210.9"/>
    <n v="2749.4340000000007"/>
    <n v="0.46128857879440988"/>
    <n v="44928"/>
    <s v="Jan-2023"/>
  </r>
  <r>
    <x v="69"/>
    <x v="65"/>
    <x v="31"/>
    <x v="1"/>
    <d v="2025-06-10T00:00:00"/>
    <s v="OK"/>
    <d v="2025-06-10T00:00:00"/>
    <n v="7"/>
    <s v="Americas"/>
    <x v="2"/>
    <s v="Toronto"/>
    <s v="Toronto"/>
    <s v="Americas &gt; Canada &gt; Toronto"/>
    <s v="Consumer"/>
    <s v="Distributor"/>
    <s v="Distributor"/>
    <s v="O. Wang"/>
    <x v="7"/>
    <s v="Printers"/>
    <x v="5"/>
    <s v="Low"/>
    <x v="69"/>
    <n v="75.180000000000007"/>
    <n v="53.45"/>
    <s v="OK"/>
    <n v="53.45"/>
    <n v="0.157"/>
    <s v="OK"/>
    <n v="0.157"/>
    <n v="17"/>
    <n v="765.99195000000009"/>
    <n v="1616910.1886600002"/>
    <n v="1278.0600000000002"/>
    <n v="-512.06805000000008"/>
    <n v="-0.66850317421743144"/>
    <n v="44928"/>
    <s v="Jan-2023"/>
  </r>
  <r>
    <x v="70"/>
    <x v="66"/>
    <x v="4"/>
    <x v="3"/>
    <d v="2025-07-18T00:00:00"/>
    <s v="OK"/>
    <d v="2025-07-18T00:00:00"/>
    <n v="9"/>
    <s v="Americas"/>
    <x v="2"/>
    <s v="Vancouver"/>
    <s v="Vancouver"/>
    <s v="Americas &gt; Canada &gt; Vancouver"/>
    <s v="Education"/>
    <s v="Distributor"/>
    <s v="Distributor"/>
    <s v="I. Johnson"/>
    <x v="12"/>
    <s v="Laptops"/>
    <x v="3"/>
    <s v="Low"/>
    <x v="70"/>
    <n v="57.96"/>
    <n v="88.51"/>
    <s v="OK"/>
    <n v="88.51"/>
    <n v="4.2999999999999997E-2"/>
    <s v="OK"/>
    <n v="4.2999999999999997E-2"/>
    <n v="7"/>
    <n v="592.92849000000001"/>
    <n v="1711094.3775999998"/>
    <n v="405.72"/>
    <n v="187.20848999999998"/>
    <n v="0.3157353595877978"/>
    <n v="44928"/>
    <s v="Jan-2023"/>
  </r>
  <r>
    <x v="71"/>
    <x v="67"/>
    <x v="21"/>
    <x v="10"/>
    <d v="2023-09-04T00:00:00"/>
    <s v="OK"/>
    <d v="2023-09-04T00:00:00"/>
    <n v="14"/>
    <s v="Americas"/>
    <x v="2"/>
    <s v="Montreal"/>
    <s v="Montreal"/>
    <s v="Americas &gt; Canada &gt; Montreal"/>
    <s v="Education"/>
    <s v="Distributor"/>
    <s v="Distributor"/>
    <s v="F. Müller"/>
    <x v="8"/>
    <s v="Components"/>
    <x v="0"/>
    <s v="Low"/>
    <x v="71"/>
    <n v="178.19"/>
    <n v="284.43"/>
    <s v="OK"/>
    <n v="284.43"/>
    <n v="8.8999999999999996E-2"/>
    <s v="OK"/>
    <n v="8.8999999999999996E-2"/>
    <n v="8"/>
    <n v="2072.9258400000003"/>
    <n v="1550200.534329999"/>
    <n v="1425.52"/>
    <n v="647.40584000000035"/>
    <n v="0.31231500302972742"/>
    <n v="44928"/>
    <s v="Jan-2023"/>
  </r>
  <r>
    <x v="72"/>
    <x v="68"/>
    <x v="6"/>
    <x v="5"/>
    <d v="2024-07-06T00:00:00"/>
    <s v="OK"/>
    <d v="2024-07-06T00:00:00"/>
    <n v="21"/>
    <s v="Americas"/>
    <x v="2"/>
    <s v="Toronto"/>
    <s v="Toronto"/>
    <s v="Americas &gt; Canada &gt; Toronto"/>
    <s v="Enterprise"/>
    <s v="Distributor"/>
    <s v="Distributor"/>
    <s v="L. Okafor"/>
    <x v="10"/>
    <s v="Printers"/>
    <x v="5"/>
    <s v="High"/>
    <x v="72"/>
    <n v="817.23"/>
    <n v="1467.17"/>
    <s v="OK"/>
    <n v="1467.17"/>
    <n v="0.245"/>
    <s v="OK"/>
    <n v="0.245"/>
    <n v="9"/>
    <n v="9969.4201499999999"/>
    <n v="1616910.1886600002"/>
    <n v="7355.07"/>
    <n v="2614.3501500000002"/>
    <n v="0.26223693160328893"/>
    <n v="44928"/>
    <s v="Jan-2023"/>
  </r>
  <r>
    <x v="73"/>
    <x v="69"/>
    <x v="17"/>
    <x v="7"/>
    <d v="2024-10-18T00:00:00"/>
    <s v="OK"/>
    <d v="2024-10-18T00:00:00"/>
    <n v="25"/>
    <s v="Americas"/>
    <x v="2"/>
    <s v="Vancouver"/>
    <s v="Vancouver"/>
    <s v="Americas &gt; Canada &gt; Vancouver"/>
    <s v="Small Business"/>
    <s v="Online"/>
    <s v="Online"/>
    <s v="N. Brown"/>
    <x v="5"/>
    <s v="Phones"/>
    <x v="4"/>
    <s v="High"/>
    <x v="73"/>
    <n v="1297"/>
    <n v="2411.52"/>
    <s v="OK"/>
    <n v="2411.52"/>
    <n v="2.1000000000000001E-2"/>
    <s v="OK"/>
    <n v="2.1000000000000001E-2"/>
    <n v="18"/>
    <n v="42495.805439999996"/>
    <n v="1399242.2240200008"/>
    <n v="23346"/>
    <n v="19149.805439999996"/>
    <n v="0.45062813239385913"/>
    <n v="44928"/>
    <s v="Jan-2023"/>
  </r>
  <r>
    <x v="74"/>
    <x v="70"/>
    <x v="7"/>
    <x v="1"/>
    <d v="2025-05-16T00:00:00"/>
    <s v="OK"/>
    <d v="2025-05-16T00:00:00"/>
    <n v="30"/>
    <s v="Americas"/>
    <x v="2"/>
    <s v="Montreal"/>
    <s v="Montreal"/>
    <s v="Americas &gt; Canada &gt; Montreal"/>
    <s v="Enterprise"/>
    <s v="Distributor"/>
    <s v="Distributor"/>
    <s v="K. Singh"/>
    <x v="3"/>
    <s v="Printers"/>
    <x v="5"/>
    <s v="Low"/>
    <x v="74"/>
    <n v="763.32"/>
    <n v="568.29"/>
    <s v="OK"/>
    <n v="568.29"/>
    <n v="0.13100000000000001"/>
    <s v="OK"/>
    <n v="0.13100000000000001"/>
    <n v="16"/>
    <n v="7901.5041599999995"/>
    <n v="1616910.1886600002"/>
    <n v="12213.12"/>
    <n v="-4311.6158400000013"/>
    <n v="-0.54567026134426555"/>
    <n v="44928"/>
    <s v="Jan-2023"/>
  </r>
  <r>
    <x v="75"/>
    <x v="71"/>
    <x v="19"/>
    <x v="8"/>
    <d v="2023-04-16T00:00:00"/>
    <s v="OK"/>
    <d v="2023-04-16T00:00:00"/>
    <n v="11"/>
    <s v="Americas"/>
    <x v="2"/>
    <s v="Vancouver"/>
    <s v="Vancouver"/>
    <s v="Americas &gt; Canada &gt; Vancouver"/>
    <s v="Non-Profit"/>
    <s v="Online"/>
    <s v="Online"/>
    <s v="O. Wang"/>
    <x v="7"/>
    <s v="Monitors"/>
    <x v="2"/>
    <s v="Low"/>
    <x v="75"/>
    <n v="213.1"/>
    <n v="501.31"/>
    <s v="OK"/>
    <n v="501.31"/>
    <n v="5.6000000000000001E-2"/>
    <s v="OK"/>
    <n v="5.6000000000000001E-2"/>
    <n v="15"/>
    <n v="7098.5495999999994"/>
    <e v="#VALUE!"/>
    <n v="3196.5"/>
    <n v="3902.0495999999994"/>
    <n v="0.54969674368409005"/>
    <n v="44928"/>
    <s v="Jan-2023"/>
  </r>
  <r>
    <x v="76"/>
    <x v="72"/>
    <x v="4"/>
    <x v="3"/>
    <d v="2025-08-04T00:00:00"/>
    <s v="OK"/>
    <d v="2025-08-04T00:00:00"/>
    <n v="21"/>
    <s v="Americas"/>
    <x v="2"/>
    <s v="Montreal"/>
    <s v="Montreal"/>
    <s v="Americas &gt; Canada &gt; Montreal"/>
    <s v="Consumer"/>
    <s v="Online"/>
    <s v="Online"/>
    <s v="H. Kim"/>
    <x v="15"/>
    <s v="Monitors"/>
    <x v="2"/>
    <s v="Low"/>
    <x v="76"/>
    <n v="90.3"/>
    <n v="131.76"/>
    <s v="OK"/>
    <n v="131.76"/>
    <n v="0.10199999999999999"/>
    <s v="OK"/>
    <n v="0.10199999999999999"/>
    <n v="15"/>
    <n v="1774.8072"/>
    <e v="#VALUE!"/>
    <n v="1354.5"/>
    <n v="420.30719999999997"/>
    <n v="0.23681851189244668"/>
    <n v="44928"/>
    <s v="Jan-2023"/>
  </r>
  <r>
    <x v="77"/>
    <x v="73"/>
    <x v="4"/>
    <x v="3"/>
    <d v="2025-07-23T00:00:00"/>
    <s v="OK"/>
    <d v="2025-07-23T00:00:00"/>
    <n v="6"/>
    <s v="Americas"/>
    <x v="2"/>
    <s v="Vancouver"/>
    <s v="Vancouver"/>
    <s v="Americas &gt; Canada &gt; Vancouver"/>
    <s v="Consumer"/>
    <s v="Online"/>
    <s v="Online"/>
    <s v="H. Kim"/>
    <x v="15"/>
    <s v="Components"/>
    <x v="0"/>
    <s v="High"/>
    <x v="77"/>
    <n v="1364.89"/>
    <n v="2757.54"/>
    <s v="OK"/>
    <n v="2757.54"/>
    <n v="0.17199999999999999"/>
    <s v="OK"/>
    <n v="0.17199999999999999"/>
    <n v="61"/>
    <n v="139277.83032000001"/>
    <n v="1550200.534329999"/>
    <n v="83258.290000000008"/>
    <n v="56019.54032"/>
    <n v="0.4022143379983118"/>
    <n v="44928"/>
    <s v="Jan-2023"/>
  </r>
  <r>
    <x v="78"/>
    <x v="74"/>
    <x v="23"/>
    <x v="0"/>
    <d v="2024-03-04T00:00:00"/>
    <s v="OK"/>
    <d v="2024-03-04T00:00:00"/>
    <n v="17"/>
    <s v="Americas"/>
    <x v="2"/>
    <s v="Montreal"/>
    <s v="Montreal"/>
    <s v="Americas &gt; Canada &gt; Montreal"/>
    <s v="Non-Profit"/>
    <s v="Retail"/>
    <s v="Retail"/>
    <s v="D. Smith"/>
    <x v="14"/>
    <s v="Laptops"/>
    <x v="3"/>
    <s v="High"/>
    <x v="78"/>
    <n v="1350.98"/>
    <n v="2210.4"/>
    <s v="OK"/>
    <n v="2210.4"/>
    <n v="0.26300000000000001"/>
    <s v="OK"/>
    <n v="0.26300000000000001"/>
    <n v="6"/>
    <n v="9774.3888000000006"/>
    <n v="1711094.3775999998"/>
    <n v="8105.88"/>
    <n v="1668.5088000000005"/>
    <n v="0.17070211080615091"/>
    <n v="44928"/>
    <s v="Jan-2023"/>
  </r>
  <r>
    <x v="79"/>
    <x v="75"/>
    <x v="12"/>
    <x v="4"/>
    <d v="2023-03-24T00:00:00"/>
    <s v="OK"/>
    <d v="2023-03-24T00:00:00"/>
    <n v="20"/>
    <s v="Americas"/>
    <x v="2"/>
    <s v="Montreal"/>
    <s v="Montreal"/>
    <s v="Americas &gt; Canada &gt; Montreal"/>
    <s v="Consumer"/>
    <s v="Distributor"/>
    <s v="Distributor"/>
    <s v="I. Johnson"/>
    <x v="12"/>
    <s v="Laptops"/>
    <x v="3"/>
    <s v="High"/>
    <x v="79"/>
    <n v="481.71"/>
    <n v="912.45"/>
    <s v="OK"/>
    <n v="912.45"/>
    <n v="0.20300000000000001"/>
    <s v="OK"/>
    <n v="0.20300000000000001"/>
    <n v="24"/>
    <n v="17453.3436"/>
    <n v="1711094.3775999998"/>
    <n v="11561.039999999999"/>
    <n v="5892.3036000000011"/>
    <n v="0.33760313983619739"/>
    <n v="44928"/>
    <s v="Jan-2023"/>
  </r>
  <r>
    <x v="80"/>
    <x v="76"/>
    <x v="0"/>
    <x v="0"/>
    <d v="2024-04-09T00:00:00"/>
    <s v="OK"/>
    <d v="2024-04-09T00:00:00"/>
    <n v="25"/>
    <s v="Americas"/>
    <x v="2"/>
    <s v="Vancouver"/>
    <s v="Vancouver"/>
    <s v="Americas &gt; Canada &gt; Vancouver"/>
    <s v="Consumer"/>
    <s v="Online"/>
    <s v="Online"/>
    <s v="F. Müller"/>
    <x v="8"/>
    <s v="Monitors"/>
    <x v="2"/>
    <s v="Low"/>
    <x v="80"/>
    <n v="648.64"/>
    <n v="815.19"/>
    <s v="OK"/>
    <n v="815.19"/>
    <n v="0.22500000000000001"/>
    <s v="OK"/>
    <n v="0.22500000000000001"/>
    <n v="28"/>
    <n v="17689.623"/>
    <e v="#VALUE!"/>
    <n v="18161.919999999998"/>
    <n v="-472.29699999999866"/>
    <n v="-2.6699099240272032E-2"/>
    <n v="44928"/>
    <s v="Jan-2023"/>
  </r>
  <r>
    <x v="81"/>
    <x v="77"/>
    <x v="3"/>
    <x v="3"/>
    <d v="2025-09-11T00:00:00"/>
    <s v="OK"/>
    <d v="2025-09-11T00:00:00"/>
    <n v="9"/>
    <s v="Americas"/>
    <x v="2"/>
    <s v="Toronto"/>
    <s v="Toronto"/>
    <s v="Americas &gt; Canada &gt; Toronto"/>
    <s v="Corporate"/>
    <s v="Distributor"/>
    <s v="Distributor"/>
    <s v="M. Rossi"/>
    <x v="13"/>
    <s v="Printers"/>
    <x v="5"/>
    <s v="High"/>
    <x v="81"/>
    <n v="1207.6300000000001"/>
    <n v="921.68"/>
    <s v="OK"/>
    <n v="921.68"/>
    <n v="0.19600000000000001"/>
    <s v="OK"/>
    <n v="0.19600000000000001"/>
    <n v="17"/>
    <n v="12597.52224"/>
    <n v="1616910.1886600002"/>
    <n v="20529.710000000003"/>
    <n v="-7932.1877600000025"/>
    <n v="-0.62966253274897988"/>
    <n v="44928"/>
    <s v="Jan-2023"/>
  </r>
  <r>
    <x v="82"/>
    <x v="78"/>
    <x v="14"/>
    <x v="10"/>
    <d v="2023-08-13T00:00:00"/>
    <s v="OK"/>
    <d v="2023-08-13T00:00:00"/>
    <n v="20"/>
    <s v="Americas"/>
    <x v="2"/>
    <s v="Montreal"/>
    <s v="Montreal"/>
    <s v="Americas &gt; Canada &gt; Montreal"/>
    <s v="Education"/>
    <s v="Direct"/>
    <s v="Direct"/>
    <s v="C. Otieno"/>
    <x v="0"/>
    <s v="Monitors"/>
    <x v="2"/>
    <s v="High"/>
    <x v="82"/>
    <n v="1082.3800000000001"/>
    <n v="1766.55"/>
    <s v="OK"/>
    <n v="1766.55"/>
    <n v="0.16400000000000001"/>
    <s v="OK"/>
    <n v="0.16400000000000001"/>
    <n v="20"/>
    <n v="29536.716"/>
    <e v="#VALUE!"/>
    <n v="21647.600000000002"/>
    <n v="7889.1159999999982"/>
    <n v="0.26709523157550752"/>
    <n v="44928"/>
    <s v="Jan-2023"/>
  </r>
  <r>
    <x v="83"/>
    <x v="79"/>
    <x v="0"/>
    <x v="0"/>
    <d v="2024-03-16T00:00:00"/>
    <s v="OK"/>
    <d v="2024-03-16T00:00:00"/>
    <n v="14"/>
    <s v="Americas"/>
    <x v="2"/>
    <s v="Vancouver"/>
    <s v="Vancouver"/>
    <s v="Americas &gt; Canada &gt; Vancouver"/>
    <s v="Non-Profit"/>
    <s v="Direct"/>
    <s v="Direct"/>
    <s v="O. Wang"/>
    <x v="7"/>
    <s v="Printers"/>
    <x v="5"/>
    <s v="Low"/>
    <x v="83"/>
    <n v="248.24"/>
    <n v="464.05"/>
    <s v="OK"/>
    <n v="464.05"/>
    <n v="0.16900000000000001"/>
    <s v="OK"/>
    <n v="0.16900000000000001"/>
    <n v="11"/>
    <n v="4241.88105"/>
    <n v="1616910.1886600002"/>
    <n v="2730.6400000000003"/>
    <n v="1511.2410499999996"/>
    <n v="0.3562667203975462"/>
    <n v="44928"/>
    <s v="Jan-2023"/>
  </r>
  <r>
    <x v="84"/>
    <x v="80"/>
    <x v="1"/>
    <x v="1"/>
    <d v="2025-05-27T00:00:00"/>
    <s v="OK"/>
    <d v="2025-05-27T00:00:00"/>
    <n v="17"/>
    <s v="Americas"/>
    <x v="2"/>
    <s v="Vancouver"/>
    <s v="Vancouver"/>
    <s v="Americas &gt; Canada &gt; Vancouver"/>
    <s v="Education"/>
    <s v="Direct"/>
    <s v="Direct"/>
    <s v="C. Otieno"/>
    <x v="0"/>
    <s v="Components"/>
    <x v="0"/>
    <s v="High"/>
    <x v="84"/>
    <n v="862.89"/>
    <n v="1426.03"/>
    <s v="OK"/>
    <n v="1426.03"/>
    <n v="5.6000000000000001E-2"/>
    <s v="OK"/>
    <n v="5.6000000000000001E-2"/>
    <n v="19"/>
    <n v="25577.274079999999"/>
    <n v="1550200.534329999"/>
    <n v="16394.91"/>
    <n v="9182.3640799999994"/>
    <n v="0.35900479665188778"/>
    <n v="44928"/>
    <s v="Jan-2023"/>
  </r>
  <r>
    <x v="85"/>
    <x v="12"/>
    <x v="11"/>
    <x v="8"/>
    <d v="2023-06-22T00:00:00"/>
    <s v="Invalid date"/>
    <d v="2023-06-29T00:00:00"/>
    <n v="5"/>
    <s v="Americas"/>
    <x v="2"/>
    <s v="Toronto"/>
    <s v="Toronto"/>
    <s v="Americas &gt; Canada &gt; Toronto"/>
    <s v="Non-Profit"/>
    <s v="Retail"/>
    <s v="Retail"/>
    <s v="M. Rossi"/>
    <x v="13"/>
    <s v="Accessories"/>
    <x v="1"/>
    <s v="High"/>
    <x v="85"/>
    <n v="471.42"/>
    <n v="824.81"/>
    <s v="OK"/>
    <n v="824.81"/>
    <n v="8.7999999999999995E-2"/>
    <s v="OK"/>
    <n v="8.7999999999999995E-2"/>
    <n v="15"/>
    <n v="11283.400799999999"/>
    <e v="#VALUE!"/>
    <n v="7071.3"/>
    <n v="4212.1007999999993"/>
    <n v="0.37330064531608231"/>
    <n v="44928"/>
    <s v="Jan-2023"/>
  </r>
  <r>
    <x v="86"/>
    <x v="81"/>
    <x v="20"/>
    <x v="6"/>
    <d v="2023-11-16T00:00:00"/>
    <s v="OK"/>
    <d v="2023-11-16T00:00:00"/>
    <n v="25"/>
    <s v="Americas"/>
    <x v="2"/>
    <s v="Toronto"/>
    <s v="Toronto"/>
    <s v="Americas &gt; Canada &gt; Toronto"/>
    <s v="Small Business"/>
    <s v="Marketplace"/>
    <s v="Marketplace"/>
    <s v="I. Johnson"/>
    <x v="12"/>
    <s v="Laptops"/>
    <x v="3"/>
    <s v="High"/>
    <x v="86"/>
    <n v="1373.31"/>
    <n v="3154.14"/>
    <s v="OK"/>
    <n v="3154.14"/>
    <n v="0.2"/>
    <s v="OK"/>
    <n v="0.2"/>
    <n v="11"/>
    <n v="27756.432000000001"/>
    <n v="1711094.3775999998"/>
    <n v="15106.41"/>
    <n v="12650.022000000001"/>
    <n v="0.45575101295440279"/>
    <n v="44928"/>
    <s v="Jan-2023"/>
  </r>
  <r>
    <x v="87"/>
    <x v="82"/>
    <x v="27"/>
    <x v="7"/>
    <d v="2024-08-02T00:00:00"/>
    <s v="OK"/>
    <d v="2024-08-02T00:00:00"/>
    <n v="8"/>
    <s v="Americas"/>
    <x v="2"/>
    <s v="Montreal"/>
    <s v="Montreal"/>
    <s v="Americas &gt; Canada &gt; Montreal"/>
    <s v="Consumer"/>
    <s v="Direct"/>
    <s v="Direct"/>
    <s v="J. Njeri"/>
    <x v="2"/>
    <s v="Accessories"/>
    <x v="1"/>
    <s v="High"/>
    <x v="87"/>
    <n v="986.81"/>
    <n v="2050.31"/>
    <s v="OK"/>
    <n v="2050.31"/>
    <n v="0.10299999999999999"/>
    <s v="OK"/>
    <n v="0.10299999999999999"/>
    <n v="43"/>
    <n v="79082.507010000001"/>
    <e v="#VALUE!"/>
    <n v="42432.829999999994"/>
    <n v="36649.677010000007"/>
    <n v="0.46343595310358138"/>
    <n v="44928"/>
    <s v="Jan-2023"/>
  </r>
  <r>
    <x v="88"/>
    <x v="83"/>
    <x v="31"/>
    <x v="1"/>
    <d v="2025-07-23T00:00:00"/>
    <s v="OK"/>
    <d v="2025-07-23T00:00:00"/>
    <n v="29"/>
    <s v="Americas"/>
    <x v="2"/>
    <s v="Vancouver"/>
    <s v="Vancouver"/>
    <s v="Americas &gt; Canada &gt; Vancouver"/>
    <s v="Non-Profit"/>
    <s v="Marketplace"/>
    <s v="Marketplace"/>
    <s v="I. Johnson"/>
    <x v="12"/>
    <s v="Printers"/>
    <x v="5"/>
    <s v="Low"/>
    <x v="88"/>
    <n v="255.4"/>
    <n v="322.70999999999998"/>
    <s v="OK"/>
    <n v="322.70999999999998"/>
    <n v="0.115"/>
    <s v="OK"/>
    <n v="0.115"/>
    <n v="16"/>
    <n v="4569.5735999999997"/>
    <n v="1616910.1886600002"/>
    <n v="4086.4"/>
    <n v="483.17359999999962"/>
    <n v="0.10573713048412212"/>
    <n v="44928"/>
    <s v="Jan-2023"/>
  </r>
  <r>
    <x v="89"/>
    <x v="84"/>
    <x v="24"/>
    <x v="3"/>
    <d v="2025-09-06T00:00:00"/>
    <s v="OK"/>
    <d v="2025-09-06T00:00:00"/>
    <n v="30"/>
    <s v="Americas"/>
    <x v="2"/>
    <s v="Montreal"/>
    <s v="Montreal"/>
    <s v="Americas &gt; Canada &gt; Montreal"/>
    <s v="Education"/>
    <s v="Direct"/>
    <s v="Direct"/>
    <s v="M. Rossi"/>
    <x v="13"/>
    <s v="Networking"/>
    <x v="6"/>
    <s v="High"/>
    <x v="89"/>
    <n v="833.73"/>
    <n v="1116.5999999999999"/>
    <s v="OK"/>
    <n v="1116.5999999999999"/>
    <n v="0.17599999999999999"/>
    <s v="OK"/>
    <n v="0.17599999999999999"/>
    <n v="14"/>
    <n v="12881.097599999999"/>
    <e v="#VALUE!"/>
    <n v="11672.220000000001"/>
    <n v="1208.877599999998"/>
    <n v="9.3848958958279924E-2"/>
    <n v="44928"/>
    <s v="Jan-2023"/>
  </r>
  <r>
    <x v="90"/>
    <x v="85"/>
    <x v="13"/>
    <x v="9"/>
    <d v="2024-11-08T00:00:00"/>
    <s v="OK"/>
    <d v="2024-11-08T00:00:00"/>
    <n v="3"/>
    <s v="Americas"/>
    <x v="2"/>
    <s v="Toronto"/>
    <s v="Toronto"/>
    <s v="Americas &gt; Canada &gt; Toronto"/>
    <s v="Education"/>
    <s v="Marketplace"/>
    <s v="Marketplace"/>
    <s v="O. Wang"/>
    <x v="7"/>
    <s v="Components"/>
    <x v="0"/>
    <s v="High"/>
    <x v="90"/>
    <n v="1020.4"/>
    <n v="1184.71"/>
    <s v="OK"/>
    <n v="1184.71"/>
    <n v="0.106"/>
    <s v="OK"/>
    <n v="0.106"/>
    <n v="16"/>
    <n v="16946.091840000001"/>
    <n v="1550200.534329999"/>
    <n v="16326.4"/>
    <n v="619.69184000000132"/>
    <n v="3.6568422138328345E-2"/>
    <n v="44928"/>
    <s v="Jan-2023"/>
  </r>
  <r>
    <x v="91"/>
    <x v="86"/>
    <x v="21"/>
    <x v="10"/>
    <d v="2023-09-13T00:00:00"/>
    <s v="OK"/>
    <d v="2023-09-13T00:00:00"/>
    <n v="15"/>
    <s v="Americas"/>
    <x v="2"/>
    <s v="Vancouver"/>
    <s v="Vancouver"/>
    <s v="Americas &gt; Canada &gt; Vancouver"/>
    <s v="Small Business"/>
    <s v="Marketplace"/>
    <s v="Marketplace"/>
    <s v="O. Wang"/>
    <x v="7"/>
    <s v="Printers"/>
    <x v="5"/>
    <s v="High"/>
    <x v="91"/>
    <n v="1287.6400000000001"/>
    <n v="2717.15"/>
    <s v="OK"/>
    <n v="2717.15"/>
    <n v="3.2000000000000001E-2"/>
    <s v="OK"/>
    <n v="3.2000000000000001E-2"/>
    <n v="7"/>
    <n v="18411.4084"/>
    <n v="1616910.1886600002"/>
    <n v="9013.4800000000014"/>
    <n v="9397.9283999999989"/>
    <n v="0.51044049405802105"/>
    <n v="44928"/>
    <s v="Jan-2023"/>
  </r>
  <r>
    <x v="92"/>
    <x v="87"/>
    <x v="17"/>
    <x v="7"/>
    <d v="2024-10-03T00:00:00"/>
    <s v="OK"/>
    <d v="2024-10-03T00:00:00"/>
    <n v="8"/>
    <s v="Americas"/>
    <x v="2"/>
    <s v="Toronto"/>
    <s v="Toronto"/>
    <s v="Americas &gt; Canada &gt; Toronto"/>
    <s v="Consumer"/>
    <s v="Online"/>
    <s v="Online"/>
    <s v="E. Garcia"/>
    <x v="11"/>
    <s v="Printers"/>
    <x v="5"/>
    <s v="High"/>
    <x v="92"/>
    <n v="558.19000000000005"/>
    <n v="1031.6400000000001"/>
    <s v="OK"/>
    <n v="1031.6400000000001"/>
    <n v="0"/>
    <s v="OK"/>
    <n v="0"/>
    <n v="21"/>
    <n v="21664.440000000002"/>
    <n v="1616910.1886600002"/>
    <n v="11721.990000000002"/>
    <n v="9942.4500000000007"/>
    <n v="0.45892947152107322"/>
    <n v="44928"/>
    <s v="Jan-2023"/>
  </r>
  <r>
    <x v="93"/>
    <x v="88"/>
    <x v="11"/>
    <x v="8"/>
    <d v="2023-06-24T00:00:00"/>
    <s v="OK"/>
    <d v="2023-06-24T00:00:00"/>
    <n v="11"/>
    <s v="Americas"/>
    <x v="2"/>
    <s v="Toronto"/>
    <s v="Toronto"/>
    <s v="Americas &gt; Canada &gt; Toronto"/>
    <s v="Corporate"/>
    <s v="Online"/>
    <s v="Online"/>
    <s v="C. Otieno"/>
    <x v="0"/>
    <s v="Printers"/>
    <x v="5"/>
    <s v="Low"/>
    <x v="93"/>
    <n v="247.07"/>
    <n v="495.19"/>
    <s v="OK"/>
    <n v="495.19"/>
    <n v="2.8000000000000001E-2"/>
    <s v="OK"/>
    <n v="2.8000000000000001E-2"/>
    <n v="4"/>
    <n v="1925.29872"/>
    <n v="1616910.1886600002"/>
    <n v="988.28"/>
    <n v="937.01872000000003"/>
    <n v="0.48668744764968214"/>
    <n v="44928"/>
    <s v="Jan-2023"/>
  </r>
  <r>
    <x v="94"/>
    <x v="89"/>
    <x v="6"/>
    <x v="5"/>
    <d v="2024-06-24T00:00:00"/>
    <s v="OK"/>
    <d v="2024-06-24T00:00:00"/>
    <n v="21"/>
    <s v="Americas"/>
    <x v="2"/>
    <s v="Toronto"/>
    <s v="Toronto"/>
    <s v="Americas &gt; Canada &gt; Toronto"/>
    <s v="Small Business"/>
    <s v="Direct"/>
    <s v="Direct"/>
    <s v="G. Dubois"/>
    <x v="4"/>
    <s v="Monitors"/>
    <x v="2"/>
    <s v="High"/>
    <x v="94"/>
    <n v="1205.5"/>
    <n v="2210.17"/>
    <s v="OK"/>
    <n v="2210.17"/>
    <n v="0.104"/>
    <s v="OK"/>
    <n v="0.104"/>
    <n v="23"/>
    <n v="45547.183360000003"/>
    <e v="#VALUE!"/>
    <n v="27726.5"/>
    <n v="17820.683360000003"/>
    <n v="0.39125763758314652"/>
    <n v="44928"/>
    <s v="Jan-2023"/>
  </r>
  <r>
    <x v="95"/>
    <x v="90"/>
    <x v="30"/>
    <x v="9"/>
    <d v="2024-12-29T00:00:00"/>
    <s v="OK"/>
    <d v="2024-12-29T00:00:00"/>
    <n v="2"/>
    <s v="Americas"/>
    <x v="2"/>
    <s v="Vancouver"/>
    <s v="Vancouver"/>
    <s v="Americas &gt; Canada &gt; Vancouver"/>
    <s v="Enterprise"/>
    <s v="Marketplace"/>
    <s v="Marketplace"/>
    <s v="C. Otieno"/>
    <x v="0"/>
    <s v="Accessories"/>
    <x v="1"/>
    <s v="High"/>
    <x v="95"/>
    <n v="1146.72"/>
    <n v="2074.34"/>
    <s v="OK"/>
    <n v="2074.34"/>
    <n v="0.111"/>
    <s v="OK"/>
    <n v="0.111"/>
    <n v="8"/>
    <n v="14752.706080000002"/>
    <e v="#VALUE!"/>
    <n v="9173.76"/>
    <n v="5578.9460800000015"/>
    <n v="0.37816425337472737"/>
    <n v="44928"/>
    <s v="Jan-2023"/>
  </r>
  <r>
    <x v="96"/>
    <x v="91"/>
    <x v="13"/>
    <x v="9"/>
    <d v="2024-11-28T00:00:00"/>
    <s v="OK"/>
    <d v="2024-11-28T00:00:00"/>
    <n v="11"/>
    <s v="Americas"/>
    <x v="2"/>
    <m/>
    <s v="Unkown"/>
    <s v="Americas &gt; Canada &gt; Unkown"/>
    <s v="Consumer"/>
    <s v="Distributor"/>
    <s v="Distributor"/>
    <s v="A. Patel"/>
    <x v="1"/>
    <s v="Printers"/>
    <x v="5"/>
    <s v="High"/>
    <x v="96"/>
    <n v="1008.16"/>
    <n v="2077.5"/>
    <s v="OK"/>
    <n v="2077.5"/>
    <n v="7.3999999999999996E-2"/>
    <s v="OK"/>
    <n v="7.3999999999999996E-2"/>
    <n v="15"/>
    <n v="28856.475000000002"/>
    <n v="1616910.1886600002"/>
    <n v="15122.4"/>
    <n v="13734.075000000003"/>
    <n v="0.47594430712691005"/>
    <n v="44928"/>
    <s v="Jan-2023"/>
  </r>
  <r>
    <x v="97"/>
    <x v="92"/>
    <x v="29"/>
    <x v="10"/>
    <d v="2023-10-02T00:00:00"/>
    <s v="OK"/>
    <d v="2023-10-02T00:00:00"/>
    <n v="24"/>
    <s v="Americas"/>
    <x v="2"/>
    <s v="Toronto"/>
    <s v="Toronto"/>
    <s v="Americas &gt; Canada &gt; Toronto"/>
    <s v="Education"/>
    <s v="Direct"/>
    <s v="Direct"/>
    <s v="A. Patel"/>
    <x v="1"/>
    <s v="Accessories"/>
    <x v="1"/>
    <s v="High"/>
    <x v="97"/>
    <n v="1299.03"/>
    <n v="2451.2199999999998"/>
    <s v="OK"/>
    <n v="2451.2199999999998"/>
    <n v="0.20799999999999999"/>
    <s v="OK"/>
    <n v="0.20799999999999999"/>
    <n v="8"/>
    <n v="15530.929919999999"/>
    <e v="#VALUE!"/>
    <n v="10392.24"/>
    <n v="5138.6899199999989"/>
    <n v="0.3308681416032041"/>
    <n v="44928"/>
    <s v="Jan-2023"/>
  </r>
  <r>
    <x v="98"/>
    <x v="93"/>
    <x v="1"/>
    <x v="1"/>
    <d v="2025-05-12T00:00:00"/>
    <s v="Invalid date"/>
    <d v="2025-05-19T00:00:00"/>
    <n v="5"/>
    <s v="Americas"/>
    <x v="2"/>
    <s v="Vancouver"/>
    <s v="Vancouver"/>
    <s v="Americas &gt; Canada &gt; Vancouver"/>
    <s v="Non-Profit"/>
    <s v="Distributor"/>
    <s v="Distributor"/>
    <s v="F. Müller"/>
    <x v="8"/>
    <s v="Printers"/>
    <x v="5"/>
    <s v="High"/>
    <x v="98"/>
    <n v="883.5"/>
    <n v="1978.91"/>
    <s v="OK"/>
    <n v="1978.91"/>
    <n v="5.3999999999999999E-2"/>
    <s v="OK"/>
    <n v="5.3999999999999999E-2"/>
    <n v="27"/>
    <n v="50545.319219999998"/>
    <n v="1616910.1886600002"/>
    <n v="23854.5"/>
    <n v="26690.819219999998"/>
    <n v="0.52805718970390547"/>
    <n v="44928"/>
    <s v="Jan-2023"/>
  </r>
  <r>
    <x v="99"/>
    <x v="94"/>
    <x v="19"/>
    <x v="8"/>
    <d v="2023-05-02T00:00:00"/>
    <s v="OK"/>
    <d v="2023-05-02T00:00:00"/>
    <n v="19"/>
    <s v="Americas"/>
    <x v="2"/>
    <s v="Montreal"/>
    <s v="Montreal"/>
    <s v="Americas &gt; Canada &gt; Montreal"/>
    <s v="Consumer"/>
    <s v="Distributor"/>
    <s v="Distributor"/>
    <s v="E. Garcia"/>
    <x v="11"/>
    <s v="Monitors"/>
    <x v="2"/>
    <s v="High"/>
    <x v="99"/>
    <n v="671.05"/>
    <n v="1645.48"/>
    <s v="OK"/>
    <n v="1645.48"/>
    <n v="0.13700000000000001"/>
    <s v="OK"/>
    <n v="0.13700000000000001"/>
    <n v="6"/>
    <n v="8520.2954399999999"/>
    <e v="#VALUE!"/>
    <n v="4026.2999999999997"/>
    <n v="4493.9954400000006"/>
    <n v="0.52744596377517172"/>
    <n v="44928"/>
    <s v="Jan-2023"/>
  </r>
  <r>
    <x v="100"/>
    <x v="95"/>
    <x v="22"/>
    <x v="0"/>
    <d v="2024-01-02T00:00:00"/>
    <s v="OK"/>
    <d v="2024-01-02T00:00:00"/>
    <n v="0"/>
    <s v="Americas"/>
    <x v="2"/>
    <s v="Vancouver"/>
    <s v="Vancouver"/>
    <s v="Americas &gt; Canada &gt; Vancouver"/>
    <s v="Education"/>
    <s v="Direct"/>
    <s v="Direct"/>
    <s v="A. Patel"/>
    <x v="1"/>
    <s v="Laptops"/>
    <x v="3"/>
    <s v="Low"/>
    <x v="100"/>
    <n v="444.41"/>
    <n v="754.24"/>
    <s v="OK"/>
    <n v="754.24"/>
    <n v="0.20699999999999999"/>
    <s v="OK"/>
    <n v="0.20699999999999999"/>
    <n v="32"/>
    <n v="19139.594240000002"/>
    <n v="1711094.3775999998"/>
    <n v="14221.12"/>
    <n v="4918.4742400000014"/>
    <n v="0.25697902360546598"/>
    <n v="44928"/>
    <s v="Jan-2023"/>
  </r>
  <r>
    <x v="101"/>
    <x v="24"/>
    <x v="9"/>
    <x v="6"/>
    <d v="2024-01-01T00:00:00"/>
    <s v="OK"/>
    <d v="2024-01-01T00:00:00"/>
    <n v="13"/>
    <s v="Americas"/>
    <x v="2"/>
    <s v="Toronto"/>
    <s v="Toronto"/>
    <s v="Americas &gt; Canada &gt; Toronto"/>
    <s v="Enterprise"/>
    <s v="Retail"/>
    <s v="Retail"/>
    <s v="K. Singh"/>
    <x v="3"/>
    <s v="Monitors"/>
    <x v="2"/>
    <s v="High"/>
    <x v="101"/>
    <n v="856.1"/>
    <n v="901.48"/>
    <s v="OK"/>
    <n v="901.48"/>
    <n v="5.6000000000000001E-2"/>
    <s v="OK"/>
    <n v="5.6000000000000001E-2"/>
    <n v="17"/>
    <n v="14466.95104"/>
    <e v="#VALUE!"/>
    <n v="14553.7"/>
    <n v="-86.748960000000807"/>
    <n v="-5.9963540182134192E-3"/>
    <n v="44928"/>
    <s v="Jan-2023"/>
  </r>
  <r>
    <x v="102"/>
    <x v="96"/>
    <x v="24"/>
    <x v="3"/>
    <d v="2025-08-16T00:00:00"/>
    <s v="OK"/>
    <d v="2025-08-16T00:00:00"/>
    <n v="13"/>
    <s v="Americas"/>
    <x v="2"/>
    <s v="Montreal"/>
    <s v="Montreal"/>
    <s v="Americas &gt; Canada &gt; Montreal"/>
    <s v="Enterprise"/>
    <s v="Distributor"/>
    <s v="Distributor"/>
    <s v="O. Wang"/>
    <x v="7"/>
    <s v="Networking"/>
    <x v="6"/>
    <s v="High"/>
    <x v="102"/>
    <n v="698.66"/>
    <n v="868.62"/>
    <s v="OK"/>
    <n v="868.62"/>
    <n v="7.1999999999999995E-2"/>
    <s v="OK"/>
    <n v="7.1999999999999995E-2"/>
    <n v="15"/>
    <n v="12091.190399999999"/>
    <e v="#VALUE!"/>
    <n v="10479.9"/>
    <n v="1611.2903999999999"/>
    <n v="0.13326151906432637"/>
    <n v="44928"/>
    <s v="Jan-2023"/>
  </r>
  <r>
    <x v="103"/>
    <x v="97"/>
    <x v="21"/>
    <x v="10"/>
    <d v="2023-08-19T00:00:00"/>
    <s v="OK"/>
    <d v="2023-08-19T00:00:00"/>
    <n v="17"/>
    <s v="Americas"/>
    <x v="2"/>
    <s v="Vancouver"/>
    <s v="Vancouver"/>
    <s v="Americas &gt; Canada &gt; Vancouver"/>
    <s v="Corporate"/>
    <s v="Online"/>
    <s v="Online"/>
    <s v="F. Müller"/>
    <x v="8"/>
    <s v="Networking"/>
    <x v="6"/>
    <s v="Low"/>
    <x v="103"/>
    <n v="175.38"/>
    <n v="347.9"/>
    <s v="OK"/>
    <n v="347.9"/>
    <n v="7.1999999999999995E-2"/>
    <s v="OK"/>
    <n v="7.1999999999999995E-2"/>
    <n v="43"/>
    <n v="13882.6016"/>
    <e v="#VALUE!"/>
    <n v="7541.34"/>
    <n v="6341.2615999999998"/>
    <n v="0.45677761148169804"/>
    <n v="44928"/>
    <s v="Jan-2023"/>
  </r>
  <r>
    <x v="104"/>
    <x v="98"/>
    <x v="8"/>
    <x v="2"/>
    <d v="2025-02-15T00:00:00"/>
    <s v="Invalid date"/>
    <d v="2025-02-22T00:00:00"/>
    <n v="5"/>
    <s v="Americas"/>
    <x v="2"/>
    <s v="Toronto"/>
    <s v="Toronto"/>
    <s v="Americas &gt; Canada &gt; Toronto"/>
    <s v="Small Business"/>
    <s v="Retail"/>
    <s v="Retail"/>
    <s v="D. Smith"/>
    <x v="14"/>
    <s v="Components"/>
    <x v="0"/>
    <s v="High"/>
    <x v="104"/>
    <n v="1133.47"/>
    <n v="1698.75"/>
    <s v="OK"/>
    <n v="1698.75"/>
    <n v="4.2999999999999997E-2"/>
    <s v="OK"/>
    <n v="4.2999999999999997E-2"/>
    <n v="5"/>
    <n v="8128.5187499999993"/>
    <n v="1550200.534329999"/>
    <n v="5667.35"/>
    <n v="2461.1687499999989"/>
    <n v="0.30278194904821976"/>
    <n v="44928"/>
    <s v="Jan-2023"/>
  </r>
  <r>
    <x v="105"/>
    <x v="99"/>
    <x v="10"/>
    <x v="7"/>
    <d v="2024-09-02T00:00:00"/>
    <s v="OK"/>
    <d v="2024-09-02T00:00:00"/>
    <n v="14"/>
    <s v="Americas"/>
    <x v="2"/>
    <s v="Toronto"/>
    <s v="Toronto"/>
    <s v="Americas &gt; Canada &gt; Toronto"/>
    <s v="Consumer"/>
    <s v="Distributor"/>
    <s v="Distributor"/>
    <s v="C. Otieno"/>
    <x v="0"/>
    <s v="Printers"/>
    <x v="5"/>
    <s v="High"/>
    <x v="105"/>
    <n v="1337.01"/>
    <n v="1269.78"/>
    <s v="OK"/>
    <n v="1269.78"/>
    <n v="0.16"/>
    <s v="OK"/>
    <n v="0.16"/>
    <n v="7"/>
    <n v="7466.3063999999986"/>
    <n v="1616910.1886600002"/>
    <n v="9359.07"/>
    <n v="-1892.7636000000011"/>
    <n v="-0.25350735672996244"/>
    <n v="44928"/>
    <s v="Jan-2023"/>
  </r>
  <r>
    <x v="106"/>
    <x v="100"/>
    <x v="11"/>
    <x v="8"/>
    <d v="2023-07-18T00:00:00"/>
    <s v="OK"/>
    <d v="2023-07-18T00:00:00"/>
    <n v="25"/>
    <s v="Americas"/>
    <x v="2"/>
    <s v="Vancouver"/>
    <s v="Vancouver"/>
    <s v="Americas &gt; Canada &gt; Vancouver"/>
    <s v="Enterprise"/>
    <s v="Online"/>
    <s v="Online"/>
    <s v="N. Brown"/>
    <x v="5"/>
    <s v="Phones"/>
    <x v="4"/>
    <s v="High"/>
    <x v="106"/>
    <n v="807.02"/>
    <n v="1435.54"/>
    <s v="OK"/>
    <n v="1435.54"/>
    <n v="0"/>
    <s v="OK"/>
    <n v="0"/>
    <n v="23"/>
    <n v="33017.42"/>
    <n v="1399242.2240200008"/>
    <n v="18561.46"/>
    <n v="14455.96"/>
    <n v="0.43782827368098415"/>
    <n v="44928"/>
    <s v="Jan-2023"/>
  </r>
  <r>
    <x v="107"/>
    <x v="101"/>
    <x v="26"/>
    <x v="8"/>
    <d v="2023-05-28T00:00:00"/>
    <s v="OK"/>
    <d v="2023-05-28T00:00:00"/>
    <n v="17"/>
    <s v="Asia"/>
    <x v="3"/>
    <s v="Shenzhen"/>
    <s v="Shenzhen"/>
    <s v="Asia &gt; China &gt; Shenzhen"/>
    <s v="Enterprise"/>
    <s v="Marketplace"/>
    <s v="Marketplace"/>
    <s v="E. Garcia"/>
    <x v="11"/>
    <s v="Networking"/>
    <x v="6"/>
    <s v="High"/>
    <x v="107"/>
    <n v="1331.19"/>
    <n v="2903.09"/>
    <s v="OK"/>
    <n v="2903.09"/>
    <n v="0.14299999999999999"/>
    <s v="OK"/>
    <n v="0.14299999999999999"/>
    <n v="8"/>
    <n v="19903.585040000002"/>
    <e v="#VALUE!"/>
    <n v="10649.52"/>
    <n v="9254.0650400000013"/>
    <n v="0.46494463290920784"/>
    <n v="44928"/>
    <s v="Jan-2023"/>
  </r>
  <r>
    <x v="108"/>
    <x v="83"/>
    <x v="31"/>
    <x v="1"/>
    <d v="2025-07-10T00:00:00"/>
    <s v="OK"/>
    <d v="2025-07-10T00:00:00"/>
    <n v="16"/>
    <s v="Asia"/>
    <x v="3"/>
    <s v="Shanghai"/>
    <s v="Shanghai"/>
    <s v="Asia &gt; China &gt; Shanghai"/>
    <s v="Enterprise"/>
    <s v="Direct"/>
    <s v="Direct"/>
    <s v="N. Brown"/>
    <x v="5"/>
    <s v="Components"/>
    <x v="0"/>
    <s v="High"/>
    <x v="108"/>
    <n v="757.19"/>
    <n v="1735.41"/>
    <s v="OK"/>
    <n v="1735.41"/>
    <n v="0.13600000000000001"/>
    <s v="OK"/>
    <n v="0.13600000000000001"/>
    <n v="8"/>
    <n v="11995.153920000001"/>
    <n v="1550200.534329999"/>
    <n v="6057.52"/>
    <n v="5937.6339200000002"/>
    <n v="0.4950027285685718"/>
    <n v="44928"/>
    <s v="Jan-2023"/>
  </r>
  <r>
    <x v="109"/>
    <x v="102"/>
    <x v="19"/>
    <x v="8"/>
    <d v="2023-05-10T00:00:00"/>
    <s v="OK"/>
    <d v="2023-05-10T00:00:00"/>
    <n v="19"/>
    <s v="Asia"/>
    <x v="3"/>
    <s v="Shanghai"/>
    <s v="Shanghai"/>
    <s v="Asia &gt; China &gt; Shanghai"/>
    <s v="Corporate"/>
    <s v="Retail"/>
    <s v="Retail"/>
    <s v="A. Patel"/>
    <x v="1"/>
    <s v="Components"/>
    <x v="0"/>
    <s v="High"/>
    <x v="109"/>
    <n v="882.33"/>
    <n v="1880.15"/>
    <s v="OK"/>
    <n v="1880.15"/>
    <n v="0.05"/>
    <s v="OK"/>
    <n v="0.05"/>
    <n v="5"/>
    <n v="8930.7124999999996"/>
    <n v="1550200.534329999"/>
    <n v="4411.6500000000005"/>
    <n v="4519.0624999999991"/>
    <n v="0.50601365792482955"/>
    <n v="44928"/>
    <s v="Jan-2023"/>
  </r>
  <r>
    <x v="110"/>
    <x v="103"/>
    <x v="30"/>
    <x v="9"/>
    <d v="2024-12-20T00:00:00"/>
    <s v="OK"/>
    <d v="2024-12-20T00:00:00"/>
    <n v="5"/>
    <s v="Asia"/>
    <x v="3"/>
    <s v="Shenzhen"/>
    <s v="Shenzhen"/>
    <s v="Asia &gt; China &gt; Shenzhen"/>
    <s v="Small Business"/>
    <s v="Direct"/>
    <s v="Direct"/>
    <s v="J. Njeri"/>
    <x v="2"/>
    <s v="Networking"/>
    <x v="6"/>
    <s v="Low"/>
    <x v="110"/>
    <n v="717.55"/>
    <n v="546.42999999999995"/>
    <s v="OK"/>
    <n v="546.42999999999995"/>
    <n v="4.7E-2"/>
    <s v="OK"/>
    <n v="4.7E-2"/>
    <n v="18"/>
    <n v="9373.460219999999"/>
    <e v="#VALUE!"/>
    <n v="12915.9"/>
    <n v="-3542.4397800000006"/>
    <n v="-0.37792231437026369"/>
    <n v="44928"/>
    <s v="Jan-2023"/>
  </r>
  <r>
    <x v="111"/>
    <x v="104"/>
    <x v="15"/>
    <x v="5"/>
    <d v="2024-04-25T00:00:00"/>
    <s v="OK"/>
    <d v="2024-04-25T00:00:00"/>
    <n v="19"/>
    <s v="Asia"/>
    <x v="3"/>
    <s v="Shanghai"/>
    <s v="Shanghai"/>
    <s v="Asia &gt; China &gt; Shanghai"/>
    <s v="Corporate"/>
    <s v="Retail"/>
    <s v="Retail"/>
    <s v="K. Singh"/>
    <x v="3"/>
    <s v="Components"/>
    <x v="0"/>
    <s v="High"/>
    <x v="111"/>
    <n v="1366.48"/>
    <n v="1678.14"/>
    <s v="OK"/>
    <n v="1678.14"/>
    <n v="0.154"/>
    <s v="OK"/>
    <n v="0.154"/>
    <n v="10"/>
    <n v="14197.064400000001"/>
    <n v="1550200.534329999"/>
    <n v="13664.8"/>
    <n v="532.26440000000184"/>
    <n v="3.7491159087790132E-2"/>
    <n v="44928"/>
    <s v="Jan-2023"/>
  </r>
  <r>
    <x v="112"/>
    <x v="105"/>
    <x v="4"/>
    <x v="3"/>
    <d v="2025-08-18T00:00:00"/>
    <s v="OK"/>
    <d v="2025-08-18T00:00:00"/>
    <n v="27"/>
    <s v="Asia"/>
    <x v="3"/>
    <s v="Shenzhen"/>
    <s v="Shenzhen"/>
    <s v="Asia &gt; China &gt; Shenzhen"/>
    <s v="Non-Profit"/>
    <s v="Marketplace"/>
    <s v="Marketplace"/>
    <s v="M. Rossi"/>
    <x v="13"/>
    <s v="Networking"/>
    <x v="6"/>
    <s v="Low"/>
    <x v="112"/>
    <n v="547.32000000000005"/>
    <n v="419.17"/>
    <s v="OK"/>
    <n v="419.17"/>
    <n v="9.1999999999999998E-2"/>
    <s v="OK"/>
    <n v="9.1999999999999998E-2"/>
    <n v="14"/>
    <n v="5328.4890400000004"/>
    <e v="#VALUE!"/>
    <n v="7662.4800000000005"/>
    <n v="-2333.9909600000001"/>
    <n v="-0.43802116181137907"/>
    <n v="44928"/>
    <s v="Jan-2023"/>
  </r>
  <r>
    <x v="113"/>
    <x v="106"/>
    <x v="25"/>
    <x v="2"/>
    <d v="2025-02-15T00:00:00"/>
    <s v="OK"/>
    <d v="2025-02-15T00:00:00"/>
    <n v="19"/>
    <s v="Asia"/>
    <x v="3"/>
    <s v="Shenzhen"/>
    <s v="Shenzhen"/>
    <s v="Asia &gt; China &gt; Shenzhen"/>
    <s v="Non-Profit"/>
    <s v="Direct"/>
    <s v="Direct"/>
    <s v="L. Okafor"/>
    <x v="10"/>
    <s v="Phones"/>
    <x v="4"/>
    <s v="High"/>
    <x v="113"/>
    <n v="1253.22"/>
    <n v="3104.71"/>
    <s v="OK"/>
    <n v="3104.71"/>
    <n v="0"/>
    <s v="OK"/>
    <n v="0"/>
    <n v="17"/>
    <n v="52780.07"/>
    <n v="1399242.2240200008"/>
    <n v="21304.74"/>
    <n v="31475.329999999998"/>
    <n v="0.59634877331538205"/>
    <n v="44928"/>
    <s v="Jan-2023"/>
  </r>
  <r>
    <x v="114"/>
    <x v="107"/>
    <x v="17"/>
    <x v="7"/>
    <d v="2024-10-05T00:00:00"/>
    <s v="OK"/>
    <d v="2024-10-05T00:00:00"/>
    <n v="21"/>
    <s v="Asia"/>
    <x v="3"/>
    <s v="Shanghai"/>
    <s v="Shanghai"/>
    <s v="Asia &gt; China &gt; Shanghai"/>
    <s v="Small Business"/>
    <s v="Online"/>
    <s v="Online"/>
    <s v="H. Kim"/>
    <x v="15"/>
    <s v="Laptops"/>
    <x v="3"/>
    <s v="High"/>
    <x v="114"/>
    <n v="1405.56"/>
    <n v="2968.87"/>
    <s v="OK"/>
    <n v="2968.87"/>
    <n v="0.16900000000000001"/>
    <s v="OK"/>
    <n v="0.16900000000000001"/>
    <n v="5"/>
    <n v="12335.654849999999"/>
    <n v="1711094.3775999998"/>
    <n v="7027.7999999999993"/>
    <n v="5307.8548499999997"/>
    <n v="0.4302856163327235"/>
    <n v="44928"/>
    <s v="Jan-2023"/>
  </r>
  <r>
    <x v="115"/>
    <x v="108"/>
    <x v="6"/>
    <x v="5"/>
    <d v="2024-07-07T00:00:00"/>
    <s v="OK"/>
    <d v="2024-07-07T00:00:00"/>
    <n v="28"/>
    <s v="Asia"/>
    <x v="3"/>
    <s v="Shenzhen"/>
    <s v="Shenzhen"/>
    <s v="Asia &gt; China &gt; Shenzhen"/>
    <s v="Corporate"/>
    <s v="Online"/>
    <s v="Online"/>
    <s v="J. Njeri"/>
    <x v="2"/>
    <s v="Components"/>
    <x v="0"/>
    <s v="High"/>
    <x v="115"/>
    <n v="550.22"/>
    <n v="1025.05"/>
    <s v="OK"/>
    <n v="1025.05"/>
    <n v="0"/>
    <s v="OK"/>
    <n v="0"/>
    <n v="27"/>
    <n v="27676.35"/>
    <n v="1550200.534329999"/>
    <n v="14855.94"/>
    <n v="12820.409999999998"/>
    <n v="0.46322618408858102"/>
    <n v="44928"/>
    <s v="Jan-2023"/>
  </r>
  <r>
    <x v="116"/>
    <x v="109"/>
    <x v="11"/>
    <x v="8"/>
    <d v="2023-06-19T00:00:00"/>
    <s v="OK"/>
    <d v="2023-06-19T00:00:00"/>
    <n v="10"/>
    <s v="Asia"/>
    <x v="3"/>
    <s v="Beijing"/>
    <s v="Beijing"/>
    <s v="Asia &gt; China &gt; Beijing"/>
    <s v="Enterprise"/>
    <s v="Retail"/>
    <s v="Retail"/>
    <s v="F. Müller"/>
    <x v="8"/>
    <s v="Monitors"/>
    <x v="2"/>
    <s v="Low"/>
    <x v="116"/>
    <n v="339.61"/>
    <n v="621.02"/>
    <s v="OK"/>
    <n v="621.02"/>
    <n v="7.0999999999999994E-2"/>
    <s v="OK"/>
    <n v="7.0999999999999994E-2"/>
    <n v="10"/>
    <n v="5769.2758000000003"/>
    <e v="#VALUE!"/>
    <n v="3396.1000000000004"/>
    <n v="2373.1758"/>
    <n v="0.41134726129750981"/>
    <n v="44928"/>
    <s v="Jan-2023"/>
  </r>
  <r>
    <x v="117"/>
    <x v="110"/>
    <x v="21"/>
    <x v="10"/>
    <d v="2023-09-06T00:00:00"/>
    <s v="OK"/>
    <d v="2023-09-06T00:00:00"/>
    <n v="25"/>
    <s v="Asia"/>
    <x v="3"/>
    <s v="Shanghai"/>
    <s v="Shanghai"/>
    <s v="Asia &gt; China &gt; Shanghai"/>
    <s v="Small Business"/>
    <s v="Retail"/>
    <s v="Retail"/>
    <s v="B. Chen"/>
    <x v="6"/>
    <s v="Components"/>
    <x v="0"/>
    <s v="Low"/>
    <x v="117"/>
    <n v="950.77"/>
    <n v="694.78"/>
    <s v="OK"/>
    <n v="694.78"/>
    <n v="8.4000000000000005E-2"/>
    <s v="OK"/>
    <n v="8.4000000000000005E-2"/>
    <n v="14"/>
    <n v="8909.8587200000002"/>
    <n v="1550200.534329999"/>
    <n v="13310.779999999999"/>
    <n v="-4400.9212799999987"/>
    <n v="-0.49393839097821279"/>
    <n v="44928"/>
    <s v="Jan-2023"/>
  </r>
  <r>
    <x v="118"/>
    <x v="111"/>
    <x v="25"/>
    <x v="2"/>
    <d v="2025-01-15T00:00:00"/>
    <s v="OK"/>
    <d v="2025-01-15T00:00:00"/>
    <n v="6"/>
    <s v="Asia"/>
    <x v="3"/>
    <s v="Beijing"/>
    <s v="Beijing"/>
    <s v="Asia &gt; China &gt; Beijing"/>
    <s v="Education"/>
    <s v="Online"/>
    <s v="Online"/>
    <s v="C. Otieno"/>
    <x v="0"/>
    <s v="Phones"/>
    <x v="4"/>
    <s v="Low"/>
    <x v="118"/>
    <n v="304.77999999999997"/>
    <n v="537.27"/>
    <s v="OK"/>
    <n v="537.27"/>
    <n v="0.187"/>
    <s v="OK"/>
    <n v="0.187"/>
    <n v="8"/>
    <n v="3494.4040799999998"/>
    <n v="1399242.2240200008"/>
    <n v="2438.2399999999998"/>
    <n v="1056.16408"/>
    <n v="0.3022444044307549"/>
    <n v="44928"/>
    <s v="Jan-2023"/>
  </r>
  <r>
    <x v="119"/>
    <x v="112"/>
    <x v="30"/>
    <x v="9"/>
    <d v="2025-01-12T00:00:00"/>
    <s v="OK"/>
    <d v="2025-01-12T00:00:00"/>
    <n v="29"/>
    <s v="Asia"/>
    <x v="3"/>
    <s v="Shenzhen"/>
    <s v="Shenzhen"/>
    <s v="Asia &gt; China &gt; Shenzhen"/>
    <s v="Education"/>
    <s v="Online"/>
    <s v="Online"/>
    <s v="J. Njeri"/>
    <x v="2"/>
    <s v="Components"/>
    <x v="0"/>
    <s v="High"/>
    <x v="119"/>
    <n v="1412.15"/>
    <n v="1631.04"/>
    <s v="OK"/>
    <n v="1631.04"/>
    <n v="8.9999999999999993E-3"/>
    <s v="OK"/>
    <n v="8.9999999999999993E-3"/>
    <n v="6"/>
    <n v="9698.1638399999993"/>
    <n v="1550200.534329999"/>
    <n v="8472.9000000000015"/>
    <n v="1225.2638399999978"/>
    <n v="0.12633977526203535"/>
    <n v="44928"/>
    <s v="Jan-2023"/>
  </r>
  <r>
    <x v="120"/>
    <x v="113"/>
    <x v="23"/>
    <x v="0"/>
    <d v="2024-02-14T00:00:00"/>
    <s v="OK"/>
    <d v="2024-02-14T00:00:00"/>
    <n v="0"/>
    <s v="Asia"/>
    <x v="3"/>
    <s v="Beijing"/>
    <s v="Beijing"/>
    <s v="Asia &gt; China &gt; Beijing"/>
    <s v="Corporate"/>
    <s v="Distributor"/>
    <s v="Distributor"/>
    <s v="L. Okafor"/>
    <x v="10"/>
    <s v="Accessories"/>
    <x v="1"/>
    <s v="Low"/>
    <x v="120"/>
    <n v="65.930000000000007"/>
    <n v="84.9"/>
    <s v="OK"/>
    <n v="84.9"/>
    <n v="0.25900000000000001"/>
    <s v="OK"/>
    <n v="0.25900000000000001"/>
    <n v="23"/>
    <n v="1446.9507000000001"/>
    <e v="#VALUE!"/>
    <n v="1516.39"/>
    <n v="-69.439300000000003"/>
    <n v="-4.7990093926489688E-2"/>
    <n v="44928"/>
    <s v="Jan-2023"/>
  </r>
  <r>
    <x v="121"/>
    <x v="114"/>
    <x v="24"/>
    <x v="3"/>
    <d v="2025-08-21T00:00:00"/>
    <s v="OK"/>
    <d v="2025-08-21T00:00:00"/>
    <n v="20"/>
    <s v="Asia"/>
    <x v="3"/>
    <s v="Shanghai"/>
    <s v="Shanghai"/>
    <s v="Asia &gt; China &gt; Shanghai"/>
    <s v="Corporate"/>
    <s v="Direct"/>
    <s v="Direct"/>
    <s v="I. Johnson"/>
    <x v="12"/>
    <s v="Phones"/>
    <x v="4"/>
    <s v="High"/>
    <x v="121"/>
    <n v="1220.4100000000001"/>
    <n v="2552.2199999999998"/>
    <s v="OK"/>
    <n v="2552.2199999999998"/>
    <n v="0.18099999999999999"/>
    <s v="OK"/>
    <n v="0.18099999999999999"/>
    <n v="14"/>
    <n v="29263.754519999995"/>
    <n v="1399242.2240200008"/>
    <n v="17085.740000000002"/>
    <n v="12178.014519999993"/>
    <n v="0.41614668793360271"/>
    <n v="44928"/>
    <s v="Jan-2023"/>
  </r>
  <r>
    <x v="122"/>
    <x v="115"/>
    <x v="32"/>
    <x v="9"/>
    <d v="2024-11-24T00:00:00"/>
    <s v="OK"/>
    <d v="2024-11-24T00:00:00"/>
    <n v="25"/>
    <s v="Asia"/>
    <x v="3"/>
    <s v="Shenzhen"/>
    <s v="Shenzhen"/>
    <s v="Asia &gt; China &gt; Shenzhen"/>
    <s v="Small Business"/>
    <s v="Online"/>
    <s v="Online"/>
    <s v="E. Garcia"/>
    <x v="11"/>
    <s v="Components"/>
    <x v="0"/>
    <s v="High"/>
    <x v="122"/>
    <n v="811.05"/>
    <n v="1217.71"/>
    <s v="OK"/>
    <n v="1217.71"/>
    <n v="7.1999999999999995E-2"/>
    <s v="OK"/>
    <n v="7.1999999999999995E-2"/>
    <n v="5"/>
    <n v="5650.1744000000008"/>
    <n v="1550200.534329999"/>
    <n v="4055.25"/>
    <n v="1594.9244000000008"/>
    <n v="0.28227879125288602"/>
    <n v="44928"/>
    <s v="Jan-2023"/>
  </r>
  <r>
    <x v="123"/>
    <x v="116"/>
    <x v="6"/>
    <x v="5"/>
    <d v="2024-06-16T00:00:00"/>
    <s v="OK"/>
    <d v="2024-06-16T00:00:00"/>
    <n v="12"/>
    <s v="Asia"/>
    <x v="3"/>
    <s v="Shanghai"/>
    <s v="Shanghai"/>
    <s v="Asia &gt; China &gt; Shanghai"/>
    <s v="Corporate"/>
    <s v="Retail"/>
    <s v="Retail"/>
    <s v="J. Njeri"/>
    <x v="2"/>
    <s v="Printers"/>
    <x v="5"/>
    <s v="High"/>
    <x v="123"/>
    <n v="918.42"/>
    <n v="1511.71"/>
    <s v="OK"/>
    <n v="1511.71"/>
    <n v="0.02"/>
    <s v="OK"/>
    <n v="0.02"/>
    <n v="8"/>
    <n v="11851.806399999999"/>
    <n v="1616910.1886600002"/>
    <n v="7347.36"/>
    <n v="4504.4463999999998"/>
    <n v="0.38006412254590999"/>
    <n v="44928"/>
    <s v="Jan-2023"/>
  </r>
  <r>
    <x v="124"/>
    <x v="117"/>
    <x v="19"/>
    <x v="8"/>
    <d v="2023-05-18T00:00:00"/>
    <s v="OK"/>
    <d v="2023-05-18T00:00:00"/>
    <n v="30"/>
    <s v="Asia"/>
    <x v="3"/>
    <s v="Shenzhen"/>
    <s v="Shenzhen"/>
    <s v="Asia &gt; China &gt; Shenzhen"/>
    <s v="Non-Profit"/>
    <s v="Retail"/>
    <s v="Retail"/>
    <s v="H. Kim"/>
    <x v="15"/>
    <s v="Laptops"/>
    <x v="3"/>
    <s v="Low"/>
    <x v="124"/>
    <n v="329.03"/>
    <n v="391.15"/>
    <s v="OK"/>
    <n v="391.15"/>
    <n v="0.19700000000000001"/>
    <s v="OK"/>
    <n v="0.19700000000000001"/>
    <n v="46"/>
    <n v="14448.298699999998"/>
    <n v="1711094.3775999998"/>
    <n v="15135.38"/>
    <n v="-687.08130000000165"/>
    <n v="-4.7554477815440081E-2"/>
    <n v="44928"/>
    <s v="Jan-2023"/>
  </r>
  <r>
    <x v="125"/>
    <x v="118"/>
    <x v="24"/>
    <x v="3"/>
    <d v="2025-09-12T00:00:00"/>
    <s v="OK"/>
    <d v="2025-09-12T00:00:00"/>
    <n v="22"/>
    <s v="Asia"/>
    <x v="3"/>
    <s v="Shenzhen"/>
    <s v="Shenzhen"/>
    <s v="Asia &gt; China &gt; Shenzhen"/>
    <s v="Education"/>
    <s v="Retail"/>
    <s v="Retail"/>
    <s v="B. Chen"/>
    <x v="6"/>
    <s v="Printers"/>
    <x v="5"/>
    <s v="Low"/>
    <x v="125"/>
    <n v="352.66"/>
    <n v="411.18"/>
    <s v="OK"/>
    <n v="411.18"/>
    <n v="0.17299999999999999"/>
    <s v="OK"/>
    <n v="0.17299999999999999"/>
    <n v="13"/>
    <n v="4420.5961799999995"/>
    <n v="1616910.1886600002"/>
    <n v="4584.58"/>
    <n v="-163.98382000000038"/>
    <n v="-3.7095408248758066E-2"/>
    <n v="44928"/>
    <s v="Jan-2023"/>
  </r>
  <r>
    <x v="126"/>
    <x v="119"/>
    <x v="32"/>
    <x v="9"/>
    <d v="2024-10-11T00:00:00"/>
    <s v="OK"/>
    <d v="2024-10-11T00:00:00"/>
    <n v="8"/>
    <s v="Asia"/>
    <x v="3"/>
    <s v="Beijing"/>
    <s v="Beijing"/>
    <s v="Asia &gt; China &gt; Beijing"/>
    <s v="Enterprise"/>
    <s v="Direct"/>
    <s v="Direct"/>
    <s v="B. Chen"/>
    <x v="6"/>
    <s v="Phones"/>
    <x v="4"/>
    <s v="High"/>
    <x v="126"/>
    <n v="1132.6099999999999"/>
    <n v="2206.63"/>
    <s v="OK"/>
    <n v="2206.63"/>
    <n v="6.3E-2"/>
    <s v="OK"/>
    <n v="6.3E-2"/>
    <n v="20"/>
    <n v="41352.246200000009"/>
    <n v="1399242.2240200008"/>
    <n v="22652.199999999997"/>
    <n v="18700.046200000012"/>
    <n v="0.45221355351671338"/>
    <n v="44928"/>
    <s v="Jan-2023"/>
  </r>
  <r>
    <x v="127"/>
    <x v="120"/>
    <x v="23"/>
    <x v="0"/>
    <d v="2024-02-19T00:00:00"/>
    <s v="OK"/>
    <d v="2024-02-19T00:00:00"/>
    <n v="16"/>
    <s v="Asia"/>
    <x v="3"/>
    <s v="Shenzhen"/>
    <s v="Shenzhen"/>
    <s v="Asia &gt; China &gt; Shenzhen"/>
    <s v="Small Business"/>
    <s v="Online"/>
    <s v="Online"/>
    <s v="H. Kim"/>
    <x v="15"/>
    <s v="Laptops"/>
    <x v="3"/>
    <s v="High"/>
    <x v="127"/>
    <n v="993.75"/>
    <n v="1310.29"/>
    <s v="OK"/>
    <n v="1310.29"/>
    <n v="0.215"/>
    <s v="OK"/>
    <n v="0.215"/>
    <n v="19"/>
    <n v="19542.975350000001"/>
    <n v="1711094.3775999998"/>
    <n v="18881.25"/>
    <n v="661.72535000000062"/>
    <n v="3.3860010471742245E-2"/>
    <n v="44928"/>
    <s v="Jan-2023"/>
  </r>
  <r>
    <x v="128"/>
    <x v="121"/>
    <x v="20"/>
    <x v="6"/>
    <d v="2023-11-13T00:00:00"/>
    <s v="OK"/>
    <d v="2023-11-13T00:00:00"/>
    <n v="29"/>
    <s v="Asia"/>
    <x v="3"/>
    <s v="Shenzhen"/>
    <s v="Shenzhen"/>
    <s v="Asia &gt; China &gt; Shenzhen"/>
    <s v="Non-Profit"/>
    <s v="Distributor"/>
    <s v="Distributor"/>
    <s v="J. Njeri"/>
    <x v="2"/>
    <s v="Printers"/>
    <x v="5"/>
    <s v="Low"/>
    <x v="128"/>
    <n v="986.44"/>
    <n v="790.61"/>
    <s v="OK"/>
    <n v="790.61"/>
    <n v="7.1999999999999995E-2"/>
    <s v="OK"/>
    <n v="7.1999999999999995E-2"/>
    <n v="6"/>
    <n v="4402.1164799999997"/>
    <n v="1616910.1886600002"/>
    <n v="5918.64"/>
    <n v="-1516.5235200000006"/>
    <n v="-0.34449872621271499"/>
    <n v="44928"/>
    <s v="Jan-2023"/>
  </r>
  <r>
    <x v="129"/>
    <x v="37"/>
    <x v="17"/>
    <x v="7"/>
    <d v="2024-10-01T00:00:00"/>
    <s v="OK"/>
    <d v="2024-10-01T00:00:00"/>
    <n v="22"/>
    <s v="Asia"/>
    <x v="3"/>
    <s v="Shenzhen"/>
    <s v="Shenzhen"/>
    <s v="Asia &gt; China &gt; Shenzhen"/>
    <s v="Consumer"/>
    <s v="Direct"/>
    <s v="Direct"/>
    <s v="L. Okafor"/>
    <x v="10"/>
    <s v="Printers"/>
    <x v="5"/>
    <s v="High"/>
    <x v="129"/>
    <n v="1166.18"/>
    <n v="1335.02"/>
    <s v="OK"/>
    <n v="1335.02"/>
    <n v="0.128"/>
    <s v="OK"/>
    <n v="0.128"/>
    <n v="6"/>
    <n v="6984.8246399999998"/>
    <n v="1616910.1886600002"/>
    <n v="6997.08"/>
    <n v="-12.25536000000011"/>
    <n v="-1.7545694604582242E-3"/>
    <n v="44928"/>
    <s v="Jan-2023"/>
  </r>
  <r>
    <x v="130"/>
    <x v="122"/>
    <x v="32"/>
    <x v="9"/>
    <d v="2024-11-09T00:00:00"/>
    <s v="OK"/>
    <d v="2024-11-09T00:00:00"/>
    <n v="29"/>
    <s v="Asia"/>
    <x v="3"/>
    <s v="Shanghai"/>
    <s v="Shanghai"/>
    <s v="Asia &gt; China &gt; Shanghai"/>
    <s v="Non-Profit"/>
    <s v="Online"/>
    <s v="Online"/>
    <s v="F. Müller"/>
    <x v="8"/>
    <s v="Printers"/>
    <x v="5"/>
    <s v="Low"/>
    <x v="130"/>
    <n v="391.64"/>
    <n v="504.76"/>
    <s v="OK"/>
    <n v="504.76"/>
    <n v="4.0000000000000001E-3"/>
    <s v="OK"/>
    <n v="4.0000000000000001E-3"/>
    <n v="13"/>
    <n v="6535.6324800000002"/>
    <n v="1616910.1886600002"/>
    <n v="5091.32"/>
    <n v="1444.3124800000005"/>
    <n v="0.22099046793402319"/>
    <n v="44928"/>
    <s v="Jan-2023"/>
  </r>
  <r>
    <x v="131"/>
    <x v="44"/>
    <x v="26"/>
    <x v="8"/>
    <d v="2023-06-10T00:00:00"/>
    <s v="OK"/>
    <d v="2023-06-10T00:00:00"/>
    <n v="18"/>
    <s v="Asia"/>
    <x v="3"/>
    <s v="Shanghai"/>
    <s v="Shanghai"/>
    <s v="Asia &gt; China &gt; Shanghai"/>
    <s v="Corporate"/>
    <s v="Distributor"/>
    <s v="Distributor"/>
    <s v="E. Garcia"/>
    <x v="11"/>
    <s v="Components"/>
    <x v="0"/>
    <s v="Low"/>
    <x v="131"/>
    <n v="54.62"/>
    <n v="48.94"/>
    <s v="OK"/>
    <n v="48.94"/>
    <n v="0.14799999999999999"/>
    <s v="OK"/>
    <n v="0.14799999999999999"/>
    <n v="16"/>
    <n v="667.15008"/>
    <n v="1550200.534329999"/>
    <n v="873.92"/>
    <n v="-206.76991999999996"/>
    <n v="-0.3099301434543783"/>
    <n v="44928"/>
    <s v="Jan-2023"/>
  </r>
  <r>
    <x v="132"/>
    <x v="123"/>
    <x v="1"/>
    <x v="1"/>
    <d v="2025-05-27T00:00:00"/>
    <s v="OK"/>
    <d v="2025-05-27T00:00:00"/>
    <n v="11"/>
    <s v="Asia"/>
    <x v="3"/>
    <s v="Beijing"/>
    <s v="Beijing"/>
    <s v="Asia &gt; China &gt; Beijing"/>
    <s v="Enterprise"/>
    <s v="Online"/>
    <s v="Online"/>
    <s v="F. Müller"/>
    <x v="8"/>
    <s v="Phones"/>
    <x v="4"/>
    <s v="High"/>
    <x v="132"/>
    <n v="918.12"/>
    <n v="1337.69"/>
    <s v="OK"/>
    <n v="1337.69"/>
    <n v="9.5000000000000001E-2"/>
    <s v="OK"/>
    <n v="9.5000000000000001E-2"/>
    <n v="8"/>
    <n v="9684.8756000000012"/>
    <n v="1399242.2240200008"/>
    <n v="7344.96"/>
    <n v="2339.9156000000012"/>
    <n v="0.24160512707050164"/>
    <n v="44928"/>
    <s v="Jan-2023"/>
  </r>
  <r>
    <x v="133"/>
    <x v="124"/>
    <x v="20"/>
    <x v="6"/>
    <d v="2023-10-31T00:00:00"/>
    <s v="OK"/>
    <d v="2023-10-31T00:00:00"/>
    <n v="26"/>
    <s v="Asia"/>
    <x v="3"/>
    <s v="Shanghai"/>
    <s v="Shanghai"/>
    <s v="Asia &gt; China &gt; Shanghai"/>
    <s v="Consumer"/>
    <m/>
    <s v="Unknown"/>
    <s v="J. Njeri"/>
    <x v="2"/>
    <s v="Printers"/>
    <x v="5"/>
    <s v="High"/>
    <x v="133"/>
    <n v="649.91"/>
    <n v="1360.12"/>
    <s v="OK"/>
    <n v="1360.12"/>
    <n v="0.19400000000000001"/>
    <s v="OK"/>
    <n v="0.19400000000000001"/>
    <n v="9"/>
    <n v="9866.3104799999983"/>
    <n v="1616910.1886600002"/>
    <n v="5849.19"/>
    <n v="4017.1204799999987"/>
    <n v="0.40715528749506769"/>
    <n v="44928"/>
    <s v="Jan-2023"/>
  </r>
  <r>
    <x v="134"/>
    <x v="125"/>
    <x v="27"/>
    <x v="7"/>
    <d v="2024-07-31T00:00:00"/>
    <s v="OK"/>
    <d v="2024-07-31T00:00:00"/>
    <n v="20"/>
    <s v="Asia"/>
    <x v="3"/>
    <s v="Shenzhen"/>
    <s v="Shenzhen"/>
    <s v="Asia &gt; China &gt; Shenzhen"/>
    <s v="Consumer"/>
    <s v="Online"/>
    <s v="Online"/>
    <s v="G. Dubois"/>
    <x v="4"/>
    <s v="Phones"/>
    <x v="4"/>
    <s v="High"/>
    <x v="134"/>
    <n v="647.26"/>
    <n v="1374.72"/>
    <s v="OK"/>
    <n v="1374.72"/>
    <n v="6.6000000000000003E-2"/>
    <s v="OK"/>
    <n v="6.6000000000000003E-2"/>
    <n v="22"/>
    <n v="28247.74656"/>
    <n v="1399242.2240200008"/>
    <n v="14239.72"/>
    <n v="14008.02656"/>
    <n v="0.49589890401508901"/>
    <n v="44928"/>
    <s v="Jan-2023"/>
  </r>
  <r>
    <x v="135"/>
    <x v="126"/>
    <x v="13"/>
    <x v="9"/>
    <d v="2024-12-07T00:00:00"/>
    <s v="OK"/>
    <d v="2024-12-07T00:00:00"/>
    <n v="12"/>
    <s v="Asia"/>
    <x v="3"/>
    <s v="Shanghai"/>
    <s v="Shanghai"/>
    <s v="Asia &gt; China &gt; Shanghai"/>
    <s v="Corporate"/>
    <s v="Distributor"/>
    <s v="Distributor"/>
    <s v="A. Patel"/>
    <x v="1"/>
    <s v="Accessories"/>
    <x v="1"/>
    <s v="Low"/>
    <x v="135"/>
    <n v="769.9"/>
    <n v="814.36"/>
    <s v="OK"/>
    <n v="814.36"/>
    <n v="0"/>
    <s v="OK"/>
    <n v="0"/>
    <n v="5"/>
    <n v="4071.8"/>
    <e v="#VALUE!"/>
    <n v="3849.5"/>
    <n v="222.30000000000018"/>
    <n v="5.4595019401738831E-2"/>
    <n v="44928"/>
    <s v="Jan-2023"/>
  </r>
  <r>
    <x v="136"/>
    <x v="127"/>
    <x v="0"/>
    <x v="0"/>
    <d v="2024-03-26T00:00:00"/>
    <s v="OK"/>
    <d v="2024-03-26T00:00:00"/>
    <n v="17"/>
    <s v="Asia"/>
    <x v="3"/>
    <s v="Shenzhen"/>
    <s v="Shenzhen"/>
    <s v="Asia &gt; China &gt; Shenzhen"/>
    <s v="Enterprise"/>
    <s v="Online"/>
    <s v="Online"/>
    <s v="K. Singh"/>
    <x v="3"/>
    <s v="Monitors"/>
    <x v="2"/>
    <s v="High"/>
    <x v="136"/>
    <n v="1029.67"/>
    <n v="1118.43"/>
    <s v="OK"/>
    <n v="1118.43"/>
    <n v="0.27200000000000002"/>
    <s v="OK"/>
    <n v="0.27200000000000002"/>
    <n v="9"/>
    <n v="7327.9533600000004"/>
    <e v="#VALUE!"/>
    <n v="9267.0300000000007"/>
    <n v="-1939.0766400000002"/>
    <n v="-0.26461367106736061"/>
    <n v="44928"/>
    <s v="Jan-2023"/>
  </r>
  <r>
    <x v="137"/>
    <x v="128"/>
    <x v="0"/>
    <x v="0"/>
    <d v="2024-03-19T00:00:00"/>
    <s v="OK"/>
    <d v="2024-03-19T00:00:00"/>
    <n v="16"/>
    <s v="Asia"/>
    <x v="3"/>
    <s v="Beijing"/>
    <s v="Beijing"/>
    <s v="Asia &gt; China &gt; Beijing"/>
    <s v="Consumer"/>
    <s v="Distributor"/>
    <s v="Distributor"/>
    <s v="G. Dubois"/>
    <x v="4"/>
    <s v="Phones"/>
    <x v="4"/>
    <s v="High"/>
    <x v="137"/>
    <n v="988.83"/>
    <n v="1206.04"/>
    <s v="OK"/>
    <n v="1206.04"/>
    <n v="6.3E-2"/>
    <s v="OK"/>
    <n v="6.3E-2"/>
    <n v="34"/>
    <n v="38422.022320000004"/>
    <n v="1399242.2240200008"/>
    <n v="33620.22"/>
    <n v="4801.8023200000025"/>
    <n v="0.12497526236406606"/>
    <n v="44928"/>
    <s v="Jan-2023"/>
  </r>
  <r>
    <x v="138"/>
    <x v="129"/>
    <x v="31"/>
    <x v="1"/>
    <d v="2025-07-11T00:00:00"/>
    <s v="OK"/>
    <d v="2025-07-11T00:00:00"/>
    <n v="14"/>
    <s v="Asia"/>
    <x v="3"/>
    <s v="Shanghai"/>
    <s v="Shanghai"/>
    <s v="Asia &gt; China &gt; Shanghai"/>
    <s v="Small Business"/>
    <s v="Marketplace"/>
    <s v="Marketplace"/>
    <s v="L. Okafor"/>
    <x v="10"/>
    <s v="Networking"/>
    <x v="6"/>
    <s v="High"/>
    <x v="138"/>
    <n v="1227.7"/>
    <n v="2197.23"/>
    <s v="OK"/>
    <n v="2197.23"/>
    <n v="9.9000000000000005E-2"/>
    <s v="OK"/>
    <n v="9.9000000000000005E-2"/>
    <n v="22"/>
    <n v="43553.493060000001"/>
    <e v="#VALUE!"/>
    <n v="27009.4"/>
    <n v="16544.093059999999"/>
    <n v="0.37985685871873898"/>
    <n v="44928"/>
    <s v="Jan-2023"/>
  </r>
  <r>
    <x v="139"/>
    <x v="130"/>
    <x v="29"/>
    <x v="10"/>
    <d v="2023-10-03T00:00:00"/>
    <s v="OK"/>
    <d v="2023-10-03T00:00:00"/>
    <n v="3"/>
    <s v="Asia"/>
    <x v="3"/>
    <s v="Beijing"/>
    <s v="Beijing"/>
    <s v="Asia &gt; China &gt; Beijing"/>
    <s v="Non-Profit"/>
    <s v="Retail"/>
    <s v="Retail"/>
    <s v="J. Njeri"/>
    <x v="2"/>
    <s v="Laptops"/>
    <x v="3"/>
    <s v="High"/>
    <x v="139"/>
    <n v="1019.36"/>
    <n v="972.91"/>
    <s v="OK"/>
    <n v="972.91"/>
    <n v="0.14699999999999999"/>
    <s v="OK"/>
    <n v="0.14699999999999999"/>
    <n v="17"/>
    <n v="14108.16791"/>
    <n v="1711094.3775999998"/>
    <n v="17329.12"/>
    <n v="-3220.9520899999989"/>
    <n v="-0.22830406545678819"/>
    <n v="44928"/>
    <s v="Jan-2023"/>
  </r>
  <r>
    <x v="140"/>
    <x v="131"/>
    <x v="20"/>
    <x v="6"/>
    <d v="2023-10-26T00:00:00"/>
    <s v="OK"/>
    <d v="2023-10-26T00:00:00"/>
    <n v="17"/>
    <s v="Asia"/>
    <x v="3"/>
    <s v="Shanghai"/>
    <s v="Shanghai"/>
    <s v="Asia &gt; China &gt; Shanghai"/>
    <s v="Consumer"/>
    <s v="Marketplace"/>
    <s v="Marketplace"/>
    <s v="C. Otieno"/>
    <x v="0"/>
    <s v="Components"/>
    <x v="0"/>
    <s v="High"/>
    <x v="140"/>
    <n v="1132.03"/>
    <n v="2137.21"/>
    <s v="OK"/>
    <n v="2137.21"/>
    <n v="0.35699999999999998"/>
    <s v="Excess dis"/>
    <n v="0.3"/>
    <n v="35"/>
    <n v="52361.645000000004"/>
    <n v="1550200.534329999"/>
    <n v="39621.049999999996"/>
    <n v="12740.595000000008"/>
    <n v="0.24331922727026639"/>
    <n v="44928"/>
    <s v="Jan-2023"/>
  </r>
  <r>
    <x v="141"/>
    <x v="132"/>
    <x v="12"/>
    <x v="4"/>
    <d v="2023-04-04T00:00:00"/>
    <s v="OK"/>
    <d v="2023-04-04T00:00:00"/>
    <n v="29"/>
    <s v="Asia"/>
    <x v="3"/>
    <s v="Beijing"/>
    <s v="Beijing"/>
    <s v="Asia &gt; China &gt; Beijing"/>
    <s v="Small Business"/>
    <s v="Direct"/>
    <s v="Direct"/>
    <s v="C. Otieno"/>
    <x v="0"/>
    <s v="Monitors"/>
    <x v="2"/>
    <s v="High"/>
    <x v="141"/>
    <n v="1126.29"/>
    <n v="2050.87"/>
    <s v="OK"/>
    <n v="2050.87"/>
    <n v="6.4000000000000001E-2"/>
    <s v="OK"/>
    <n v="6.4000000000000001E-2"/>
    <n v="7"/>
    <n v="13437.300239999999"/>
    <e v="#VALUE!"/>
    <n v="7884.03"/>
    <n v="5553.2702399999989"/>
    <n v="0.41327276616690373"/>
    <n v="44928"/>
    <s v="Jan-2023"/>
  </r>
  <r>
    <x v="142"/>
    <x v="133"/>
    <x v="9"/>
    <x v="6"/>
    <d v="2023-12-19T00:00:00"/>
    <s v="OK"/>
    <d v="2023-12-19T00:00:00"/>
    <n v="3"/>
    <s v="Asia"/>
    <x v="3"/>
    <s v="Beijing"/>
    <s v="Beijing"/>
    <s v="Asia &gt; China &gt; Beijing"/>
    <s v="Education"/>
    <s v="Retail"/>
    <s v="Retail"/>
    <s v="A. Patel"/>
    <x v="1"/>
    <s v="Accessories"/>
    <x v="1"/>
    <s v="High"/>
    <x v="142"/>
    <n v="1415.05"/>
    <n v="1972.38"/>
    <s v="OK"/>
    <n v="1972.38"/>
    <n v="0"/>
    <s v="OK"/>
    <n v="0"/>
    <n v="12"/>
    <n v="23668.560000000001"/>
    <e v="#VALUE!"/>
    <n v="16980.599999999999"/>
    <n v="6687.9600000000028"/>
    <n v="0.28256725377462771"/>
    <n v="44928"/>
    <s v="Jan-2023"/>
  </r>
  <r>
    <x v="143"/>
    <x v="134"/>
    <x v="2"/>
    <x v="2"/>
    <d v="2025-04-08T00:00:00"/>
    <s v="OK"/>
    <d v="2025-04-08T00:00:00"/>
    <n v="25"/>
    <s v="Asia"/>
    <x v="3"/>
    <m/>
    <s v="Unkown"/>
    <s v="Asia &gt; China &gt; Unkown"/>
    <s v="Corporate"/>
    <s v="Distributor"/>
    <s v="Distributor"/>
    <s v="D. Smith"/>
    <x v="14"/>
    <s v="Printers"/>
    <x v="5"/>
    <s v="Low"/>
    <x v="143"/>
    <n v="80.59"/>
    <n v="157.82"/>
    <s v="OK"/>
    <n v="157.82"/>
    <n v="0.217"/>
    <s v="OK"/>
    <n v="0.217"/>
    <n v="6"/>
    <n v="741.43835999999999"/>
    <n v="1616910.1886600002"/>
    <n v="483.54"/>
    <n v="257.89835999999997"/>
    <n v="0.34783519967863541"/>
    <n v="44928"/>
    <s v="Jan-2023"/>
  </r>
  <r>
    <x v="144"/>
    <x v="135"/>
    <x v="23"/>
    <x v="0"/>
    <d v="2024-03-06T00:00:00"/>
    <s v="OK"/>
    <d v="2024-03-06T00:00:00"/>
    <n v="16"/>
    <s v="Asia"/>
    <x v="3"/>
    <s v="Beijing"/>
    <s v="Beijing"/>
    <s v="Asia &gt; China &gt; Beijing"/>
    <s v="Education"/>
    <s v="Marketplace"/>
    <s v="Marketplace"/>
    <s v="O. Wang"/>
    <x v="7"/>
    <s v="Printers"/>
    <x v="5"/>
    <s v="High"/>
    <x v="144"/>
    <n v="1477.84"/>
    <n v="3197.47"/>
    <s v="OK"/>
    <n v="3197.47"/>
    <n v="0.24299999999999999"/>
    <s v="OK"/>
    <n v="0.24299999999999999"/>
    <n v="24"/>
    <n v="58091.634960000003"/>
    <n v="1616910.1886600002"/>
    <n v="35468.159999999996"/>
    <n v="22623.474960000007"/>
    <n v="0.38944462443823091"/>
    <n v="44928"/>
    <s v="Jan-2023"/>
  </r>
  <r>
    <x v="145"/>
    <x v="136"/>
    <x v="30"/>
    <x v="9"/>
    <d v="2025-01-08T00:00:00"/>
    <s v="OK"/>
    <d v="2025-01-08T00:00:00"/>
    <n v="11"/>
    <s v="Asia"/>
    <x v="3"/>
    <s v="Shenzhen"/>
    <s v="Shenzhen"/>
    <s v="Asia &gt; China &gt; Shenzhen"/>
    <s v="Enterprise"/>
    <s v="Online"/>
    <s v="Online"/>
    <s v="K. Singh"/>
    <x v="3"/>
    <s v="Laptops"/>
    <x v="3"/>
    <s v="High"/>
    <x v="145"/>
    <n v="1201.31"/>
    <n v="2764.65"/>
    <s v="OK"/>
    <n v="2764.65"/>
    <n v="0"/>
    <s v="OK"/>
    <n v="0"/>
    <n v="21"/>
    <n v="58057.65"/>
    <n v="1711094.3775999998"/>
    <n v="25227.51"/>
    <n v="32830.14"/>
    <n v="0.56547483406579491"/>
    <n v="44928"/>
    <s v="Jan-2023"/>
  </r>
  <r>
    <x v="146"/>
    <x v="137"/>
    <x v="17"/>
    <x v="7"/>
    <d v="2024-09-18T00:00:00"/>
    <s v="OK"/>
    <d v="2024-09-18T00:00:00"/>
    <n v="11"/>
    <s v="Asia"/>
    <x v="3"/>
    <s v="Beijing"/>
    <s v="Beijing"/>
    <s v="Asia &gt; China &gt; Beijing"/>
    <s v="Consumer"/>
    <s v="Distributor"/>
    <s v="Distributor"/>
    <s v="O. Wang"/>
    <x v="7"/>
    <s v="Networking"/>
    <x v="6"/>
    <s v="Low"/>
    <x v="146"/>
    <n v="181.74"/>
    <n v="190.84"/>
    <s v="OK"/>
    <n v="190.84"/>
    <n v="0.214"/>
    <s v="OK"/>
    <n v="0.214"/>
    <n v="13"/>
    <n v="1950.0031200000001"/>
    <e v="#VALUE!"/>
    <n v="2362.62"/>
    <n v="-412.61687999999981"/>
    <n v="-0.21159806144310159"/>
    <n v="44928"/>
    <s v="Jan-2023"/>
  </r>
  <r>
    <x v="147"/>
    <x v="138"/>
    <x v="26"/>
    <x v="8"/>
    <d v="2023-06-03T00:00:00"/>
    <s v="OK"/>
    <d v="2023-06-03T00:00:00"/>
    <n v="17"/>
    <s v="Asia"/>
    <x v="3"/>
    <s v="Beijing"/>
    <s v="Beijing"/>
    <s v="Asia &gt; China &gt; Beijing"/>
    <s v="Non-Profit"/>
    <s v="Distributor"/>
    <s v="Distributor"/>
    <s v="M. Rossi"/>
    <x v="13"/>
    <s v="Printers"/>
    <x v="5"/>
    <s v="High"/>
    <x v="147"/>
    <n v="979.59"/>
    <n v="2210.94"/>
    <s v="OK"/>
    <n v="2210.94"/>
    <n v="0.15"/>
    <s v="OK"/>
    <n v="0.15"/>
    <n v="11"/>
    <n v="20672.289000000001"/>
    <n v="1616910.1886600002"/>
    <n v="10775.49"/>
    <n v="9896.7990000000009"/>
    <n v="0.47874712858358359"/>
    <n v="44928"/>
    <s v="Jan-2023"/>
  </r>
  <r>
    <x v="148"/>
    <x v="139"/>
    <x v="26"/>
    <x v="8"/>
    <d v="2023-05-19T00:00:00"/>
    <s v="OK"/>
    <d v="2023-05-19T00:00:00"/>
    <n v="17"/>
    <s v="Asia"/>
    <x v="3"/>
    <s v="Shanghai"/>
    <s v="Shanghai"/>
    <s v="Asia &gt; China &gt; Shanghai"/>
    <s v="Non-Profit"/>
    <s v="Direct"/>
    <s v="Direct"/>
    <s v="J. Njeri"/>
    <x v="2"/>
    <s v="Monitors"/>
    <x v="2"/>
    <s v="Low"/>
    <x v="148"/>
    <n v="714.28"/>
    <n v="757.59"/>
    <s v="OK"/>
    <n v="757.59"/>
    <n v="0.13600000000000001"/>
    <s v="OK"/>
    <n v="0.13600000000000001"/>
    <n v="12"/>
    <n v="7854.6931199999999"/>
    <e v="#VALUE!"/>
    <n v="8571.36"/>
    <n v="-716.66688000000067"/>
    <n v="-9.1240595787910383E-2"/>
    <n v="44928"/>
    <s v="Jan-2023"/>
  </r>
  <r>
    <x v="149"/>
    <x v="140"/>
    <x v="4"/>
    <x v="3"/>
    <d v="2025-07-23T00:00:00"/>
    <s v="OK"/>
    <d v="2025-07-23T00:00:00"/>
    <n v="20"/>
    <s v="Asia"/>
    <x v="3"/>
    <s v="Beijing"/>
    <s v="Beijing"/>
    <s v="Asia &gt; China &gt; Beijing"/>
    <s v="Small Business"/>
    <s v="Online"/>
    <s v="Online"/>
    <s v="M. Rossi"/>
    <x v="13"/>
    <s v="Components"/>
    <x v="0"/>
    <s v="High"/>
    <x v="149"/>
    <n v="647.36"/>
    <n v="1383.6"/>
    <s v="OK"/>
    <n v="1383.6"/>
    <n v="7.3999999999999996E-2"/>
    <s v="OK"/>
    <n v="7.3999999999999996E-2"/>
    <n v="12"/>
    <n v="15374.563199999999"/>
    <n v="1550200.534329999"/>
    <n v="7768.32"/>
    <n v="7606.243199999999"/>
    <n v="0.49472906000997802"/>
    <n v="44928"/>
    <s v="Jan-2023"/>
  </r>
  <r>
    <x v="150"/>
    <x v="60"/>
    <x v="5"/>
    <x v="4"/>
    <d v="2023-03-18T00:00:00"/>
    <s v="OK"/>
    <d v="2023-03-18T00:00:00"/>
    <n v="23"/>
    <s v="Asia"/>
    <x v="3"/>
    <s v="Beijing"/>
    <s v="Beijing"/>
    <s v="Asia &gt; China &gt; Beijing"/>
    <s v="Education"/>
    <s v="Distributor"/>
    <s v="Distributor"/>
    <s v="K. Singh"/>
    <x v="3"/>
    <s v="Printers"/>
    <x v="5"/>
    <s v="High"/>
    <x v="150"/>
    <n v="770.11"/>
    <n v="1667.82"/>
    <s v="OK"/>
    <n v="1667.82"/>
    <n v="6.9000000000000006E-2"/>
    <s v="OK"/>
    <n v="6.9000000000000006E-2"/>
    <n v="7"/>
    <n v="10869.182940000001"/>
    <n v="1616910.1886600002"/>
    <n v="5390.77"/>
    <n v="5478.4129400000002"/>
    <n v="0.50403171703355287"/>
    <n v="44928"/>
    <s v="Jan-2023"/>
  </r>
  <r>
    <x v="151"/>
    <x v="141"/>
    <x v="2"/>
    <x v="2"/>
    <d v="2025-03-25T00:00:00"/>
    <s v="OK"/>
    <d v="2025-03-25T00:00:00"/>
    <n v="1"/>
    <s v="Asia"/>
    <x v="3"/>
    <s v="Beijing"/>
    <s v="Beijing"/>
    <s v="Asia &gt; China &gt; Beijing"/>
    <s v="Non-Profit"/>
    <s v="Online"/>
    <s v="Online"/>
    <s v="G. Dubois"/>
    <x v="4"/>
    <s v="Networking"/>
    <x v="6"/>
    <s v="High"/>
    <x v="151"/>
    <n v="1133.03"/>
    <n v="1921.51"/>
    <s v="OK"/>
    <n v="1921.51"/>
    <n v="0.10100000000000001"/>
    <s v="OK"/>
    <n v="0.10100000000000001"/>
    <n v="5"/>
    <n v="8637.1874499999994"/>
    <e v="#VALUE!"/>
    <n v="5665.15"/>
    <n v="2972.0374499999998"/>
    <n v="0.3440978289755654"/>
    <n v="44928"/>
    <s v="Jan-2023"/>
  </r>
  <r>
    <x v="152"/>
    <x v="142"/>
    <x v="32"/>
    <x v="9"/>
    <d v="2024-10-28T00:00:00"/>
    <s v="OK"/>
    <d v="2024-10-28T00:00:00"/>
    <n v="4"/>
    <s v="Asia"/>
    <x v="3"/>
    <s v="Shanghai"/>
    <s v="Shanghai"/>
    <s v="Asia &gt; China &gt; Shanghai"/>
    <s v="Small Business"/>
    <s v="Distributor"/>
    <s v="Distributor"/>
    <s v="I. Johnson"/>
    <x v="12"/>
    <s v="Networking"/>
    <x v="6"/>
    <s v="High"/>
    <x v="152"/>
    <n v="1331.77"/>
    <n v="2606.11"/>
    <s v="OK"/>
    <n v="2606.11"/>
    <n v="0.02"/>
    <s v="OK"/>
    <n v="0.02"/>
    <n v="6"/>
    <n v="15323.926799999999"/>
    <e v="#VALUE!"/>
    <n v="7990.62"/>
    <n v="7333.3067999999994"/>
    <n v="0.47855271665745619"/>
    <n v="44928"/>
    <s v="Jan-2023"/>
  </r>
  <r>
    <x v="153"/>
    <x v="143"/>
    <x v="27"/>
    <x v="7"/>
    <d v="2024-07-12T00:00:00"/>
    <s v="OK"/>
    <d v="2024-07-12T00:00:00"/>
    <n v="3"/>
    <s v="Asia"/>
    <x v="3"/>
    <s v="Shanghai"/>
    <s v="Shanghai"/>
    <s v="Asia &gt; China &gt; Shanghai"/>
    <s v="Small Business"/>
    <s v="Retail"/>
    <s v="Retail"/>
    <s v="D. Smith"/>
    <x v="14"/>
    <s v="Accessories"/>
    <x v="1"/>
    <s v="High"/>
    <x v="153"/>
    <n v="748.39"/>
    <n v="979.42"/>
    <s v="OK"/>
    <n v="979.42"/>
    <n v="0"/>
    <s v="OK"/>
    <n v="0"/>
    <n v="23"/>
    <n v="22526.66"/>
    <e v="#VALUE!"/>
    <n v="17212.97"/>
    <n v="5313.6899999999987"/>
    <n v="0.23588450307324738"/>
    <n v="44928"/>
    <s v="Jan-2023"/>
  </r>
  <r>
    <x v="154"/>
    <x v="144"/>
    <x v="28"/>
    <x v="4"/>
    <d v="2023-01-26T00:00:00"/>
    <s v="OK"/>
    <d v="2023-01-26T00:00:00"/>
    <n v="14"/>
    <s v="Asia"/>
    <x v="3"/>
    <s v="Shenzhen"/>
    <s v="Shenzhen"/>
    <s v="Asia &gt; China &gt; Shenzhen"/>
    <s v="Non-Profit"/>
    <s v="Retail"/>
    <s v="Retail"/>
    <s v="M. Rossi"/>
    <x v="13"/>
    <s v="Printers"/>
    <x v="5"/>
    <s v="High"/>
    <x v="154"/>
    <n v="1083.0899999999999"/>
    <n v="1425.87"/>
    <s v="OK"/>
    <n v="1425.87"/>
    <n v="0"/>
    <s v="OK"/>
    <n v="0"/>
    <n v="8"/>
    <n v="11406.96"/>
    <n v="1616910.1886600002"/>
    <n v="8664.7199999999993"/>
    <n v="2742.24"/>
    <n v="0.24040059752992909"/>
    <n v="44928"/>
    <s v="Jan-2023"/>
  </r>
  <r>
    <x v="155"/>
    <x v="145"/>
    <x v="6"/>
    <x v="5"/>
    <d v="2024-06-09T00:00:00"/>
    <s v="OK"/>
    <d v="2024-06-09T00:00:00"/>
    <n v="2"/>
    <s v="Asia"/>
    <x v="3"/>
    <s v="Shanghai"/>
    <s v="Shanghai"/>
    <s v="Asia &gt; China &gt; Shanghai"/>
    <s v="Corporate"/>
    <s v="Retail"/>
    <s v="Retail"/>
    <s v="O. Wang"/>
    <x v="7"/>
    <s v="Monitors"/>
    <x v="2"/>
    <s v="High"/>
    <x v="155"/>
    <n v="1370.28"/>
    <n v="2209.66"/>
    <s v="OK"/>
    <n v="2209.66"/>
    <n v="0.13300000000000001"/>
    <s v="OK"/>
    <n v="0.13300000000000001"/>
    <n v="16"/>
    <n v="30652.403519999996"/>
    <e v="#VALUE!"/>
    <n v="21924.48"/>
    <n v="8727.9235199999966"/>
    <n v="0.28473863442079589"/>
    <n v="44928"/>
    <s v="Jan-2023"/>
  </r>
  <r>
    <x v="156"/>
    <x v="30"/>
    <x v="21"/>
    <x v="10"/>
    <d v="2023-08-02T00:00:00"/>
    <s v="Invalid date"/>
    <d v="2023-08-08T00:00:00"/>
    <n v="5"/>
    <s v="Asia"/>
    <x v="3"/>
    <s v="Shanghai"/>
    <s v="Shanghai"/>
    <s v="Asia &gt; China &gt; Shanghai"/>
    <s v="Non-Profit"/>
    <s v="Direct"/>
    <s v="Direct"/>
    <s v="J. Njeri"/>
    <x v="2"/>
    <s v="Networking"/>
    <x v="6"/>
    <s v="High"/>
    <x v="156"/>
    <n v="1021.97"/>
    <n v="2296.25"/>
    <s v="OK"/>
    <n v="2296.25"/>
    <n v="0.161"/>
    <s v="OK"/>
    <n v="0.161"/>
    <n v="26"/>
    <n v="50090.397499999999"/>
    <e v="#VALUE!"/>
    <n v="26571.22"/>
    <n v="23519.177499999998"/>
    <n v="0.46953465482081669"/>
    <n v="44928"/>
    <s v="Jan-2023"/>
  </r>
  <r>
    <x v="157"/>
    <x v="30"/>
    <x v="21"/>
    <x v="10"/>
    <d v="2023-08-30T00:00:00"/>
    <s v="OK"/>
    <d v="2023-08-30T00:00:00"/>
    <n v="27"/>
    <s v="Asia"/>
    <x v="3"/>
    <s v="Shanghai"/>
    <s v="Shanghai"/>
    <s v="Asia &gt; China &gt; Shanghai"/>
    <s v="Consumer"/>
    <s v="Distributor"/>
    <s v="Distributor"/>
    <s v="N. Brown"/>
    <x v="5"/>
    <s v="Monitors"/>
    <x v="2"/>
    <s v="Low"/>
    <x v="157"/>
    <n v="226.04"/>
    <n v="545.72"/>
    <s v="OK"/>
    <n v="545.72"/>
    <n v="0.151"/>
    <s v="OK"/>
    <n v="0.151"/>
    <n v="11"/>
    <n v="5096.4790800000001"/>
    <e v="#VALUE!"/>
    <n v="2486.44"/>
    <n v="2610.03908"/>
    <n v="0.51212592831834014"/>
    <n v="44928"/>
    <s v="Jan-2023"/>
  </r>
  <r>
    <x v="158"/>
    <x v="146"/>
    <x v="22"/>
    <x v="0"/>
    <d v="2024-02-13T00:00:00"/>
    <s v="OK"/>
    <d v="2024-02-13T00:00:00"/>
    <n v="24"/>
    <s v="Europe"/>
    <x v="4"/>
    <s v="Marseille"/>
    <s v="Marseille"/>
    <s v="Europe &gt; France &gt; Marseille"/>
    <s v="Corporate"/>
    <s v="Retail"/>
    <s v="Retail"/>
    <s v="H. Kim"/>
    <x v="15"/>
    <s v="Printers"/>
    <x v="5"/>
    <s v="High"/>
    <x v="158"/>
    <n v="643.53"/>
    <n v="1439.01"/>
    <s v="OK"/>
    <n v="1439.01"/>
    <n v="0"/>
    <s v="OK"/>
    <n v="0"/>
    <n v="15"/>
    <n v="21585.15"/>
    <n v="1616910.1886600002"/>
    <n v="9652.9499999999989"/>
    <n v="11932.200000000003"/>
    <n v="0.55279671440782208"/>
    <n v="44928"/>
    <s v="Jan-2023"/>
  </r>
  <r>
    <x v="159"/>
    <x v="147"/>
    <x v="30"/>
    <x v="9"/>
    <d v="2025-01-08T00:00:00"/>
    <s v="OK"/>
    <d v="2025-01-08T00:00:00"/>
    <n v="29"/>
    <s v="Europe"/>
    <x v="4"/>
    <s v="Marseille"/>
    <s v="Marseille"/>
    <s v="Europe &gt; France &gt; Marseille"/>
    <s v="Small Business"/>
    <s v="Retail"/>
    <s v="Retail"/>
    <s v="K. Singh"/>
    <x v="3"/>
    <s v="Printers"/>
    <x v="5"/>
    <s v="High"/>
    <x v="159"/>
    <n v="891.08"/>
    <n v="1040.0999999999999"/>
    <s v="OK"/>
    <n v="1040.0999999999999"/>
    <n v="0.109"/>
    <s v="OK"/>
    <n v="0.109"/>
    <n v="28"/>
    <n v="25948.414799999995"/>
    <n v="1616910.1886600002"/>
    <n v="24950.240000000002"/>
    <n v="998.17479999999341"/>
    <n v="3.8467660074556598E-2"/>
    <n v="44928"/>
    <s v="Jan-2023"/>
  </r>
  <r>
    <x v="160"/>
    <x v="148"/>
    <x v="13"/>
    <x v="9"/>
    <d v="2024-12-30T00:00:00"/>
    <s v="OK"/>
    <d v="2024-12-30T00:00:00"/>
    <n v="30"/>
    <s v="Europe"/>
    <x v="4"/>
    <s v="Marseille"/>
    <s v="Marseille"/>
    <s v="Europe &gt; France &gt; Marseille"/>
    <s v="Consumer"/>
    <s v="Marketplace"/>
    <s v="Marketplace"/>
    <s v="F. Müller"/>
    <x v="8"/>
    <s v="Printers"/>
    <x v="5"/>
    <s v="Low"/>
    <x v="160"/>
    <n v="117.64"/>
    <n v="175.67"/>
    <s v="OK"/>
    <n v="175.67"/>
    <n v="0"/>
    <s v="OK"/>
    <n v="0"/>
    <n v="10"/>
    <n v="1756.6999999999998"/>
    <n v="1616910.1886600002"/>
    <n v="1176.4000000000001"/>
    <n v="580.29999999999973"/>
    <n v="0.33033528775545046"/>
    <n v="44928"/>
    <s v="Jan-2023"/>
  </r>
  <r>
    <x v="161"/>
    <x v="149"/>
    <x v="7"/>
    <x v="1"/>
    <d v="2025-04-11T00:00:00"/>
    <s v="OK"/>
    <d v="2025-04-11T00:00:00"/>
    <n v="4"/>
    <s v="Europe"/>
    <x v="4"/>
    <s v="Lyon"/>
    <s v="Lyon"/>
    <s v="Europe &gt; France &gt; Lyon"/>
    <s v="Education"/>
    <s v="Retail"/>
    <s v="Retail"/>
    <s v="E. Garcia"/>
    <x v="11"/>
    <s v="Networking"/>
    <x v="6"/>
    <s v="High"/>
    <x v="161"/>
    <n v="754.77"/>
    <n v="1666.18"/>
    <s v="OK"/>
    <n v="1666.18"/>
    <n v="0.13900000000000001"/>
    <s v="OK"/>
    <n v="0.13900000000000001"/>
    <n v="14"/>
    <n v="20084.133720000002"/>
    <e v="#VALUE!"/>
    <n v="10566.779999999999"/>
    <n v="9517.3537200000028"/>
    <n v="0.47387424584424653"/>
    <n v="44928"/>
    <s v="Jan-2023"/>
  </r>
  <r>
    <x v="162"/>
    <x v="150"/>
    <x v="14"/>
    <x v="10"/>
    <d v="2023-08-01T00:00:00"/>
    <s v="OK"/>
    <d v="2023-08-01T00:00:00"/>
    <n v="22"/>
    <s v="Europe"/>
    <x v="4"/>
    <s v="Marseille"/>
    <s v="Marseille"/>
    <s v="Europe &gt; France &gt; Marseille"/>
    <s v="Consumer"/>
    <s v="Marketplace"/>
    <s v="Marketplace"/>
    <s v="B. Chen"/>
    <x v="6"/>
    <s v="Printers"/>
    <x v="5"/>
    <s v="High"/>
    <x v="162"/>
    <n v="1303.56"/>
    <n v="1791.37"/>
    <s v="OK"/>
    <n v="1791.37"/>
    <n v="0.126"/>
    <s v="OK"/>
    <n v="0.126"/>
    <n v="22"/>
    <n v="34444.462359999998"/>
    <n v="1616910.1886600002"/>
    <n v="28678.32"/>
    <n v="5766.142359999998"/>
    <n v="0.16740404596055358"/>
    <n v="44928"/>
    <s v="Jan-2023"/>
  </r>
  <r>
    <x v="163"/>
    <x v="151"/>
    <x v="25"/>
    <x v="2"/>
    <d v="2025-02-16T00:00:00"/>
    <s v="OK"/>
    <d v="2025-02-16T00:00:00"/>
    <n v="26"/>
    <s v="Europe"/>
    <x v="4"/>
    <s v="Lyon"/>
    <s v="Lyon"/>
    <s v="Europe &gt; France &gt; Lyon"/>
    <s v="Corporate"/>
    <s v="Distributor"/>
    <s v="Distributor"/>
    <s v="O. Wang"/>
    <x v="7"/>
    <s v="Laptops"/>
    <x v="3"/>
    <s v="Low"/>
    <x v="163"/>
    <n v="204.11"/>
    <n v="236.87"/>
    <s v="OK"/>
    <n v="236.87"/>
    <n v="0.182"/>
    <s v="OK"/>
    <n v="0.182"/>
    <n v="13"/>
    <n v="2518.8755800000004"/>
    <n v="1711094.3775999998"/>
    <n v="2653.4300000000003"/>
    <n v="-134.55441999999994"/>
    <n v="-5.3418446337075494E-2"/>
    <n v="44928"/>
    <s v="Jan-2023"/>
  </r>
  <r>
    <x v="164"/>
    <x v="152"/>
    <x v="31"/>
    <x v="1"/>
    <d v="2025-06-18T00:00:00"/>
    <s v="OK"/>
    <d v="2025-06-18T00:00:00"/>
    <n v="9"/>
    <s v="Europe"/>
    <x v="4"/>
    <s v="Marseille"/>
    <s v="Marseille"/>
    <s v="Europe &gt; France &gt; Marseille"/>
    <s v="Small Business"/>
    <s v="Marketplace"/>
    <s v="Marketplace"/>
    <s v="H. Kim"/>
    <x v="15"/>
    <s v="Accessories"/>
    <x v="1"/>
    <s v="Medium"/>
    <x v="164"/>
    <n v="1225.5"/>
    <n v="-5.27"/>
    <s v="negative unit price"/>
    <s v=""/>
    <n v="7.4999999999999997E-2"/>
    <s v="OK"/>
    <n v="7.4999999999999997E-2"/>
    <n v="56"/>
    <e v="#VALUE!"/>
    <e v="#VALUE!"/>
    <n v="68628"/>
    <e v="#VALUE!"/>
    <e v="#VALUE!"/>
    <n v="44928"/>
    <s v="Jan-2023"/>
  </r>
  <r>
    <x v="165"/>
    <x v="153"/>
    <x v="0"/>
    <x v="0"/>
    <d v="2024-04-09T00:00:00"/>
    <s v="OK"/>
    <d v="2024-04-09T00:00:00"/>
    <n v="30"/>
    <s v="Europe"/>
    <x v="4"/>
    <s v="Lyon"/>
    <s v="Lyon"/>
    <s v="Europe &gt; France &gt; Lyon"/>
    <s v="Corporate"/>
    <s v="Direct"/>
    <s v="Direct"/>
    <s v="I. Johnson"/>
    <x v="12"/>
    <s v="Components"/>
    <x v="0"/>
    <s v="High"/>
    <x v="165"/>
    <n v="1176.56"/>
    <n v="1911.89"/>
    <s v="OK"/>
    <n v="1911.89"/>
    <n v="0.11899999999999999"/>
    <s v="OK"/>
    <n v="0.11899999999999999"/>
    <n v="20"/>
    <n v="33687.501800000005"/>
    <n v="1550200.534329999"/>
    <n v="23531.199999999997"/>
    <n v="10156.301800000008"/>
    <n v="0.30148575160892477"/>
    <n v="44928"/>
    <s v="Jan-2023"/>
  </r>
  <r>
    <x v="166"/>
    <x v="154"/>
    <x v="7"/>
    <x v="1"/>
    <d v="2025-05-25T00:00:00"/>
    <s v="OK"/>
    <d v="2025-05-25T00:00:00"/>
    <n v="28"/>
    <s v="Europe"/>
    <x v="4"/>
    <s v="Paris"/>
    <s v="Paris"/>
    <s v="Europe &gt; France &gt; Paris"/>
    <s v="Small Business"/>
    <s v="Marketplace"/>
    <s v="Marketplace"/>
    <s v="I. Johnson"/>
    <x v="12"/>
    <s v="Phones"/>
    <x v="4"/>
    <s v="High"/>
    <x v="166"/>
    <n v="603.45000000000005"/>
    <n v="1244.08"/>
    <s v="OK"/>
    <n v="1244.08"/>
    <n v="0.2"/>
    <s v="OK"/>
    <n v="0.2"/>
    <n v="11"/>
    <n v="10947.904"/>
    <n v="1399242.2240200008"/>
    <n v="6637.9500000000007"/>
    <n v="4309.9539999999997"/>
    <n v="0.39367846119220623"/>
    <n v="44928"/>
    <s v="Jan-2023"/>
  </r>
  <r>
    <x v="167"/>
    <x v="155"/>
    <x v="13"/>
    <x v="9"/>
    <d v="2024-12-21T00:00:00"/>
    <s v="OK"/>
    <d v="2024-12-21T00:00:00"/>
    <n v="30"/>
    <s v="Europe"/>
    <x v="4"/>
    <s v="Marseille"/>
    <s v="Marseille"/>
    <s v="Europe &gt; France &gt; Marseille"/>
    <s v="Small Business"/>
    <s v="Direct"/>
    <s v="Direct"/>
    <s v="I. Johnson"/>
    <x v="12"/>
    <s v="Monitors"/>
    <x v="2"/>
    <s v="High"/>
    <x v="167"/>
    <n v="1122.68"/>
    <n v="1997.19"/>
    <s v="OK"/>
    <n v="1997.19"/>
    <n v="0.186"/>
    <s v="OK"/>
    <n v="0.186"/>
    <n v="3"/>
    <n v="4877.1379800000004"/>
    <e v="#VALUE!"/>
    <n v="3368.04"/>
    <n v="1509.0979800000005"/>
    <n v="0.30942285951073306"/>
    <n v="44928"/>
    <s v="Jan-2023"/>
  </r>
  <r>
    <x v="168"/>
    <x v="93"/>
    <x v="1"/>
    <x v="1"/>
    <d v="2025-05-24T00:00:00"/>
    <s v="OK"/>
    <d v="2025-05-24T00:00:00"/>
    <n v="10"/>
    <s v="Europe"/>
    <x v="4"/>
    <s v="Paris"/>
    <s v="Paris"/>
    <s v="Europe &gt; France &gt; Paris"/>
    <s v="Small Business"/>
    <s v="Marketplace"/>
    <s v="Marketplace"/>
    <s v="K. Singh"/>
    <x v="3"/>
    <s v="Components"/>
    <x v="0"/>
    <s v="Low"/>
    <x v="168"/>
    <n v="170.39"/>
    <n v="388.04"/>
    <s v="OK"/>
    <n v="388.04"/>
    <n v="8.4000000000000005E-2"/>
    <s v="OK"/>
    <n v="8.4000000000000005E-2"/>
    <n v="15"/>
    <n v="5331.6696000000002"/>
    <n v="1550200.534329999"/>
    <n v="2555.85"/>
    <n v="2775.8196000000003"/>
    <n v="0.52062858508711796"/>
    <n v="44928"/>
    <s v="Jan-2023"/>
  </r>
  <r>
    <x v="169"/>
    <x v="156"/>
    <x v="18"/>
    <x v="6"/>
    <d v="2023-12-13T00:00:00"/>
    <s v="OK"/>
    <d v="2023-12-13T00:00:00"/>
    <n v="24"/>
    <s v="Europe"/>
    <x v="4"/>
    <s v="Lyon"/>
    <s v="Lyon"/>
    <s v="Europe &gt; France &gt; Lyon"/>
    <s v="Non-Profit"/>
    <s v="Direct"/>
    <s v="Direct"/>
    <s v="H. Kim"/>
    <x v="15"/>
    <s v="Monitors"/>
    <x v="2"/>
    <s v="High"/>
    <x v="169"/>
    <n v="1297.42"/>
    <n v="2742.97"/>
    <s v="OK"/>
    <n v="2742.97"/>
    <n v="6.9000000000000006E-2"/>
    <s v="OK"/>
    <n v="6.9000000000000006E-2"/>
    <n v="9"/>
    <n v="22983.34563"/>
    <e v="#VALUE!"/>
    <n v="11676.78"/>
    <n v="11306.565629999999"/>
    <n v="0.49194602961727291"/>
    <n v="44928"/>
    <s v="Jan-2023"/>
  </r>
  <r>
    <x v="170"/>
    <x v="157"/>
    <x v="19"/>
    <x v="8"/>
    <d v="2023-04-17T00:00:00"/>
    <s v="OK"/>
    <d v="2023-04-17T00:00:00"/>
    <n v="5"/>
    <s v="Europe"/>
    <x v="4"/>
    <s v="Lyon"/>
    <s v="Lyon"/>
    <s v="Europe &gt; France &gt; Lyon"/>
    <s v="Enterprise"/>
    <s v="Direct"/>
    <s v="Direct"/>
    <s v="E. Garcia"/>
    <x v="11"/>
    <s v="Monitors"/>
    <x v="2"/>
    <s v="High"/>
    <x v="170"/>
    <n v="1087.81"/>
    <n v="2323.87"/>
    <s v="OK"/>
    <n v="2323.87"/>
    <n v="9.4E-2"/>
    <s v="OK"/>
    <n v="9.4E-2"/>
    <n v="13"/>
    <n v="27370.540859999997"/>
    <e v="#VALUE!"/>
    <n v="14141.529999999999"/>
    <n v="13229.010859999999"/>
    <n v="0.48333026839572651"/>
    <n v="44928"/>
    <s v="Jan-2023"/>
  </r>
  <r>
    <x v="171"/>
    <x v="158"/>
    <x v="13"/>
    <x v="9"/>
    <d v="2024-12-15T00:00:00"/>
    <s v="OK"/>
    <d v="2024-12-15T00:00:00"/>
    <n v="25"/>
    <s v="Europe"/>
    <x v="4"/>
    <s v="Paris"/>
    <s v="Paris"/>
    <s v="Europe &gt; France &gt; Paris"/>
    <s v="Corporate"/>
    <s v="Online"/>
    <s v="Online"/>
    <s v="G. Dubois"/>
    <x v="4"/>
    <s v="Printers"/>
    <x v="5"/>
    <s v="High"/>
    <x v="171"/>
    <n v="1203.58"/>
    <n v="1856.16"/>
    <s v="OK"/>
    <n v="1856.16"/>
    <n v="0.129"/>
    <s v="OK"/>
    <n v="0.129"/>
    <n v="22"/>
    <n v="35567.737920000007"/>
    <n v="1616910.1886600002"/>
    <n v="26478.76"/>
    <n v="9088.9779200000085"/>
    <n v="0.25553994860295032"/>
    <n v="44928"/>
    <s v="Jan-2023"/>
  </r>
  <r>
    <x v="172"/>
    <x v="159"/>
    <x v="29"/>
    <x v="10"/>
    <d v="2023-09-16T00:00:00"/>
    <s v="OK"/>
    <d v="2023-09-16T00:00:00"/>
    <n v="2"/>
    <s v="Europe"/>
    <x v="4"/>
    <s v="Lyon"/>
    <s v="Lyon"/>
    <s v="Europe &gt; France &gt; Lyon"/>
    <s v="Non-Profit"/>
    <s v="Direct"/>
    <s v="Direct"/>
    <s v="B. Chen"/>
    <x v="6"/>
    <s v="Printers"/>
    <x v="5"/>
    <s v="Low"/>
    <x v="172"/>
    <n v="376.83"/>
    <n v="732.88"/>
    <s v="OK"/>
    <n v="732.88"/>
    <n v="0.188"/>
    <s v="OK"/>
    <n v="0.188"/>
    <n v="25"/>
    <n v="14877.464000000002"/>
    <n v="1616910.1886600002"/>
    <n v="9420.75"/>
    <n v="5456.7140000000018"/>
    <n v="0.36677716040852132"/>
    <n v="44928"/>
    <s v="Jan-2023"/>
  </r>
  <r>
    <x v="173"/>
    <x v="160"/>
    <x v="23"/>
    <x v="0"/>
    <d v="2024-02-21T00:00:00"/>
    <s v="OK"/>
    <d v="2024-02-21T00:00:00"/>
    <n v="20"/>
    <s v="Europe"/>
    <x v="4"/>
    <s v="Paris"/>
    <s v="Paris"/>
    <s v="Europe &gt; France &gt; Paris"/>
    <s v="Small Business"/>
    <s v="Marketplace"/>
    <s v="Marketplace"/>
    <s v="A. Patel"/>
    <x v="1"/>
    <s v="Networking"/>
    <x v="6"/>
    <s v="High"/>
    <x v="173"/>
    <n v="656.2"/>
    <n v="1467.17"/>
    <s v="OK"/>
    <n v="1467.17"/>
    <n v="1.7999999999999999E-2"/>
    <s v="OK"/>
    <n v="1.7999999999999999E-2"/>
    <n v="5"/>
    <n v="7203.8047000000006"/>
    <e v="#VALUE!"/>
    <n v="3281"/>
    <n v="3922.8047000000006"/>
    <n v="0.54454623124360946"/>
    <n v="44928"/>
    <s v="Jan-2023"/>
  </r>
  <r>
    <x v="174"/>
    <x v="34"/>
    <x v="16"/>
    <x v="5"/>
    <d v="2024-06-14T00:00:00"/>
    <s v="OK"/>
    <d v="2024-06-14T00:00:00"/>
    <n v="22"/>
    <s v="Europe"/>
    <x v="4"/>
    <s v="Marseille"/>
    <s v="Marseille"/>
    <s v="Europe &gt; France &gt; Marseille"/>
    <s v="Small Business"/>
    <s v="Online"/>
    <s v="Online"/>
    <s v="N. Brown"/>
    <x v="5"/>
    <s v="Monitors"/>
    <x v="2"/>
    <s v="High"/>
    <x v="174"/>
    <n v="1481.74"/>
    <n v="1848.97"/>
    <s v="OK"/>
    <n v="1848.97"/>
    <n v="0.254"/>
    <s v="OK"/>
    <n v="0.254"/>
    <n v="9"/>
    <n v="12413.98458"/>
    <e v="#VALUE!"/>
    <n v="13335.66"/>
    <n v="-921.67541999999958"/>
    <n v="-7.4244930309072407E-2"/>
    <n v="44928"/>
    <s v="Jan-2023"/>
  </r>
  <r>
    <x v="175"/>
    <x v="161"/>
    <x v="11"/>
    <x v="8"/>
    <d v="2023-07-21T00:00:00"/>
    <s v="OK"/>
    <d v="2023-07-21T00:00:00"/>
    <n v="29"/>
    <s v="Europe"/>
    <x v="4"/>
    <s v="Lyon"/>
    <s v="Lyon"/>
    <s v="Europe &gt; France &gt; Lyon"/>
    <s v="Corporate"/>
    <s v="Retail"/>
    <s v="Retail"/>
    <s v="J. Njeri"/>
    <x v="2"/>
    <s v="Accessories"/>
    <x v="1"/>
    <s v="High"/>
    <x v="175"/>
    <n v="734.34"/>
    <n v="887.9"/>
    <s v="OK"/>
    <n v="887.9"/>
    <n v="2.5000000000000001E-2"/>
    <s v="OK"/>
    <n v="2.5000000000000001E-2"/>
    <n v="12"/>
    <n v="10388.429999999998"/>
    <e v="#VALUE!"/>
    <n v="8812.08"/>
    <n v="1576.3499999999985"/>
    <n v="0.15174092716608753"/>
    <n v="44928"/>
    <s v="Jan-2023"/>
  </r>
  <r>
    <x v="176"/>
    <x v="162"/>
    <x v="25"/>
    <x v="2"/>
    <d v="2025-02-08T00:00:00"/>
    <s v="OK"/>
    <d v="2025-02-08T00:00:00"/>
    <n v="26"/>
    <s v="Europe"/>
    <x v="4"/>
    <s v="Paris"/>
    <s v="Paris"/>
    <s v="Europe &gt; France &gt; Paris"/>
    <s v="Non-Profit"/>
    <m/>
    <s v="Unknown"/>
    <s v="E. Garcia"/>
    <x v="11"/>
    <s v="Monitors"/>
    <x v="2"/>
    <s v="High"/>
    <x v="176"/>
    <n v="594.74"/>
    <n v="1020.69"/>
    <s v="OK"/>
    <n v="1020.69"/>
    <n v="0.21099999999999999"/>
    <s v="OK"/>
    <n v="0.21099999999999999"/>
    <n v="6"/>
    <n v="4831.9464600000001"/>
    <e v="#VALUE!"/>
    <n v="3568.44"/>
    <n v="1263.5064600000001"/>
    <n v="0.26149016146176424"/>
    <n v="44928"/>
    <s v="Jan-2023"/>
  </r>
  <r>
    <x v="177"/>
    <x v="163"/>
    <x v="22"/>
    <x v="0"/>
    <d v="2024-01-23T00:00:00"/>
    <s v="OK"/>
    <d v="2024-01-23T00:00:00"/>
    <n v="13"/>
    <s v="Europe"/>
    <x v="4"/>
    <s v="Marseille"/>
    <s v="Marseille"/>
    <s v="Europe &gt; France &gt; Marseille"/>
    <s v="Corporate"/>
    <s v="Direct"/>
    <s v="Direct"/>
    <s v="A. Patel"/>
    <x v="1"/>
    <s v="Printers"/>
    <x v="5"/>
    <s v="High"/>
    <x v="177"/>
    <n v="720"/>
    <n v="907.59"/>
    <s v="OK"/>
    <n v="907.59"/>
    <n v="0.154"/>
    <s v="OK"/>
    <n v="0.154"/>
    <n v="10"/>
    <n v="7678.2113999999992"/>
    <n v="1616910.1886600002"/>
    <n v="7200"/>
    <n v="478.21139999999923"/>
    <n v="6.2281614179052078E-2"/>
    <n v="44928"/>
    <s v="Jan-2023"/>
  </r>
  <r>
    <x v="178"/>
    <x v="164"/>
    <x v="0"/>
    <x v="0"/>
    <d v="2024-04-13T00:00:00"/>
    <s v="OK"/>
    <d v="2024-04-13T00:00:00"/>
    <n v="28"/>
    <s v="Europe"/>
    <x v="4"/>
    <s v="Paris"/>
    <s v="Paris"/>
    <s v="Europe &gt; France &gt; Paris"/>
    <s v="Small Business"/>
    <s v="Online"/>
    <s v="Online"/>
    <s v="K. Singh"/>
    <x v="3"/>
    <s v="Printers"/>
    <x v="5"/>
    <s v="Low"/>
    <x v="178"/>
    <n v="287.61"/>
    <n v="628.54"/>
    <s v="OK"/>
    <n v="628.54"/>
    <n v="0.13500000000000001"/>
    <s v="OK"/>
    <n v="0.13500000000000001"/>
    <n v="21"/>
    <n v="11417.429099999999"/>
    <n v="1616910.1886600002"/>
    <n v="6039.81"/>
    <n v="5377.619099999999"/>
    <n v="0.47100087531964613"/>
    <n v="44928"/>
    <s v="Jan-2023"/>
  </r>
  <r>
    <x v="179"/>
    <x v="165"/>
    <x v="25"/>
    <x v="2"/>
    <d v="2025-01-22T00:00:00"/>
    <s v="OK"/>
    <d v="2025-01-22T00:00:00"/>
    <n v="0"/>
    <s v="Europe"/>
    <x v="4"/>
    <s v="Lyon"/>
    <s v="Lyon"/>
    <s v="Europe &gt; France &gt; Lyon"/>
    <s v="Small Business"/>
    <s v="Online"/>
    <s v="Online"/>
    <s v="B. Chen"/>
    <x v="6"/>
    <s v="Accessories"/>
    <x v="1"/>
    <s v="Low"/>
    <x v="179"/>
    <n v="591.72"/>
    <n v="577.24"/>
    <s v="OK"/>
    <n v="577.24"/>
    <n v="0"/>
    <s v="OK"/>
    <n v="0"/>
    <n v="22"/>
    <n v="12699.28"/>
    <e v="#VALUE!"/>
    <n v="13017.84"/>
    <n v="-318.55999999999949"/>
    <n v="-2.5084886702238195E-2"/>
    <n v="44928"/>
    <s v="Jan-2023"/>
  </r>
  <r>
    <x v="180"/>
    <x v="10"/>
    <x v="7"/>
    <x v="1"/>
    <d v="2025-04-12T00:00:00"/>
    <s v="OK"/>
    <d v="2025-04-12T00:00:00"/>
    <n v="3"/>
    <s v="Europe"/>
    <x v="4"/>
    <s v="Lyon"/>
    <s v="Lyon"/>
    <s v="Europe &gt; France &gt; Lyon"/>
    <s v="Small Business"/>
    <s v="Distributor"/>
    <s v="Distributor"/>
    <s v="H. Kim"/>
    <x v="15"/>
    <s v="Monitors"/>
    <x v="2"/>
    <s v="Low"/>
    <x v="180"/>
    <n v="86.68"/>
    <n v="213.32"/>
    <s v="OK"/>
    <n v="213.32"/>
    <n v="3.7999999999999999E-2"/>
    <s v="OK"/>
    <n v="3.7999999999999999E-2"/>
    <n v="8"/>
    <n v="1641.7107199999998"/>
    <e v="#VALUE!"/>
    <n v="693.44"/>
    <n v="948.27071999999976"/>
    <n v="0.57761133459614611"/>
    <n v="44928"/>
    <s v="Jan-2023"/>
  </r>
  <r>
    <x v="181"/>
    <x v="166"/>
    <x v="28"/>
    <x v="4"/>
    <d v="2023-01-29T00:00:00"/>
    <s v="OK"/>
    <d v="2023-01-29T00:00:00"/>
    <n v="19"/>
    <s v="Europe"/>
    <x v="4"/>
    <s v="Lyon"/>
    <s v="Lyon"/>
    <s v="Europe &gt; France &gt; Lyon"/>
    <s v="Non-Profit"/>
    <s v="Direct"/>
    <s v="Direct"/>
    <s v="D. Smith"/>
    <x v="14"/>
    <s v="Laptops"/>
    <x v="3"/>
    <s v="Low"/>
    <x v="181"/>
    <n v="401.66"/>
    <n v="772.09"/>
    <s v="OK"/>
    <n v="772.09"/>
    <n v="8.8999999999999996E-2"/>
    <s v="OK"/>
    <n v="8.8999999999999996E-2"/>
    <n v="14"/>
    <n v="9847.2358600000007"/>
    <n v="1711094.3775999998"/>
    <n v="5623.2400000000007"/>
    <n v="4223.99586"/>
    <n v="0.42895244107619046"/>
    <n v="44928"/>
    <s v="Jan-2023"/>
  </r>
  <r>
    <x v="182"/>
    <x v="167"/>
    <x v="31"/>
    <x v="1"/>
    <d v="2025-06-06T00:00:00"/>
    <s v="OK"/>
    <d v="2025-06-06T00:00:00"/>
    <n v="5"/>
    <s v="Europe"/>
    <x v="4"/>
    <s v="Paris"/>
    <s v="Paris"/>
    <s v="Europe &gt; France &gt; Paris"/>
    <s v="Consumer"/>
    <s v="Distributor"/>
    <s v="Distributor"/>
    <s v="G. Dubois"/>
    <x v="4"/>
    <s v="Components"/>
    <x v="0"/>
    <s v="Low"/>
    <x v="182"/>
    <n v="379.45"/>
    <n v="742.23"/>
    <s v="OK"/>
    <n v="742.23"/>
    <n v="0.09"/>
    <s v="OK"/>
    <n v="0.09"/>
    <n v="13"/>
    <n v="8780.5809000000008"/>
    <n v="1550200.534329999"/>
    <n v="4932.8499999999995"/>
    <n v="3847.7309000000014"/>
    <n v="0.43820915083192286"/>
    <n v="44928"/>
    <s v="Jan-2023"/>
  </r>
  <r>
    <x v="183"/>
    <x v="168"/>
    <x v="5"/>
    <x v="4"/>
    <d v="2023-02-27T00:00:00"/>
    <s v="Invalid date"/>
    <d v="2023-03-05T00:00:00"/>
    <n v="5"/>
    <s v="Europe"/>
    <x v="4"/>
    <s v="Marseille"/>
    <s v="Marseille"/>
    <s v="Europe &gt; France &gt; Marseille"/>
    <s v="Corporate"/>
    <s v="Retail"/>
    <s v="Retail"/>
    <s v="K. Singh"/>
    <x v="3"/>
    <s v="Networking"/>
    <x v="6"/>
    <s v="High"/>
    <x v="183"/>
    <n v="1299.81"/>
    <n v="3149.13"/>
    <s v="OK"/>
    <n v="3149.13"/>
    <n v="0.10299999999999999"/>
    <s v="OK"/>
    <n v="0.10299999999999999"/>
    <n v="14"/>
    <n v="39546.774539999999"/>
    <e v="#VALUE!"/>
    <n v="18197.34"/>
    <n v="21349.434539999998"/>
    <n v="0.53985273864511729"/>
    <n v="44928"/>
    <s v="Jan-2023"/>
  </r>
  <r>
    <x v="184"/>
    <x v="169"/>
    <x v="15"/>
    <x v="5"/>
    <d v="2024-04-18T00:00:00"/>
    <s v="OK"/>
    <d v="2024-04-18T00:00:00"/>
    <n v="9"/>
    <s v="Europe"/>
    <x v="4"/>
    <s v="Lyon"/>
    <s v="Lyon"/>
    <s v="Europe &gt; France &gt; Lyon"/>
    <s v="Consumer"/>
    <s v="Online"/>
    <s v="Online"/>
    <s v="E. Garcia"/>
    <x v="11"/>
    <s v="Printers"/>
    <x v="5"/>
    <s v="High"/>
    <x v="184"/>
    <n v="1288.8499999999999"/>
    <n v="2751.84"/>
    <s v="OK"/>
    <n v="2751.84"/>
    <n v="0.158"/>
    <s v="OK"/>
    <n v="0.158"/>
    <n v="7"/>
    <n v="16219.34496"/>
    <n v="1616910.1886600002"/>
    <n v="9021.9499999999989"/>
    <n v="7197.3949600000014"/>
    <n v="0.44375373837538756"/>
    <n v="44928"/>
    <s v="Jan-2023"/>
  </r>
  <r>
    <x v="185"/>
    <x v="170"/>
    <x v="9"/>
    <x v="6"/>
    <d v="2024-01-03T00:00:00"/>
    <s v="OK"/>
    <d v="2024-01-03T00:00:00"/>
    <n v="8"/>
    <s v="Europe"/>
    <x v="4"/>
    <s v="Lyon"/>
    <s v="Lyon"/>
    <s v="Europe &gt; France &gt; Lyon"/>
    <s v="Small Business"/>
    <s v="Retail"/>
    <s v="Retail"/>
    <s v="M. Rossi"/>
    <x v="13"/>
    <s v="Laptops"/>
    <x v="3"/>
    <s v="Low"/>
    <x v="185"/>
    <n v="492.75"/>
    <n v="731.29"/>
    <s v="OK"/>
    <n v="731.29"/>
    <n v="5.8000000000000003E-2"/>
    <s v="OK"/>
    <n v="5.8000000000000003E-2"/>
    <n v="6"/>
    <n v="4133.25108"/>
    <n v="1711094.3775999998"/>
    <n v="2956.5"/>
    <n v="1176.75108"/>
    <n v="0.28470350753528384"/>
    <n v="44928"/>
    <s v="Jan-2023"/>
  </r>
  <r>
    <x v="186"/>
    <x v="171"/>
    <x v="27"/>
    <x v="7"/>
    <d v="2024-08-07T00:00:00"/>
    <s v="OK"/>
    <d v="2024-08-07T00:00:00"/>
    <n v="20"/>
    <s v="Europe"/>
    <x v="4"/>
    <s v="Marseille"/>
    <s v="Marseille"/>
    <s v="Europe &gt; France &gt; Marseille"/>
    <s v="Corporate"/>
    <s v="Retail"/>
    <s v="Retail"/>
    <s v="F. Müller"/>
    <x v="8"/>
    <s v="Monitors"/>
    <x v="2"/>
    <s v="High"/>
    <x v="186"/>
    <n v="941.35"/>
    <n v="899.83"/>
    <s v="OK"/>
    <n v="899.83"/>
    <n v="5.8000000000000003E-2"/>
    <s v="OK"/>
    <n v="5.8000000000000003E-2"/>
    <n v="18"/>
    <n v="15257.51748"/>
    <e v="#VALUE!"/>
    <n v="16944.3"/>
    <n v="-1686.7825199999988"/>
    <n v="-0.11055419220139073"/>
    <n v="44928"/>
    <s v="Jan-2023"/>
  </r>
  <r>
    <x v="187"/>
    <x v="172"/>
    <x v="10"/>
    <x v="7"/>
    <d v="2024-09-07T00:00:00"/>
    <s v="OK"/>
    <d v="2024-09-07T00:00:00"/>
    <n v="28"/>
    <s v="Europe"/>
    <x v="4"/>
    <s v="Marseille"/>
    <s v="Marseille"/>
    <s v="Europe &gt; France &gt; Marseille"/>
    <s v="Non-Profit"/>
    <s v="Direct"/>
    <s v="Direct"/>
    <s v="F. Müller"/>
    <x v="8"/>
    <s v="Printers"/>
    <x v="5"/>
    <s v="Low"/>
    <x v="187"/>
    <n v="229.96"/>
    <n v="564.26"/>
    <s v="OK"/>
    <n v="564.26"/>
    <n v="0.105"/>
    <s v="OK"/>
    <n v="0.105"/>
    <n v="5"/>
    <n v="2525.0635000000002"/>
    <n v="1616910.1886600002"/>
    <n v="1149.8"/>
    <n v="1375.2635000000002"/>
    <n v="0.54464511486542821"/>
    <n v="44928"/>
    <s v="Jan-2023"/>
  </r>
  <r>
    <x v="188"/>
    <x v="173"/>
    <x v="27"/>
    <x v="7"/>
    <d v="2024-08-08T00:00:00"/>
    <s v="OK"/>
    <d v="2024-08-08T00:00:00"/>
    <n v="15"/>
    <s v="Europe"/>
    <x v="4"/>
    <s v="Marseille"/>
    <s v="Marseille"/>
    <s v="Europe &gt; France &gt; Marseille"/>
    <s v="Enterprise"/>
    <s v="Marketplace"/>
    <s v="Marketplace"/>
    <s v="H. Kim"/>
    <x v="15"/>
    <s v="Laptops"/>
    <x v="3"/>
    <s v="High"/>
    <x v="188"/>
    <n v="501.5"/>
    <n v="1201.47"/>
    <s v="OK"/>
    <n v="1201.47"/>
    <n v="0.126"/>
    <s v="OK"/>
    <n v="0.126"/>
    <n v="5"/>
    <n v="5250.4239000000007"/>
    <n v="1711094.3775999998"/>
    <n v="2507.5"/>
    <n v="2742.9239000000007"/>
    <n v="0.52241951359394057"/>
    <n v="44928"/>
    <s v="Jan-2023"/>
  </r>
  <r>
    <x v="189"/>
    <x v="174"/>
    <x v="16"/>
    <x v="5"/>
    <d v="2024-05-21T00:00:00"/>
    <s v="OK"/>
    <d v="2024-05-21T00:00:00"/>
    <n v="3"/>
    <s v="Europe"/>
    <x v="4"/>
    <s v="Marseille"/>
    <s v="Marseille"/>
    <s v="Europe &gt; France &gt; Marseille"/>
    <s v="Non-Profit"/>
    <s v="Marketplace"/>
    <s v="Marketplace"/>
    <s v="D. Smith"/>
    <x v="14"/>
    <s v="Printers"/>
    <x v="5"/>
    <s v="High"/>
    <x v="189"/>
    <n v="663.66"/>
    <n v="824.26"/>
    <s v="OK"/>
    <n v="824.26"/>
    <n v="0.23899999999999999"/>
    <s v="OK"/>
    <n v="0.23899999999999999"/>
    <n v="11"/>
    <n v="6899.8804600000003"/>
    <n v="1616910.1886600002"/>
    <n v="7300.2599999999993"/>
    <n v="-400.379539999999"/>
    <n v="-5.8027025587048933E-2"/>
    <n v="44928"/>
    <s v="Jan-2023"/>
  </r>
  <r>
    <x v="190"/>
    <x v="175"/>
    <x v="23"/>
    <x v="0"/>
    <d v="2024-03-09T00:00:00"/>
    <s v="OK"/>
    <d v="2024-03-09T00:00:00"/>
    <n v="13"/>
    <s v="Europe"/>
    <x v="4"/>
    <s v="Marseille"/>
    <s v="Marseille"/>
    <s v="Europe &gt; France &gt; Marseille"/>
    <s v="Small Business"/>
    <s v="Distributor"/>
    <s v="Distributor"/>
    <s v="E. Garcia"/>
    <x v="11"/>
    <s v="Monitors"/>
    <x v="2"/>
    <s v="Low"/>
    <x v="190"/>
    <n v="322.44"/>
    <n v="395.61"/>
    <s v="OK"/>
    <n v="395.61"/>
    <n v="0"/>
    <s v="OK"/>
    <n v="0"/>
    <n v="34"/>
    <n v="13450.74"/>
    <e v="#VALUE!"/>
    <n v="10962.96"/>
    <n v="2487.7800000000007"/>
    <n v="0.18495487980586947"/>
    <n v="44928"/>
    <s v="Jan-2023"/>
  </r>
  <r>
    <x v="191"/>
    <x v="176"/>
    <x v="9"/>
    <x v="6"/>
    <d v="2024-01-08T00:00:00"/>
    <s v="OK"/>
    <d v="2024-01-08T00:00:00"/>
    <n v="9"/>
    <s v="Europe"/>
    <x v="4"/>
    <s v="Marseille"/>
    <s v="Marseille"/>
    <s v="Europe &gt; France &gt; Marseille"/>
    <s v="Consumer"/>
    <s v="Marketplace"/>
    <s v="Marketplace"/>
    <s v="L. Okafor"/>
    <x v="10"/>
    <s v="Accessories"/>
    <x v="1"/>
    <s v="High"/>
    <x v="191"/>
    <n v="861.1"/>
    <n v="1224.72"/>
    <s v="OK"/>
    <n v="1224.72"/>
    <n v="0.17399999999999999"/>
    <s v="OK"/>
    <n v="0.17399999999999999"/>
    <n v="24"/>
    <n v="24278.849280000002"/>
    <e v="#VALUE!"/>
    <n v="20666.400000000001"/>
    <n v="3612.4492800000007"/>
    <n v="0.14878997098827909"/>
    <n v="44928"/>
    <s v="Jan-2023"/>
  </r>
  <r>
    <x v="192"/>
    <x v="177"/>
    <x v="16"/>
    <x v="5"/>
    <d v="2024-05-18T00:00:00"/>
    <s v="OK"/>
    <d v="2024-05-18T00:00:00"/>
    <n v="13"/>
    <s v="Europe"/>
    <x v="4"/>
    <s v="Marseille"/>
    <s v="Marseille"/>
    <s v="Europe &gt; France &gt; Marseille"/>
    <s v="Corporate"/>
    <s v="Marketplace"/>
    <s v="Marketplace"/>
    <s v="A. Patel"/>
    <x v="1"/>
    <s v="Components"/>
    <x v="0"/>
    <s v="High"/>
    <x v="192"/>
    <n v="1264.04"/>
    <n v="1870.89"/>
    <s v="OK"/>
    <n v="1870.89"/>
    <n v="0"/>
    <s v="OK"/>
    <n v="0"/>
    <n v="13"/>
    <n v="24321.57"/>
    <n v="1550200.534329999"/>
    <n v="16432.52"/>
    <n v="7889.0499999999993"/>
    <n v="0.32436433996653996"/>
    <n v="44928"/>
    <s v="Jan-2023"/>
  </r>
  <r>
    <x v="193"/>
    <x v="86"/>
    <x v="21"/>
    <x v="10"/>
    <d v="2023-09-19T00:00:00"/>
    <s v="OK"/>
    <d v="2023-09-19T00:00:00"/>
    <n v="21"/>
    <s v="Europe"/>
    <x v="4"/>
    <s v="Lyon"/>
    <s v="Lyon"/>
    <s v="Europe &gt; France &gt; Lyon"/>
    <s v="Small Business"/>
    <s v="Direct"/>
    <s v="Direct"/>
    <s v="B. Chen"/>
    <x v="6"/>
    <s v="Printers"/>
    <x v="5"/>
    <s v="High"/>
    <x v="193"/>
    <n v="784.46"/>
    <n v="1843.51"/>
    <s v="OK"/>
    <n v="1843.51"/>
    <n v="0.13800000000000001"/>
    <s v="OK"/>
    <n v="0.13800000000000001"/>
    <n v="23"/>
    <n v="36549.429260000004"/>
    <n v="1616910.1886600002"/>
    <n v="18042.580000000002"/>
    <n v="18506.849260000003"/>
    <n v="0.50635125184441798"/>
    <n v="44928"/>
    <s v="Jan-2023"/>
  </r>
  <r>
    <x v="194"/>
    <x v="178"/>
    <x v="24"/>
    <x v="3"/>
    <d v="2025-09-03T00:00:00"/>
    <s v="OK"/>
    <d v="2025-09-03T00:00:00"/>
    <n v="21"/>
    <s v="Europe"/>
    <x v="4"/>
    <s v="Paris"/>
    <s v="Paris"/>
    <s v="Europe &gt; France &gt; Paris"/>
    <s v="Education"/>
    <s v="Retail"/>
    <s v="Retail"/>
    <s v="I. Johnson"/>
    <x v="12"/>
    <s v="Phones"/>
    <x v="4"/>
    <s v="High"/>
    <x v="194"/>
    <n v="603.47"/>
    <n v="1344.05"/>
    <s v="OK"/>
    <n v="1344.05"/>
    <n v="0.20499999999999999"/>
    <s v="OK"/>
    <n v="0.20499999999999999"/>
    <n v="18"/>
    <n v="19233.355499999998"/>
    <n v="1399242.2240200008"/>
    <n v="10862.460000000001"/>
    <n v="8370.8954999999969"/>
    <n v="0.43522803392262976"/>
    <n v="44928"/>
    <s v="Jan-2023"/>
  </r>
  <r>
    <x v="195"/>
    <x v="179"/>
    <x v="24"/>
    <x v="3"/>
    <d v="2025-09-03T00:00:00"/>
    <s v="OK"/>
    <d v="2025-09-03T00:00:00"/>
    <n v="4"/>
    <s v="Europe"/>
    <x v="4"/>
    <s v="Marseille"/>
    <s v="Marseille"/>
    <s v="Europe &gt; France &gt; Marseille"/>
    <s v="Small Business"/>
    <s v="Marketplace"/>
    <s v="Marketplace"/>
    <s v="J. Njeri"/>
    <x v="2"/>
    <s v="Laptops"/>
    <x v="3"/>
    <s v="High"/>
    <x v="195"/>
    <n v="1286.56"/>
    <n v="2777.35"/>
    <s v="OK"/>
    <n v="2777.35"/>
    <n v="0.13200000000000001"/>
    <s v="OK"/>
    <n v="0.13200000000000001"/>
    <n v="15"/>
    <n v="36161.097000000002"/>
    <n v="1711094.3775999998"/>
    <n v="19298.399999999998"/>
    <n v="16862.697000000004"/>
    <n v="0.46632150014696744"/>
    <n v="44928"/>
    <s v="Jan-2023"/>
  </r>
  <r>
    <x v="196"/>
    <x v="180"/>
    <x v="30"/>
    <x v="9"/>
    <d v="2024-12-08T00:00:00"/>
    <s v="OK"/>
    <d v="2024-12-08T00:00:00"/>
    <n v="0"/>
    <s v="Europe"/>
    <x v="4"/>
    <s v="Lyon"/>
    <s v="Lyon"/>
    <s v="Europe &gt; France &gt; Lyon"/>
    <s v="Enterprise"/>
    <s v="Retail"/>
    <s v="Retail"/>
    <s v="H. Kim"/>
    <x v="15"/>
    <s v="Components"/>
    <x v="0"/>
    <s v="Low"/>
    <x v="196"/>
    <n v="257.44"/>
    <n v="290.33"/>
    <s v="OK"/>
    <n v="290.33"/>
    <n v="9.1999999999999998E-2"/>
    <s v="OK"/>
    <n v="9.1999999999999998E-2"/>
    <n v="23"/>
    <n v="6063.2517199999993"/>
    <n v="1550200.534329999"/>
    <n v="5921.12"/>
    <n v="142.1317199999994"/>
    <n v="2.3441500792581216E-2"/>
    <n v="44928"/>
    <s v="Jan-2023"/>
  </r>
  <r>
    <x v="197"/>
    <x v="48"/>
    <x v="20"/>
    <x v="6"/>
    <d v="2023-11-24T00:00:00"/>
    <s v="OK"/>
    <d v="2023-11-24T00:00:00"/>
    <n v="30"/>
    <s v="Europe"/>
    <x v="4"/>
    <s v="Paris"/>
    <s v="Paris"/>
    <s v="Europe &gt; France &gt; Paris"/>
    <s v="Enterprise"/>
    <s v="Distributor"/>
    <s v="Distributor"/>
    <s v="C. Otieno"/>
    <x v="0"/>
    <s v="Phones"/>
    <x v="4"/>
    <s v="Low"/>
    <x v="197"/>
    <n v="287.85000000000002"/>
    <n v="602.91999999999996"/>
    <s v="OK"/>
    <n v="602.91999999999996"/>
    <n v="0.222"/>
    <s v="OK"/>
    <n v="0.222"/>
    <n v="11"/>
    <n v="5159.7893599999998"/>
    <n v="1399242.2240200008"/>
    <n v="3166.3500000000004"/>
    <n v="1993.4393599999994"/>
    <n v="0.38634122847216373"/>
    <n v="44928"/>
    <s v="Jan-2023"/>
  </r>
  <r>
    <x v="198"/>
    <x v="99"/>
    <x v="10"/>
    <x v="7"/>
    <d v="2024-09-07T00:00:00"/>
    <s v="OK"/>
    <d v="2024-09-07T00:00:00"/>
    <n v="19"/>
    <s v="Europe"/>
    <x v="4"/>
    <s v="Lyon"/>
    <s v="Lyon"/>
    <s v="Europe &gt; France &gt; Lyon"/>
    <s v="Corporate"/>
    <s v="Direct"/>
    <s v="Direct"/>
    <s v="J. Njeri"/>
    <x v="2"/>
    <s v="Components"/>
    <x v="0"/>
    <s v="Low"/>
    <x v="198"/>
    <n v="297.58999999999997"/>
    <n v="666.41"/>
    <s v="OK"/>
    <n v="666.41"/>
    <n v="0"/>
    <s v="OK"/>
    <n v="0"/>
    <n v="10"/>
    <n v="6664.0999999999995"/>
    <n v="1550200.534329999"/>
    <n v="2975.8999999999996"/>
    <n v="3688.2"/>
    <n v="0.55344307558409989"/>
    <n v="44928"/>
    <s v="Jan-2023"/>
  </r>
  <r>
    <x v="199"/>
    <x v="94"/>
    <x v="19"/>
    <x v="8"/>
    <d v="2023-04-20T00:00:00"/>
    <s v="OK"/>
    <d v="2023-04-20T00:00:00"/>
    <n v="7"/>
    <s v="Europe"/>
    <x v="4"/>
    <s v="Lyon"/>
    <s v="Lyon"/>
    <s v="Europe &gt; France &gt; Lyon"/>
    <s v="Small Business"/>
    <s v="Online"/>
    <s v="Online"/>
    <s v="A. Patel"/>
    <x v="1"/>
    <s v="Laptops"/>
    <x v="3"/>
    <s v="Low"/>
    <x v="199"/>
    <n v="227.02"/>
    <n v="434.72"/>
    <s v="OK"/>
    <n v="434.72"/>
    <n v="9.8000000000000004E-2"/>
    <s v="OK"/>
    <n v="9.8000000000000004E-2"/>
    <n v="10"/>
    <n v="3921.1744000000008"/>
    <n v="1711094.3775999998"/>
    <n v="2270.2000000000003"/>
    <n v="1650.9744000000005"/>
    <n v="0.42104079838938052"/>
    <n v="44928"/>
    <s v="Jan-2023"/>
  </r>
  <r>
    <x v="200"/>
    <x v="143"/>
    <x v="27"/>
    <x v="7"/>
    <d v="2024-08-08T00:00:00"/>
    <s v="OK"/>
    <d v="2024-08-08T00:00:00"/>
    <n v="30"/>
    <s v="Europe"/>
    <x v="4"/>
    <s v="Marseille"/>
    <s v="Marseille"/>
    <s v="Europe &gt; France &gt; Marseille"/>
    <s v="Corporate"/>
    <s v="Direct"/>
    <s v="Direct"/>
    <s v="J. Njeri"/>
    <x v="2"/>
    <s v="Components"/>
    <x v="0"/>
    <s v="High"/>
    <x v="200"/>
    <n v="1062.3800000000001"/>
    <n v="1503.96"/>
    <s v="OK"/>
    <n v="1503.96"/>
    <n v="0.18"/>
    <s v="OK"/>
    <n v="0.18"/>
    <n v="6"/>
    <n v="7399.4832000000006"/>
    <n v="1550200.534329999"/>
    <n v="6374.2800000000007"/>
    <n v="1025.2031999999999"/>
    <n v="0.13855064905073369"/>
    <n v="44928"/>
    <s v="Jan-2023"/>
  </r>
  <r>
    <x v="201"/>
    <x v="181"/>
    <x v="7"/>
    <x v="1"/>
    <d v="2025-05-12T00:00:00"/>
    <s v="OK"/>
    <d v="2025-05-12T00:00:00"/>
    <n v="20"/>
    <s v="Europe"/>
    <x v="4"/>
    <s v="Lyon"/>
    <s v="Lyon"/>
    <s v="Europe &gt; France &gt; Lyon"/>
    <s v="Enterprise"/>
    <s v="Marketplace"/>
    <s v="Marketplace"/>
    <s v="K. Singh"/>
    <x v="3"/>
    <s v="Monitors"/>
    <x v="2"/>
    <s v="Low"/>
    <x v="201"/>
    <n v="59.51"/>
    <n v="67.040000000000006"/>
    <s v="OK"/>
    <n v="67.040000000000006"/>
    <n v="0.114"/>
    <s v="OK"/>
    <n v="0.114"/>
    <n v="9"/>
    <n v="534.57695999999999"/>
    <e v="#VALUE!"/>
    <n v="535.59"/>
    <n v="-1.0130400000000463"/>
    <n v="-1.8950311663264469E-3"/>
    <n v="44928"/>
    <s v="Jan-2023"/>
  </r>
  <r>
    <x v="202"/>
    <x v="182"/>
    <x v="14"/>
    <x v="10"/>
    <d v="2023-07-11T00:00:00"/>
    <s v="OK"/>
    <d v="2023-07-11T00:00:00"/>
    <n v="10"/>
    <s v="Europe"/>
    <x v="4"/>
    <s v="Paris"/>
    <s v="Paris"/>
    <s v="Europe &gt; France &gt; Paris"/>
    <s v="Corporate"/>
    <s v="Direct"/>
    <s v="Direct"/>
    <s v="F. Müller"/>
    <x v="8"/>
    <s v="Networking"/>
    <x v="6"/>
    <s v="Low"/>
    <x v="202"/>
    <n v="479.5"/>
    <n v="656.66"/>
    <s v="OK"/>
    <n v="656.66"/>
    <n v="0.14899999999999999"/>
    <s v="OK"/>
    <n v="0.14899999999999999"/>
    <n v="14"/>
    <n v="7823.4472399999995"/>
    <e v="#VALUE!"/>
    <n v="6713"/>
    <n v="1110.4472399999995"/>
    <n v="0.14193835606412289"/>
    <n v="44928"/>
    <s v="Jan-2023"/>
  </r>
  <r>
    <x v="203"/>
    <x v="183"/>
    <x v="13"/>
    <x v="9"/>
    <d v="2024-11-07T00:00:00"/>
    <s v="OK"/>
    <d v="2024-11-07T00:00:00"/>
    <n v="3"/>
    <s v="Europe"/>
    <x v="4"/>
    <s v="Lyon"/>
    <s v="Lyon"/>
    <s v="Europe &gt; France &gt; Lyon"/>
    <s v="Corporate"/>
    <s v="Online"/>
    <s v="Online"/>
    <s v="O. Wang"/>
    <x v="7"/>
    <s v="Monitors"/>
    <x v="2"/>
    <s v="High"/>
    <x v="203"/>
    <n v="740.68"/>
    <n v="1837.19"/>
    <s v="OK"/>
    <n v="1837.19"/>
    <n v="0.19700000000000001"/>
    <s v="OK"/>
    <n v="0.19700000000000001"/>
    <n v="17"/>
    <n v="25079.480689999997"/>
    <e v="#VALUE!"/>
    <n v="12591.56"/>
    <n v="12487.920689999997"/>
    <n v="0.4979337827748298"/>
    <n v="44928"/>
    <s v="Jan-2023"/>
  </r>
  <r>
    <x v="204"/>
    <x v="184"/>
    <x v="19"/>
    <x v="8"/>
    <d v="2023-04-26T00:00:00"/>
    <s v="OK"/>
    <d v="2023-04-26T00:00:00"/>
    <n v="0"/>
    <s v="Europe"/>
    <x v="4"/>
    <s v="Marseille"/>
    <s v="Marseille"/>
    <s v="Europe &gt; France &gt; Marseille"/>
    <s v="Consumer"/>
    <s v="Direct"/>
    <s v="Direct"/>
    <s v="M. Rossi"/>
    <x v="13"/>
    <s v="Components"/>
    <x v="0"/>
    <s v="Low"/>
    <x v="204"/>
    <n v="81.489999999999995"/>
    <n v="113.08"/>
    <s v="OK"/>
    <n v="113.08"/>
    <n v="0.121"/>
    <s v="OK"/>
    <n v="0.121"/>
    <n v="5"/>
    <n v="496.98660000000001"/>
    <n v="1550200.534329999"/>
    <n v="407.45"/>
    <n v="89.536600000000021"/>
    <n v="0.18015898215364362"/>
    <n v="44928"/>
    <s v="Jan-2023"/>
  </r>
  <r>
    <x v="205"/>
    <x v="185"/>
    <x v="8"/>
    <x v="2"/>
    <d v="2025-02-27T00:00:00"/>
    <s v="OK"/>
    <d v="2025-02-27T00:00:00"/>
    <n v="12"/>
    <s v="Europe"/>
    <x v="4"/>
    <s v="Lyon"/>
    <s v="Lyon"/>
    <s v="Europe &gt; France &gt; Lyon"/>
    <s v="Non-Profit"/>
    <s v="Direct"/>
    <s v="Direct"/>
    <s v="K. Singh"/>
    <x v="3"/>
    <s v="Accessories"/>
    <x v="1"/>
    <s v="High"/>
    <x v="205"/>
    <n v="1027.26"/>
    <n v="2200.41"/>
    <s v="OK"/>
    <n v="2200.41"/>
    <n v="8.7999999999999995E-2"/>
    <s v="OK"/>
    <n v="8.7999999999999995E-2"/>
    <n v="6"/>
    <n v="12040.64352"/>
    <e v="#VALUE!"/>
    <n v="6163.5599999999995"/>
    <n v="5877.0835200000001"/>
    <n v="0.48810377204822358"/>
    <n v="44928"/>
    <s v="Jan-2023"/>
  </r>
  <r>
    <x v="206"/>
    <x v="186"/>
    <x v="19"/>
    <x v="8"/>
    <d v="2023-04-16T00:00:00"/>
    <s v="OK"/>
    <d v="2023-04-16T00:00:00"/>
    <n v="13"/>
    <s v="Europe"/>
    <x v="4"/>
    <s v="Marseille"/>
    <s v="Marseille"/>
    <s v="Europe &gt; France &gt; Marseille"/>
    <s v="Non-Profit"/>
    <s v="Marketplace"/>
    <s v="Marketplace"/>
    <s v="M. Rossi"/>
    <x v="13"/>
    <s v="Accessories"/>
    <x v="1"/>
    <s v="Low"/>
    <x v="206"/>
    <n v="790.54"/>
    <n v="601.49"/>
    <s v="OK"/>
    <n v="601.49"/>
    <n v="0"/>
    <s v="OK"/>
    <n v="0"/>
    <n v="15"/>
    <n v="9022.35"/>
    <e v="#VALUE!"/>
    <n v="11858.099999999999"/>
    <n v="-2835.7499999999982"/>
    <n v="-0.31430281467688553"/>
    <n v="44928"/>
    <s v="Jan-2023"/>
  </r>
  <r>
    <x v="207"/>
    <x v="179"/>
    <x v="24"/>
    <x v="3"/>
    <d v="2025-09-22T00:00:00"/>
    <s v="OK"/>
    <d v="2025-09-22T00:00:00"/>
    <n v="23"/>
    <s v="Europe"/>
    <x v="4"/>
    <s v="Marseille"/>
    <s v="Marseille"/>
    <s v="Europe &gt; France &gt; Marseille"/>
    <s v="Corporate"/>
    <s v="Direct"/>
    <s v="Direct"/>
    <s v="E. Garcia"/>
    <x v="11"/>
    <s v="Components"/>
    <x v="0"/>
    <s v="High"/>
    <x v="207"/>
    <n v="663.9"/>
    <n v="947.77"/>
    <s v="OK"/>
    <n v="947.77"/>
    <n v="0.17399999999999999"/>
    <s v="OK"/>
    <n v="0.17399999999999999"/>
    <n v="15"/>
    <n v="11742.8703"/>
    <n v="1550200.534329999"/>
    <n v="9958.5"/>
    <n v="1784.3703000000005"/>
    <n v="0.1519535049280073"/>
    <n v="44928"/>
    <s v="Jan-2023"/>
  </r>
  <r>
    <x v="208"/>
    <x v="187"/>
    <x v="31"/>
    <x v="1"/>
    <d v="2025-07-12T00:00:00"/>
    <s v="OK"/>
    <d v="2025-07-12T00:00:00"/>
    <n v="27"/>
    <s v="Europe"/>
    <x v="4"/>
    <s v="Marseille"/>
    <s v="Marseille"/>
    <s v="Europe &gt; France &gt; Marseille"/>
    <s v="Consumer"/>
    <s v="Direct"/>
    <s v="Direct"/>
    <s v="C. Otieno"/>
    <x v="0"/>
    <s v="Accessories"/>
    <x v="1"/>
    <s v="Low"/>
    <x v="208"/>
    <n v="318.83"/>
    <n v="699.5"/>
    <s v="OK"/>
    <n v="699.5"/>
    <n v="0.08"/>
    <s v="OK"/>
    <n v="0.08"/>
    <n v="13"/>
    <n v="8366.02"/>
    <e v="#VALUE!"/>
    <n v="4144.79"/>
    <n v="4221.2300000000005"/>
    <n v="0.50456848059172699"/>
    <n v="44928"/>
    <s v="Jan-2023"/>
  </r>
  <r>
    <x v="209"/>
    <x v="188"/>
    <x v="24"/>
    <x v="3"/>
    <d v="2025-08-28T00:00:00"/>
    <s v="OK"/>
    <d v="2025-08-28T00:00:00"/>
    <n v="17"/>
    <s v="Europe"/>
    <x v="4"/>
    <s v="Paris"/>
    <s v="Paris"/>
    <s v="Europe &gt; France &gt; Paris"/>
    <s v="Education"/>
    <s v="Online"/>
    <s v="Online"/>
    <s v="F. Müller"/>
    <x v="8"/>
    <s v="Networking"/>
    <x v="6"/>
    <s v="Low"/>
    <x v="209"/>
    <n v="416.16"/>
    <n v="571.9"/>
    <s v="OK"/>
    <n v="571.9"/>
    <n v="7.0999999999999994E-2"/>
    <s v="OK"/>
    <n v="7.0999999999999994E-2"/>
    <n v="2"/>
    <n v="1062.5902000000001"/>
    <e v="#VALUE!"/>
    <n v="832.32"/>
    <n v="230.27020000000005"/>
    <n v="0.21670649701079497"/>
    <n v="44928"/>
    <s v="Jan-2023"/>
  </r>
  <r>
    <x v="210"/>
    <x v="189"/>
    <x v="14"/>
    <x v="10"/>
    <d v="2023-08-19T00:00:00"/>
    <s v="OK"/>
    <d v="2023-08-19T00:00:00"/>
    <n v="20"/>
    <s v="Europe"/>
    <x v="4"/>
    <s v="Paris"/>
    <s v="Paris"/>
    <s v="Europe &gt; France &gt; Paris"/>
    <s v="Enterprise"/>
    <s v="Marketplace"/>
    <s v="Marketplace"/>
    <s v="G. Dubois"/>
    <x v="4"/>
    <s v="Networking"/>
    <x v="6"/>
    <s v="High"/>
    <x v="210"/>
    <n v="1418.51"/>
    <n v="2789.61"/>
    <s v="OK"/>
    <n v="2789.61"/>
    <n v="0.17100000000000001"/>
    <s v="OK"/>
    <n v="0.17100000000000001"/>
    <n v="8"/>
    <n v="18500.693520000001"/>
    <e v="#VALUE!"/>
    <n v="11348.08"/>
    <n v="7152.6135200000008"/>
    <n v="0.38661326464695689"/>
    <n v="44928"/>
    <s v="Jan-2023"/>
  </r>
  <r>
    <x v="211"/>
    <x v="190"/>
    <x v="32"/>
    <x v="9"/>
    <d v="2024-10-24T00:00:00"/>
    <s v="OK"/>
    <d v="2024-10-24T00:00:00"/>
    <n v="11"/>
    <s v="Europe"/>
    <x v="4"/>
    <s v="Paris"/>
    <s v="Paris"/>
    <s v="Europe &gt; France &gt; Paris"/>
    <s v="Education"/>
    <s v="Distributor"/>
    <s v="Distributor"/>
    <s v="F. Müller"/>
    <x v="8"/>
    <s v="Components"/>
    <x v="0"/>
    <s v="High"/>
    <x v="211"/>
    <n v="816.7"/>
    <n v="1010.75"/>
    <s v="OK"/>
    <n v="1010.75"/>
    <n v="4.7E-2"/>
    <s v="OK"/>
    <n v="4.7E-2"/>
    <n v="43"/>
    <n v="41419.524249999995"/>
    <n v="1550200.534329999"/>
    <n v="35118.1"/>
    <n v="6301.4242499999964"/>
    <n v="0.15213656757537472"/>
    <n v="44928"/>
    <s v="Jan-2023"/>
  </r>
  <r>
    <x v="212"/>
    <x v="191"/>
    <x v="22"/>
    <x v="0"/>
    <d v="2024-02-09T00:00:00"/>
    <s v="OK"/>
    <d v="2024-02-09T00:00:00"/>
    <n v="12"/>
    <s v="Europe"/>
    <x v="5"/>
    <s v="Berlin"/>
    <s v="Berlin"/>
    <s v="Europe &gt; Germany &gt; Berlin"/>
    <s v="Corporate"/>
    <s v="Online"/>
    <s v="Online"/>
    <s v="G. Dubois"/>
    <x v="4"/>
    <s v="Accessories"/>
    <x v="1"/>
    <s v="Low"/>
    <x v="212"/>
    <n v="644.16999999999996"/>
    <n v="700.12"/>
    <s v="OK"/>
    <n v="700.12"/>
    <n v="6.0000000000000001E-3"/>
    <s v="OK"/>
    <n v="6.0000000000000001E-3"/>
    <n v="23"/>
    <n v="16006.14344"/>
    <e v="#VALUE!"/>
    <n v="14815.91"/>
    <n v="1190.23344"/>
    <n v="7.436103796405813E-2"/>
    <n v="44928"/>
    <s v="Jan-2023"/>
  </r>
  <r>
    <x v="213"/>
    <x v="192"/>
    <x v="0"/>
    <x v="0"/>
    <d v="2024-03-25T00:00:00"/>
    <s v="OK"/>
    <d v="2024-03-25T00:00:00"/>
    <n v="18"/>
    <s v="Europe"/>
    <x v="5"/>
    <s v="Munich"/>
    <s v="Munich"/>
    <s v="Europe &gt; Germany &gt; Munich"/>
    <s v="Corporate"/>
    <s v="Online"/>
    <s v="Online"/>
    <s v="B. Chen"/>
    <x v="6"/>
    <s v="Components"/>
    <x v="0"/>
    <s v="High"/>
    <x v="213"/>
    <n v="712.84"/>
    <n v="927.51"/>
    <s v="OK"/>
    <n v="927.51"/>
    <n v="0.24299999999999999"/>
    <s v="OK"/>
    <n v="0.24299999999999999"/>
    <n v="27"/>
    <n v="18957.37689"/>
    <n v="1550200.534329999"/>
    <n v="19246.68"/>
    <n v="-289.30311000000074"/>
    <n v="-1.5260714163076427E-2"/>
    <n v="44928"/>
    <s v="Jan-2023"/>
  </r>
  <r>
    <x v="214"/>
    <x v="193"/>
    <x v="10"/>
    <x v="7"/>
    <d v="2024-09-19T00:00:00"/>
    <s v="OK"/>
    <d v="2024-09-19T00:00:00"/>
    <n v="23"/>
    <s v="Europe"/>
    <x v="5"/>
    <s v="Berlin"/>
    <s v="Berlin"/>
    <s v="Europe &gt; Germany &gt; Berlin"/>
    <s v="Small Business"/>
    <s v="Direct"/>
    <s v="Direct"/>
    <s v="D. Smith"/>
    <x v="14"/>
    <s v="Monitors"/>
    <x v="2"/>
    <s v="High"/>
    <x v="214"/>
    <n v="1024.01"/>
    <n v="1580.97"/>
    <s v="OK"/>
    <n v="1580.97"/>
    <n v="3.6999999999999998E-2"/>
    <s v="OK"/>
    <n v="3.6999999999999998E-2"/>
    <n v="27"/>
    <n v="41106.800970000004"/>
    <e v="#VALUE!"/>
    <n v="27648.27"/>
    <n v="13458.530970000003"/>
    <n v="0.3274039976942531"/>
    <n v="44928"/>
    <s v="Jan-2023"/>
  </r>
  <r>
    <x v="215"/>
    <x v="194"/>
    <x v="1"/>
    <x v="1"/>
    <d v="2025-06-20T00:00:00"/>
    <s v="OK"/>
    <d v="2025-06-20T00:00:00"/>
    <n v="22"/>
    <s v="Europe"/>
    <x v="5"/>
    <s v="Berlin"/>
    <s v="Berlin"/>
    <s v="Europe &gt; Germany &gt; Berlin"/>
    <s v="Corporate"/>
    <s v="Direct"/>
    <s v="Direct"/>
    <s v="A. Patel"/>
    <x v="1"/>
    <s v="Printers"/>
    <x v="5"/>
    <s v="High"/>
    <x v="215"/>
    <n v="483.47"/>
    <n v="1135.43"/>
    <s v="OK"/>
    <n v="1135.43"/>
    <n v="0.14599999999999999"/>
    <s v="OK"/>
    <n v="0.14599999999999999"/>
    <n v="11"/>
    <n v="10666.229420000001"/>
    <n v="1616910.1886600002"/>
    <n v="5318.17"/>
    <n v="5348.0594200000014"/>
    <n v="0.50140112399719983"/>
    <n v="44928"/>
    <s v="Jan-2023"/>
  </r>
  <r>
    <x v="216"/>
    <x v="195"/>
    <x v="21"/>
    <x v="10"/>
    <d v="2023-09-01T00:00:00"/>
    <s v="OK"/>
    <d v="2023-09-01T00:00:00"/>
    <n v="2"/>
    <s v="Europe"/>
    <x v="5"/>
    <s v="Munich"/>
    <s v="Munich"/>
    <s v="Europe &gt; Germany &gt; Munich"/>
    <s v="Corporate"/>
    <s v="Direct"/>
    <s v="Direct"/>
    <s v="N. Brown"/>
    <x v="5"/>
    <s v="Networking"/>
    <x v="6"/>
    <s v="Low"/>
    <x v="216"/>
    <n v="44.42"/>
    <n v="41.9"/>
    <s v="OK"/>
    <n v="41.9"/>
    <n v="0.14399999999999999"/>
    <s v="OK"/>
    <n v="0.14399999999999999"/>
    <n v="6"/>
    <n v="215.19839999999996"/>
    <e v="#VALUE!"/>
    <n v="266.52"/>
    <n v="-51.321600000000018"/>
    <n v="-0.23848504449847224"/>
    <n v="44928"/>
    <s v="Jan-2023"/>
  </r>
  <r>
    <x v="217"/>
    <x v="196"/>
    <x v="30"/>
    <x v="9"/>
    <d v="2024-12-18T00:00:00"/>
    <s v="OK"/>
    <d v="2024-12-18T00:00:00"/>
    <n v="1"/>
    <s v="Europe"/>
    <x v="5"/>
    <s v="Munich"/>
    <s v="Munich"/>
    <s v="Europe &gt; Germany &gt; Munich"/>
    <s v="Education"/>
    <s v="Retail"/>
    <s v="Retail"/>
    <s v="L. Okafor"/>
    <x v="10"/>
    <s v="Accessories"/>
    <x v="1"/>
    <s v="Low"/>
    <x v="217"/>
    <n v="346.82"/>
    <n v="701.95"/>
    <s v="OK"/>
    <n v="701.95"/>
    <n v="0.14699999999999999"/>
    <s v="OK"/>
    <n v="0.14699999999999999"/>
    <n v="8"/>
    <n v="4790.1068000000005"/>
    <e v="#VALUE!"/>
    <n v="2774.56"/>
    <n v="2015.5468000000005"/>
    <n v="0.42077283120284509"/>
    <n v="44928"/>
    <s v="Jan-2023"/>
  </r>
  <r>
    <x v="218"/>
    <x v="197"/>
    <x v="0"/>
    <x v="0"/>
    <d v="2024-03-21T00:00:00"/>
    <s v="OK"/>
    <d v="2024-03-21T00:00:00"/>
    <n v="3"/>
    <s v="Europe"/>
    <x v="5"/>
    <s v="Munich"/>
    <s v="Munich"/>
    <s v="Europe &gt; Germany &gt; Munich"/>
    <s v="Small Business"/>
    <s v="Online"/>
    <s v="Online"/>
    <s v="M. Rossi"/>
    <x v="13"/>
    <s v="Accessories"/>
    <x v="1"/>
    <s v="High"/>
    <x v="218"/>
    <n v="910.63"/>
    <n v="1269.4000000000001"/>
    <s v="OK"/>
    <n v="1269.4000000000001"/>
    <n v="6.8000000000000005E-2"/>
    <s v="OK"/>
    <n v="6.8000000000000005E-2"/>
    <n v="9"/>
    <n v="10647.727199999999"/>
    <e v="#VALUE!"/>
    <n v="8195.67"/>
    <n v="2452.0571999999993"/>
    <n v="0.23028925834989455"/>
    <n v="44928"/>
    <s v="Jan-2023"/>
  </r>
  <r>
    <x v="219"/>
    <x v="168"/>
    <x v="5"/>
    <x v="4"/>
    <d v="2023-03-20T00:00:00"/>
    <s v="OK"/>
    <d v="2023-03-20T00:00:00"/>
    <n v="20"/>
    <s v="Europe"/>
    <x v="5"/>
    <s v="Berlin"/>
    <s v="Berlin"/>
    <s v="Europe &gt; Germany &gt; Berlin"/>
    <s v="Small Business"/>
    <s v="Direct"/>
    <s v="Direct"/>
    <s v="H. Kim"/>
    <x v="15"/>
    <s v="Laptops"/>
    <x v="3"/>
    <s v="High"/>
    <x v="219"/>
    <n v="1200.78"/>
    <n v="2001.17"/>
    <s v="OK"/>
    <n v="2001.17"/>
    <n v="0.29199999999999998"/>
    <s v="OK"/>
    <n v="0.29199999999999998"/>
    <n v="18"/>
    <n v="25502.910479999999"/>
    <n v="1711094.3775999998"/>
    <n v="21614.04"/>
    <n v="3888.8704799999978"/>
    <n v="0.15248732034132906"/>
    <n v="44928"/>
    <s v="Jan-2023"/>
  </r>
  <r>
    <x v="220"/>
    <x v="90"/>
    <x v="30"/>
    <x v="9"/>
    <d v="2025-01-02T00:00:00"/>
    <s v="OK"/>
    <d v="2025-01-02T00:00:00"/>
    <n v="6"/>
    <s v="Europe"/>
    <x v="5"/>
    <s v="Frankfurt"/>
    <s v="Frankfurt"/>
    <s v="Europe &gt; Germany &gt; Frankfurt"/>
    <s v="Education"/>
    <s v="Direct"/>
    <s v="Direct"/>
    <s v="F. Müller"/>
    <x v="8"/>
    <s v="Laptops"/>
    <x v="3"/>
    <s v="High"/>
    <x v="220"/>
    <n v="1391.99"/>
    <n v="3469.7"/>
    <s v="OK"/>
    <n v="3469.7"/>
    <n v="0.184"/>
    <s v="OK"/>
    <n v="0.184"/>
    <n v="23"/>
    <n v="65119.329599999997"/>
    <n v="1711094.3775999998"/>
    <n v="32015.77"/>
    <n v="33103.559599999993"/>
    <n v="0.50835227886006973"/>
    <n v="44928"/>
    <s v="Jan-2023"/>
  </r>
  <r>
    <x v="221"/>
    <x v="145"/>
    <x v="6"/>
    <x v="5"/>
    <d v="2024-06-26T00:00:00"/>
    <s v="OK"/>
    <d v="2024-06-26T00:00:00"/>
    <n v="19"/>
    <s v="Europe"/>
    <x v="5"/>
    <s v="Berlin"/>
    <s v="Berlin"/>
    <s v="Europe &gt; Germany &gt; Berlin"/>
    <s v="Non-Profit"/>
    <s v="Marketplace"/>
    <s v="Marketplace"/>
    <s v="M. Rossi"/>
    <x v="13"/>
    <s v="Components"/>
    <x v="0"/>
    <s v="High"/>
    <x v="221"/>
    <n v="1064.32"/>
    <n v="1848.39"/>
    <s v="OK"/>
    <n v="1848.39"/>
    <n v="7.2999999999999995E-2"/>
    <s v="OK"/>
    <n v="7.2999999999999995E-2"/>
    <n v="38"/>
    <n v="65111.38614000001"/>
    <n v="1550200.534329999"/>
    <n v="40444.159999999996"/>
    <n v="24667.226140000013"/>
    <n v="0.3788465827921631"/>
    <n v="44928"/>
    <s v="Jan-2023"/>
  </r>
  <r>
    <x v="222"/>
    <x v="198"/>
    <x v="30"/>
    <x v="9"/>
    <d v="2025-01-11T00:00:00"/>
    <s v="OK"/>
    <d v="2025-01-11T00:00:00"/>
    <n v="19"/>
    <s v="Europe"/>
    <x v="5"/>
    <s v="Berlin"/>
    <s v="Berlin"/>
    <s v="Europe &gt; Germany &gt; Berlin"/>
    <s v="Education"/>
    <s v="Retail"/>
    <s v="Retail"/>
    <s v="K. Singh"/>
    <x v="3"/>
    <s v="Phones"/>
    <x v="4"/>
    <s v="High"/>
    <x v="222"/>
    <n v="501.81"/>
    <n v="921.62"/>
    <s v="OK"/>
    <n v="921.62"/>
    <n v="0.01"/>
    <s v="OK"/>
    <n v="0.01"/>
    <n v="9"/>
    <n v="8211.6342000000004"/>
    <n v="1399242.2240200008"/>
    <n v="4516.29"/>
    <n v="3695.3442000000005"/>
    <n v="0.45001325071202031"/>
    <n v="44928"/>
    <s v="Jan-2023"/>
  </r>
  <r>
    <x v="223"/>
    <x v="199"/>
    <x v="15"/>
    <x v="5"/>
    <d v="2024-04-24T00:00:00"/>
    <s v="OK"/>
    <d v="2024-04-24T00:00:00"/>
    <n v="20"/>
    <s v="Europe"/>
    <x v="5"/>
    <s v="Frankfurt"/>
    <s v="Frankfurt"/>
    <s v="Europe &gt; Germany &gt; Frankfurt"/>
    <s v="Non-Profit"/>
    <s v="Direct"/>
    <s v="Direct"/>
    <s v="O. Wang"/>
    <x v="7"/>
    <s v="Accessories"/>
    <x v="1"/>
    <s v="High"/>
    <x v="223"/>
    <n v="683.42"/>
    <n v="951.51"/>
    <s v="OK"/>
    <n v="951.51"/>
    <n v="0"/>
    <s v="OK"/>
    <n v="0"/>
    <n v="14"/>
    <n v="13321.14"/>
    <e v="#VALUE!"/>
    <n v="9567.8799999999992"/>
    <n v="3753.26"/>
    <n v="0.28175216235247136"/>
    <n v="44928"/>
    <s v="Jan-2023"/>
  </r>
  <r>
    <x v="224"/>
    <x v="185"/>
    <x v="8"/>
    <x v="2"/>
    <d v="2025-02-15T00:00:00"/>
    <s v="OK"/>
    <d v="2025-02-15T00:00:00"/>
    <n v="0"/>
    <s v="Europe"/>
    <x v="5"/>
    <s v="Frankfurt"/>
    <s v="Frankfurt"/>
    <s v="Europe &gt; Germany &gt; Frankfurt"/>
    <s v="Small Business"/>
    <s v="Marketplace"/>
    <s v="Marketplace"/>
    <s v="L. Okafor"/>
    <x v="10"/>
    <s v="Accessories"/>
    <x v="1"/>
    <s v="High"/>
    <x v="224"/>
    <n v="815.83"/>
    <n v="1982.18"/>
    <s v="OK"/>
    <n v="1982.18"/>
    <n v="0.127"/>
    <s v="OK"/>
    <n v="0.127"/>
    <n v="6"/>
    <n v="10382.65884"/>
    <e v="#VALUE!"/>
    <n v="4894.9800000000005"/>
    <n v="5487.6788399999996"/>
    <n v="0.52854272923408507"/>
    <n v="44928"/>
    <s v="Jan-2023"/>
  </r>
  <r>
    <x v="225"/>
    <x v="200"/>
    <x v="5"/>
    <x v="4"/>
    <d v="2023-03-12T00:00:00"/>
    <s v="OK"/>
    <d v="2023-03-12T00:00:00"/>
    <n v="21"/>
    <s v="Europe"/>
    <x v="5"/>
    <s v="Berlin"/>
    <s v="Berlin"/>
    <s v="Europe &gt; Germany &gt; Berlin"/>
    <s v="Small Business"/>
    <s v="Direct"/>
    <s v="Direct"/>
    <s v="L. Okafor"/>
    <x v="10"/>
    <s v="Monitors"/>
    <x v="2"/>
    <s v="High"/>
    <x v="225"/>
    <n v="1234.81"/>
    <n v="2055.2399999999998"/>
    <s v="OK"/>
    <n v="2055.2399999999998"/>
    <n v="5.2999999999999999E-2"/>
    <s v="OK"/>
    <n v="5.2999999999999999E-2"/>
    <n v="44"/>
    <n v="85637.740319999997"/>
    <e v="#VALUE!"/>
    <n v="54331.64"/>
    <n v="31306.100319999998"/>
    <n v="0.36556429680441616"/>
    <n v="44928"/>
    <s v="Jan-2023"/>
  </r>
  <r>
    <x v="226"/>
    <x v="120"/>
    <x v="23"/>
    <x v="0"/>
    <d v="2024-02-21T00:00:00"/>
    <s v="OK"/>
    <d v="2024-02-21T00:00:00"/>
    <n v="18"/>
    <s v="Europe"/>
    <x v="5"/>
    <s v="Frankfurt"/>
    <s v="Frankfurt"/>
    <s v="Europe &gt; Germany &gt; Frankfurt"/>
    <s v="Corporate"/>
    <s v="Retail"/>
    <s v="Retail"/>
    <s v="H. Kim"/>
    <x v="15"/>
    <s v="Components"/>
    <x v="0"/>
    <s v="Low"/>
    <x v="226"/>
    <n v="39.229999999999997"/>
    <n v="30.09"/>
    <s v="OK"/>
    <n v="30.09"/>
    <n v="0.17699999999999999"/>
    <s v="OK"/>
    <n v="0.17699999999999999"/>
    <n v="13"/>
    <n v="321.93290999999999"/>
    <n v="1550200.534329999"/>
    <n v="509.98999999999995"/>
    <n v="-188.05708999999996"/>
    <n v="-0.58414993981199359"/>
    <n v="44928"/>
    <s v="Jan-2023"/>
  </r>
  <r>
    <x v="227"/>
    <x v="201"/>
    <x v="28"/>
    <x v="4"/>
    <d v="2023-02-21T00:00:00"/>
    <s v="OK"/>
    <d v="2023-02-21T00:00:00"/>
    <n v="22"/>
    <s v="Europe"/>
    <x v="5"/>
    <s v="Munich"/>
    <s v="Munich"/>
    <s v="Europe &gt; Germany &gt; Munich"/>
    <s v="Small Business"/>
    <s v="Marketplace"/>
    <s v="Marketplace"/>
    <s v="G. Dubois"/>
    <x v="4"/>
    <s v="Networking"/>
    <x v="6"/>
    <s v="High"/>
    <x v="227"/>
    <n v="1142.8800000000001"/>
    <n v="1465.29"/>
    <s v="OK"/>
    <n v="1465.29"/>
    <n v="0.186"/>
    <s v="OK"/>
    <n v="0.186"/>
    <n v="7"/>
    <n v="8349.2224200000001"/>
    <e v="#VALUE!"/>
    <n v="8000.1600000000008"/>
    <n v="349.06241999999929"/>
    <n v="4.1807775915017401E-2"/>
    <n v="44928"/>
    <s v="Jan-2023"/>
  </r>
  <r>
    <x v="228"/>
    <x v="202"/>
    <x v="19"/>
    <x v="8"/>
    <d v="2023-05-13T00:00:00"/>
    <s v="OK"/>
    <d v="2023-05-13T00:00:00"/>
    <n v="29"/>
    <s v="Europe"/>
    <x v="5"/>
    <s v="Frankfurt"/>
    <s v="Frankfurt"/>
    <s v="Europe &gt; Germany &gt; Frankfurt"/>
    <s v="Consumer"/>
    <s v="Direct"/>
    <s v="Direct"/>
    <s v="J. Njeri"/>
    <x v="2"/>
    <s v="Printers"/>
    <x v="5"/>
    <s v="High"/>
    <x v="228"/>
    <n v="1320.33"/>
    <n v="2645.23"/>
    <s v="OK"/>
    <n v="2645.23"/>
    <n v="0.155"/>
    <s v="OK"/>
    <n v="0.155"/>
    <n v="25"/>
    <n v="55880.483749999999"/>
    <n v="1616910.1886600002"/>
    <n v="33008.25"/>
    <n v="22872.233749999999"/>
    <n v="0.40930629470436536"/>
    <n v="44928"/>
    <s v="Jan-2023"/>
  </r>
  <r>
    <x v="229"/>
    <x v="26"/>
    <x v="19"/>
    <x v="8"/>
    <d v="2023-04-28T00:00:00"/>
    <s v="OK"/>
    <d v="2023-04-28T00:00:00"/>
    <n v="9"/>
    <s v="Europe"/>
    <x v="5"/>
    <s v="Berlin"/>
    <s v="Berlin"/>
    <s v="Europe &gt; Germany &gt; Berlin"/>
    <s v="Education"/>
    <s v="Online"/>
    <s v="Online"/>
    <s v="E. Garcia"/>
    <x v="11"/>
    <s v="Monitors"/>
    <x v="2"/>
    <s v="High"/>
    <x v="229"/>
    <n v="1178.42"/>
    <n v="2446.56"/>
    <s v="OK"/>
    <n v="2446.56"/>
    <n v="2.9000000000000001E-2"/>
    <s v="OK"/>
    <n v="2.9000000000000001E-2"/>
    <n v="11"/>
    <n v="26131.70736"/>
    <e v="#VALUE!"/>
    <n v="12962.62"/>
    <n v="13169.08736"/>
    <n v="0.5039505141618883"/>
    <n v="44928"/>
    <s v="Jan-2023"/>
  </r>
  <r>
    <x v="230"/>
    <x v="203"/>
    <x v="28"/>
    <x v="4"/>
    <d v="2023-01-21T00:00:00"/>
    <s v="Invalid date"/>
    <d v="2023-01-27T00:00:00"/>
    <n v="5"/>
    <s v="Europe"/>
    <x v="5"/>
    <s v="Munich"/>
    <s v="Munich"/>
    <s v="Europe &gt; Germany &gt; Munich"/>
    <s v="Corporate"/>
    <s v="Direct"/>
    <s v="Direct"/>
    <s v="F. Müller"/>
    <x v="8"/>
    <s v="Monitors"/>
    <x v="2"/>
    <s v="Low"/>
    <x v="230"/>
    <n v="150.86000000000001"/>
    <n v="346.96"/>
    <s v="OK"/>
    <n v="346.96"/>
    <n v="0.19600000000000001"/>
    <s v="OK"/>
    <n v="0.19600000000000001"/>
    <n v="8"/>
    <n v="2231.6467200000002"/>
    <e v="#VALUE!"/>
    <n v="1206.8800000000001"/>
    <n v="1024.7667200000001"/>
    <n v="0.45919755614365343"/>
    <n v="44928"/>
    <s v="Jan-2023"/>
  </r>
  <r>
    <x v="231"/>
    <x v="204"/>
    <x v="30"/>
    <x v="9"/>
    <d v="2024-12-12T00:00:00"/>
    <s v="OK"/>
    <d v="2024-12-12T00:00:00"/>
    <n v="8"/>
    <s v="Europe"/>
    <x v="5"/>
    <s v="Frankfurt"/>
    <s v="Frankfurt"/>
    <s v="Europe &gt; Germany &gt; Frankfurt"/>
    <s v="Enterprise"/>
    <s v="Marketplace"/>
    <s v="Marketplace"/>
    <s v="B. Chen"/>
    <x v="6"/>
    <s v="Printers"/>
    <x v="5"/>
    <s v="Low"/>
    <x v="231"/>
    <n v="72.06"/>
    <n v="122.74"/>
    <s v="OK"/>
    <n v="122.74"/>
    <n v="0.23799999999999999"/>
    <s v="OK"/>
    <n v="0.23799999999999999"/>
    <n v="8"/>
    <n v="748.22303999999997"/>
    <n v="1616910.1886600002"/>
    <n v="576.48"/>
    <n v="171.74303999999995"/>
    <n v="0.22953455162246802"/>
    <n v="44928"/>
    <s v="Jan-2023"/>
  </r>
  <r>
    <x v="232"/>
    <x v="181"/>
    <x v="7"/>
    <x v="1"/>
    <d v="2025-05-02T00:00:00"/>
    <s v="OK"/>
    <d v="2025-05-02T00:00:00"/>
    <n v="10"/>
    <s v="Europe"/>
    <x v="5"/>
    <s v="Berlin"/>
    <s v="Berlin"/>
    <s v="Europe &gt; Germany &gt; Berlin"/>
    <s v="Corporate"/>
    <s v="Marketplace"/>
    <s v="Marketplace"/>
    <s v="C. Otieno"/>
    <x v="0"/>
    <s v="Monitors"/>
    <x v="2"/>
    <s v="Low"/>
    <x v="232"/>
    <n v="20.149999999999999"/>
    <n v="39.74"/>
    <s v="OK"/>
    <n v="39.74"/>
    <n v="0.151"/>
    <s v="OK"/>
    <n v="0.151"/>
    <n v="18"/>
    <n v="607.30668000000003"/>
    <e v="#VALUE!"/>
    <n v="362.7"/>
    <n v="244.60668000000004"/>
    <n v="0.4027729120318585"/>
    <n v="44928"/>
    <s v="Jan-2023"/>
  </r>
  <r>
    <x v="233"/>
    <x v="205"/>
    <x v="15"/>
    <x v="5"/>
    <d v="2024-05-19T00:00:00"/>
    <s v="OK"/>
    <d v="2024-05-19T00:00:00"/>
    <n v="20"/>
    <s v="Europe"/>
    <x v="5"/>
    <s v="Frankfurt"/>
    <s v="Frankfurt"/>
    <s v="Europe &gt; Germany &gt; Frankfurt"/>
    <s v="Enterprise"/>
    <s v="Marketplace"/>
    <s v="Marketplace"/>
    <s v="C. Otieno"/>
    <x v="0"/>
    <s v="Laptops"/>
    <x v="3"/>
    <s v="High"/>
    <x v="233"/>
    <n v="668.97"/>
    <n v="1667.44"/>
    <s v="OK"/>
    <n v="1667.44"/>
    <n v="3.4000000000000002E-2"/>
    <s v="OK"/>
    <n v="3.4000000000000002E-2"/>
    <n v="15"/>
    <n v="24161.205600000001"/>
    <n v="1711094.3775999998"/>
    <n v="10034.550000000001"/>
    <n v="14126.6556"/>
    <n v="0.58468339013679016"/>
    <n v="44928"/>
    <s v="Jan-2023"/>
  </r>
  <r>
    <x v="234"/>
    <x v="129"/>
    <x v="31"/>
    <x v="1"/>
    <d v="2025-07-05T00:00:00"/>
    <s v="OK"/>
    <d v="2025-07-05T00:00:00"/>
    <n v="8"/>
    <s v="Europe"/>
    <x v="5"/>
    <s v="Munich"/>
    <s v="Munich"/>
    <s v="Europe &gt; Germany &gt; Munich"/>
    <s v="Small Business"/>
    <s v="Direct"/>
    <s v="Direct"/>
    <s v="G. Dubois"/>
    <x v="4"/>
    <s v="Monitors"/>
    <x v="2"/>
    <s v="Low"/>
    <x v="234"/>
    <n v="314.93"/>
    <n v="687.95"/>
    <s v="OK"/>
    <n v="687.95"/>
    <n v="0.20499999999999999"/>
    <s v="OK"/>
    <n v="0.20499999999999999"/>
    <n v="8"/>
    <n v="4375.3620000000001"/>
    <e v="#VALUE!"/>
    <n v="2519.44"/>
    <n v="1855.922"/>
    <n v="0.424175645352316"/>
    <n v="44928"/>
    <s v="Jan-2023"/>
  </r>
  <r>
    <x v="235"/>
    <x v="206"/>
    <x v="26"/>
    <x v="8"/>
    <d v="2023-06-19T00:00:00"/>
    <s v="OK"/>
    <d v="2023-06-19T00:00:00"/>
    <n v="23"/>
    <s v="Europe"/>
    <x v="5"/>
    <s v="Berlin"/>
    <s v="Berlin"/>
    <s v="Europe &gt; Germany &gt; Berlin"/>
    <s v="Education"/>
    <s v="Retail"/>
    <s v="Retail"/>
    <s v="O. Wang"/>
    <x v="7"/>
    <s v="Accessories"/>
    <x v="1"/>
    <s v="High"/>
    <x v="235"/>
    <n v="1471.58"/>
    <n v="2576.65"/>
    <s v="OK"/>
    <n v="2576.65"/>
    <n v="4.0000000000000001E-3"/>
    <s v="OK"/>
    <n v="4.0000000000000001E-3"/>
    <n v="7"/>
    <n v="17964.4038"/>
    <e v="#VALUE!"/>
    <n v="10301.06"/>
    <n v="7663.3438000000006"/>
    <n v="0.4265849223451546"/>
    <n v="44928"/>
    <s v="Jan-2023"/>
  </r>
  <r>
    <x v="236"/>
    <x v="207"/>
    <x v="0"/>
    <x v="0"/>
    <d v="2024-04-17T00:00:00"/>
    <s v="OK"/>
    <d v="2024-04-17T00:00:00"/>
    <n v="17"/>
    <s v="Europe"/>
    <x v="5"/>
    <s v="Frankfurt"/>
    <s v="Frankfurt"/>
    <s v="Europe &gt; Germany &gt; Frankfurt"/>
    <s v="Education"/>
    <s v="Direct"/>
    <s v="Direct"/>
    <s v="H. Kim"/>
    <x v="15"/>
    <s v="Monitors"/>
    <x v="2"/>
    <s v="High"/>
    <x v="236"/>
    <n v="1025.51"/>
    <n v="1436.54"/>
    <s v="OK"/>
    <n v="1436.54"/>
    <n v="0.13900000000000001"/>
    <s v="OK"/>
    <n v="0.13900000000000001"/>
    <n v="28"/>
    <n v="34632.106319999999"/>
    <e v="#VALUE!"/>
    <n v="28714.28"/>
    <n v="5917.8263200000001"/>
    <n v="0.17087688127656453"/>
    <n v="44928"/>
    <s v="Jan-2023"/>
  </r>
  <r>
    <x v="237"/>
    <x v="83"/>
    <x v="31"/>
    <x v="1"/>
    <d v="2025-07-14T00:00:00"/>
    <s v="OK"/>
    <d v="2025-07-14T00:00:00"/>
    <n v="20"/>
    <s v="Europe"/>
    <x v="5"/>
    <s v="Berlin"/>
    <s v="Berlin"/>
    <s v="Europe &gt; Germany &gt; Berlin"/>
    <s v="Corporate"/>
    <s v="Direct"/>
    <s v="Direct"/>
    <s v="O. Wang"/>
    <x v="7"/>
    <s v="Accessories"/>
    <x v="1"/>
    <s v="High"/>
    <x v="237"/>
    <n v="385.08"/>
    <n v="893.19"/>
    <s v="OK"/>
    <n v="893.19"/>
    <n v="0.151"/>
    <s v="OK"/>
    <n v="0.151"/>
    <n v="8"/>
    <n v="6066.54648"/>
    <e v="#VALUE!"/>
    <n v="3080.64"/>
    <n v="2985.9064800000001"/>
    <n v="0.49219213762621666"/>
    <n v="44928"/>
    <s v="Jan-2023"/>
  </r>
  <r>
    <x v="238"/>
    <x v="208"/>
    <x v="22"/>
    <x v="0"/>
    <d v="2024-02-05T00:00:00"/>
    <s v="OK"/>
    <d v="2024-02-05T00:00:00"/>
    <n v="23"/>
    <s v="Europe"/>
    <x v="5"/>
    <s v="Frankfurt"/>
    <s v="Frankfurt"/>
    <s v="Europe &gt; Germany &gt; Frankfurt"/>
    <s v="Education"/>
    <s v="Direct"/>
    <s v="Direct"/>
    <s v="B. Chen"/>
    <x v="6"/>
    <s v="Laptops"/>
    <x v="3"/>
    <s v="High"/>
    <x v="238"/>
    <n v="1017.93"/>
    <n v="1529.14"/>
    <s v="OK"/>
    <n v="1529.14"/>
    <n v="0.155"/>
    <s v="OK"/>
    <n v="0.155"/>
    <n v="12"/>
    <n v="15505.479600000001"/>
    <n v="1711094.3775999998"/>
    <n v="12215.16"/>
    <n v="3290.3196000000007"/>
    <n v="0.21220366508366503"/>
    <n v="44928"/>
    <s v="Jan-2023"/>
  </r>
  <r>
    <x v="239"/>
    <x v="209"/>
    <x v="7"/>
    <x v="1"/>
    <d v="2025-04-13T00:00:00"/>
    <s v="OK"/>
    <d v="2025-04-13T00:00:00"/>
    <n v="9"/>
    <s v="Europe"/>
    <x v="5"/>
    <s v="Munich"/>
    <s v="Munich"/>
    <s v="Europe &gt; Germany &gt; Munich"/>
    <s v="Consumer"/>
    <s v="Marketplace"/>
    <s v="Marketplace"/>
    <s v="F. Müller"/>
    <x v="8"/>
    <s v="Phones"/>
    <x v="4"/>
    <s v="Low"/>
    <x v="239"/>
    <n v="7.02"/>
    <n v="6.28"/>
    <s v="OK"/>
    <n v="6.28"/>
    <n v="0.13400000000000001"/>
    <s v="OK"/>
    <n v="0.13400000000000001"/>
    <n v="14"/>
    <n v="76.138720000000006"/>
    <n v="1399242.2240200008"/>
    <n v="98.28"/>
    <n v="-22.141279999999995"/>
    <n v="-0.29080184169106066"/>
    <n v="44928"/>
    <s v="Jan-2023"/>
  </r>
  <r>
    <x v="240"/>
    <x v="167"/>
    <x v="31"/>
    <x v="1"/>
    <d v="2025-06-27T00:00:00"/>
    <s v="OK"/>
    <d v="2025-06-27T00:00:00"/>
    <n v="26"/>
    <s v="Europe"/>
    <x v="5"/>
    <s v="Munich"/>
    <s v="Munich"/>
    <s v="Europe &gt; Germany &gt; Munich"/>
    <s v="Consumer"/>
    <s v="Distributor"/>
    <s v="Distributor"/>
    <s v="E. Garcia"/>
    <x v="11"/>
    <s v="Laptops"/>
    <x v="3"/>
    <s v="High"/>
    <x v="240"/>
    <n v="1362.31"/>
    <n v="3294.57"/>
    <s v="OK"/>
    <n v="3294.57"/>
    <n v="0.113"/>
    <s v="OK"/>
    <n v="0.113"/>
    <n v="7"/>
    <n v="20455.985130000001"/>
    <n v="1711094.3775999998"/>
    <n v="9536.17"/>
    <n v="10919.815130000001"/>
    <n v="0.5338200561157721"/>
    <n v="44928"/>
    <s v="Jan-2023"/>
  </r>
  <r>
    <x v="241"/>
    <x v="210"/>
    <x v="16"/>
    <x v="5"/>
    <d v="2024-06-18T00:00:00"/>
    <s v="OK"/>
    <d v="2024-06-18T00:00:00"/>
    <n v="21"/>
    <s v="Europe"/>
    <x v="5"/>
    <s v="Frankfurt"/>
    <s v="Frankfurt"/>
    <s v="Europe &gt; Germany &gt; Frankfurt"/>
    <s v="Small Business"/>
    <s v="Online"/>
    <s v="Online"/>
    <s v="E. Garcia"/>
    <x v="11"/>
    <s v="Phones"/>
    <x v="4"/>
    <s v="High"/>
    <x v="241"/>
    <n v="986.85"/>
    <n v="2422.1"/>
    <s v="OK"/>
    <n v="2422.1"/>
    <n v="7.5999999999999998E-2"/>
    <s v="OK"/>
    <n v="7.5999999999999998E-2"/>
    <n v="10"/>
    <n v="22380.204000000002"/>
    <n v="1399242.2240200008"/>
    <n v="9868.5"/>
    <n v="12511.704000000002"/>
    <n v="0.55905227673527913"/>
    <n v="44928"/>
    <s v="Jan-2023"/>
  </r>
  <r>
    <x v="242"/>
    <x v="211"/>
    <x v="9"/>
    <x v="6"/>
    <d v="2023-12-16T00:00:00"/>
    <s v="OK"/>
    <d v="2023-12-16T00:00:00"/>
    <n v="14"/>
    <s v="Europe"/>
    <x v="5"/>
    <s v="Frankfurt"/>
    <s v="Frankfurt"/>
    <s v="Europe &gt; Germany &gt; Frankfurt"/>
    <s v="Education"/>
    <s v="Direct"/>
    <s v="Direct"/>
    <s v="N. Brown"/>
    <x v="5"/>
    <s v="Monitors"/>
    <x v="2"/>
    <s v="High"/>
    <x v="242"/>
    <n v="879.08"/>
    <n v="1093.3900000000001"/>
    <s v="OK"/>
    <n v="1093.3900000000001"/>
    <n v="0.113"/>
    <s v="OK"/>
    <n v="0.113"/>
    <n v="17"/>
    <n v="16487.22781"/>
    <e v="#VALUE!"/>
    <n v="14944.36"/>
    <n v="1542.8678099999997"/>
    <n v="9.3579577341935186E-2"/>
    <n v="44928"/>
    <s v="Jan-2023"/>
  </r>
  <r>
    <x v="243"/>
    <x v="118"/>
    <x v="24"/>
    <x v="3"/>
    <d v="2025-09-14T00:00:00"/>
    <s v="OK"/>
    <d v="2025-09-14T00:00:00"/>
    <n v="24"/>
    <s v="Europe"/>
    <x v="5"/>
    <s v="Berlin"/>
    <s v="Berlin"/>
    <s v="Europe &gt; Germany &gt; Berlin"/>
    <s v="Non-Profit"/>
    <s v="Online"/>
    <s v="Online"/>
    <s v="A. Patel"/>
    <x v="1"/>
    <s v="Monitors"/>
    <x v="2"/>
    <s v="High"/>
    <x v="243"/>
    <n v="1397.67"/>
    <n v="3131.37"/>
    <s v="OK"/>
    <n v="3131.37"/>
    <n v="0.10299999999999999"/>
    <s v="OK"/>
    <n v="0.10299999999999999"/>
    <n v="20"/>
    <n v="56176.777799999996"/>
    <e v="#VALUE!"/>
    <n v="27953.4"/>
    <n v="28223.377799999995"/>
    <n v="0.50240293062874808"/>
    <n v="44928"/>
    <s v="Jan-2023"/>
  </r>
  <r>
    <x v="244"/>
    <x v="212"/>
    <x v="12"/>
    <x v="4"/>
    <d v="2023-04-06T00:00:00"/>
    <s v="OK"/>
    <d v="2023-04-06T00:00:00"/>
    <n v="20"/>
    <s v="Europe"/>
    <x v="5"/>
    <s v="Munich"/>
    <s v="Munich"/>
    <s v="Europe &gt; Germany &gt; Munich"/>
    <s v="Consumer"/>
    <s v="Retail"/>
    <s v="Retail"/>
    <s v="O. Wang"/>
    <x v="7"/>
    <s v="Phones"/>
    <x v="4"/>
    <s v="High"/>
    <x v="244"/>
    <n v="692.18"/>
    <n v="1159.3499999999999"/>
    <s v="OK"/>
    <n v="1159.3499999999999"/>
    <n v="0.112"/>
    <s v="OK"/>
    <n v="0.112"/>
    <n v="2"/>
    <n v="2059.0056"/>
    <n v="1399242.2240200008"/>
    <n v="1384.36"/>
    <n v="674.64560000000006"/>
    <n v="0.32765602968734037"/>
    <n v="44928"/>
    <s v="Jan-2023"/>
  </r>
  <r>
    <x v="245"/>
    <x v="213"/>
    <x v="22"/>
    <x v="0"/>
    <d v="2024-02-11T00:00:00"/>
    <s v="OK"/>
    <d v="2024-02-11T00:00:00"/>
    <n v="26"/>
    <s v="Europe"/>
    <x v="5"/>
    <s v="Frankfurt"/>
    <s v="Frankfurt"/>
    <s v="Europe &gt; Germany &gt; Frankfurt"/>
    <s v="Non-Profit"/>
    <s v="Distributor"/>
    <s v="Distributor"/>
    <s v="E. Garcia"/>
    <x v="11"/>
    <s v="Monitors"/>
    <x v="2"/>
    <s v="Low"/>
    <x v="245"/>
    <n v="504.93"/>
    <n v="819.06"/>
    <s v="OK"/>
    <n v="819.06"/>
    <n v="0.22600000000000001"/>
    <s v="OK"/>
    <n v="0.22600000000000001"/>
    <n v="15"/>
    <n v="9509.2865999999995"/>
    <e v="#VALUE!"/>
    <n v="7573.95"/>
    <n v="1935.3365999999996"/>
    <n v="0.20352069312959814"/>
    <n v="44928"/>
    <s v="Jan-2023"/>
  </r>
  <r>
    <x v="246"/>
    <x v="214"/>
    <x v="13"/>
    <x v="9"/>
    <d v="2024-11-12T00:00:00"/>
    <s v="OK"/>
    <d v="2024-11-12T00:00:00"/>
    <n v="11"/>
    <s v="Europe"/>
    <x v="5"/>
    <s v="Frankfurt"/>
    <s v="Frankfurt"/>
    <s v="Europe &gt; Germany &gt; Frankfurt"/>
    <s v="Consumer"/>
    <s v="Online"/>
    <s v="Online"/>
    <s v="B. Chen"/>
    <x v="6"/>
    <s v="Printers"/>
    <x v="5"/>
    <s v="High"/>
    <x v="246"/>
    <n v="599.84"/>
    <n v="1330.85"/>
    <s v="OK"/>
    <n v="1330.85"/>
    <n v="0.115"/>
    <s v="OK"/>
    <n v="0.115"/>
    <n v="11"/>
    <n v="12955.824749999998"/>
    <n v="1616910.1886600002"/>
    <n v="6598.2400000000007"/>
    <n v="6357.5847499999973"/>
    <n v="0.49071246892252063"/>
    <n v="44928"/>
    <s v="Jan-2023"/>
  </r>
  <r>
    <x v="247"/>
    <x v="215"/>
    <x v="10"/>
    <x v="7"/>
    <d v="2024-09-04T00:00:00"/>
    <s v="OK"/>
    <d v="2024-09-04T00:00:00"/>
    <n v="13"/>
    <s v="Europe"/>
    <x v="5"/>
    <s v="Frankfurt"/>
    <s v="Frankfurt"/>
    <s v="Europe &gt; Germany &gt; Frankfurt"/>
    <s v="Non-Profit"/>
    <s v="Retail"/>
    <s v="Retail"/>
    <s v="L. Okafor"/>
    <x v="10"/>
    <s v="Printers"/>
    <x v="5"/>
    <s v="Low"/>
    <x v="247"/>
    <n v="90.04"/>
    <n v="194.62"/>
    <s v="OK"/>
    <n v="194.62"/>
    <n v="4.2999999999999997E-2"/>
    <s v="OK"/>
    <n v="4.2999999999999997E-2"/>
    <n v="32"/>
    <n v="5960.04288"/>
    <n v="1616910.1886600002"/>
    <n v="2881.28"/>
    <n v="3078.7628799999998"/>
    <n v="0.51656723650954672"/>
    <n v="44928"/>
    <s v="Jan-2023"/>
  </r>
  <r>
    <x v="248"/>
    <x v="216"/>
    <x v="18"/>
    <x v="6"/>
    <d v="2023-12-10T00:00:00"/>
    <s v="OK"/>
    <d v="2023-12-10T00:00:00"/>
    <n v="10"/>
    <s v="Europe"/>
    <x v="5"/>
    <s v="Munich"/>
    <s v="Munich"/>
    <s v="Europe &gt; Germany &gt; Munich"/>
    <s v="Small Business"/>
    <s v="Direct"/>
    <s v="Direct"/>
    <s v="F. Müller"/>
    <x v="8"/>
    <s v="Laptops"/>
    <x v="3"/>
    <s v="Low"/>
    <x v="248"/>
    <n v="174.74"/>
    <n v="415.96"/>
    <s v="OK"/>
    <n v="415.96"/>
    <n v="0.125"/>
    <s v="OK"/>
    <n v="0.125"/>
    <n v="21"/>
    <n v="7643.2649999999994"/>
    <n v="1711094.3775999998"/>
    <n v="3669.54"/>
    <n v="3973.7249999999995"/>
    <n v="0.51989889137691803"/>
    <n v="44928"/>
    <s v="Jan-2023"/>
  </r>
  <r>
    <x v="249"/>
    <x v="192"/>
    <x v="0"/>
    <x v="0"/>
    <d v="2024-04-03T00:00:00"/>
    <s v="OK"/>
    <d v="2024-04-03T00:00:00"/>
    <n v="27"/>
    <s v="Europe"/>
    <x v="5"/>
    <s v="Frankfurt"/>
    <s v="Frankfurt"/>
    <s v="Europe &gt; Germany &gt; Frankfurt"/>
    <s v="Corporate"/>
    <s v="Direct"/>
    <s v="Direct"/>
    <s v="M. Rossi"/>
    <x v="13"/>
    <s v="Printers"/>
    <x v="5"/>
    <s v="High"/>
    <x v="249"/>
    <n v="738.16"/>
    <n v="956.49"/>
    <s v="OK"/>
    <n v="956.49"/>
    <n v="0.152"/>
    <s v="OK"/>
    <n v="0.152"/>
    <n v="5"/>
    <n v="4055.5175999999997"/>
    <n v="1616910.1886600002"/>
    <n v="3690.7999999999997"/>
    <n v="364.71759999999995"/>
    <n v="8.9931208780847108E-2"/>
    <n v="44928"/>
    <s v="Jan-2023"/>
  </r>
  <r>
    <x v="250"/>
    <x v="167"/>
    <x v="31"/>
    <x v="1"/>
    <d v="2025-06-05T00:00:00"/>
    <s v="OK"/>
    <d v="2025-06-05T00:00:00"/>
    <n v="4"/>
    <s v="Europe"/>
    <x v="5"/>
    <s v="Munich"/>
    <s v="Munich"/>
    <s v="Europe &gt; Germany &gt; Munich"/>
    <s v="Enterprise"/>
    <s v="Direct"/>
    <s v="Direct"/>
    <s v="M. Rossi"/>
    <x v="13"/>
    <s v="Components"/>
    <x v="0"/>
    <s v="High"/>
    <x v="250"/>
    <n v="1171.42"/>
    <n v="2187.8000000000002"/>
    <s v="OK"/>
    <n v="2187.8000000000002"/>
    <n v="0.23"/>
    <s v="OK"/>
    <n v="0.23"/>
    <n v="15"/>
    <n v="25269.09"/>
    <n v="1550200.534329999"/>
    <n v="17571.300000000003"/>
    <n v="7697.7899999999972"/>
    <n v="0.30463265594447592"/>
    <n v="44928"/>
    <s v="Jan-2023"/>
  </r>
  <r>
    <x v="251"/>
    <x v="217"/>
    <x v="2"/>
    <x v="2"/>
    <d v="2025-04-02T00:00:00"/>
    <s v="OK"/>
    <d v="2025-04-02T00:00:00"/>
    <n v="10"/>
    <s v="Europe"/>
    <x v="5"/>
    <s v="Berlin"/>
    <s v="Berlin"/>
    <s v="Europe &gt; Germany &gt; Berlin"/>
    <s v="Enterprise"/>
    <s v="Online"/>
    <s v="Online"/>
    <s v="E. Garcia"/>
    <x v="11"/>
    <s v="Printers"/>
    <x v="5"/>
    <s v="High"/>
    <x v="251"/>
    <n v="663.61"/>
    <n v="1002.11"/>
    <s v="OK"/>
    <n v="1002.11"/>
    <n v="4.5999999999999999E-2"/>
    <s v="OK"/>
    <n v="4.5999999999999999E-2"/>
    <n v="17"/>
    <n v="16252.219979999998"/>
    <n v="1616910.1886600002"/>
    <n v="11281.37"/>
    <n v="4970.8499799999972"/>
    <n v="0.30585667595670812"/>
    <n v="44928"/>
    <s v="Jan-2023"/>
  </r>
  <r>
    <x v="252"/>
    <x v="218"/>
    <x v="12"/>
    <x v="4"/>
    <d v="2023-03-18T00:00:00"/>
    <s v="OK"/>
    <d v="2023-03-18T00:00:00"/>
    <n v="4"/>
    <s v="Europe"/>
    <x v="5"/>
    <s v="Frankfurt"/>
    <s v="Frankfurt"/>
    <s v="Europe &gt; Germany &gt; Frankfurt"/>
    <s v="Enterprise"/>
    <s v="Direct"/>
    <s v="Direct"/>
    <s v="A. Patel"/>
    <x v="1"/>
    <s v="Components"/>
    <x v="0"/>
    <s v="Low"/>
    <x v="252"/>
    <n v="472.33"/>
    <n v="360.34"/>
    <s v="OK"/>
    <n v="360.34"/>
    <n v="0.16500000000000001"/>
    <s v="OK"/>
    <n v="0.16500000000000001"/>
    <n v="14"/>
    <n v="4212.3745999999992"/>
    <n v="1550200.534329999"/>
    <n v="6612.62"/>
    <n v="-2400.2454000000007"/>
    <n v="-0.56980815523861561"/>
    <n v="44928"/>
    <s v="Jan-2023"/>
  </r>
  <r>
    <x v="253"/>
    <x v="219"/>
    <x v="19"/>
    <x v="8"/>
    <d v="2023-04-19T00:00:00"/>
    <s v="OK"/>
    <d v="2023-04-19T00:00:00"/>
    <n v="3"/>
    <s v="Europe"/>
    <x v="5"/>
    <s v="Munich"/>
    <s v="Munich"/>
    <s v="Europe &gt; Germany &gt; Munich"/>
    <s v="Corporate"/>
    <s v="Direct"/>
    <s v="Direct"/>
    <s v="B. Chen"/>
    <x v="6"/>
    <s v="Accessories"/>
    <x v="1"/>
    <s v="Low"/>
    <x v="253"/>
    <n v="553.61"/>
    <n v="699.47"/>
    <s v="OK"/>
    <n v="699.47"/>
    <n v="0.02"/>
    <s v="OK"/>
    <n v="0.02"/>
    <n v="33"/>
    <n v="22620.859800000002"/>
    <e v="#VALUE!"/>
    <n v="18269.13"/>
    <n v="4351.729800000001"/>
    <n v="0.19237685209472014"/>
    <n v="44928"/>
    <s v="Jan-2023"/>
  </r>
  <r>
    <x v="254"/>
    <x v="220"/>
    <x v="7"/>
    <x v="1"/>
    <d v="2025-05-19T00:00:00"/>
    <s v="OK"/>
    <d v="2025-05-19T00:00:00"/>
    <n v="21"/>
    <s v="Europe"/>
    <x v="5"/>
    <s v="Berlin"/>
    <s v="Berlin"/>
    <s v="Europe &gt; Germany &gt; Berlin"/>
    <s v="Corporate"/>
    <s v="Distributor"/>
    <s v="Distributor"/>
    <s v="B. Chen"/>
    <x v="6"/>
    <s v="Phones"/>
    <x v="4"/>
    <s v="Low"/>
    <x v="254"/>
    <n v="350.76"/>
    <n v="492.18"/>
    <s v="OK"/>
    <n v="492.18"/>
    <n v="5.2999999999999999E-2"/>
    <s v="OK"/>
    <n v="5.2999999999999999E-2"/>
    <n v="11"/>
    <n v="5127.0390600000001"/>
    <n v="1399242.2240200008"/>
    <n v="3858.3599999999997"/>
    <n v="1268.6790600000004"/>
    <n v="0.24744868239798437"/>
    <n v="44928"/>
    <s v="Jan-2023"/>
  </r>
  <r>
    <x v="255"/>
    <x v="221"/>
    <x v="11"/>
    <x v="8"/>
    <d v="2023-06-08T00:00:00"/>
    <s v="OK"/>
    <d v="2023-06-08T00:00:00"/>
    <n v="7"/>
    <s v="Europe"/>
    <x v="5"/>
    <s v="Frankfurt"/>
    <s v="Frankfurt"/>
    <s v="Europe &gt; Germany &gt; Frankfurt"/>
    <s v="Consumer"/>
    <s v="Online"/>
    <s v="Online"/>
    <s v="A. Patel"/>
    <x v="1"/>
    <s v="Phones"/>
    <x v="4"/>
    <s v="High"/>
    <x v="255"/>
    <n v="804.17"/>
    <n v="1072.29"/>
    <s v="OK"/>
    <n v="1072.29"/>
    <n v="3.2000000000000001E-2"/>
    <s v="OK"/>
    <n v="3.2000000000000001E-2"/>
    <n v="5"/>
    <n v="5189.8836000000001"/>
    <n v="1399242.2240200008"/>
    <n v="4020.85"/>
    <n v="1169.0336000000002"/>
    <n v="0.2252523736755869"/>
    <n v="44928"/>
    <s v="Jan-2023"/>
  </r>
  <r>
    <x v="256"/>
    <x v="222"/>
    <x v="16"/>
    <x v="5"/>
    <d v="2024-05-26T00:00:00"/>
    <s v="OK"/>
    <d v="2024-05-26T00:00:00"/>
    <n v="25"/>
    <s v="Europe"/>
    <x v="5"/>
    <s v="Berlin"/>
    <s v="Berlin"/>
    <s v="Europe &gt; Germany &gt; Berlin"/>
    <s v="Non-Profit"/>
    <s v="Retail"/>
    <s v="Retail"/>
    <s v="B. Chen"/>
    <x v="6"/>
    <s v="Networking"/>
    <x v="6"/>
    <s v="High"/>
    <x v="256"/>
    <n v="930.71"/>
    <n v="1625.42"/>
    <s v="OK"/>
    <n v="1625.42"/>
    <n v="0.13800000000000001"/>
    <s v="OK"/>
    <n v="0.13800000000000001"/>
    <n v="7"/>
    <n v="9807.7842799999999"/>
    <e v="#VALUE!"/>
    <n v="6514.97"/>
    <n v="3292.8142799999996"/>
    <n v="0.33573477821231196"/>
    <n v="44928"/>
    <s v="Jan-2023"/>
  </r>
  <r>
    <x v="257"/>
    <x v="223"/>
    <x v="2"/>
    <x v="2"/>
    <d v="2025-03-26T00:00:00"/>
    <s v="OK"/>
    <d v="2025-03-26T00:00:00"/>
    <n v="15"/>
    <s v="Europe"/>
    <x v="5"/>
    <s v="Berlin"/>
    <s v="Berlin"/>
    <s v="Europe &gt; Germany &gt; Berlin"/>
    <s v="Small Business"/>
    <s v="Online"/>
    <s v="Online"/>
    <s v="I. Johnson"/>
    <x v="12"/>
    <s v="Phones"/>
    <x v="4"/>
    <s v="Low"/>
    <x v="257"/>
    <n v="116.97"/>
    <n v="140.82"/>
    <s v="OK"/>
    <n v="140.82"/>
    <n v="0.122"/>
    <s v="OK"/>
    <n v="0.122"/>
    <n v="5"/>
    <n v="618.19979999999987"/>
    <n v="1399242.2240200008"/>
    <n v="584.85"/>
    <n v="33.349799999999846"/>
    <n v="5.3946636669891926E-2"/>
    <n v="44928"/>
    <s v="Jan-2023"/>
  </r>
  <r>
    <x v="258"/>
    <x v="224"/>
    <x v="28"/>
    <x v="4"/>
    <d v="2023-02-15T00:00:00"/>
    <s v="OK"/>
    <d v="2023-02-15T00:00:00"/>
    <n v="20"/>
    <s v="Europe"/>
    <x v="5"/>
    <s v="Berlin"/>
    <s v="Berlin"/>
    <s v="Europe &gt; Germany &gt; Berlin"/>
    <s v="Small Business"/>
    <s v="Online"/>
    <s v="Online"/>
    <s v="O. Wang"/>
    <x v="7"/>
    <s v="Networking"/>
    <x v="6"/>
    <s v="Low"/>
    <x v="258"/>
    <n v="492.62"/>
    <n v="366.7"/>
    <s v="OK"/>
    <n v="366.7"/>
    <n v="8.8999999999999996E-2"/>
    <s v="OK"/>
    <n v="8.8999999999999996E-2"/>
    <n v="10"/>
    <n v="3340.6370000000002"/>
    <e v="#VALUE!"/>
    <n v="4926.2"/>
    <n v="-1585.5629999999996"/>
    <n v="-0.47462894052840809"/>
    <n v="44928"/>
    <s v="Jan-2023"/>
  </r>
  <r>
    <x v="259"/>
    <x v="182"/>
    <x v="14"/>
    <x v="10"/>
    <d v="2023-07-08T00:00:00"/>
    <s v="OK"/>
    <d v="2023-07-08T00:00:00"/>
    <n v="7"/>
    <s v="Europe"/>
    <x v="5"/>
    <s v="Frankfurt"/>
    <s v="Frankfurt"/>
    <s v="Europe &gt; Germany &gt; Frankfurt"/>
    <s v="Small Business"/>
    <s v="Distributor"/>
    <s v="Distributor"/>
    <s v="N. Brown"/>
    <x v="5"/>
    <s v="Laptops"/>
    <x v="3"/>
    <s v="High"/>
    <x v="259"/>
    <n v="460.21"/>
    <n v="1139.1500000000001"/>
    <s v="OK"/>
    <n v="1139.1500000000001"/>
    <n v="0.115"/>
    <s v="OK"/>
    <n v="0.115"/>
    <n v="14"/>
    <n v="14114.068500000001"/>
    <n v="1711094.3775999998"/>
    <n v="6442.94"/>
    <n v="7671.1285000000016"/>
    <n v="0.54350937151821255"/>
    <n v="44928"/>
    <s v="Jan-2023"/>
  </r>
  <r>
    <x v="260"/>
    <x v="168"/>
    <x v="5"/>
    <x v="4"/>
    <d v="2023-03-06T00:00:00"/>
    <s v="OK"/>
    <d v="2023-03-06T00:00:00"/>
    <n v="6"/>
    <s v="Europe"/>
    <x v="5"/>
    <s v="Frankfurt"/>
    <s v="Frankfurt"/>
    <s v="Europe &gt; Germany &gt; Frankfurt"/>
    <s v="Small Business"/>
    <s v="Marketplace"/>
    <s v="Marketplace"/>
    <s v="D. Smith"/>
    <x v="14"/>
    <s v="Printers"/>
    <x v="5"/>
    <s v="High"/>
    <x v="260"/>
    <n v="880.02"/>
    <n v="1251.21"/>
    <s v="OK"/>
    <n v="1251.21"/>
    <n v="0.123"/>
    <s v="OK"/>
    <n v="0.123"/>
    <n v="29"/>
    <n v="31822.023930000003"/>
    <n v="1616910.1886600002"/>
    <n v="25520.579999999998"/>
    <n v="6301.4439300000049"/>
    <n v="0.19802146915172672"/>
    <n v="44928"/>
    <s v="Jan-2023"/>
  </r>
  <r>
    <x v="261"/>
    <x v="225"/>
    <x v="8"/>
    <x v="2"/>
    <d v="2025-03-17T00:00:00"/>
    <s v="OK"/>
    <d v="2025-03-17T00:00:00"/>
    <n v="29"/>
    <s v="Europe"/>
    <x v="5"/>
    <s v="Munich"/>
    <s v="Munich"/>
    <s v="Europe &gt; Germany &gt; Munich"/>
    <s v="Consumer"/>
    <s v="Retail"/>
    <s v="Retail"/>
    <s v="L. Okafor"/>
    <x v="10"/>
    <s v="Accessories"/>
    <x v="1"/>
    <s v="High"/>
    <x v="261"/>
    <n v="730.42"/>
    <n v="956.7"/>
    <s v="OK"/>
    <n v="956.7"/>
    <n v="4.2000000000000003E-2"/>
    <s v="OK"/>
    <n v="4.2000000000000003E-2"/>
    <n v="22"/>
    <n v="20163.409200000002"/>
    <e v="#VALUE!"/>
    <n v="16069.24"/>
    <n v="4094.1692000000021"/>
    <n v="0.20304945256975698"/>
    <n v="44928"/>
    <s v="Jan-2023"/>
  </r>
  <r>
    <x v="262"/>
    <x v="226"/>
    <x v="9"/>
    <x v="6"/>
    <d v="2024-01-02T00:00:00"/>
    <s v="OK"/>
    <d v="2024-01-02T00:00:00"/>
    <n v="26"/>
    <s v="Europe"/>
    <x v="5"/>
    <s v="Frankfurt"/>
    <s v="Frankfurt"/>
    <s v="Europe &gt; Germany &gt; Frankfurt"/>
    <s v="Enterprise"/>
    <s v="Distributor"/>
    <s v="Distributor"/>
    <s v="E. Garcia"/>
    <x v="11"/>
    <s v="Components"/>
    <x v="0"/>
    <s v="High"/>
    <x v="262"/>
    <n v="1071.99"/>
    <n v="2397.3000000000002"/>
    <s v="OK"/>
    <n v="2397.3000000000002"/>
    <n v="6.2E-2"/>
    <s v="OK"/>
    <n v="6.2E-2"/>
    <n v="18"/>
    <n v="40476.013200000001"/>
    <n v="1550200.534329999"/>
    <n v="19295.82"/>
    <n v="21180.193200000002"/>
    <n v="0.52327765324476183"/>
    <n v="44928"/>
    <s v="Jan-2023"/>
  </r>
  <r>
    <x v="263"/>
    <x v="90"/>
    <x v="30"/>
    <x v="9"/>
    <d v="2025-01-14T00:00:00"/>
    <s v="OK"/>
    <d v="2025-01-14T00:00:00"/>
    <n v="18"/>
    <s v="Asia"/>
    <x v="6"/>
    <s v="Bengaluru"/>
    <s v="Bengaluru"/>
    <s v="Asia &gt; India &gt; Bengaluru"/>
    <s v="Small Business"/>
    <s v="Marketplace"/>
    <s v="Marketplace"/>
    <s v="E. Garcia"/>
    <x v="11"/>
    <s v="Monitors"/>
    <x v="2"/>
    <s v="High"/>
    <x v="263"/>
    <n v="586.07000000000005"/>
    <n v="845.97"/>
    <s v="OK"/>
    <n v="845.97"/>
    <n v="0.14699999999999999"/>
    <s v="OK"/>
    <n v="0.14699999999999999"/>
    <n v="4"/>
    <n v="2886.4496399999998"/>
    <e v="#VALUE!"/>
    <n v="2344.2800000000002"/>
    <n v="542.16963999999962"/>
    <n v="0.18783270370862928"/>
    <n v="44928"/>
    <s v="Jan-2023"/>
  </r>
  <r>
    <x v="264"/>
    <x v="90"/>
    <x v="30"/>
    <x v="9"/>
    <d v="2025-01-15T00:00:00"/>
    <s v="OK"/>
    <d v="2025-01-15T00:00:00"/>
    <n v="19"/>
    <s v="Asia"/>
    <x v="6"/>
    <s v="Delhi"/>
    <s v="Delhi"/>
    <s v="Asia &gt; India &gt; Delhi"/>
    <s v="Non-Profit"/>
    <s v="Distributor"/>
    <s v="Distributor"/>
    <s v="G. Dubois"/>
    <x v="4"/>
    <s v="Components"/>
    <x v="0"/>
    <s v="Low"/>
    <x v="264"/>
    <n v="495.59"/>
    <n v="631.78"/>
    <s v="OK"/>
    <n v="631.78"/>
    <n v="8.6999999999999994E-2"/>
    <s v="OK"/>
    <n v="8.6999999999999994E-2"/>
    <n v="17"/>
    <n v="9805.8573800000013"/>
    <n v="1550200.534329999"/>
    <n v="8425.0299999999988"/>
    <n v="1380.8273800000024"/>
    <n v="0.14081658813601899"/>
    <n v="44928"/>
    <s v="Jan-2023"/>
  </r>
  <r>
    <x v="265"/>
    <x v="227"/>
    <x v="12"/>
    <x v="4"/>
    <d v="2023-04-22T00:00:00"/>
    <s v="OK"/>
    <d v="2023-04-22T00:00:00"/>
    <n v="26"/>
    <s v="Asia"/>
    <x v="6"/>
    <s v="Delhi"/>
    <s v="Delhi"/>
    <s v="Asia &gt; India &gt; Delhi"/>
    <s v="Non-Profit"/>
    <s v="Marketplace"/>
    <s v="Marketplace"/>
    <s v="J. Njeri"/>
    <x v="2"/>
    <s v="Printers"/>
    <x v="5"/>
    <s v="Low"/>
    <x v="265"/>
    <n v="178.53"/>
    <n v="199.37"/>
    <s v="OK"/>
    <n v="199.37"/>
    <n v="0.10100000000000001"/>
    <s v="OK"/>
    <n v="0.10100000000000001"/>
    <n v="37"/>
    <n v="6631.6443100000006"/>
    <n v="1616910.1886600002"/>
    <n v="6605.61"/>
    <n v="26.034310000000914"/>
    <n v="3.9257699573457538E-3"/>
    <n v="44928"/>
    <s v="Jan-2023"/>
  </r>
  <r>
    <x v="266"/>
    <x v="26"/>
    <x v="19"/>
    <x v="8"/>
    <d v="2023-04-30T00:00:00"/>
    <s v="OK"/>
    <d v="2023-04-30T00:00:00"/>
    <n v="11"/>
    <s v="Asia"/>
    <x v="6"/>
    <s v="Delhi"/>
    <s v="Delhi"/>
    <s v="Asia &gt; India &gt; Delhi"/>
    <s v="Small Business"/>
    <s v="Retail"/>
    <s v="Retail"/>
    <s v="A. Patel"/>
    <x v="1"/>
    <s v="Networking"/>
    <x v="6"/>
    <s v="High"/>
    <x v="266"/>
    <n v="826.55"/>
    <n v="1397.05"/>
    <s v="OK"/>
    <n v="1397.05"/>
    <n v="0.16900000000000001"/>
    <s v="OK"/>
    <n v="0.16900000000000001"/>
    <n v="28"/>
    <n v="32506.559399999998"/>
    <e v="#VALUE!"/>
    <n v="23143.399999999998"/>
    <n v="9363.1594000000005"/>
    <n v="0.28803907804527601"/>
    <n v="44928"/>
    <s v="Jan-2023"/>
  </r>
  <r>
    <x v="267"/>
    <x v="228"/>
    <x v="32"/>
    <x v="9"/>
    <d v="2024-11-06T00:00:00"/>
    <s v="OK"/>
    <d v="2024-11-06T00:00:00"/>
    <n v="20"/>
    <s v="Asia"/>
    <x v="6"/>
    <s v="Bengaluru"/>
    <s v="Bengaluru"/>
    <s v="Asia &gt; India &gt; Bengaluru"/>
    <s v="Enterprise"/>
    <s v="Distributor"/>
    <s v="Distributor"/>
    <s v="O. Wang"/>
    <x v="7"/>
    <s v="Monitors"/>
    <x v="2"/>
    <s v="Low"/>
    <x v="267"/>
    <n v="72.94"/>
    <n v="106.3"/>
    <s v="OK"/>
    <n v="106.3"/>
    <n v="0.29499999999999998"/>
    <s v="OK"/>
    <n v="0.29499999999999998"/>
    <n v="8"/>
    <n v="599.53200000000004"/>
    <e v="#VALUE!"/>
    <n v="583.52"/>
    <n v="16.012000000000057"/>
    <n v="2.6707498515508857E-2"/>
    <n v="44928"/>
    <s v="Jan-2023"/>
  </r>
  <r>
    <x v="268"/>
    <x v="14"/>
    <x v="13"/>
    <x v="9"/>
    <d v="2024-11-18T00:00:00"/>
    <s v="OK"/>
    <d v="2024-11-18T00:00:00"/>
    <n v="16"/>
    <s v="Asia"/>
    <x v="6"/>
    <s v="Mumbai"/>
    <s v="Mumbai"/>
    <s v="Asia &gt; India &gt; Mumbai"/>
    <s v="Small Business"/>
    <s v="Distributor"/>
    <s v="Distributor"/>
    <s v="O. Wang"/>
    <x v="7"/>
    <s v="Monitors"/>
    <x v="2"/>
    <s v="High"/>
    <x v="268"/>
    <n v="1233.58"/>
    <n v="1912.51"/>
    <s v="OK"/>
    <n v="1912.51"/>
    <n v="0.255"/>
    <s v="OK"/>
    <n v="0.255"/>
    <n v="51"/>
    <n v="72665.817450000002"/>
    <e v="#VALUE!"/>
    <n v="62912.579999999994"/>
    <n v="9753.2374500000078"/>
    <n v="0.134220432553601"/>
    <n v="44928"/>
    <s v="Jan-2023"/>
  </r>
  <r>
    <x v="269"/>
    <x v="229"/>
    <x v="29"/>
    <x v="10"/>
    <d v="2023-10-08T00:00:00"/>
    <s v="OK"/>
    <d v="2023-10-08T00:00:00"/>
    <n v="20"/>
    <s v="Asia"/>
    <x v="6"/>
    <s v="Delhi"/>
    <s v="Delhi"/>
    <s v="Asia &gt; India &gt; Delhi"/>
    <s v="Small Business"/>
    <s v="Direct"/>
    <s v="Direct"/>
    <s v="B. Chen"/>
    <x v="6"/>
    <s v="Components"/>
    <x v="0"/>
    <s v="High"/>
    <x v="269"/>
    <n v="825.64"/>
    <n v="1108.43"/>
    <s v="OK"/>
    <n v="1108.43"/>
    <n v="0.114"/>
    <s v="OK"/>
    <n v="0.114"/>
    <n v="7"/>
    <n v="6874.4828600000001"/>
    <n v="1550200.534329999"/>
    <n v="5779.48"/>
    <n v="1095.0028600000005"/>
    <n v="0.15928512475773349"/>
    <n v="44928"/>
    <s v="Jan-2023"/>
  </r>
  <r>
    <x v="270"/>
    <x v="230"/>
    <x v="22"/>
    <x v="0"/>
    <d v="2024-01-25T00:00:00"/>
    <s v="OK"/>
    <d v="2024-01-25T00:00:00"/>
    <n v="4"/>
    <s v="Asia"/>
    <x v="6"/>
    <s v="Delhi"/>
    <s v="Delhi"/>
    <s v="Asia &gt; India &gt; Delhi"/>
    <s v="Consumer"/>
    <s v="Direct"/>
    <s v="Direct"/>
    <s v="C. Otieno"/>
    <x v="0"/>
    <s v="Monitors"/>
    <x v="2"/>
    <s v="High"/>
    <x v="270"/>
    <n v="523.70000000000005"/>
    <n v="1109.92"/>
    <s v="OK"/>
    <n v="1109.92"/>
    <n v="0.03"/>
    <s v="OK"/>
    <n v="0.03"/>
    <n v="11"/>
    <n v="11842.8464"/>
    <e v="#VALUE!"/>
    <n v="5760.7000000000007"/>
    <n v="6082.1463999999996"/>
    <n v="0.51357133197302973"/>
    <n v="44928"/>
    <s v="Jan-2023"/>
  </r>
  <r>
    <x v="271"/>
    <x v="152"/>
    <x v="31"/>
    <x v="1"/>
    <d v="2025-06-25T00:00:00"/>
    <s v="OK"/>
    <d v="2025-06-25T00:00:00"/>
    <n v="16"/>
    <s v="Asia"/>
    <x v="6"/>
    <s v="Hyderabad"/>
    <s v="Hyderabad"/>
    <s v="Asia &gt; India &gt; Hyderabad"/>
    <s v="Enterprise"/>
    <s v="Distributor"/>
    <s v="Distributor"/>
    <s v="M. Rossi"/>
    <x v="13"/>
    <s v="Phones"/>
    <x v="4"/>
    <s v="High"/>
    <x v="271"/>
    <n v="527.33000000000004"/>
    <n v="911.72"/>
    <s v="OK"/>
    <n v="911.72"/>
    <n v="0.14399999999999999"/>
    <s v="OK"/>
    <n v="0.14399999999999999"/>
    <n v="25"/>
    <n v="19510.808000000001"/>
    <n v="1399242.2240200008"/>
    <n v="13183.250000000002"/>
    <n v="6327.5579999999991"/>
    <n v="0.32431040272652978"/>
    <n v="44928"/>
    <s v="Jan-2023"/>
  </r>
  <r>
    <x v="272"/>
    <x v="114"/>
    <x v="24"/>
    <x v="3"/>
    <d v="2025-08-16T00:00:00"/>
    <s v="OK"/>
    <d v="2025-08-16T00:00:00"/>
    <n v="15"/>
    <s v="Asia"/>
    <x v="6"/>
    <m/>
    <s v="Unkown"/>
    <s v="Asia &gt; India &gt; Unkown"/>
    <s v="Enterprise"/>
    <s v="Direct"/>
    <s v="Direct"/>
    <s v="O. Wang"/>
    <x v="7"/>
    <s v="Monitors"/>
    <x v="2"/>
    <s v="Low"/>
    <x v="272"/>
    <n v="24.44"/>
    <n v="28.69"/>
    <s v="OK"/>
    <n v="28.69"/>
    <n v="0.14599999999999999"/>
    <s v="OK"/>
    <n v="0.14599999999999999"/>
    <n v="6"/>
    <n v="147.00756000000001"/>
    <e v="#VALUE!"/>
    <n v="146.64000000000001"/>
    <n v="0.36755999999999744"/>
    <n v="2.5002795774584476E-3"/>
    <n v="44928"/>
    <s v="Jan-2023"/>
  </r>
  <r>
    <x v="273"/>
    <x v="208"/>
    <x v="22"/>
    <x v="0"/>
    <d v="2024-01-22T00:00:00"/>
    <s v="OK"/>
    <d v="2024-01-22T00:00:00"/>
    <n v="9"/>
    <s v="Asia"/>
    <x v="6"/>
    <s v="Mumbai"/>
    <s v="Mumbai"/>
    <s v="Asia &gt; India &gt; Mumbai"/>
    <s v="Enterprise"/>
    <s v="Marketplace"/>
    <s v="Marketplace"/>
    <s v="J. Njeri"/>
    <x v="2"/>
    <s v="Components"/>
    <x v="0"/>
    <s v="Low"/>
    <x v="273"/>
    <n v="313.60000000000002"/>
    <n v="334.28"/>
    <s v="OK"/>
    <n v="334.28"/>
    <n v="0.14000000000000001"/>
    <s v="OK"/>
    <n v="0.14000000000000001"/>
    <n v="22"/>
    <n v="6324.5775999999996"/>
    <n v="1550200.534329999"/>
    <n v="6899.2000000000007"/>
    <n v="-574.62240000000111"/>
    <n v="-9.0855458868905517E-2"/>
    <n v="44928"/>
    <s v="Jan-2023"/>
  </r>
  <r>
    <x v="274"/>
    <x v="139"/>
    <x v="26"/>
    <x v="8"/>
    <d v="2023-05-18T00:00:00"/>
    <s v="OK"/>
    <d v="2023-05-18T00:00:00"/>
    <n v="16"/>
    <s v="Asia"/>
    <x v="6"/>
    <s v="Delhi"/>
    <s v="Delhi"/>
    <s v="Asia &gt; India &gt; Delhi"/>
    <s v="Small Business"/>
    <s v="Marketplace"/>
    <s v="Marketplace"/>
    <s v="K. Singh"/>
    <x v="3"/>
    <s v="Monitors"/>
    <x v="2"/>
    <s v="High"/>
    <x v="274"/>
    <n v="1463.92"/>
    <n v="2252.2399999999998"/>
    <s v="OK"/>
    <n v="2252.2399999999998"/>
    <n v="0.11799999999999999"/>
    <s v="OK"/>
    <n v="0.11799999999999999"/>
    <n v="44"/>
    <n v="87404.929919999995"/>
    <e v="#VALUE!"/>
    <n v="64412.480000000003"/>
    <n v="22992.449919999992"/>
    <n v="0.26305667130040061"/>
    <n v="44928"/>
    <s v="Jan-2023"/>
  </r>
  <r>
    <x v="275"/>
    <x v="193"/>
    <x v="10"/>
    <x v="7"/>
    <d v="2024-09-18T00:00:00"/>
    <s v="OK"/>
    <d v="2024-09-18T00:00:00"/>
    <n v="22"/>
    <s v="Asia"/>
    <x v="6"/>
    <s v="Delhi"/>
    <s v="Delhi"/>
    <s v="Asia &gt; India &gt; Delhi"/>
    <s v="Consumer"/>
    <s v="Direct"/>
    <s v="Direct"/>
    <s v="B. Chen"/>
    <x v="6"/>
    <s v="Components"/>
    <x v="0"/>
    <s v="High"/>
    <x v="275"/>
    <n v="896.75"/>
    <n v="1651.14"/>
    <s v="OK"/>
    <n v="1651.14"/>
    <n v="2.5000000000000001E-2"/>
    <s v="OK"/>
    <n v="2.5000000000000001E-2"/>
    <n v="15"/>
    <n v="24147.922500000001"/>
    <n v="1550200.534329999"/>
    <n v="13451.25"/>
    <n v="10696.672500000001"/>
    <n v="0.44296450346815552"/>
    <n v="44928"/>
    <s v="Jan-2023"/>
  </r>
  <r>
    <x v="276"/>
    <x v="231"/>
    <x v="5"/>
    <x v="4"/>
    <d v="2023-03-04T00:00:00"/>
    <s v="OK"/>
    <d v="2023-03-04T00:00:00"/>
    <n v="12"/>
    <s v="Asia"/>
    <x v="6"/>
    <s v="Delhi"/>
    <s v="Delhi"/>
    <s v="Asia &gt; India &gt; Delhi"/>
    <s v="Consumer"/>
    <s v="Distributor"/>
    <s v="Distributor"/>
    <s v="M. Rossi"/>
    <x v="13"/>
    <s v="Monitors"/>
    <x v="2"/>
    <s v="Low"/>
    <x v="276"/>
    <n v="299.75"/>
    <n v="523.01"/>
    <s v="OK"/>
    <n v="523.01"/>
    <n v="0.157"/>
    <s v="OK"/>
    <n v="0.157"/>
    <n v="50"/>
    <n v="22044.871499999997"/>
    <e v="#VALUE!"/>
    <n v="14987.5"/>
    <n v="7057.3714999999975"/>
    <n v="0.32013665854210122"/>
    <n v="44928"/>
    <s v="Jan-2023"/>
  </r>
  <r>
    <x v="277"/>
    <x v="232"/>
    <x v="20"/>
    <x v="6"/>
    <d v="2023-10-23T00:00:00"/>
    <s v="OK"/>
    <d v="2023-10-23T00:00:00"/>
    <n v="16"/>
    <s v="Asia"/>
    <x v="6"/>
    <s v="Hyderabad"/>
    <s v="Hyderabad"/>
    <s v="Asia &gt; India &gt; Hyderabad"/>
    <s v="Consumer"/>
    <s v="Retail"/>
    <s v="Retail"/>
    <s v="G. Dubois"/>
    <x v="4"/>
    <s v="Monitors"/>
    <x v="2"/>
    <s v="High"/>
    <x v="277"/>
    <n v="906.81"/>
    <n v="1395.56"/>
    <s v="OK"/>
    <n v="1395.56"/>
    <n v="0.185"/>
    <s v="OK"/>
    <n v="0.185"/>
    <n v="6"/>
    <n v="6824.2884000000004"/>
    <e v="#VALUE!"/>
    <n v="5440.86"/>
    <n v="1383.4284000000007"/>
    <n v="0.20272126834498974"/>
    <n v="44928"/>
    <s v="Jan-2023"/>
  </r>
  <r>
    <x v="278"/>
    <x v="233"/>
    <x v="9"/>
    <x v="6"/>
    <d v="2024-01-14T00:00:00"/>
    <s v="OK"/>
    <d v="2024-01-14T00:00:00"/>
    <n v="25"/>
    <s v="Asia"/>
    <x v="6"/>
    <s v="Mumbai"/>
    <s v="Mumbai"/>
    <s v="Asia &gt; India &gt; Mumbai"/>
    <s v="Non-Profit"/>
    <s v="Marketplace"/>
    <s v="Marketplace"/>
    <s v="L. Okafor"/>
    <x v="10"/>
    <s v="Monitors"/>
    <x v="2"/>
    <s v="High"/>
    <x v="278"/>
    <n v="1085.6099999999999"/>
    <n v="1246.4100000000001"/>
    <s v="OK"/>
    <n v="1246.4100000000001"/>
    <n v="0.113"/>
    <s v="OK"/>
    <n v="0.113"/>
    <n v="7"/>
    <n v="7738.9596900000006"/>
    <e v="#VALUE!"/>
    <n v="7599.2699999999995"/>
    <n v="139.68969000000106"/>
    <n v="1.8050189637310417E-2"/>
    <n v="44928"/>
    <s v="Jan-2023"/>
  </r>
  <r>
    <x v="279"/>
    <x v="234"/>
    <x v="18"/>
    <x v="6"/>
    <d v="2023-12-07T00:00:00"/>
    <s v="OK"/>
    <d v="2023-12-07T00:00:00"/>
    <n v="9"/>
    <s v="Asia"/>
    <x v="6"/>
    <s v="Delhi"/>
    <s v="Delhi"/>
    <s v="Asia &gt; India &gt; Delhi"/>
    <s v="Enterprise"/>
    <s v="Marketplace"/>
    <s v="Marketplace"/>
    <s v="L. Okafor"/>
    <x v="10"/>
    <s v="Phones"/>
    <x v="4"/>
    <s v="High"/>
    <x v="279"/>
    <n v="699.33"/>
    <n v="873.75"/>
    <s v="OK"/>
    <n v="873.75"/>
    <n v="0.23499999999999999"/>
    <s v="OK"/>
    <n v="0.23499999999999999"/>
    <n v="10"/>
    <n v="6684.1875"/>
    <n v="1399242.2240200008"/>
    <n v="6993.3"/>
    <n v="-309.11250000000018"/>
    <n v="-4.6245336475076469E-2"/>
    <n v="44928"/>
    <s v="Jan-2023"/>
  </r>
  <r>
    <x v="280"/>
    <x v="235"/>
    <x v="29"/>
    <x v="10"/>
    <d v="2023-10-08T00:00:00"/>
    <s v="OK"/>
    <d v="2023-10-08T00:00:00"/>
    <n v="19"/>
    <s v="Asia"/>
    <x v="6"/>
    <s v="Bengaluru"/>
    <s v="Bengaluru"/>
    <s v="Asia &gt; India &gt; Bengaluru"/>
    <s v="Education"/>
    <s v="Direct"/>
    <s v="Direct"/>
    <s v="J. Njeri"/>
    <x v="2"/>
    <s v="Printers"/>
    <x v="5"/>
    <s v="Low"/>
    <x v="280"/>
    <n v="385.32"/>
    <n v="606.76"/>
    <s v="OK"/>
    <n v="606.76"/>
    <n v="8.5999999999999993E-2"/>
    <s v="OK"/>
    <n v="8.5999999999999993E-2"/>
    <n v="8"/>
    <n v="4436.6291200000005"/>
    <n v="1616910.1886600002"/>
    <n v="3082.56"/>
    <n v="1354.0691200000006"/>
    <n v="0.30520223425842735"/>
    <n v="44928"/>
    <s v="Jan-2023"/>
  </r>
  <r>
    <x v="281"/>
    <x v="124"/>
    <x v="20"/>
    <x v="6"/>
    <d v="2023-10-06T00:00:00"/>
    <s v="OK"/>
    <d v="2023-10-06T00:00:00"/>
    <n v="1"/>
    <s v="Asia"/>
    <x v="6"/>
    <s v="Bengaluru"/>
    <s v="Bengaluru"/>
    <s v="Asia &gt; India &gt; Bengaluru"/>
    <s v="Non-Profit"/>
    <s v="Online"/>
    <s v="Online"/>
    <s v="I. Johnson"/>
    <x v="12"/>
    <s v="Components"/>
    <x v="0"/>
    <s v="High"/>
    <x v="281"/>
    <n v="1470.26"/>
    <n v="2562.5500000000002"/>
    <s v="OK"/>
    <n v="2562.5500000000002"/>
    <n v="0.17299999999999999"/>
    <s v="OK"/>
    <n v="0.17299999999999999"/>
    <n v="9"/>
    <n v="19073.059649999999"/>
    <n v="1550200.534329999"/>
    <n v="13232.34"/>
    <n v="5840.7196499999991"/>
    <n v="0.30622877279157462"/>
    <n v="44928"/>
    <s v="Jan-2023"/>
  </r>
  <r>
    <x v="282"/>
    <x v="236"/>
    <x v="8"/>
    <x v="2"/>
    <d v="2025-03-09T00:00:00"/>
    <s v="OK"/>
    <d v="2025-03-09T00:00:00"/>
    <n v="18"/>
    <s v="Asia"/>
    <x v="6"/>
    <s v="Delhi"/>
    <s v="Delhi"/>
    <s v="Asia &gt; India &gt; Delhi"/>
    <s v="Small Business"/>
    <s v="Direct"/>
    <s v="Direct"/>
    <s v="O. Wang"/>
    <x v="7"/>
    <s v="Monitors"/>
    <x v="2"/>
    <s v="Low"/>
    <x v="282"/>
    <n v="325.87"/>
    <n v="538.79"/>
    <s v="OK"/>
    <n v="538.79"/>
    <n v="0.17399999999999999"/>
    <s v="OK"/>
    <n v="0.17399999999999999"/>
    <n v="16"/>
    <n v="7120.6486400000003"/>
    <e v="#VALUE!"/>
    <n v="5213.92"/>
    <n v="1906.7286400000003"/>
    <n v="0.26777457172778013"/>
    <n v="44928"/>
    <s v="Jan-2023"/>
  </r>
  <r>
    <x v="283"/>
    <x v="237"/>
    <x v="20"/>
    <x v="6"/>
    <d v="2023-11-14T00:00:00"/>
    <s v="OK"/>
    <d v="2023-11-14T00:00:00"/>
    <n v="15"/>
    <s v="Asia"/>
    <x v="6"/>
    <s v="Bengaluru"/>
    <s v="Bengaluru"/>
    <s v="Asia &gt; India &gt; Bengaluru"/>
    <s v="Corporate"/>
    <s v="Online"/>
    <s v="Online"/>
    <s v="F. Müller"/>
    <x v="8"/>
    <s v="Laptops"/>
    <x v="3"/>
    <s v="High"/>
    <x v="283"/>
    <n v="953.46"/>
    <n v="2066.75"/>
    <s v="OK"/>
    <n v="2066.75"/>
    <n v="0.13800000000000001"/>
    <s v="OK"/>
    <n v="0.13800000000000001"/>
    <n v="5"/>
    <n v="8907.6924999999992"/>
    <n v="1711094.3775999998"/>
    <n v="4767.3"/>
    <n v="4140.392499999999"/>
    <n v="0.46481089238318446"/>
    <n v="44928"/>
    <s v="Jan-2023"/>
  </r>
  <r>
    <x v="284"/>
    <x v="238"/>
    <x v="1"/>
    <x v="1"/>
    <d v="2025-05-28T00:00:00"/>
    <s v="OK"/>
    <d v="2025-05-28T00:00:00"/>
    <n v="11"/>
    <s v="Asia"/>
    <x v="6"/>
    <s v="Bengaluru"/>
    <s v="Bengaluru"/>
    <s v="Asia &gt; India &gt; Bengaluru"/>
    <s v="Corporate"/>
    <s v="Distributor"/>
    <s v="Distributor"/>
    <s v="B. Chen"/>
    <x v="6"/>
    <s v="Laptops"/>
    <x v="3"/>
    <s v="High"/>
    <x v="284"/>
    <n v="623.4"/>
    <n v="1100.0899999999999"/>
    <s v="OK"/>
    <n v="1100.0899999999999"/>
    <n v="0.114"/>
    <s v="OK"/>
    <n v="0.114"/>
    <n v="12"/>
    <n v="11696.156879999999"/>
    <n v="1711094.3775999998"/>
    <n v="7480.7999999999993"/>
    <n v="4215.3568799999994"/>
    <n v="0.36040529579490388"/>
    <n v="44928"/>
    <s v="Jan-2023"/>
  </r>
  <r>
    <x v="285"/>
    <x v="137"/>
    <x v="17"/>
    <x v="7"/>
    <d v="2024-09-07T00:00:00"/>
    <s v="OK"/>
    <d v="2024-09-07T00:00:00"/>
    <n v="0"/>
    <s v="Asia"/>
    <x v="6"/>
    <s v="Mumbai"/>
    <s v="Mumbai"/>
    <s v="Asia &gt; India &gt; Mumbai"/>
    <s v="Education"/>
    <s v="Distributor"/>
    <s v="Distributor"/>
    <s v="B. Chen"/>
    <x v="6"/>
    <s v="Networking"/>
    <x v="6"/>
    <s v="High"/>
    <x v="285"/>
    <n v="1066.6500000000001"/>
    <n v="2569.77"/>
    <s v="OK"/>
    <n v="2569.77"/>
    <n v="0.13400000000000001"/>
    <s v="OK"/>
    <n v="0.13400000000000001"/>
    <n v="9"/>
    <n v="20028.787380000002"/>
    <e v="#VALUE!"/>
    <n v="9599.85"/>
    <n v="10428.937380000001"/>
    <n v="0.52069739331368348"/>
    <n v="44928"/>
    <s v="Jan-2023"/>
  </r>
  <r>
    <x v="286"/>
    <x v="239"/>
    <x v="22"/>
    <x v="0"/>
    <d v="2024-01-29T00:00:00"/>
    <s v="OK"/>
    <d v="2024-01-29T00:00:00"/>
    <n v="17"/>
    <s v="Asia"/>
    <x v="6"/>
    <s v="Hyderabad"/>
    <s v="Hyderabad"/>
    <s v="Asia &gt; India &gt; Hyderabad"/>
    <s v="Small Business"/>
    <s v="Direct"/>
    <s v="Direct"/>
    <s v="B. Chen"/>
    <x v="6"/>
    <s v="Components"/>
    <x v="0"/>
    <s v="Low"/>
    <x v="286"/>
    <n v="310.02"/>
    <n v="619.51"/>
    <s v="OK"/>
    <n v="619.51"/>
    <n v="4.2000000000000003E-2"/>
    <s v="OK"/>
    <n v="4.2000000000000003E-2"/>
    <n v="4"/>
    <n v="2373.9623200000001"/>
    <n v="1550200.534329999"/>
    <n v="1240.08"/>
    <n v="1133.8823200000002"/>
    <n v="0.47763282106347843"/>
    <n v="44928"/>
    <s v="Jan-2023"/>
  </r>
  <r>
    <x v="287"/>
    <x v="195"/>
    <x v="21"/>
    <x v="10"/>
    <d v="2023-09-03T00:00:00"/>
    <s v="OK"/>
    <d v="2023-09-03T00:00:00"/>
    <n v="4"/>
    <s v="Asia"/>
    <x v="6"/>
    <s v="Delhi"/>
    <s v="Delhi"/>
    <s v="Asia &gt; India &gt; Delhi"/>
    <s v="Small Business"/>
    <s v="Marketplace"/>
    <s v="Marketplace"/>
    <s v="L. Okafor"/>
    <x v="10"/>
    <s v="Accessories"/>
    <x v="1"/>
    <s v="High"/>
    <x v="287"/>
    <n v="1082.25"/>
    <n v="2433.34"/>
    <s v="OK"/>
    <n v="2433.34"/>
    <n v="0.27"/>
    <s v="OK"/>
    <n v="0.27"/>
    <n v="4"/>
    <n v="7105.3528000000006"/>
    <e v="#VALUE!"/>
    <n v="4329"/>
    <n v="2776.3528000000006"/>
    <n v="0.3907410199251472"/>
    <n v="44928"/>
    <s v="Jan-2023"/>
  </r>
  <r>
    <x v="288"/>
    <x v="154"/>
    <x v="7"/>
    <x v="1"/>
    <d v="2025-05-27T00:00:00"/>
    <s v="OK"/>
    <d v="2025-05-27T00:00:00"/>
    <n v="30"/>
    <s v="Asia"/>
    <x v="6"/>
    <m/>
    <s v="Unkown"/>
    <s v="Asia &gt; India &gt; Unkown"/>
    <s v="Enterprise"/>
    <s v="Marketplace"/>
    <s v="Marketplace"/>
    <s v="H. Kim"/>
    <x v="15"/>
    <s v="Phones"/>
    <x v="4"/>
    <s v="High"/>
    <x v="288"/>
    <n v="481.32"/>
    <n v="1135.99"/>
    <s v="OK"/>
    <n v="1135.99"/>
    <n v="0.14499999999999999"/>
    <s v="OK"/>
    <n v="0.14499999999999999"/>
    <n v="5"/>
    <n v="4856.35725"/>
    <n v="1399242.2240200008"/>
    <n v="2406.6"/>
    <n v="2449.7572500000001"/>
    <n v="0.50444337677175621"/>
    <n v="44928"/>
    <s v="Jan-2023"/>
  </r>
  <r>
    <x v="289"/>
    <x v="240"/>
    <x v="23"/>
    <x v="0"/>
    <d v="2024-03-04T00:00:00"/>
    <s v="OK"/>
    <d v="2024-03-04T00:00:00"/>
    <n v="16"/>
    <s v="Asia"/>
    <x v="6"/>
    <s v="Delhi"/>
    <s v="Delhi"/>
    <s v="Asia &gt; India &gt; Delhi"/>
    <s v="Small Business"/>
    <s v="Marketplace"/>
    <s v="Marketplace"/>
    <s v="F. Müller"/>
    <x v="8"/>
    <s v="Phones"/>
    <x v="4"/>
    <s v="High"/>
    <x v="289"/>
    <n v="1231.8"/>
    <n v="2015.99"/>
    <s v="OK"/>
    <n v="2015.99"/>
    <n v="0.26100000000000001"/>
    <s v="OK"/>
    <n v="0.26100000000000001"/>
    <n v="6"/>
    <n v="8938.8996600000009"/>
    <n v="1399242.2240200008"/>
    <n v="7390.7999999999993"/>
    <n v="1548.0996600000017"/>
    <n v="0.17318682599464391"/>
    <n v="44928"/>
    <s v="Jan-2023"/>
  </r>
  <r>
    <x v="290"/>
    <x v="241"/>
    <x v="31"/>
    <x v="1"/>
    <d v="2025-07-05T00:00:00"/>
    <s v="OK"/>
    <d v="2025-07-05T00:00:00"/>
    <n v="18"/>
    <s v="Asia"/>
    <x v="6"/>
    <s v="Delhi"/>
    <s v="Delhi"/>
    <s v="Asia &gt; India &gt; Delhi"/>
    <s v="Consumer"/>
    <s v="Marketplace"/>
    <s v="Marketplace"/>
    <s v="L. Okafor"/>
    <x v="10"/>
    <s v="Laptops"/>
    <x v="3"/>
    <s v="High"/>
    <x v="290"/>
    <n v="982.93"/>
    <n v="2299.3000000000002"/>
    <s v="OK"/>
    <n v="2299.3000000000002"/>
    <n v="0.113"/>
    <s v="OK"/>
    <n v="0.113"/>
    <n v="6"/>
    <n v="12236.874600000001"/>
    <n v="1711094.3775999998"/>
    <n v="5897.58"/>
    <n v="6339.2946000000011"/>
    <n v="0.51804850562087157"/>
    <n v="44928"/>
    <s v="Jan-2023"/>
  </r>
  <r>
    <x v="291"/>
    <x v="242"/>
    <x v="2"/>
    <x v="2"/>
    <d v="2025-03-29T00:00:00"/>
    <s v="OK"/>
    <d v="2025-03-29T00:00:00"/>
    <n v="14"/>
    <s v="Asia"/>
    <x v="6"/>
    <s v="Mumbai"/>
    <s v="Mumbai"/>
    <s v="Asia &gt; India &gt; Mumbai"/>
    <s v="Enterprise"/>
    <s v="Direct"/>
    <s v="Direct"/>
    <s v="C. Otieno"/>
    <x v="0"/>
    <s v="Components"/>
    <x v="0"/>
    <s v="High"/>
    <x v="291"/>
    <n v="935.83"/>
    <n v="2303.46"/>
    <s v="OK"/>
    <n v="2303.46"/>
    <n v="0.105"/>
    <s v="OK"/>
    <n v="0.105"/>
    <n v="9"/>
    <n v="18554.370299999999"/>
    <n v="1550200.534329999"/>
    <n v="8422.4700000000012"/>
    <n v="10131.900299999998"/>
    <n v="0.54606543559174292"/>
    <n v="44928"/>
    <s v="Jan-2023"/>
  </r>
  <r>
    <x v="292"/>
    <x v="243"/>
    <x v="26"/>
    <x v="8"/>
    <d v="2023-06-19T00:00:00"/>
    <s v="OK"/>
    <d v="2023-06-19T00:00:00"/>
    <n v="30"/>
    <s v="Asia"/>
    <x v="6"/>
    <s v="Delhi"/>
    <s v="Delhi"/>
    <s v="Asia &gt; India &gt; Delhi"/>
    <s v="Non-Profit"/>
    <s v="Marketplace"/>
    <s v="Marketplace"/>
    <s v="H. Kim"/>
    <x v="15"/>
    <s v="Laptops"/>
    <x v="3"/>
    <s v="High"/>
    <x v="292"/>
    <n v="1161.2"/>
    <n v="878.73"/>
    <s v="OK"/>
    <n v="878.73"/>
    <n v="0.19"/>
    <s v="OK"/>
    <n v="0.19"/>
    <n v="31"/>
    <n v="22064.910300000003"/>
    <n v="1711094.3775999998"/>
    <n v="35997.200000000004"/>
    <n v="-13932.289700000001"/>
    <n v="-0.63142290227212028"/>
    <n v="44928"/>
    <s v="Jan-2023"/>
  </r>
  <r>
    <x v="293"/>
    <x v="244"/>
    <x v="1"/>
    <x v="1"/>
    <d v="2025-05-26T00:00:00"/>
    <s v="OK"/>
    <d v="2025-05-26T00:00:00"/>
    <n v="14"/>
    <s v="Asia"/>
    <x v="6"/>
    <s v="Hyderabad"/>
    <s v="Hyderabad"/>
    <s v="Asia &gt; India &gt; Hyderabad"/>
    <s v="Corporate"/>
    <s v="Marketplace"/>
    <s v="Marketplace"/>
    <s v="G. Dubois"/>
    <x v="4"/>
    <s v="Printers"/>
    <x v="5"/>
    <s v="Low"/>
    <x v="293"/>
    <n v="320.12"/>
    <n v="594.41999999999996"/>
    <s v="OK"/>
    <n v="594.41999999999996"/>
    <n v="0.104"/>
    <s v="OK"/>
    <n v="0.104"/>
    <n v="18"/>
    <n v="9586.8057599999993"/>
    <n v="1616910.1886600002"/>
    <n v="5762.16"/>
    <n v="3824.6457599999994"/>
    <n v="0.39894891538931104"/>
    <n v="44928"/>
    <s v="Jan-2023"/>
  </r>
  <r>
    <x v="294"/>
    <x v="245"/>
    <x v="30"/>
    <x v="9"/>
    <d v="2025-01-14T00:00:00"/>
    <s v="OK"/>
    <d v="2025-01-14T00:00:00"/>
    <n v="25"/>
    <s v="Asia"/>
    <x v="6"/>
    <s v="Delhi"/>
    <s v="Delhi"/>
    <s v="Asia &gt; India &gt; Delhi"/>
    <s v="Small Business"/>
    <s v="Retail"/>
    <s v="Retail"/>
    <s v="M. Rossi"/>
    <x v="13"/>
    <s v="Printers"/>
    <x v="5"/>
    <s v="High"/>
    <x v="294"/>
    <n v="1361.34"/>
    <n v="1737.9"/>
    <s v="OK"/>
    <n v="1737.9"/>
    <n v="7.6999999999999999E-2"/>
    <s v="OK"/>
    <n v="7.6999999999999999E-2"/>
    <n v="14"/>
    <n v="22457.143800000002"/>
    <n v="1616910.1886600002"/>
    <n v="19058.759999999998"/>
    <n v="3398.3838000000032"/>
    <n v="0.15132751654731813"/>
    <n v="44928"/>
    <s v="Jan-2023"/>
  </r>
  <r>
    <x v="295"/>
    <x v="246"/>
    <x v="2"/>
    <x v="2"/>
    <d v="2025-03-15T00:00:00"/>
    <s v="OK"/>
    <d v="2025-03-15T00:00:00"/>
    <n v="7"/>
    <s v="Asia"/>
    <x v="6"/>
    <s v="Bengaluru"/>
    <s v="Bengaluru"/>
    <s v="Asia &gt; India &gt; Bengaluru"/>
    <s v="Corporate"/>
    <s v="Distributor"/>
    <s v="Distributor"/>
    <s v="K. Singh"/>
    <x v="3"/>
    <s v="Laptops"/>
    <x v="3"/>
    <s v="Low"/>
    <x v="295"/>
    <n v="475.66"/>
    <n v="529.14"/>
    <s v="OK"/>
    <n v="529.14"/>
    <n v="0.19600000000000001"/>
    <s v="OK"/>
    <n v="0.19600000000000001"/>
    <n v="11"/>
    <n v="4679.7141600000004"/>
    <n v="1711094.3775999998"/>
    <n v="5232.26"/>
    <n v="-552.54583999999977"/>
    <n v="-0.11807256193613323"/>
    <n v="44928"/>
    <s v="Jan-2023"/>
  </r>
  <r>
    <x v="296"/>
    <x v="247"/>
    <x v="6"/>
    <x v="5"/>
    <d v="2024-06-24T00:00:00"/>
    <s v="OK"/>
    <d v="2024-06-24T00:00:00"/>
    <n v="18"/>
    <s v="Asia"/>
    <x v="6"/>
    <s v="Bengaluru"/>
    <s v="Bengaluru"/>
    <s v="Asia &gt; India &gt; Bengaluru"/>
    <s v="Small Business"/>
    <s v="Direct"/>
    <s v="Direct"/>
    <s v="H. Kim"/>
    <x v="15"/>
    <s v="Networking"/>
    <x v="6"/>
    <s v="High"/>
    <x v="296"/>
    <n v="1253.25"/>
    <n v="3087.13"/>
    <s v="OK"/>
    <n v="3087.13"/>
    <n v="7.1999999999999995E-2"/>
    <s v="OK"/>
    <n v="7.1999999999999995E-2"/>
    <n v="11"/>
    <n v="31513.423040000001"/>
    <e v="#VALUE!"/>
    <n v="13785.75"/>
    <n v="17727.673040000001"/>
    <n v="0.562543555408064"/>
    <n v="44928"/>
    <s v="Jan-2023"/>
  </r>
  <r>
    <x v="297"/>
    <x v="148"/>
    <x v="13"/>
    <x v="9"/>
    <d v="2024-12-10T00:00:00"/>
    <s v="OK"/>
    <d v="2024-12-10T00:00:00"/>
    <n v="10"/>
    <s v="Asia"/>
    <x v="6"/>
    <s v="Hyderabad"/>
    <s v="Hyderabad"/>
    <s v="Asia &gt; India &gt; Hyderabad"/>
    <s v="Small Business"/>
    <s v="Retail"/>
    <s v="Retail"/>
    <s v="F. Müller"/>
    <x v="8"/>
    <s v="Accessories"/>
    <x v="1"/>
    <s v="High"/>
    <x v="297"/>
    <n v="851.49"/>
    <n v="901.79"/>
    <s v="OK"/>
    <n v="901.79"/>
    <n v="0.245"/>
    <s v="OK"/>
    <n v="0.245"/>
    <n v="16"/>
    <n v="10893.6232"/>
    <e v="#VALUE!"/>
    <n v="13623.84"/>
    <n v="-2730.2168000000001"/>
    <n v="-0.25062522816100341"/>
    <n v="44928"/>
    <s v="Jan-2023"/>
  </r>
  <r>
    <x v="298"/>
    <x v="248"/>
    <x v="31"/>
    <x v="1"/>
    <d v="2025-06-14T00:00:00"/>
    <s v="OK"/>
    <d v="2025-06-14T00:00:00"/>
    <n v="9"/>
    <s v="Asia"/>
    <x v="6"/>
    <s v="Delhi"/>
    <s v="Delhi"/>
    <s v="Asia &gt; India &gt; Delhi"/>
    <s v="Non-Profit"/>
    <s v="Retail"/>
    <s v="Retail"/>
    <s v="A. Patel"/>
    <x v="1"/>
    <s v="Accessories"/>
    <x v="1"/>
    <s v="Low"/>
    <x v="298"/>
    <n v="618.69000000000005"/>
    <n v="796.15"/>
    <s v="OK"/>
    <n v="796.15"/>
    <n v="0.09"/>
    <s v="OK"/>
    <n v="0.09"/>
    <n v="11"/>
    <n v="7969.4615000000003"/>
    <e v="#VALUE!"/>
    <n v="6805.59"/>
    <n v="1163.8715000000002"/>
    <n v="0.14604142325049191"/>
    <n v="44928"/>
    <s v="Jan-2023"/>
  </r>
  <r>
    <x v="299"/>
    <x v="18"/>
    <x v="3"/>
    <x v="3"/>
    <d v="2025-09-25T00:00:00"/>
    <s v="OK"/>
    <d v="2025-09-25T00:00:00"/>
    <n v="10"/>
    <s v="Asia"/>
    <x v="6"/>
    <s v="Delhi"/>
    <s v="Delhi"/>
    <s v="Asia &gt; India &gt; Delhi"/>
    <s v="Consumer"/>
    <s v="Retail"/>
    <s v="Retail"/>
    <s v="A. Patel"/>
    <x v="1"/>
    <s v="Phones"/>
    <x v="4"/>
    <s v="High"/>
    <x v="299"/>
    <n v="1488.91"/>
    <n v="1483.74"/>
    <s v="OK"/>
    <n v="1483.74"/>
    <n v="0.16800000000000001"/>
    <s v="OK"/>
    <n v="0.16800000000000001"/>
    <n v="24"/>
    <n v="29627.320319999999"/>
    <n v="1399242.2240200008"/>
    <n v="35733.840000000004"/>
    <n v="-6106.5196800000049"/>
    <n v="-0.20611110333450519"/>
    <n v="44928"/>
    <s v="Jan-2023"/>
  </r>
  <r>
    <x v="300"/>
    <x v="249"/>
    <x v="23"/>
    <x v="0"/>
    <d v="2024-03-26T00:00:00"/>
    <s v="OK"/>
    <d v="2024-03-26T00:00:00"/>
    <n v="28"/>
    <s v="Asia"/>
    <x v="6"/>
    <s v="Mumbai"/>
    <s v="Mumbai"/>
    <s v="Asia &gt; India &gt; Mumbai"/>
    <s v="Education"/>
    <s v="Marketplace"/>
    <s v="Marketplace"/>
    <s v="G. Dubois"/>
    <x v="4"/>
    <s v="Laptops"/>
    <x v="3"/>
    <s v="High"/>
    <x v="300"/>
    <n v="1035.19"/>
    <n v="2322.6999999999998"/>
    <s v="OK"/>
    <n v="2322.6999999999998"/>
    <n v="0.17299999999999999"/>
    <s v="OK"/>
    <n v="0.17299999999999999"/>
    <n v="8"/>
    <n v="15366.983199999999"/>
    <n v="1711094.3775999998"/>
    <n v="8281.52"/>
    <n v="7085.4631999999983"/>
    <n v="0.46108355217047409"/>
    <n v="44928"/>
    <s v="Jan-2023"/>
  </r>
  <r>
    <x v="301"/>
    <x v="250"/>
    <x v="10"/>
    <x v="7"/>
    <d v="2024-09-12T00:00:00"/>
    <s v="OK"/>
    <d v="2024-09-12T00:00:00"/>
    <n v="25"/>
    <s v="Asia"/>
    <x v="6"/>
    <s v="Mumbai"/>
    <s v="Mumbai"/>
    <s v="Asia &gt; India &gt; Mumbai"/>
    <s v="Consumer"/>
    <s v="Marketplace"/>
    <s v="Marketplace"/>
    <s v="C. Otieno"/>
    <x v="0"/>
    <s v="Phones"/>
    <x v="4"/>
    <s v="High"/>
    <x v="301"/>
    <n v="1154.03"/>
    <n v="1590.36"/>
    <s v="OK"/>
    <n v="1590.36"/>
    <n v="0.314"/>
    <s v="Excess dis"/>
    <n v="0.3"/>
    <n v="18"/>
    <n v="20038.536"/>
    <n v="1399242.2240200008"/>
    <n v="20772.54"/>
    <n v="-734.00400000000081"/>
    <n v="-3.6629622044245191E-2"/>
    <n v="44928"/>
    <s v="Jan-2023"/>
  </r>
  <r>
    <x v="302"/>
    <x v="251"/>
    <x v="1"/>
    <x v="1"/>
    <d v="2025-05-13T00:00:00"/>
    <s v="OK"/>
    <d v="2025-05-13T00:00:00"/>
    <n v="6"/>
    <s v="Asia"/>
    <x v="6"/>
    <s v="Bengaluru"/>
    <s v="Bengaluru"/>
    <s v="Asia &gt; India &gt; Bengaluru"/>
    <s v="Enterprise"/>
    <s v="Direct"/>
    <s v="Direct"/>
    <s v="J. Njeri"/>
    <x v="2"/>
    <s v="Phones"/>
    <x v="4"/>
    <s v="High"/>
    <x v="302"/>
    <n v="935.98"/>
    <n v="2077.69"/>
    <s v="OK"/>
    <n v="2077.69"/>
    <n v="0.17499999999999999"/>
    <s v="OK"/>
    <n v="0.17499999999999999"/>
    <n v="24"/>
    <n v="41138.261999999995"/>
    <n v="1399242.2240200008"/>
    <n v="22463.52"/>
    <n v="18674.741999999995"/>
    <n v="0.45395067978321491"/>
    <n v="44928"/>
    <s v="Jan-2023"/>
  </r>
  <r>
    <x v="303"/>
    <x v="252"/>
    <x v="30"/>
    <x v="9"/>
    <d v="2025-01-13T00:00:00"/>
    <s v="OK"/>
    <d v="2025-01-13T00:00:00"/>
    <n v="20"/>
    <s v="Asia"/>
    <x v="6"/>
    <s v="Bengaluru"/>
    <s v="Bengaluru"/>
    <s v="Asia &gt; India &gt; Bengaluru"/>
    <s v="Corporate"/>
    <s v="Marketplace"/>
    <s v="Marketplace"/>
    <s v="D. Smith"/>
    <x v="14"/>
    <s v="Networking"/>
    <x v="6"/>
    <s v="Low"/>
    <x v="303"/>
    <n v="126.15"/>
    <n v="284.23"/>
    <s v="OK"/>
    <n v="284.23"/>
    <n v="0.113"/>
    <s v="OK"/>
    <n v="0.113"/>
    <n v="22"/>
    <n v="5546.4642200000008"/>
    <e v="#VALUE!"/>
    <n v="2775.3"/>
    <n v="2771.1642200000006"/>
    <n v="0.49962716968541088"/>
    <n v="44928"/>
    <s v="Jan-2023"/>
  </r>
  <r>
    <x v="304"/>
    <x v="253"/>
    <x v="0"/>
    <x v="0"/>
    <d v="2024-03-26T00:00:00"/>
    <s v="OK"/>
    <d v="2024-03-26T00:00:00"/>
    <n v="3"/>
    <s v="Asia"/>
    <x v="6"/>
    <s v="Bengaluru"/>
    <s v="Bengaluru"/>
    <s v="Asia &gt; India &gt; Bengaluru"/>
    <s v="Education"/>
    <s v="Direct"/>
    <s v="Direct"/>
    <s v="G. Dubois"/>
    <x v="4"/>
    <s v="Phones"/>
    <x v="4"/>
    <s v="Low"/>
    <x v="304"/>
    <n v="382.21"/>
    <n v="571.89"/>
    <s v="OK"/>
    <n v="571.89"/>
    <n v="0.14799999999999999"/>
    <s v="OK"/>
    <n v="0.14799999999999999"/>
    <n v="26"/>
    <n v="12668.50728"/>
    <n v="1399242.2240200008"/>
    <n v="9937.4599999999991"/>
    <n v="2731.0472800000007"/>
    <n v="0.2155776698578809"/>
    <n v="44928"/>
    <s v="Jan-2023"/>
  </r>
  <r>
    <x v="305"/>
    <x v="254"/>
    <x v="29"/>
    <x v="10"/>
    <d v="2023-09-28T00:00:00"/>
    <s v="OK"/>
    <d v="2023-09-28T00:00:00"/>
    <n v="8"/>
    <s v="Asia"/>
    <x v="6"/>
    <m/>
    <s v="Unkown"/>
    <s v="Asia &gt; India &gt; Unkown"/>
    <s v="Corporate"/>
    <m/>
    <s v="Unknown"/>
    <s v="B. Chen"/>
    <x v="6"/>
    <s v="Accessories"/>
    <x v="1"/>
    <s v="High"/>
    <x v="305"/>
    <n v="1362.06"/>
    <n v="3398.37"/>
    <s v="OK"/>
    <n v="3398.37"/>
    <n v="0.157"/>
    <s v="OK"/>
    <n v="0.157"/>
    <n v="11"/>
    <n v="31513.085009999999"/>
    <e v="#VALUE!"/>
    <n v="14982.66"/>
    <n v="16530.425009999999"/>
    <n v="0.52455749745714919"/>
    <n v="44928"/>
    <s v="Jan-2023"/>
  </r>
  <r>
    <x v="306"/>
    <x v="255"/>
    <x v="14"/>
    <x v="10"/>
    <d v="2023-07-21T00:00:00"/>
    <s v="Invalid date"/>
    <d v="2023-07-27T00:00:00"/>
    <n v="5"/>
    <s v="Asia"/>
    <x v="6"/>
    <s v="Delhi"/>
    <s v="Delhi"/>
    <s v="Asia &gt; India &gt; Delhi"/>
    <s v="Small Business"/>
    <s v="Distributor"/>
    <s v="Distributor"/>
    <s v="E. Garcia"/>
    <x v="11"/>
    <s v="Printers"/>
    <x v="5"/>
    <s v="High"/>
    <x v="306"/>
    <n v="946.99"/>
    <n v="2132.19"/>
    <s v="OK"/>
    <n v="2132.19"/>
    <n v="0.16500000000000001"/>
    <s v="OK"/>
    <n v="0.16500000000000001"/>
    <n v="7"/>
    <n v="12462.65055"/>
    <n v="1616910.1886600002"/>
    <n v="6628.93"/>
    <n v="5833.72055"/>
    <n v="0.46809629513362228"/>
    <n v="44928"/>
    <s v="Jan-2023"/>
  </r>
  <r>
    <x v="307"/>
    <x v="222"/>
    <x v="16"/>
    <x v="5"/>
    <d v="2024-05-16T00:00:00"/>
    <s v="OK"/>
    <d v="2024-05-16T00:00:00"/>
    <n v="15"/>
    <s v="Asia"/>
    <x v="6"/>
    <s v="Bengaluru"/>
    <s v="Bengaluru"/>
    <s v="Asia &gt; India &gt; Bengaluru"/>
    <s v="Small Business"/>
    <s v="Retail"/>
    <s v="Retail"/>
    <s v="L. Okafor"/>
    <x v="10"/>
    <s v="Components"/>
    <x v="0"/>
    <s v="High"/>
    <x v="307"/>
    <n v="901.19"/>
    <n v="2125.44"/>
    <s v="OK"/>
    <n v="2125.44"/>
    <n v="7.0999999999999994E-2"/>
    <s v="OK"/>
    <n v="7.0999999999999994E-2"/>
    <n v="12"/>
    <n v="23694.405119999999"/>
    <n v="1550200.534329999"/>
    <n v="10814.28"/>
    <n v="12880.125119999999"/>
    <n v="0.54359352154100415"/>
    <n v="44928"/>
    <s v="Jan-2023"/>
  </r>
  <r>
    <x v="308"/>
    <x v="256"/>
    <x v="9"/>
    <x v="6"/>
    <d v="2024-01-14T00:00:00"/>
    <s v="OK"/>
    <d v="2024-01-14T00:00:00"/>
    <n v="27"/>
    <s v="Asia"/>
    <x v="6"/>
    <s v="Mumbai"/>
    <s v="Mumbai"/>
    <s v="Asia &gt; India &gt; Mumbai"/>
    <s v="Consumer"/>
    <s v="Distributor"/>
    <s v="Distributor"/>
    <s v="D. Smith"/>
    <x v="14"/>
    <s v="Networking"/>
    <x v="6"/>
    <s v="High"/>
    <x v="308"/>
    <n v="1408.3"/>
    <n v="2193.13"/>
    <s v="OK"/>
    <n v="2193.13"/>
    <n v="7.0999999999999994E-2"/>
    <s v="OK"/>
    <n v="7.0999999999999994E-2"/>
    <n v="7"/>
    <n v="14261.92439"/>
    <e v="#VALUE!"/>
    <n v="9858.1"/>
    <n v="4403.8243899999998"/>
    <n v="0.30878191957656281"/>
    <n v="44928"/>
    <s v="Jan-2023"/>
  </r>
  <r>
    <x v="309"/>
    <x v="257"/>
    <x v="16"/>
    <x v="5"/>
    <d v="2024-06-17T00:00:00"/>
    <s v="OK"/>
    <d v="2024-06-17T00:00:00"/>
    <n v="21"/>
    <s v="Asia"/>
    <x v="6"/>
    <s v="Delhi"/>
    <s v="Delhi"/>
    <s v="Asia &gt; India &gt; Delhi"/>
    <s v="Small Business"/>
    <s v="Online"/>
    <s v="Online"/>
    <s v="H. Kim"/>
    <x v="15"/>
    <s v="Accessories"/>
    <x v="1"/>
    <s v="Low"/>
    <x v="309"/>
    <n v="465.02"/>
    <n v="651.55999999999995"/>
    <s v="OK"/>
    <n v="651.55999999999995"/>
    <n v="4.2000000000000003E-2"/>
    <s v="OK"/>
    <n v="4.2000000000000003E-2"/>
    <n v="19"/>
    <n v="11859.695119999998"/>
    <e v="#VALUE!"/>
    <n v="8835.3799999999992"/>
    <n v="3024.3151199999993"/>
    <n v="0.25500783025187918"/>
    <n v="44928"/>
    <s v="Jan-2023"/>
  </r>
  <r>
    <x v="310"/>
    <x v="139"/>
    <x v="26"/>
    <x v="8"/>
    <d v="2023-05-16T00:00:00"/>
    <s v="OK"/>
    <d v="2023-05-16T00:00:00"/>
    <n v="14"/>
    <s v="Asia"/>
    <x v="6"/>
    <s v="Bengaluru"/>
    <s v="Bengaluru"/>
    <s v="Asia &gt; India &gt; Bengaluru"/>
    <s v="Non-Profit"/>
    <s v="Retail"/>
    <s v="Retail"/>
    <s v="L. Okafor"/>
    <x v="10"/>
    <s v="Monitors"/>
    <x v="2"/>
    <s v="High"/>
    <x v="310"/>
    <n v="475.37"/>
    <n v="963.73"/>
    <s v="OK"/>
    <n v="963.73"/>
    <n v="4.1000000000000002E-2"/>
    <s v="OK"/>
    <n v="4.1000000000000002E-2"/>
    <n v="22"/>
    <n v="20332.775539999999"/>
    <e v="#VALUE!"/>
    <n v="10458.14"/>
    <n v="9874.6355399999993"/>
    <n v="0.48565113604750881"/>
    <n v="44928"/>
    <s v="Jan-2023"/>
  </r>
  <r>
    <x v="311"/>
    <x v="258"/>
    <x v="13"/>
    <x v="9"/>
    <d v="2024-11-21T00:00:00"/>
    <s v="OK"/>
    <d v="2024-11-21T00:00:00"/>
    <n v="9"/>
    <s v="Asia"/>
    <x v="6"/>
    <s v="Mumbai"/>
    <s v="Mumbai"/>
    <s v="Asia &gt; India &gt; Mumbai"/>
    <s v="Corporate"/>
    <s v="Direct"/>
    <s v="Direct"/>
    <s v="H. Kim"/>
    <x v="15"/>
    <s v="Laptops"/>
    <x v="3"/>
    <s v="High"/>
    <x v="311"/>
    <n v="903.41"/>
    <n v="1860.41"/>
    <s v="OK"/>
    <n v="1860.41"/>
    <n v="0.108"/>
    <s v="OK"/>
    <n v="0.108"/>
    <n v="5"/>
    <n v="8297.4286000000011"/>
    <n v="1711094.3775999998"/>
    <n v="4517.05"/>
    <n v="3780.3786000000009"/>
    <n v="0.455608451996803"/>
    <n v="44928"/>
    <s v="Jan-2023"/>
  </r>
  <r>
    <x v="312"/>
    <x v="259"/>
    <x v="26"/>
    <x v="8"/>
    <d v="2023-05-14T00:00:00"/>
    <s v="OK"/>
    <d v="2023-05-14T00:00:00"/>
    <n v="4"/>
    <s v="Asia"/>
    <x v="6"/>
    <s v="Delhi"/>
    <s v="Delhi"/>
    <s v="Asia &gt; India &gt; Delhi"/>
    <s v="Non-Profit"/>
    <s v="Distributor"/>
    <s v="Distributor"/>
    <s v="C. Otieno"/>
    <x v="0"/>
    <s v="Monitors"/>
    <x v="2"/>
    <s v="High"/>
    <x v="312"/>
    <n v="622.6"/>
    <n v="833.69"/>
    <s v="OK"/>
    <n v="833.69"/>
    <n v="0.20899999999999999"/>
    <s v="OK"/>
    <n v="0.20899999999999999"/>
    <n v="14"/>
    <n v="9232.2830599999998"/>
    <e v="#VALUE!"/>
    <n v="8716.4"/>
    <n v="515.88306000000011"/>
    <n v="5.5878167582959715E-2"/>
    <n v="44928"/>
    <s v="Jan-2023"/>
  </r>
  <r>
    <x v="313"/>
    <x v="260"/>
    <x v="25"/>
    <x v="2"/>
    <d v="2025-01-05T00:00:00"/>
    <s v="OK"/>
    <d v="2025-01-05T00:00:00"/>
    <n v="1"/>
    <s v="Asia"/>
    <x v="6"/>
    <s v="Delhi"/>
    <s v="Delhi"/>
    <s v="Asia &gt; India &gt; Delhi"/>
    <s v="Education"/>
    <s v="Retail"/>
    <s v="Retail"/>
    <s v="I. Johnson"/>
    <x v="12"/>
    <s v="Components"/>
    <x v="0"/>
    <s v="High"/>
    <x v="313"/>
    <n v="1428.33"/>
    <n v="3028.05"/>
    <s v="OK"/>
    <n v="3028.05"/>
    <n v="0"/>
    <s v="OK"/>
    <n v="0"/>
    <n v="11"/>
    <n v="33308.550000000003"/>
    <n v="1550200.534329999"/>
    <n v="15711.63"/>
    <n v="17596.920000000006"/>
    <n v="0.52830039134096207"/>
    <n v="44928"/>
    <s v="Jan-2023"/>
  </r>
  <r>
    <x v="314"/>
    <x v="261"/>
    <x v="24"/>
    <x v="3"/>
    <d v="2025-08-28T00:00:00"/>
    <s v="OK"/>
    <d v="2025-08-28T00:00:00"/>
    <n v="23"/>
    <s v="Asia"/>
    <x v="6"/>
    <s v="Mumbai"/>
    <s v="Mumbai"/>
    <s v="Asia &gt; India &gt; Mumbai"/>
    <s v="Non-Profit"/>
    <s v="Distributor"/>
    <s v="Distributor"/>
    <s v="N. Brown"/>
    <x v="5"/>
    <s v="Laptops"/>
    <x v="3"/>
    <s v="High"/>
    <x v="314"/>
    <n v="638.54"/>
    <n v="987.24"/>
    <s v="OK"/>
    <n v="987.24"/>
    <n v="0"/>
    <s v="OK"/>
    <n v="0"/>
    <n v="11"/>
    <n v="10859.64"/>
    <n v="1711094.3775999998"/>
    <n v="7023.94"/>
    <n v="3835.7"/>
    <n v="0.35320692030306716"/>
    <n v="44928"/>
    <s v="Jan-2023"/>
  </r>
  <r>
    <x v="315"/>
    <x v="259"/>
    <x v="26"/>
    <x v="8"/>
    <d v="2023-05-27T00:00:00"/>
    <s v="OK"/>
    <d v="2023-05-27T00:00:00"/>
    <n v="17"/>
    <s v="Asia"/>
    <x v="6"/>
    <s v="Mumbai"/>
    <s v="Mumbai"/>
    <s v="Asia &gt; India &gt; Mumbai"/>
    <s v="Consumer"/>
    <s v="Retail"/>
    <s v="Retail"/>
    <s v="M. Rossi"/>
    <x v="13"/>
    <s v="Laptops"/>
    <x v="3"/>
    <s v="High"/>
    <x v="315"/>
    <n v="1286.1600000000001"/>
    <n v="3101.11"/>
    <s v="OK"/>
    <n v="3101.11"/>
    <n v="0.1"/>
    <s v="OK"/>
    <n v="0.1"/>
    <n v="23"/>
    <n v="64192.976999999999"/>
    <n v="1711094.3775999998"/>
    <n v="29581.68"/>
    <n v="34611.296999999999"/>
    <n v="0.53917575749758417"/>
    <n v="44928"/>
    <s v="Jan-2023"/>
  </r>
  <r>
    <x v="316"/>
    <x v="262"/>
    <x v="26"/>
    <x v="8"/>
    <d v="2023-05-20T00:00:00"/>
    <s v="OK"/>
    <d v="2023-05-20T00:00:00"/>
    <n v="13"/>
    <s v="Asia"/>
    <x v="6"/>
    <s v="Mumbai"/>
    <s v="Mumbai"/>
    <s v="Asia &gt; India &gt; Mumbai"/>
    <s v="Enterprise"/>
    <s v="Retail"/>
    <s v="Retail"/>
    <s v="D. Smith"/>
    <x v="14"/>
    <s v="Accessories"/>
    <x v="1"/>
    <s v="High"/>
    <x v="316"/>
    <n v="1443.28"/>
    <n v="2580.5700000000002"/>
    <s v="OK"/>
    <n v="2580.5700000000002"/>
    <n v="0"/>
    <s v="OK"/>
    <n v="0"/>
    <n v="18"/>
    <n v="46450.26"/>
    <e v="#VALUE!"/>
    <n v="25979.040000000001"/>
    <n v="20471.22"/>
    <n v="0.4407127107577008"/>
    <n v="44928"/>
    <s v="Jan-2023"/>
  </r>
  <r>
    <x v="317"/>
    <x v="263"/>
    <x v="22"/>
    <x v="0"/>
    <d v="2024-01-12T00:00:00"/>
    <s v="OK"/>
    <d v="2024-01-12T00:00:00"/>
    <n v="4"/>
    <s v="Asia"/>
    <x v="6"/>
    <s v="Bengaluru"/>
    <s v="Bengaluru"/>
    <s v="Asia &gt; India &gt; Bengaluru"/>
    <s v="Corporate"/>
    <s v="Direct"/>
    <s v="Direct"/>
    <s v="E. Garcia"/>
    <x v="11"/>
    <s v="Printers"/>
    <x v="5"/>
    <s v="Low"/>
    <x v="317"/>
    <n v="802.32"/>
    <n v="602.34"/>
    <s v="OK"/>
    <n v="602.34"/>
    <n v="0.12"/>
    <s v="OK"/>
    <n v="0.12"/>
    <n v="25"/>
    <n v="13251.48"/>
    <n v="1616910.1886600002"/>
    <n v="20058"/>
    <n v="-6806.52"/>
    <n v="-0.51364224977134632"/>
    <n v="44928"/>
    <s v="Jan-2023"/>
  </r>
  <r>
    <x v="318"/>
    <x v="221"/>
    <x v="11"/>
    <x v="8"/>
    <d v="2023-06-01T00:00:00"/>
    <s v="OK"/>
    <d v="2023-06-01T00:00:00"/>
    <n v="0"/>
    <s v="Asia"/>
    <x v="6"/>
    <s v="Bengaluru"/>
    <s v="Bengaluru"/>
    <s v="Asia &gt; India &gt; Bengaluru"/>
    <s v="Corporate"/>
    <s v="Retail"/>
    <s v="Retail"/>
    <s v="E. Garcia"/>
    <x v="11"/>
    <s v="Accessories"/>
    <x v="1"/>
    <s v="High"/>
    <x v="318"/>
    <n v="669.37"/>
    <n v="997.2"/>
    <s v="OK"/>
    <n v="997.2"/>
    <n v="8.2000000000000003E-2"/>
    <s v="OK"/>
    <n v="8.2000000000000003E-2"/>
    <n v="5"/>
    <n v="4577.1480000000001"/>
    <e v="#VALUE!"/>
    <n v="3346.85"/>
    <n v="1230.2980000000002"/>
    <n v="0.26879139586484863"/>
    <n v="44928"/>
    <s v="Jan-2023"/>
  </r>
  <r>
    <x v="319"/>
    <x v="141"/>
    <x v="2"/>
    <x v="2"/>
    <d v="2025-04-04T00:00:00"/>
    <s v="OK"/>
    <d v="2025-04-04T00:00:00"/>
    <n v="11"/>
    <s v="Asia"/>
    <x v="6"/>
    <s v="Mumbai"/>
    <s v="Mumbai"/>
    <s v="Asia &gt; India &gt; Mumbai"/>
    <s v="Education"/>
    <s v="Marketplace"/>
    <s v="Marketplace"/>
    <s v="J. Njeri"/>
    <x v="2"/>
    <s v="Phones"/>
    <x v="4"/>
    <s v="Low"/>
    <x v="319"/>
    <n v="23.83"/>
    <n v="47.29"/>
    <s v="OK"/>
    <n v="47.29"/>
    <n v="6.4000000000000001E-2"/>
    <s v="OK"/>
    <n v="6.4000000000000001E-2"/>
    <n v="19"/>
    <n v="841.00536"/>
    <n v="1399242.2240200008"/>
    <n v="452.77"/>
    <n v="388.23536000000001"/>
    <n v="0.46163244429262618"/>
    <n v="44928"/>
    <s v="Jan-2023"/>
  </r>
  <r>
    <x v="320"/>
    <x v="264"/>
    <x v="27"/>
    <x v="7"/>
    <d v="2024-08-23T00:00:00"/>
    <s v="OK"/>
    <d v="2024-08-23T00:00:00"/>
    <n v="26"/>
    <s v="Asia"/>
    <x v="6"/>
    <s v="Hyderabad"/>
    <s v="Hyderabad"/>
    <s v="Asia &gt; India &gt; Hyderabad"/>
    <s v="Corporate"/>
    <s v="Retail"/>
    <s v="Retail"/>
    <s v="J. Njeri"/>
    <x v="2"/>
    <s v="Networking"/>
    <x v="6"/>
    <s v="High"/>
    <x v="320"/>
    <n v="1339.24"/>
    <n v="1558.89"/>
    <s v="OK"/>
    <n v="1558.89"/>
    <n v="0.192"/>
    <s v="OK"/>
    <n v="0.192"/>
    <n v="24"/>
    <n v="30229.994880000002"/>
    <e v="#VALUE!"/>
    <n v="32141.760000000002"/>
    <n v="-1911.76512"/>
    <n v="-6.3240669659021781E-2"/>
    <n v="44928"/>
    <s v="Jan-2023"/>
  </r>
  <r>
    <x v="321"/>
    <x v="156"/>
    <x v="18"/>
    <x v="6"/>
    <d v="2023-12-12T00:00:00"/>
    <s v="OK"/>
    <d v="2023-12-12T00:00:00"/>
    <n v="23"/>
    <s v="Asia"/>
    <x v="6"/>
    <s v="Delhi"/>
    <s v="Delhi"/>
    <s v="Asia &gt; India &gt; Delhi"/>
    <s v="Small Business"/>
    <s v="Direct"/>
    <s v="Direct"/>
    <s v="C. Otieno"/>
    <x v="0"/>
    <s v="Networking"/>
    <x v="6"/>
    <s v="High"/>
    <x v="321"/>
    <n v="1349.04"/>
    <n v="2636.6"/>
    <s v="OK"/>
    <n v="2636.6"/>
    <n v="0.114"/>
    <s v="OK"/>
    <n v="0.114"/>
    <n v="14"/>
    <n v="32704.386400000003"/>
    <e v="#VALUE!"/>
    <n v="18886.559999999998"/>
    <n v="13817.826400000005"/>
    <n v="0.42250682312143928"/>
    <n v="44928"/>
    <s v="Jan-2023"/>
  </r>
  <r>
    <x v="322"/>
    <x v="265"/>
    <x v="9"/>
    <x v="6"/>
    <d v="2024-01-16T00:00:00"/>
    <s v="OK"/>
    <d v="2024-01-16T00:00:00"/>
    <n v="25"/>
    <s v="Asia"/>
    <x v="6"/>
    <s v="Hyderabad"/>
    <s v="Hyderabad"/>
    <s v="Asia &gt; India &gt; Hyderabad"/>
    <s v="Small Business"/>
    <s v="Retail"/>
    <s v="Retail"/>
    <s v="A. Patel"/>
    <x v="1"/>
    <s v="Components"/>
    <x v="0"/>
    <s v="High"/>
    <x v="322"/>
    <n v="1346.81"/>
    <n v="978.09"/>
    <s v="OK"/>
    <n v="978.09"/>
    <n v="0.159"/>
    <s v="OK"/>
    <n v="0.159"/>
    <n v="17"/>
    <n v="13983.752729999998"/>
    <n v="1550200.534329999"/>
    <n v="22895.77"/>
    <n v="-8912.0172700000021"/>
    <n v="-0.6373122753293996"/>
    <n v="44928"/>
    <s v="Jan-2023"/>
  </r>
  <r>
    <x v="323"/>
    <x v="266"/>
    <x v="9"/>
    <x v="6"/>
    <d v="2023-12-31T00:00:00"/>
    <s v="OK"/>
    <d v="2023-12-31T00:00:00"/>
    <n v="25"/>
    <s v="Asia"/>
    <x v="7"/>
    <s v="Osaka"/>
    <s v="Osaka"/>
    <s v="Asia &gt; Japan &gt; Osaka"/>
    <s v="Consumer"/>
    <s v="Retail"/>
    <s v="Retail"/>
    <s v="L. Okafor"/>
    <x v="10"/>
    <s v="Printers"/>
    <x v="5"/>
    <s v="Low"/>
    <x v="323"/>
    <n v="663.03"/>
    <n v="813.51"/>
    <s v="OK"/>
    <n v="813.51"/>
    <n v="0.10199999999999999"/>
    <s v="OK"/>
    <n v="0.10199999999999999"/>
    <n v="15"/>
    <n v="10957.9797"/>
    <n v="1616910.1886600002"/>
    <n v="9945.4499999999989"/>
    <n v="1012.529700000001"/>
    <n v="9.2401129379715952E-2"/>
    <n v="44928"/>
    <s v="Jan-2023"/>
  </r>
  <r>
    <x v="324"/>
    <x v="267"/>
    <x v="25"/>
    <x v="2"/>
    <d v="2025-01-23T00:00:00"/>
    <s v="OK"/>
    <d v="2025-01-23T00:00:00"/>
    <n v="20"/>
    <s v="Asia"/>
    <x v="7"/>
    <s v="Osaka"/>
    <s v="Osaka"/>
    <s v="Asia &gt; Japan &gt; Osaka"/>
    <s v="Corporate"/>
    <s v="Distributor"/>
    <s v="Distributor"/>
    <s v="F. Müller"/>
    <x v="8"/>
    <s v="Phones"/>
    <x v="4"/>
    <s v="Low"/>
    <x v="324"/>
    <n v="908.6"/>
    <n v="691.37"/>
    <s v="OK"/>
    <n v="691.37"/>
    <n v="0.25"/>
    <s v="OK"/>
    <n v="0.25"/>
    <n v="20"/>
    <n v="10370.549999999999"/>
    <n v="1399242.2240200008"/>
    <n v="18172"/>
    <n v="-7801.4500000000007"/>
    <n v="-0.75226964818645115"/>
    <n v="44928"/>
    <s v="Jan-2023"/>
  </r>
  <r>
    <x v="325"/>
    <x v="49"/>
    <x v="3"/>
    <x v="3"/>
    <d v="2025-09-16T00:00:00"/>
    <s v="OK"/>
    <d v="2025-09-16T00:00:00"/>
    <n v="8"/>
    <s v="Asia"/>
    <x v="7"/>
    <s v="Osaka"/>
    <s v="Osaka"/>
    <s v="Asia &gt; Japan &gt; Osaka"/>
    <s v="Corporate"/>
    <s v="Distributor"/>
    <s v="Distributor"/>
    <s v="C. Otieno"/>
    <x v="0"/>
    <s v="Phones"/>
    <x v="4"/>
    <s v="High"/>
    <x v="325"/>
    <n v="1225.57"/>
    <n v="2705.57"/>
    <s v="OK"/>
    <n v="2705.57"/>
    <n v="0.183"/>
    <s v="OK"/>
    <n v="0.183"/>
    <n v="16"/>
    <n v="35367.211040000002"/>
    <n v="1399242.2240200008"/>
    <n v="19609.12"/>
    <n v="15758.091040000003"/>
    <n v="0.44555650775453404"/>
    <n v="44928"/>
    <s v="Jan-2023"/>
  </r>
  <r>
    <x v="326"/>
    <x v="268"/>
    <x v="3"/>
    <x v="3"/>
    <d v="2025-09-12T00:00:00"/>
    <s v="OK"/>
    <d v="2025-09-12T00:00:00"/>
    <n v="2"/>
    <s v="Asia"/>
    <x v="7"/>
    <s v="Tokyo"/>
    <s v="Tokyo"/>
    <s v="Asia &gt; Japan &gt; Tokyo"/>
    <s v="Consumer"/>
    <s v="Online"/>
    <s v="Online"/>
    <s v="O. Wang"/>
    <x v="7"/>
    <s v="Components"/>
    <x v="0"/>
    <s v="High"/>
    <x v="326"/>
    <n v="1470.15"/>
    <n v="2593.7800000000002"/>
    <s v="OK"/>
    <n v="2593.7800000000002"/>
    <n v="0.11"/>
    <s v="OK"/>
    <n v="0.11"/>
    <n v="12"/>
    <n v="27701.570400000001"/>
    <n v="1550200.534329999"/>
    <n v="17641.800000000003"/>
    <n v="10059.770399999998"/>
    <n v="0.36314801849645306"/>
    <n v="44928"/>
    <s v="Jan-2023"/>
  </r>
  <r>
    <x v="327"/>
    <x v="269"/>
    <x v="16"/>
    <x v="5"/>
    <d v="2024-06-06T00:00:00"/>
    <s v="OK"/>
    <d v="2024-06-06T00:00:00"/>
    <n v="15"/>
    <s v="Asia"/>
    <x v="7"/>
    <s v="Nagoya"/>
    <s v="Nagoya"/>
    <s v="Asia &gt; Japan &gt; Nagoya"/>
    <s v="Corporate"/>
    <s v="Distributor"/>
    <s v="Distributor"/>
    <s v="C. Otieno"/>
    <x v="0"/>
    <s v="Monitors"/>
    <x v="2"/>
    <s v="High"/>
    <x v="327"/>
    <n v="673.88"/>
    <n v="1228.01"/>
    <s v="OK"/>
    <n v="1228.01"/>
    <n v="0.105"/>
    <s v="OK"/>
    <n v="0.105"/>
    <n v="13"/>
    <n v="14287.896349999999"/>
    <e v="#VALUE!"/>
    <n v="8760.44"/>
    <n v="5527.4563499999986"/>
    <n v="0.38686285332689996"/>
    <n v="44928"/>
    <s v="Jan-2023"/>
  </r>
  <r>
    <x v="328"/>
    <x v="270"/>
    <x v="11"/>
    <x v="8"/>
    <d v="2023-07-02T00:00:00"/>
    <s v="OK"/>
    <d v="2023-07-02T00:00:00"/>
    <n v="3"/>
    <s v="Asia"/>
    <x v="7"/>
    <s v="Nagoya"/>
    <s v="Nagoya"/>
    <s v="Asia &gt; Japan &gt; Nagoya"/>
    <s v="Education"/>
    <s v="Marketplace"/>
    <s v="Marketplace"/>
    <s v="F. Müller"/>
    <x v="8"/>
    <s v="Monitors"/>
    <x v="2"/>
    <s v="Low"/>
    <x v="328"/>
    <n v="55.65"/>
    <n v="83.57"/>
    <s v="OK"/>
    <n v="83.57"/>
    <n v="6.6000000000000003E-2"/>
    <s v="OK"/>
    <n v="6.6000000000000003E-2"/>
    <n v="8"/>
    <n v="624.43503999999996"/>
    <e v="#VALUE!"/>
    <n v="445.2"/>
    <n v="179.23503999999997"/>
    <n v="0.2870355257449998"/>
    <n v="44928"/>
    <s v="Jan-2023"/>
  </r>
  <r>
    <x v="329"/>
    <x v="220"/>
    <x v="7"/>
    <x v="1"/>
    <d v="2025-05-15T00:00:00"/>
    <s v="OK"/>
    <d v="2025-05-15T00:00:00"/>
    <n v="17"/>
    <s v="Asia"/>
    <x v="7"/>
    <s v="Nagoya"/>
    <s v="Nagoya"/>
    <s v="Asia &gt; Japan &gt; Nagoya"/>
    <s v="Education"/>
    <s v="Direct"/>
    <s v="Direct"/>
    <s v="N. Brown"/>
    <x v="5"/>
    <s v="Networking"/>
    <x v="6"/>
    <s v="High"/>
    <x v="329"/>
    <n v="691.19"/>
    <n v="1284.3"/>
    <s v="OK"/>
    <n v="1284.3"/>
    <n v="7.3999999999999996E-2"/>
    <s v="OK"/>
    <n v="7.3999999999999996E-2"/>
    <n v="7"/>
    <n v="8324.8326000000015"/>
    <e v="#VALUE!"/>
    <n v="4838.33"/>
    <n v="3486.5026000000016"/>
    <n v="0.41880753253825198"/>
    <n v="44928"/>
    <s v="Jan-2023"/>
  </r>
  <r>
    <x v="330"/>
    <x v="271"/>
    <x v="32"/>
    <x v="9"/>
    <d v="2024-11-08T00:00:00"/>
    <s v="OK"/>
    <d v="2024-11-08T00:00:00"/>
    <n v="23"/>
    <s v="Asia"/>
    <x v="7"/>
    <s v="Osaka"/>
    <s v="Osaka"/>
    <s v="Asia &gt; Japan &gt; Osaka"/>
    <s v="Small Business"/>
    <s v="Retail"/>
    <s v="Retail"/>
    <s v="J. Njeri"/>
    <x v="2"/>
    <s v="Networking"/>
    <x v="6"/>
    <s v="Low"/>
    <x v="330"/>
    <n v="82.14"/>
    <n v="166.04"/>
    <s v="OK"/>
    <n v="166.04"/>
    <n v="0"/>
    <s v="OK"/>
    <n v="0"/>
    <n v="10"/>
    <n v="1660.3999999999999"/>
    <e v="#VALUE!"/>
    <n v="821.4"/>
    <n v="838.99999999999989"/>
    <n v="0.50529992772825827"/>
    <n v="44928"/>
    <s v="Jan-2023"/>
  </r>
  <r>
    <x v="331"/>
    <x v="272"/>
    <x v="18"/>
    <x v="6"/>
    <d v="2023-12-05T00:00:00"/>
    <s v="OK"/>
    <d v="2023-12-05T00:00:00"/>
    <n v="15"/>
    <s v="Asia"/>
    <x v="7"/>
    <s v="Tokyo"/>
    <s v="Tokyo"/>
    <s v="Asia &gt; Japan &gt; Tokyo"/>
    <s v="Enterprise"/>
    <s v="Retail"/>
    <s v="Retail"/>
    <s v="L. Okafor"/>
    <x v="10"/>
    <s v="Networking"/>
    <x v="6"/>
    <s v="Low"/>
    <x v="331"/>
    <n v="354.24"/>
    <n v="249.87"/>
    <s v="OK"/>
    <n v="249.87"/>
    <n v="0"/>
    <s v="OK"/>
    <n v="0"/>
    <n v="6"/>
    <n v="1499.22"/>
    <e v="#VALUE!"/>
    <n v="2125.44"/>
    <n v="-626.22"/>
    <n v="-0.41769720254532355"/>
    <n v="44928"/>
    <s v="Jan-2023"/>
  </r>
  <r>
    <x v="332"/>
    <x v="226"/>
    <x v="9"/>
    <x v="6"/>
    <d v="2023-12-05T00:00:00"/>
    <s v="Invalid date"/>
    <d v="2023-12-12T00:00:00"/>
    <n v="5"/>
    <s v="Asia"/>
    <x v="7"/>
    <s v="Tokyo"/>
    <s v="Tokyo"/>
    <s v="Asia &gt; Japan &gt; Tokyo"/>
    <s v="Non-Profit"/>
    <s v="Marketplace"/>
    <s v="Marketplace"/>
    <s v="H. Kim"/>
    <x v="15"/>
    <s v="Printers"/>
    <x v="5"/>
    <s v="High"/>
    <x v="332"/>
    <n v="1097.5899999999999"/>
    <n v="845.55"/>
    <s v="OK"/>
    <n v="845.55"/>
    <n v="0.184"/>
    <s v="OK"/>
    <n v="0.184"/>
    <n v="6"/>
    <n v="4139.8127999999997"/>
    <n v="1616910.1886600002"/>
    <n v="6585.5399999999991"/>
    <n v="-2445.7271999999994"/>
    <n v="-0.59078207594314402"/>
    <n v="44928"/>
    <s v="Jan-2023"/>
  </r>
  <r>
    <x v="333"/>
    <x v="273"/>
    <x v="10"/>
    <x v="7"/>
    <d v="2024-08-17T00:00:00"/>
    <s v="OK"/>
    <d v="2024-08-17T00:00:00"/>
    <n v="10"/>
    <s v="Asia"/>
    <x v="7"/>
    <s v="Osaka"/>
    <s v="Osaka"/>
    <s v="Asia &gt; Japan &gt; Osaka"/>
    <s v="Consumer"/>
    <s v="Online"/>
    <s v="Online"/>
    <s v="K. Singh"/>
    <x v="3"/>
    <s v="Networking"/>
    <x v="6"/>
    <s v="Low"/>
    <x v="333"/>
    <n v="436.58"/>
    <n v="527.48"/>
    <s v="OK"/>
    <n v="527.48"/>
    <n v="0.111"/>
    <s v="OK"/>
    <n v="0.111"/>
    <n v="19"/>
    <n v="8909.6646800000017"/>
    <e v="#VALUE!"/>
    <n v="8295.02"/>
    <n v="614.64468000000124"/>
    <n v="6.8986286473802644E-2"/>
    <n v="44928"/>
    <s v="Jan-2023"/>
  </r>
  <r>
    <x v="334"/>
    <x v="274"/>
    <x v="12"/>
    <x v="4"/>
    <d v="2023-03-26T00:00:00"/>
    <s v="OK"/>
    <d v="2023-03-26T00:00:00"/>
    <n v="1"/>
    <s v="Asia"/>
    <x v="7"/>
    <s v="Osaka"/>
    <s v="Osaka"/>
    <s v="Asia &gt; Japan &gt; Osaka"/>
    <s v="Small Business"/>
    <s v="Distributor"/>
    <s v="Distributor"/>
    <s v="I. Johnson"/>
    <x v="12"/>
    <s v="Monitors"/>
    <x v="2"/>
    <s v="Low"/>
    <x v="334"/>
    <n v="135.12"/>
    <n v="301.7"/>
    <s v="OK"/>
    <n v="301.7"/>
    <n v="0.14000000000000001"/>
    <s v="OK"/>
    <n v="0.14000000000000001"/>
    <n v="47"/>
    <n v="12194.714"/>
    <e v="#VALUE!"/>
    <n v="6350.64"/>
    <n v="5844.0739999999996"/>
    <n v="0.47923009920527859"/>
    <n v="44928"/>
    <s v="Jan-2023"/>
  </r>
  <r>
    <x v="335"/>
    <x v="275"/>
    <x v="27"/>
    <x v="7"/>
    <d v="2024-07-15T00:00:00"/>
    <s v="OK"/>
    <d v="2024-07-15T00:00:00"/>
    <n v="0"/>
    <s v="Asia"/>
    <x v="7"/>
    <s v="Tokyo"/>
    <s v="Tokyo"/>
    <s v="Asia &gt; Japan &gt; Tokyo"/>
    <s v="Small Business"/>
    <s v="Marketplace"/>
    <s v="Marketplace"/>
    <s v="G. Dubois"/>
    <x v="4"/>
    <s v="Accessories"/>
    <x v="1"/>
    <s v="High"/>
    <x v="335"/>
    <n v="801.77"/>
    <n v="1218.92"/>
    <s v="OK"/>
    <n v="1218.92"/>
    <n v="0.254"/>
    <s v="OK"/>
    <n v="0.254"/>
    <n v="16"/>
    <n v="14549.029120000001"/>
    <e v="#VALUE!"/>
    <n v="12828.32"/>
    <n v="1720.7091200000013"/>
    <n v="0.11826968698788344"/>
    <n v="44928"/>
    <s v="Jan-2023"/>
  </r>
  <r>
    <x v="336"/>
    <x v="276"/>
    <x v="29"/>
    <x v="10"/>
    <d v="2023-10-10T00:00:00"/>
    <s v="OK"/>
    <d v="2023-10-10T00:00:00"/>
    <n v="19"/>
    <s v="Asia"/>
    <x v="7"/>
    <s v="Tokyo"/>
    <s v="Tokyo"/>
    <s v="Asia &gt; Japan &gt; Tokyo"/>
    <s v="Education"/>
    <s v="Online"/>
    <s v="Online"/>
    <s v="D. Smith"/>
    <x v="14"/>
    <s v="Components"/>
    <x v="0"/>
    <s v="High"/>
    <x v="336"/>
    <n v="845.63"/>
    <n v="2062.12"/>
    <s v="OK"/>
    <n v="2062.12"/>
    <n v="0.13400000000000001"/>
    <s v="OK"/>
    <n v="0.13400000000000001"/>
    <n v="5"/>
    <n v="8928.9795999999988"/>
    <n v="1550200.534329999"/>
    <n v="4228.1499999999996"/>
    <n v="4700.8295999999991"/>
    <n v="0.52646884757133949"/>
    <n v="44928"/>
    <s v="Jan-2023"/>
  </r>
  <r>
    <x v="337"/>
    <x v="277"/>
    <x v="8"/>
    <x v="2"/>
    <d v="2025-03-04T00:00:00"/>
    <s v="OK"/>
    <d v="2025-03-04T00:00:00"/>
    <n v="30"/>
    <s v="Asia"/>
    <x v="7"/>
    <s v="Osaka"/>
    <s v="Osaka"/>
    <s v="Asia &gt; Japan &gt; Osaka"/>
    <s v="Education"/>
    <s v="Distributor"/>
    <s v="Distributor"/>
    <s v="L. Okafor"/>
    <x v="10"/>
    <s v="Accessories"/>
    <x v="1"/>
    <s v="High"/>
    <x v="337"/>
    <n v="766.59"/>
    <n v="1912.8"/>
    <s v="OK"/>
    <n v="1912.8"/>
    <n v="0.19600000000000001"/>
    <s v="OK"/>
    <n v="0.19600000000000001"/>
    <n v="5"/>
    <n v="7689.4560000000001"/>
    <e v="#VALUE!"/>
    <n v="3832.9500000000003"/>
    <n v="3856.5059999999999"/>
    <n v="0.50153170783472845"/>
    <n v="44928"/>
    <s v="Jan-2023"/>
  </r>
  <r>
    <x v="338"/>
    <x v="278"/>
    <x v="32"/>
    <x v="9"/>
    <d v="2024-11-14T00:00:00"/>
    <s v="OK"/>
    <d v="2024-11-14T00:00:00"/>
    <n v="22"/>
    <s v="Asia"/>
    <x v="7"/>
    <s v="Osaka"/>
    <s v="Osaka"/>
    <s v="Asia &gt; Japan &gt; Osaka"/>
    <s v="Non-Profit"/>
    <s v="Direct"/>
    <s v="Direct"/>
    <s v="B. Chen"/>
    <x v="6"/>
    <s v="Phones"/>
    <x v="4"/>
    <s v="High"/>
    <x v="338"/>
    <n v="1406.4"/>
    <n v="1564.76"/>
    <s v="OK"/>
    <n v="1564.76"/>
    <n v="0.185"/>
    <s v="OK"/>
    <n v="0.185"/>
    <n v="17"/>
    <n v="21679.749799999998"/>
    <n v="1399242.2240200008"/>
    <n v="23908.800000000003"/>
    <n v="-2229.0502000000051"/>
    <n v="-0.10281715520536151"/>
    <n v="44928"/>
    <s v="Jan-2023"/>
  </r>
  <r>
    <x v="339"/>
    <x v="279"/>
    <x v="23"/>
    <x v="0"/>
    <d v="2024-03-30T00:00:00"/>
    <s v="OK"/>
    <d v="2024-03-30T00:00:00"/>
    <n v="30"/>
    <s v="Asia"/>
    <x v="7"/>
    <s v="Nagoya"/>
    <s v="Nagoya"/>
    <s v="Asia &gt; Japan &gt; Nagoya"/>
    <s v="Small Business"/>
    <s v="Direct"/>
    <s v="Direct"/>
    <s v="I. Johnson"/>
    <x v="12"/>
    <s v="Networking"/>
    <x v="6"/>
    <s v="Low"/>
    <x v="339"/>
    <n v="231.11"/>
    <n v="318.17"/>
    <s v="OK"/>
    <n v="318.17"/>
    <n v="0.20100000000000001"/>
    <s v="OK"/>
    <n v="0.20100000000000001"/>
    <n v="60"/>
    <n v="15253.069799999999"/>
    <e v="#VALUE!"/>
    <n v="13866.6"/>
    <n v="1386.4697999999989"/>
    <n v="9.0897754889969692E-2"/>
    <n v="44928"/>
    <s v="Jan-2023"/>
  </r>
  <r>
    <x v="340"/>
    <x v="189"/>
    <x v="14"/>
    <x v="10"/>
    <d v="2023-08-07T00:00:00"/>
    <s v="OK"/>
    <d v="2023-08-07T00:00:00"/>
    <n v="8"/>
    <s v="Asia"/>
    <x v="7"/>
    <s v="Nagoya"/>
    <s v="Nagoya"/>
    <s v="Asia &gt; Japan &gt; Nagoya"/>
    <s v="Education"/>
    <s v="Marketplace"/>
    <s v="Marketplace"/>
    <s v="A. Patel"/>
    <x v="1"/>
    <s v="Networking"/>
    <x v="6"/>
    <s v="High"/>
    <x v="340"/>
    <n v="1352.44"/>
    <n v="2698.01"/>
    <s v="OK"/>
    <n v="2698.01"/>
    <n v="0.13100000000000001"/>
    <s v="OK"/>
    <n v="0.13100000000000001"/>
    <n v="13"/>
    <n v="30479.418970000002"/>
    <e v="#VALUE!"/>
    <n v="17581.72"/>
    <n v="12897.698970000001"/>
    <n v="0.42316091992090887"/>
    <n v="44928"/>
    <s v="Jan-2023"/>
  </r>
  <r>
    <x v="341"/>
    <x v="280"/>
    <x v="17"/>
    <x v="7"/>
    <d v="2024-09-25T00:00:00"/>
    <s v="OK"/>
    <d v="2024-09-25T00:00:00"/>
    <n v="20"/>
    <s v="Asia"/>
    <x v="7"/>
    <s v="Osaka"/>
    <s v="Osaka"/>
    <s v="Asia &gt; Japan &gt; Osaka"/>
    <s v="Enterprise"/>
    <s v="Distributor"/>
    <s v="Distributor"/>
    <s v="D. Smith"/>
    <x v="14"/>
    <s v="Monitors"/>
    <x v="2"/>
    <s v="Low"/>
    <x v="341"/>
    <n v="195.54"/>
    <n v="405.97"/>
    <s v="OK"/>
    <n v="405.97"/>
    <n v="0.187"/>
    <s v="OK"/>
    <n v="0.187"/>
    <n v="16"/>
    <n v="5280.8577599999999"/>
    <e v="#VALUE!"/>
    <n v="3128.64"/>
    <n v="2152.21776"/>
    <n v="0.40755079152141377"/>
    <n v="44928"/>
    <s v="Jan-2023"/>
  </r>
  <r>
    <x v="342"/>
    <x v="281"/>
    <x v="22"/>
    <x v="0"/>
    <d v="2024-02-02T00:00:00"/>
    <s v="OK"/>
    <d v="2024-02-02T00:00:00"/>
    <n v="22"/>
    <s v="Asia"/>
    <x v="7"/>
    <s v="Nagoya"/>
    <s v="Nagoya"/>
    <s v="Asia &gt; Japan &gt; Nagoya"/>
    <s v="Small Business"/>
    <s v="Online"/>
    <s v="Online"/>
    <m/>
    <x v="9"/>
    <s v="Printers"/>
    <x v="5"/>
    <s v="High"/>
    <x v="342"/>
    <n v="1237.68"/>
    <n v="1432.8"/>
    <s v="OK"/>
    <n v="1432.8"/>
    <n v="6.8000000000000005E-2"/>
    <s v="OK"/>
    <n v="6.8000000000000005E-2"/>
    <n v="13"/>
    <n v="17359.804799999998"/>
    <n v="1616910.1886600002"/>
    <n v="16089.84"/>
    <n v="1269.9647999999979"/>
    <n v="7.315547695559331E-2"/>
    <n v="44928"/>
    <s v="Jan-2023"/>
  </r>
  <r>
    <x v="343"/>
    <x v="282"/>
    <x v="24"/>
    <x v="3"/>
    <d v="2025-08-08T00:00:00"/>
    <s v="OK"/>
    <d v="2025-08-08T00:00:00"/>
    <n v="6"/>
    <s v="Asia"/>
    <x v="7"/>
    <s v="Osaka"/>
    <s v="Osaka"/>
    <s v="Asia &gt; Japan &gt; Osaka"/>
    <s v="Consumer"/>
    <s v="Direct"/>
    <s v="Direct"/>
    <s v="N. Brown"/>
    <x v="5"/>
    <s v="Laptops"/>
    <x v="3"/>
    <s v="High"/>
    <x v="343"/>
    <n v="1225.94"/>
    <n v="1793.08"/>
    <s v="OK"/>
    <n v="1793.08"/>
    <n v="0.13600000000000001"/>
    <s v="OK"/>
    <n v="0.13600000000000001"/>
    <n v="22"/>
    <n v="34082.864639999993"/>
    <n v="1711094.3775999998"/>
    <n v="26970.68"/>
    <n v="7112.1846399999922"/>
    <n v="0.20867332353434462"/>
    <n v="44928"/>
    <s v="Jan-2023"/>
  </r>
  <r>
    <x v="344"/>
    <x v="283"/>
    <x v="3"/>
    <x v="3"/>
    <d v="2025-09-30T00:00:00"/>
    <s v="OK"/>
    <d v="2025-09-30T00:00:00"/>
    <n v="18"/>
    <s v="Asia"/>
    <x v="7"/>
    <s v="Nagoya"/>
    <s v="Nagoya"/>
    <s v="Asia &gt; Japan &gt; Nagoya"/>
    <s v="Non-Profit"/>
    <s v="Marketplace"/>
    <s v="Marketplace"/>
    <s v="F. Müller"/>
    <x v="8"/>
    <s v="Monitors"/>
    <x v="2"/>
    <s v="High"/>
    <x v="344"/>
    <n v="1212.99"/>
    <n v="1653.64"/>
    <s v="OK"/>
    <n v="1653.64"/>
    <n v="0.107"/>
    <s v="OK"/>
    <n v="0.107"/>
    <n v="8"/>
    <n v="11813.604160000001"/>
    <e v="#VALUE!"/>
    <n v="9703.92"/>
    <n v="2109.6841600000007"/>
    <n v="0.17858090819931455"/>
    <n v="44928"/>
    <s v="Jan-2023"/>
  </r>
  <r>
    <x v="345"/>
    <x v="284"/>
    <x v="32"/>
    <x v="9"/>
    <d v="2024-11-20T00:00:00"/>
    <s v="OK"/>
    <d v="2024-11-20T00:00:00"/>
    <n v="24"/>
    <s v="Asia"/>
    <x v="7"/>
    <s v="Nagoya"/>
    <s v="Nagoya"/>
    <s v="Asia &gt; Japan &gt; Nagoya"/>
    <s v="Non-Profit"/>
    <s v="Online"/>
    <s v="Online"/>
    <s v="H. Kim"/>
    <x v="15"/>
    <s v="Monitors"/>
    <x v="2"/>
    <s v="Low"/>
    <x v="345"/>
    <n v="317.25"/>
    <n v="758.92"/>
    <s v="OK"/>
    <n v="758.92"/>
    <n v="5.2999999999999999E-2"/>
    <s v="OK"/>
    <n v="5.2999999999999999E-2"/>
    <n v="9"/>
    <n v="6468.2751599999992"/>
    <e v="#VALUE!"/>
    <n v="2855.25"/>
    <n v="3613.0251599999992"/>
    <n v="0.5585762928489888"/>
    <n v="44928"/>
    <s v="Jan-2023"/>
  </r>
  <r>
    <x v="346"/>
    <x v="134"/>
    <x v="2"/>
    <x v="2"/>
    <d v="2025-03-29T00:00:00"/>
    <s v="OK"/>
    <d v="2025-03-29T00:00:00"/>
    <n v="15"/>
    <s v="Asia"/>
    <x v="7"/>
    <s v="Tokyo"/>
    <s v="Tokyo"/>
    <s v="Asia &gt; Japan &gt; Tokyo"/>
    <s v="Non-Profit"/>
    <s v="Direct"/>
    <s v="Direct"/>
    <s v="H. Kim"/>
    <x v="15"/>
    <s v="Networking"/>
    <x v="6"/>
    <s v="High"/>
    <x v="346"/>
    <n v="1106.96"/>
    <n v="2726.62"/>
    <s v="OK"/>
    <n v="2726.62"/>
    <n v="0.317"/>
    <s v="Excess dis"/>
    <n v="0.3"/>
    <n v="7"/>
    <n v="13360.438"/>
    <e v="#VALUE!"/>
    <n v="7748.72"/>
    <n v="5611.7179999999998"/>
    <n v="0.42002500217432992"/>
    <n v="44928"/>
    <s v="Jan-2023"/>
  </r>
  <r>
    <x v="347"/>
    <x v="12"/>
    <x v="11"/>
    <x v="8"/>
    <d v="2023-07-21T00:00:00"/>
    <s v="OK"/>
    <d v="2023-07-21T00:00:00"/>
    <n v="27"/>
    <s v="Asia"/>
    <x v="7"/>
    <s v="Nagoya"/>
    <s v="Nagoya"/>
    <s v="Asia &gt; Japan &gt; Nagoya"/>
    <s v="Consumer"/>
    <s v="Marketplace"/>
    <s v="Marketplace"/>
    <s v="J. Njeri"/>
    <x v="2"/>
    <s v="Phones"/>
    <x v="4"/>
    <s v="Low"/>
    <x v="347"/>
    <n v="554.76"/>
    <n v="728.69"/>
    <s v="OK"/>
    <n v="728.69"/>
    <n v="0.22"/>
    <s v="OK"/>
    <n v="0.22"/>
    <n v="7"/>
    <n v="3978.6474000000003"/>
    <n v="1399242.2240200008"/>
    <n v="3883.3199999999997"/>
    <n v="95.32740000000058"/>
    <n v="2.395975074343119E-2"/>
    <n v="44928"/>
    <s v="Jan-2023"/>
  </r>
  <r>
    <x v="348"/>
    <x v="285"/>
    <x v="7"/>
    <x v="1"/>
    <d v="2025-05-04T00:00:00"/>
    <s v="OK"/>
    <d v="2025-05-04T00:00:00"/>
    <n v="23"/>
    <s v="Asia"/>
    <x v="7"/>
    <s v="Osaka"/>
    <s v="Osaka"/>
    <s v="Asia &gt; Japan &gt; Osaka"/>
    <s v="Small Business"/>
    <s v="Online"/>
    <s v="Online"/>
    <s v="M. Rossi"/>
    <x v="13"/>
    <s v="Components"/>
    <x v="0"/>
    <s v="High"/>
    <x v="348"/>
    <n v="786.2"/>
    <n v="1075.3"/>
    <s v="OK"/>
    <n v="1075.3"/>
    <n v="0.08"/>
    <s v="OK"/>
    <n v="0.08"/>
    <n v="9"/>
    <n v="8903.4839999999986"/>
    <n v="1550200.534329999"/>
    <n v="7075.8"/>
    <n v="1827.6839999999984"/>
    <n v="0.20527739478163815"/>
    <n v="44928"/>
    <s v="Jan-2023"/>
  </r>
  <r>
    <x v="349"/>
    <x v="165"/>
    <x v="25"/>
    <x v="2"/>
    <d v="2025-02-04T00:00:00"/>
    <s v="OK"/>
    <d v="2025-02-04T00:00:00"/>
    <n v="13"/>
    <s v="Asia"/>
    <x v="7"/>
    <s v="Tokyo"/>
    <s v="Tokyo"/>
    <s v="Asia &gt; Japan &gt; Tokyo"/>
    <s v="Small Business"/>
    <s v="Distributor"/>
    <s v="Distributor"/>
    <s v="L. Okafor"/>
    <x v="10"/>
    <s v="Printers"/>
    <x v="5"/>
    <s v="Low"/>
    <x v="349"/>
    <n v="122.29"/>
    <n v="224.95"/>
    <s v="OK"/>
    <n v="224.95"/>
    <n v="0.153"/>
    <s v="OK"/>
    <n v="0.153"/>
    <n v="28"/>
    <n v="5334.9141999999993"/>
    <n v="1616910.1886600002"/>
    <n v="3424.1200000000003"/>
    <n v="1910.7941999999989"/>
    <n v="0.3581677471026618"/>
    <n v="44928"/>
    <s v="Jan-2023"/>
  </r>
  <r>
    <x v="350"/>
    <x v="286"/>
    <x v="26"/>
    <x v="8"/>
    <d v="2023-05-14T00:00:00"/>
    <s v="OK"/>
    <d v="2023-05-14T00:00:00"/>
    <n v="8"/>
    <s v="Asia"/>
    <x v="7"/>
    <s v="Osaka"/>
    <s v="Osaka"/>
    <s v="Asia &gt; Japan &gt; Osaka"/>
    <s v="Enterprise"/>
    <s v="Marketplace"/>
    <s v="Marketplace"/>
    <s v="B. Chen"/>
    <x v="6"/>
    <s v="Phones"/>
    <x v="4"/>
    <s v="Low"/>
    <x v="350"/>
    <n v="291.18"/>
    <n v="479.54"/>
    <s v="OK"/>
    <n v="479.54"/>
    <n v="0.14099999999999999"/>
    <s v="OK"/>
    <n v="0.14099999999999999"/>
    <n v="22"/>
    <n v="9062.34692"/>
    <n v="1399242.2240200008"/>
    <n v="6405.96"/>
    <n v="2656.3869199999999"/>
    <n v="0.29312350801066001"/>
    <n v="44928"/>
    <s v="Jan-2023"/>
  </r>
  <r>
    <x v="351"/>
    <x v="52"/>
    <x v="27"/>
    <x v="7"/>
    <d v="2024-07-12T00:00:00"/>
    <s v="Invalid date"/>
    <d v="2024-07-18T00:00:00"/>
    <n v="5"/>
    <s v="Asia"/>
    <x v="7"/>
    <s v="Nagoya"/>
    <s v="Nagoya"/>
    <s v="Asia &gt; Japan &gt; Nagoya"/>
    <s v="Small Business"/>
    <s v="Marketplace"/>
    <s v="Marketplace"/>
    <s v="F. Müller"/>
    <x v="8"/>
    <s v="Networking"/>
    <x v="6"/>
    <s v="Low"/>
    <x v="351"/>
    <n v="105.13"/>
    <n v="244.13"/>
    <s v="OK"/>
    <n v="244.13"/>
    <n v="7.0999999999999994E-2"/>
    <s v="OK"/>
    <n v="7.0999999999999994E-2"/>
    <n v="14"/>
    <n v="3175.1547799999998"/>
    <e v="#VALUE!"/>
    <n v="1471.82"/>
    <n v="1703.3347799999999"/>
    <n v="0.53645724319618837"/>
    <n v="44928"/>
    <s v="Jan-2023"/>
  </r>
  <r>
    <x v="352"/>
    <x v="287"/>
    <x v="9"/>
    <x v="6"/>
    <d v="2023-12-18T00:00:00"/>
    <s v="OK"/>
    <d v="2023-12-18T00:00:00"/>
    <n v="17"/>
    <s v="Asia"/>
    <x v="7"/>
    <s v="Nagoya"/>
    <s v="Nagoya"/>
    <s v="Asia &gt; Japan &gt; Nagoya"/>
    <s v="Small Business"/>
    <s v="Direct"/>
    <s v="Direct"/>
    <s v="N. Brown"/>
    <x v="5"/>
    <s v="Laptops"/>
    <x v="3"/>
    <s v="High"/>
    <x v="352"/>
    <n v="1495.79"/>
    <n v="2783.12"/>
    <s v="OK"/>
    <n v="2783.12"/>
    <n v="0.02"/>
    <s v="OK"/>
    <n v="0.02"/>
    <n v="5"/>
    <n v="13637.287999999999"/>
    <n v="1711094.3775999998"/>
    <n v="7478.95"/>
    <n v="6158.3379999999988"/>
    <n v="0.45158084217331185"/>
    <n v="44928"/>
    <s v="Jan-2023"/>
  </r>
  <r>
    <x v="353"/>
    <x v="288"/>
    <x v="10"/>
    <x v="7"/>
    <d v="2024-08-20T00:00:00"/>
    <s v="OK"/>
    <d v="2024-08-20T00:00:00"/>
    <n v="12"/>
    <s v="Asia"/>
    <x v="7"/>
    <s v="Osaka"/>
    <s v="Osaka"/>
    <s v="Asia &gt; Japan &gt; Osaka"/>
    <s v="Small Business"/>
    <s v="Retail"/>
    <s v="Retail"/>
    <s v="H. Kim"/>
    <x v="15"/>
    <s v="Networking"/>
    <x v="6"/>
    <s v="High"/>
    <x v="353"/>
    <n v="1233.3599999999999"/>
    <n v="2120.4"/>
    <s v="OK"/>
    <n v="2120.4"/>
    <n v="0.17899999999999999"/>
    <s v="OK"/>
    <n v="0.17899999999999999"/>
    <n v="20"/>
    <n v="34816.968000000001"/>
    <e v="#VALUE!"/>
    <n v="24667.199999999997"/>
    <n v="10149.768000000004"/>
    <n v="0.29151785991244278"/>
    <n v="44928"/>
    <s v="Jan-2023"/>
  </r>
  <r>
    <x v="354"/>
    <x v="289"/>
    <x v="2"/>
    <x v="2"/>
    <d v="2025-04-09T00:00:00"/>
    <s v="OK"/>
    <d v="2025-04-09T00:00:00"/>
    <n v="19"/>
    <s v="Asia"/>
    <x v="7"/>
    <s v="Tokyo"/>
    <s v="Tokyo"/>
    <s v="Asia &gt; Japan &gt; Tokyo"/>
    <s v="Small Business"/>
    <s v="Distributor"/>
    <s v="Distributor"/>
    <s v="E. Garcia"/>
    <x v="11"/>
    <s v="Components"/>
    <x v="0"/>
    <s v="High"/>
    <x v="354"/>
    <n v="1055.45"/>
    <n v="1210.04"/>
    <s v="OK"/>
    <n v="1210.04"/>
    <n v="8.9999999999999993E-3"/>
    <s v="OK"/>
    <n v="8.9999999999999993E-3"/>
    <n v="18"/>
    <n v="21584.693520000001"/>
    <n v="1550200.534329999"/>
    <n v="18998.100000000002"/>
    <n v="2586.5935199999985"/>
    <n v="0.1198346188053727"/>
    <n v="44928"/>
    <s v="Jan-2023"/>
  </r>
  <r>
    <x v="355"/>
    <x v="290"/>
    <x v="1"/>
    <x v="1"/>
    <d v="2025-06-08T00:00:00"/>
    <s v="OK"/>
    <d v="2025-06-08T00:00:00"/>
    <n v="12"/>
    <s v="Asia"/>
    <x v="7"/>
    <s v="Osaka"/>
    <s v="Osaka"/>
    <s v="Asia &gt; Japan &gt; Osaka"/>
    <s v="Corporate"/>
    <s v="Retail"/>
    <s v="Retail"/>
    <s v="H. Kim"/>
    <x v="15"/>
    <s v="Accessories"/>
    <x v="1"/>
    <s v="High"/>
    <x v="355"/>
    <n v="653.6"/>
    <n v="842.09"/>
    <s v="OK"/>
    <n v="842.09"/>
    <n v="9.8000000000000004E-2"/>
    <s v="OK"/>
    <n v="9.8000000000000004E-2"/>
    <n v="19"/>
    <n v="14431.738420000001"/>
    <e v="#VALUE!"/>
    <n v="12418.4"/>
    <n v="2013.3384200000019"/>
    <n v="0.13950768517324622"/>
    <n v="44928"/>
    <s v="Jan-2023"/>
  </r>
  <r>
    <x v="356"/>
    <x v="291"/>
    <x v="30"/>
    <x v="9"/>
    <d v="2024-12-20T00:00:00"/>
    <s v="OK"/>
    <d v="2024-12-20T00:00:00"/>
    <n v="8"/>
    <s v="Asia"/>
    <x v="7"/>
    <s v="Tokyo"/>
    <s v="Tokyo"/>
    <s v="Asia &gt; Japan &gt; Tokyo"/>
    <s v="Corporate"/>
    <s v="Retail"/>
    <s v="Retail"/>
    <s v="B. Chen"/>
    <x v="6"/>
    <s v="Laptops"/>
    <x v="3"/>
    <s v="High"/>
    <x v="356"/>
    <n v="1202.47"/>
    <n v="1444.72"/>
    <s v="OK"/>
    <n v="1444.72"/>
    <n v="0.24099999999999999"/>
    <s v="OK"/>
    <n v="0.24099999999999999"/>
    <n v="17"/>
    <n v="18641.222160000001"/>
    <n v="1711094.3775999998"/>
    <n v="20441.990000000002"/>
    <n v="-1800.7678400000004"/>
    <n v="-9.6601382921343834E-2"/>
    <n v="44928"/>
    <s v="Jan-2023"/>
  </r>
  <r>
    <x v="357"/>
    <x v="292"/>
    <x v="10"/>
    <x v="7"/>
    <d v="2024-09-05T00:00:00"/>
    <s v="OK"/>
    <d v="2024-09-05T00:00:00"/>
    <n v="6"/>
    <s v="Asia"/>
    <x v="7"/>
    <s v="Nagoya"/>
    <s v="Nagoya"/>
    <s v="Asia &gt; Japan &gt; Nagoya"/>
    <s v="Education"/>
    <s v="Online"/>
    <s v="Online"/>
    <s v="N. Brown"/>
    <x v="5"/>
    <s v="Laptops"/>
    <x v="3"/>
    <s v="High"/>
    <x v="357"/>
    <n v="466.16"/>
    <n v="876.81"/>
    <s v="OK"/>
    <n v="876.81"/>
    <n v="0.24099999999999999"/>
    <s v="OK"/>
    <n v="0.24099999999999999"/>
    <n v="8"/>
    <n v="5323.9903199999999"/>
    <n v="1711094.3775999998"/>
    <n v="3729.28"/>
    <n v="1594.7103199999997"/>
    <n v="0.29953291124691594"/>
    <n v="44928"/>
    <s v="Jan-2023"/>
  </r>
  <r>
    <x v="358"/>
    <x v="293"/>
    <x v="20"/>
    <x v="6"/>
    <d v="2023-10-29T00:00:00"/>
    <s v="OK"/>
    <d v="2023-10-29T00:00:00"/>
    <n v="17"/>
    <s v="Asia"/>
    <x v="7"/>
    <s v="Nagoya"/>
    <s v="Nagoya"/>
    <s v="Asia &gt; Japan &gt; Nagoya"/>
    <s v="Non-Profit"/>
    <s v="Direct"/>
    <s v="Direct"/>
    <s v="H. Kim"/>
    <x v="15"/>
    <s v="Phones"/>
    <x v="4"/>
    <s v="High"/>
    <x v="358"/>
    <n v="1102.19"/>
    <n v="1711.16"/>
    <s v="OK"/>
    <n v="1711.16"/>
    <n v="0.151"/>
    <s v="OK"/>
    <n v="0.151"/>
    <n v="10"/>
    <n v="14527.748400000002"/>
    <n v="1399242.2240200008"/>
    <n v="11021.900000000001"/>
    <n v="3505.8484000000008"/>
    <n v="0.24132083675127525"/>
    <n v="44928"/>
    <s v="Jan-2023"/>
  </r>
  <r>
    <x v="359"/>
    <x v="102"/>
    <x v="19"/>
    <x v="8"/>
    <d v="2023-04-19T00:00:00"/>
    <s v="Invalid date"/>
    <d v="2023-04-26T00:00:00"/>
    <n v="5"/>
    <s v="Asia"/>
    <x v="7"/>
    <s v="Nagoya"/>
    <s v="Nagoya"/>
    <s v="Asia &gt; Japan &gt; Nagoya"/>
    <s v="Small Business"/>
    <s v="Direct"/>
    <s v="Direct"/>
    <s v="M. Rossi"/>
    <x v="13"/>
    <s v="Components"/>
    <x v="0"/>
    <s v="High"/>
    <x v="359"/>
    <n v="607.04"/>
    <n v="1229.3399999999999"/>
    <s v="OK"/>
    <n v="1229.3399999999999"/>
    <n v="0.14699999999999999"/>
    <s v="OK"/>
    <n v="0.14699999999999999"/>
    <n v="7"/>
    <n v="7340.3891399999993"/>
    <n v="1550200.534329999"/>
    <n v="4249.28"/>
    <n v="3091.1091399999996"/>
    <n v="0.42110970972310058"/>
    <n v="44928"/>
    <s v="Jan-2023"/>
  </r>
  <r>
    <x v="360"/>
    <x v="29"/>
    <x v="9"/>
    <x v="6"/>
    <d v="2024-01-13T00:00:00"/>
    <s v="OK"/>
    <d v="2024-01-13T00:00:00"/>
    <n v="20"/>
    <s v="Asia"/>
    <x v="7"/>
    <s v="Nagoya"/>
    <s v="Nagoya"/>
    <s v="Asia &gt; Japan &gt; Nagoya"/>
    <s v="Education"/>
    <s v="Direct"/>
    <s v="Direct"/>
    <s v="B. Chen"/>
    <x v="6"/>
    <s v="Laptops"/>
    <x v="3"/>
    <s v="High"/>
    <x v="360"/>
    <n v="625.37"/>
    <n v="1319.04"/>
    <s v="OK"/>
    <n v="1319.04"/>
    <n v="7.3999999999999996E-2"/>
    <s v="OK"/>
    <n v="7.3999999999999996E-2"/>
    <n v="8"/>
    <n v="9771.4483199999995"/>
    <n v="1711094.3775999998"/>
    <n v="5002.96"/>
    <n v="4768.4883199999995"/>
    <n v="0.48800220436513547"/>
    <n v="44928"/>
    <s v="Jan-2023"/>
  </r>
  <r>
    <x v="361"/>
    <x v="152"/>
    <x v="31"/>
    <x v="1"/>
    <d v="2025-06-24T00:00:00"/>
    <s v="OK"/>
    <d v="2025-06-24T00:00:00"/>
    <n v="15"/>
    <s v="Asia"/>
    <x v="7"/>
    <s v="Nagoya"/>
    <s v="Nagoya"/>
    <s v="Asia &gt; Japan &gt; Nagoya"/>
    <s v="Corporate"/>
    <s v="Direct"/>
    <s v="Direct"/>
    <s v="B. Chen"/>
    <x v="6"/>
    <s v="Phones"/>
    <x v="4"/>
    <s v="Low"/>
    <x v="361"/>
    <n v="400.39"/>
    <n v="712.75"/>
    <s v="OK"/>
    <n v="712.75"/>
    <n v="0.115"/>
    <s v="OK"/>
    <n v="0.115"/>
    <n v="19"/>
    <n v="11984.891250000001"/>
    <n v="1399242.2240200008"/>
    <n v="7607.41"/>
    <n v="4377.4812500000007"/>
    <n v="0.36524997671547504"/>
    <n v="44928"/>
    <s v="Jan-2023"/>
  </r>
  <r>
    <x v="362"/>
    <x v="294"/>
    <x v="14"/>
    <x v="10"/>
    <d v="2023-07-19T00:00:00"/>
    <s v="OK"/>
    <d v="2023-07-19T00:00:00"/>
    <n v="10"/>
    <s v="Asia"/>
    <x v="7"/>
    <s v="Tokyo"/>
    <s v="Tokyo"/>
    <s v="Asia &gt; Japan &gt; Tokyo"/>
    <s v="Enterprise"/>
    <s v="Distributor"/>
    <s v="Distributor"/>
    <s v="N. Brown"/>
    <x v="5"/>
    <s v="Components"/>
    <x v="0"/>
    <s v="Low"/>
    <x v="362"/>
    <n v="141.26"/>
    <n v="206.88"/>
    <s v="OK"/>
    <n v="206.88"/>
    <n v="0.107"/>
    <s v="OK"/>
    <n v="0.107"/>
    <n v="9"/>
    <n v="1662.6945600000001"/>
    <n v="1550200.534329999"/>
    <n v="1271.3399999999999"/>
    <n v="391.35456000000022"/>
    <n v="0.23537369365062469"/>
    <n v="44928"/>
    <s v="Jan-2023"/>
  </r>
  <r>
    <x v="363"/>
    <x v="295"/>
    <x v="4"/>
    <x v="3"/>
    <d v="2025-08-15T00:00:00"/>
    <s v="OK"/>
    <d v="2025-08-15T00:00:00"/>
    <n v="19"/>
    <s v="Asia"/>
    <x v="7"/>
    <s v="Tokyo"/>
    <s v="Tokyo"/>
    <s v="Asia &gt; Japan &gt; Tokyo"/>
    <s v="Small Business"/>
    <s v="Marketplace"/>
    <s v="Marketplace"/>
    <s v="J. Njeri"/>
    <x v="2"/>
    <s v="Components"/>
    <x v="0"/>
    <s v="Low"/>
    <x v="363"/>
    <n v="275.43"/>
    <n v="608.36"/>
    <s v="OK"/>
    <n v="608.36"/>
    <n v="0.25700000000000001"/>
    <s v="OK"/>
    <n v="0.25700000000000001"/>
    <n v="4"/>
    <n v="1808.04592"/>
    <n v="1550200.534329999"/>
    <n v="1101.72"/>
    <n v="706.32592"/>
    <n v="0.39065706915231446"/>
    <n v="44928"/>
    <s v="Jan-2023"/>
  </r>
  <r>
    <x v="364"/>
    <x v="95"/>
    <x v="22"/>
    <x v="0"/>
    <d v="2024-01-15T00:00:00"/>
    <s v="OK"/>
    <d v="2024-01-15T00:00:00"/>
    <n v="13"/>
    <s v="Asia"/>
    <x v="7"/>
    <s v="Nagoya"/>
    <s v="Nagoya"/>
    <s v="Asia &gt; Japan &gt; Nagoya"/>
    <s v="Small Business"/>
    <s v="Marketplace"/>
    <s v="Marketplace"/>
    <s v="G. Dubois"/>
    <x v="4"/>
    <s v="Networking"/>
    <x v="6"/>
    <s v="High"/>
    <x v="364"/>
    <n v="1219.06"/>
    <n v="2738.69"/>
    <s v="OK"/>
    <n v="2738.69"/>
    <n v="7.5999999999999998E-2"/>
    <s v="OK"/>
    <n v="7.5999999999999998E-2"/>
    <n v="16"/>
    <n v="40488.792960000006"/>
    <e v="#VALUE!"/>
    <n v="19504.96"/>
    <n v="20983.832960000007"/>
    <n v="0.51826274447673737"/>
    <n v="44928"/>
    <s v="Jan-2023"/>
  </r>
  <r>
    <x v="365"/>
    <x v="296"/>
    <x v="17"/>
    <x v="7"/>
    <d v="2024-09-07T00:00:00"/>
    <s v="OK"/>
    <d v="2024-09-07T00:00:00"/>
    <n v="4"/>
    <s v="Asia"/>
    <x v="7"/>
    <s v="Tokyo"/>
    <s v="Tokyo"/>
    <s v="Asia &gt; Japan &gt; Tokyo"/>
    <s v="Small Business"/>
    <s v="Distributor"/>
    <s v="Distributor"/>
    <s v="N. Brown"/>
    <x v="5"/>
    <s v="Printers"/>
    <x v="5"/>
    <s v="Low"/>
    <x v="365"/>
    <n v="43.23"/>
    <n v="94.78"/>
    <s v="OK"/>
    <n v="94.78"/>
    <n v="9.0999999999999998E-2"/>
    <s v="OK"/>
    <n v="9.0999999999999998E-2"/>
    <n v="55"/>
    <n v="4738.5261"/>
    <n v="1616910.1886600002"/>
    <n v="2377.6499999999996"/>
    <n v="2360.8761000000004"/>
    <n v="0.49823005090127082"/>
    <n v="44928"/>
    <s v="Jan-2023"/>
  </r>
  <r>
    <x v="366"/>
    <x v="297"/>
    <x v="1"/>
    <x v="1"/>
    <d v="2025-06-05T00:00:00"/>
    <s v="OK"/>
    <d v="2025-06-05T00:00:00"/>
    <n v="21"/>
    <s v="Asia"/>
    <x v="7"/>
    <s v="Osaka"/>
    <s v="Osaka"/>
    <s v="Asia &gt; Japan &gt; Osaka"/>
    <s v="Enterprise"/>
    <s v="Direct"/>
    <s v="Direct"/>
    <s v="H. Kim"/>
    <x v="15"/>
    <s v="Phones"/>
    <x v="4"/>
    <s v="High"/>
    <x v="366"/>
    <n v="1466.5"/>
    <n v="2778.74"/>
    <s v="OK"/>
    <n v="2778.74"/>
    <n v="0.13500000000000001"/>
    <s v="OK"/>
    <n v="0.13500000000000001"/>
    <n v="4"/>
    <n v="9614.4403999999995"/>
    <n v="1399242.2240200008"/>
    <n v="5866"/>
    <n v="3748.4403999999995"/>
    <n v="0.38987608680792279"/>
    <n v="44928"/>
    <s v="Jan-2023"/>
  </r>
  <r>
    <x v="367"/>
    <x v="298"/>
    <x v="4"/>
    <x v="3"/>
    <d v="2025-08-19T00:00:00"/>
    <s v="OK"/>
    <d v="2025-08-19T00:00:00"/>
    <n v="27"/>
    <s v="Asia"/>
    <x v="7"/>
    <s v="Nagoya"/>
    <s v="Nagoya"/>
    <s v="Asia &gt; Japan &gt; Nagoya"/>
    <s v="Consumer"/>
    <s v="Marketplace"/>
    <s v="Marketplace"/>
    <s v="B. Chen"/>
    <x v="6"/>
    <s v="Accessories"/>
    <x v="1"/>
    <s v="Low"/>
    <x v="367"/>
    <n v="896.09"/>
    <n v="744.27"/>
    <s v="OK"/>
    <n v="744.27"/>
    <n v="8.3000000000000004E-2"/>
    <s v="OK"/>
    <n v="8.3000000000000004E-2"/>
    <n v="11"/>
    <n v="7507.4514899999995"/>
    <e v="#VALUE!"/>
    <n v="9856.99"/>
    <n v="-2349.5385100000003"/>
    <n v="-0.31296086469950679"/>
    <n v="44928"/>
    <s v="Jan-2023"/>
  </r>
  <r>
    <x v="368"/>
    <x v="130"/>
    <x v="29"/>
    <x v="10"/>
    <d v="2023-10-30T00:00:00"/>
    <s v="OK"/>
    <d v="2023-10-30T00:00:00"/>
    <n v="30"/>
    <s v="Asia"/>
    <x v="7"/>
    <s v="Tokyo"/>
    <s v="Tokyo"/>
    <s v="Asia &gt; Japan &gt; Tokyo"/>
    <s v="Enterprise"/>
    <s v="Online"/>
    <s v="Online"/>
    <s v="D. Smith"/>
    <x v="14"/>
    <s v="Printers"/>
    <x v="5"/>
    <s v="High"/>
    <x v="368"/>
    <n v="649.13"/>
    <n v="975.43"/>
    <s v="OK"/>
    <n v="975.43"/>
    <n v="0.157"/>
    <s v="OK"/>
    <n v="0.157"/>
    <n v="27"/>
    <n v="22201.762229999997"/>
    <n v="1616910.1886600002"/>
    <n v="17526.509999999998"/>
    <n v="4675.2522299999982"/>
    <n v="0.21058023149543473"/>
    <n v="44928"/>
    <s v="Jan-2023"/>
  </r>
  <r>
    <x v="369"/>
    <x v="31"/>
    <x v="22"/>
    <x v="0"/>
    <d v="2024-02-08T00:00:00"/>
    <s v="OK"/>
    <d v="2024-02-08T00:00:00"/>
    <n v="14"/>
    <s v="Asia"/>
    <x v="7"/>
    <s v="Osaka"/>
    <s v="Osaka"/>
    <s v="Asia &gt; Japan &gt; Osaka"/>
    <s v="Consumer"/>
    <s v="Marketplace"/>
    <s v="Marketplace"/>
    <s v="I. Johnson"/>
    <x v="12"/>
    <s v="Networking"/>
    <x v="6"/>
    <s v="High"/>
    <x v="369"/>
    <n v="937.16"/>
    <n v="1069.77"/>
    <s v="OK"/>
    <n v="1069.77"/>
    <n v="3.7999999999999999E-2"/>
    <s v="OK"/>
    <n v="3.7999999999999999E-2"/>
    <n v="9"/>
    <n v="9262.0686600000008"/>
    <e v="#VALUE!"/>
    <n v="8434.44"/>
    <n v="827.62866000000031"/>
    <n v="8.9356783066645962E-2"/>
    <n v="44928"/>
    <s v="Jan-2023"/>
  </r>
  <r>
    <x v="370"/>
    <x v="299"/>
    <x v="12"/>
    <x v="4"/>
    <d v="2023-03-20T00:00:00"/>
    <s v="OK"/>
    <d v="2023-03-20T00:00:00"/>
    <n v="17"/>
    <s v="Asia"/>
    <x v="7"/>
    <s v="Nagoya"/>
    <s v="Nagoya"/>
    <s v="Asia &gt; Japan &gt; Nagoya"/>
    <s v="Small Business"/>
    <s v="Online"/>
    <s v="Online"/>
    <s v="D. Smith"/>
    <x v="14"/>
    <s v="Networking"/>
    <x v="6"/>
    <s v="High"/>
    <x v="370"/>
    <n v="1171.17"/>
    <n v="2030.64"/>
    <s v="OK"/>
    <n v="2030.64"/>
    <n v="0.157"/>
    <s v="OK"/>
    <n v="0.157"/>
    <n v="11"/>
    <n v="18830.12472"/>
    <e v="#VALUE!"/>
    <n v="12882.87"/>
    <n v="5947.254719999999"/>
    <n v="0.31583724528830415"/>
    <n v="44928"/>
    <s v="Jan-2023"/>
  </r>
  <r>
    <x v="371"/>
    <x v="300"/>
    <x v="10"/>
    <x v="7"/>
    <d v="2024-09-26T00:00:00"/>
    <s v="OK"/>
    <d v="2024-09-26T00:00:00"/>
    <n v="26"/>
    <s v="Asia"/>
    <x v="7"/>
    <s v="Tokyo"/>
    <s v="Tokyo"/>
    <s v="Asia &gt; Japan &gt; Tokyo"/>
    <s v="Education"/>
    <s v="Online"/>
    <s v="Online"/>
    <s v="I. Johnson"/>
    <x v="12"/>
    <s v="Phones"/>
    <x v="4"/>
    <s v="High"/>
    <x v="371"/>
    <n v="1189.03"/>
    <n v="2949.62"/>
    <s v="OK"/>
    <n v="2949.62"/>
    <n v="0.125"/>
    <s v="OK"/>
    <n v="0.125"/>
    <n v="13"/>
    <n v="33551.927499999998"/>
    <n v="1399242.2240200008"/>
    <n v="15457.39"/>
    <n v="18094.537499999999"/>
    <n v="0.53929949330034765"/>
    <n v="44928"/>
    <s v="Jan-2023"/>
  </r>
  <r>
    <x v="372"/>
    <x v="301"/>
    <x v="7"/>
    <x v="1"/>
    <d v="2025-04-14T00:00:00"/>
    <s v="OK"/>
    <d v="2025-04-14T00:00:00"/>
    <n v="1"/>
    <s v="Asia"/>
    <x v="7"/>
    <s v="Osaka"/>
    <s v="Osaka"/>
    <s v="Asia &gt; Japan &gt; Osaka"/>
    <s v="Enterprise"/>
    <s v="Online"/>
    <s v="Online"/>
    <s v="G. Dubois"/>
    <x v="4"/>
    <s v="Components"/>
    <x v="0"/>
    <s v="Low"/>
    <x v="372"/>
    <n v="138.9"/>
    <n v="289.92"/>
    <s v="OK"/>
    <n v="289.92"/>
    <n v="2.9000000000000001E-2"/>
    <s v="OK"/>
    <n v="2.9000000000000001E-2"/>
    <n v="12"/>
    <n v="3378.1478400000001"/>
    <n v="1550200.534329999"/>
    <n v="1666.8000000000002"/>
    <n v="1711.3478399999999"/>
    <n v="0.50659353025828491"/>
    <n v="44928"/>
    <s v="Jan-2023"/>
  </r>
  <r>
    <x v="373"/>
    <x v="302"/>
    <x v="17"/>
    <x v="7"/>
    <d v="2024-09-04T00:00:00"/>
    <s v="Invalid date"/>
    <d v="2024-09-11T00:00:00"/>
    <n v="5"/>
    <s v="Asia"/>
    <x v="7"/>
    <s v="Osaka"/>
    <s v="Osaka"/>
    <s v="Asia &gt; Japan &gt; Osaka"/>
    <s v="Corporate"/>
    <s v="Direct"/>
    <s v="Direct"/>
    <s v="A. Patel"/>
    <x v="1"/>
    <s v="Laptops"/>
    <x v="3"/>
    <s v="High"/>
    <x v="373"/>
    <n v="1368.17"/>
    <n v="2307.75"/>
    <s v="OK"/>
    <n v="2307.75"/>
    <n v="0.16300000000000001"/>
    <s v="OK"/>
    <n v="0.16300000000000001"/>
    <n v="21"/>
    <n v="40563.321749999996"/>
    <n v="1711094.3775999998"/>
    <n v="28731.57"/>
    <n v="11831.751749999996"/>
    <n v="0.29168596750831921"/>
    <n v="44928"/>
    <s v="Jan-2023"/>
  </r>
  <r>
    <x v="374"/>
    <x v="303"/>
    <x v="6"/>
    <x v="5"/>
    <d v="2024-06-21T00:00:00"/>
    <s v="OK"/>
    <d v="2024-06-21T00:00:00"/>
    <n v="5"/>
    <s v="Asia"/>
    <x v="7"/>
    <s v="Tokyo"/>
    <s v="Tokyo"/>
    <s v="Asia &gt; Japan &gt; Tokyo"/>
    <s v="Small Business"/>
    <s v="Distributor"/>
    <s v="Distributor"/>
    <s v="F. Müller"/>
    <x v="8"/>
    <s v="Phones"/>
    <x v="4"/>
    <s v="High"/>
    <x v="374"/>
    <n v="1367.13"/>
    <n v="3062.01"/>
    <s v="OK"/>
    <n v="3062.01"/>
    <n v="0.10299999999999999"/>
    <s v="OK"/>
    <n v="0.10299999999999999"/>
    <n v="25"/>
    <n v="68665.574250000005"/>
    <n v="1399242.2240200008"/>
    <n v="34178.25"/>
    <n v="34487.324250000005"/>
    <n v="0.50225057645971705"/>
    <n v="44928"/>
    <s v="Jan-2023"/>
  </r>
  <r>
    <x v="375"/>
    <x v="304"/>
    <x v="27"/>
    <x v="7"/>
    <d v="2024-08-15T00:00:00"/>
    <s v="OK"/>
    <d v="2024-08-15T00:00:00"/>
    <n v="15"/>
    <s v="Asia"/>
    <x v="7"/>
    <s v="Tokyo"/>
    <s v="Tokyo"/>
    <s v="Asia &gt; Japan &gt; Tokyo"/>
    <s v="Corporate"/>
    <s v="Marketplace"/>
    <s v="Marketplace"/>
    <s v="F. Müller"/>
    <x v="8"/>
    <s v="Monitors"/>
    <x v="2"/>
    <s v="High"/>
    <x v="375"/>
    <n v="1252.52"/>
    <n v="1417.24"/>
    <s v="OK"/>
    <n v="1417.24"/>
    <n v="0.192"/>
    <s v="OK"/>
    <n v="0.192"/>
    <n v="5"/>
    <n v="5725.6496000000006"/>
    <e v="#VALUE!"/>
    <n v="6262.6"/>
    <n v="-536.95039999999972"/>
    <n v="-9.3779821943696953E-2"/>
    <n v="44928"/>
    <s v="Jan-2023"/>
  </r>
  <r>
    <x v="376"/>
    <x v="50"/>
    <x v="2"/>
    <x v="2"/>
    <d v="2025-04-04T00:00:00"/>
    <s v="OK"/>
    <d v="2025-04-04T00:00:00"/>
    <n v="25"/>
    <s v="Asia"/>
    <x v="7"/>
    <s v="Osaka"/>
    <s v="Osaka"/>
    <s v="Asia &gt; Japan &gt; Osaka"/>
    <s v="Corporate"/>
    <s v="Direct"/>
    <s v="Direct"/>
    <s v="H. Kim"/>
    <x v="15"/>
    <s v="Printers"/>
    <x v="5"/>
    <s v="High"/>
    <x v="376"/>
    <n v="783.72"/>
    <n v="1355.94"/>
    <s v="OK"/>
    <n v="1355.94"/>
    <n v="0.187"/>
    <s v="OK"/>
    <n v="0.187"/>
    <n v="4"/>
    <n v="4409.5168800000001"/>
    <n v="1616910.1886600002"/>
    <n v="3134.88"/>
    <n v="1274.63688"/>
    <n v="0.28906497348525856"/>
    <n v="44928"/>
    <s v="Jan-2023"/>
  </r>
  <r>
    <x v="377"/>
    <x v="123"/>
    <x v="1"/>
    <x v="1"/>
    <d v="2025-05-18T00:00:00"/>
    <s v="OK"/>
    <d v="2025-05-18T00:00:00"/>
    <n v="2"/>
    <s v="Asia"/>
    <x v="7"/>
    <s v="Tokyo"/>
    <s v="Tokyo"/>
    <s v="Asia &gt; Japan &gt; Tokyo"/>
    <s v="Enterprise"/>
    <s v="Retail"/>
    <s v="Retail"/>
    <s v="J. Njeri"/>
    <x v="2"/>
    <s v="Printers"/>
    <x v="5"/>
    <s v="High"/>
    <x v="377"/>
    <n v="1144.3800000000001"/>
    <n v="2755.04"/>
    <s v="OK"/>
    <n v="2755.04"/>
    <n v="0.15"/>
    <s v="OK"/>
    <n v="0.15"/>
    <n v="17"/>
    <n v="39810.328000000001"/>
    <n v="1616910.1886600002"/>
    <n v="19454.460000000003"/>
    <n v="20355.867999999999"/>
    <n v="0.51132128326096682"/>
    <n v="44928"/>
    <s v="Jan-2023"/>
  </r>
  <r>
    <x v="378"/>
    <x v="305"/>
    <x v="19"/>
    <x v="8"/>
    <d v="2023-05-14T00:00:00"/>
    <s v="OK"/>
    <d v="2023-05-14T00:00:00"/>
    <n v="22"/>
    <s v="Asia"/>
    <x v="7"/>
    <s v="Nagoya"/>
    <s v="Nagoya"/>
    <s v="Asia &gt; Japan &gt; Nagoya"/>
    <s v="Enterprise"/>
    <s v="Retail"/>
    <s v="Retail"/>
    <s v="A. Patel"/>
    <x v="1"/>
    <s v="Accessories"/>
    <x v="1"/>
    <s v="High"/>
    <x v="378"/>
    <n v="1209.22"/>
    <n v="1404.33"/>
    <s v="OK"/>
    <n v="1404.33"/>
    <n v="0.10299999999999999"/>
    <s v="OK"/>
    <n v="0.10299999999999999"/>
    <n v="11"/>
    <n v="13856.52411"/>
    <e v="#VALUE!"/>
    <n v="13301.42"/>
    <n v="555.10411000000022"/>
    <n v="4.0060848275751328E-2"/>
    <n v="44928"/>
    <s v="Jan-2023"/>
  </r>
  <r>
    <x v="379"/>
    <x v="223"/>
    <x v="2"/>
    <x v="2"/>
    <d v="2025-03-27T00:00:00"/>
    <s v="OK"/>
    <d v="2025-03-27T00:00:00"/>
    <n v="16"/>
    <s v="Asia"/>
    <x v="7"/>
    <s v="Tokyo"/>
    <s v="Tokyo"/>
    <s v="Asia &gt; Japan &gt; Tokyo"/>
    <s v="Enterprise"/>
    <s v="Distributor"/>
    <s v="Distributor"/>
    <s v="B. Chen"/>
    <x v="6"/>
    <s v="Printers"/>
    <x v="5"/>
    <s v="High"/>
    <x v="379"/>
    <n v="1317.58"/>
    <n v="1897.74"/>
    <s v="OK"/>
    <n v="1897.74"/>
    <n v="8.1000000000000003E-2"/>
    <s v="OK"/>
    <n v="8.1000000000000003E-2"/>
    <n v="6"/>
    <n v="10464.138360000001"/>
    <n v="1616910.1886600002"/>
    <n v="7905.48"/>
    <n v="2558.6583600000013"/>
    <n v="0.24451687009230266"/>
    <n v="44928"/>
    <s v="Jan-2023"/>
  </r>
  <r>
    <x v="380"/>
    <x v="156"/>
    <x v="18"/>
    <x v="6"/>
    <d v="2023-12-19T00:00:00"/>
    <s v="OK"/>
    <d v="2023-12-19T00:00:00"/>
    <n v="30"/>
    <s v="Asia"/>
    <x v="7"/>
    <s v="Nagoya"/>
    <s v="Nagoya"/>
    <s v="Asia &gt; Japan &gt; Nagoya"/>
    <s v="Consumer"/>
    <s v="Retail"/>
    <s v="Retail"/>
    <m/>
    <x v="9"/>
    <s v="Phones"/>
    <x v="4"/>
    <s v="High"/>
    <x v="380"/>
    <n v="807.11"/>
    <n v="1853.86"/>
    <s v="OK"/>
    <n v="1853.86"/>
    <n v="0.13900000000000001"/>
    <s v="OK"/>
    <n v="0.13900000000000001"/>
    <n v="8"/>
    <n v="12769.38768"/>
    <n v="1399242.2240200008"/>
    <n v="6456.88"/>
    <n v="6312.5076799999997"/>
    <n v="0.49434693645388639"/>
    <n v="44928"/>
    <s v="Jan-2023"/>
  </r>
  <r>
    <x v="381"/>
    <x v="306"/>
    <x v="8"/>
    <x v="2"/>
    <d v="2025-03-10T00:00:00"/>
    <s v="OK"/>
    <d v="2025-03-10T00:00:00"/>
    <n v="10"/>
    <s v="Asia"/>
    <x v="7"/>
    <s v="Osaka"/>
    <s v="Osaka"/>
    <s v="Asia &gt; Japan &gt; Osaka"/>
    <s v="Education"/>
    <s v="Distributor"/>
    <s v="Distributor"/>
    <s v="N. Brown"/>
    <x v="5"/>
    <s v="Laptops"/>
    <x v="3"/>
    <s v="Low"/>
    <x v="381"/>
    <n v="51.86"/>
    <n v="45.98"/>
    <s v="OK"/>
    <n v="45.98"/>
    <n v="0.17299999999999999"/>
    <s v="OK"/>
    <n v="0.17299999999999999"/>
    <n v="7"/>
    <n v="266.17821999999995"/>
    <n v="1711094.3775999998"/>
    <n v="363.02"/>
    <n v="-96.841780000000028"/>
    <n v="-0.3638230806412337"/>
    <n v="44928"/>
    <s v="Jan-2023"/>
  </r>
  <r>
    <x v="382"/>
    <x v="168"/>
    <x v="5"/>
    <x v="4"/>
    <d v="2023-03-25T00:00:00"/>
    <s v="OK"/>
    <d v="2023-03-25T00:00:00"/>
    <n v="25"/>
    <s v="Africa"/>
    <x v="0"/>
    <s v="Nairobi"/>
    <s v="Nairobi"/>
    <s v="Africa &gt; Kenya &gt; Nairobi"/>
    <s v="Corporate"/>
    <s v="Retail"/>
    <s v="Retail"/>
    <s v="I. Johnson"/>
    <x v="12"/>
    <s v="Networking"/>
    <x v="6"/>
    <s v="Medium"/>
    <x v="382"/>
    <n v="1460.76"/>
    <n v="-30.66"/>
    <s v="negative unit price"/>
    <s v=""/>
    <n v="0.13100000000000001"/>
    <s v="OK"/>
    <n v="0.13100000000000001"/>
    <n v="12"/>
    <e v="#VALUE!"/>
    <e v="#VALUE!"/>
    <n v="17529.12"/>
    <e v="#VALUE!"/>
    <e v="#VALUE!"/>
    <n v="44928"/>
    <s v="Jan-2023"/>
  </r>
  <r>
    <x v="383"/>
    <x v="307"/>
    <x v="19"/>
    <x v="8"/>
    <d v="2023-04-22T00:00:00"/>
    <s v="Invalid date"/>
    <d v="2023-04-28T00:00:00"/>
    <n v="5"/>
    <s v="Africa"/>
    <x v="0"/>
    <s v="Nairobi"/>
    <s v="Nairobi"/>
    <s v="Africa &gt; Kenya &gt; Nairobi"/>
    <s v="Small Business"/>
    <s v="Direct"/>
    <s v="Direct"/>
    <s v="E. Garcia"/>
    <x v="11"/>
    <s v="Laptops"/>
    <x v="3"/>
    <s v="High"/>
    <x v="383"/>
    <n v="756.51"/>
    <n v="850.8"/>
    <s v="OK"/>
    <n v="850.8"/>
    <n v="7.3999999999999996E-2"/>
    <s v="OK"/>
    <n v="7.3999999999999996E-2"/>
    <n v="9"/>
    <n v="7090.5672000000004"/>
    <n v="1711094.3775999998"/>
    <n v="6808.59"/>
    <n v="281.97720000000027"/>
    <n v="3.9767932810791252E-2"/>
    <n v="44928"/>
    <s v="Jan-2023"/>
  </r>
  <r>
    <x v="384"/>
    <x v="82"/>
    <x v="27"/>
    <x v="7"/>
    <d v="2024-07-24T00:00:00"/>
    <s v="Invalid date"/>
    <d v="2024-07-30T00:00:00"/>
    <n v="5"/>
    <s v="Africa"/>
    <x v="0"/>
    <s v="Mombasa"/>
    <s v="Mombasa"/>
    <s v="Africa &gt; Kenya &gt; Mombasa"/>
    <s v="Non-Profit"/>
    <s v="Direct"/>
    <s v="Direct"/>
    <s v="J. Njeri"/>
    <x v="2"/>
    <s v="Laptops"/>
    <x v="3"/>
    <s v="High"/>
    <x v="384"/>
    <n v="1494.4"/>
    <n v="3661.07"/>
    <s v="OK"/>
    <n v="3661.07"/>
    <n v="7.1999999999999995E-2"/>
    <s v="OK"/>
    <n v="7.1999999999999995E-2"/>
    <n v="7"/>
    <n v="23782.310720000001"/>
    <n v="1711094.3775999998"/>
    <n v="10460.800000000001"/>
    <n v="13321.51072"/>
    <n v="0.56014366630897339"/>
    <n v="44928"/>
    <s v="Jan-2023"/>
  </r>
  <r>
    <x v="385"/>
    <x v="308"/>
    <x v="27"/>
    <x v="7"/>
    <d v="2024-07-19T00:00:00"/>
    <s v="OK"/>
    <d v="2024-07-19T00:00:00"/>
    <n v="0"/>
    <s v="Africa"/>
    <x v="0"/>
    <s v="Kisumu"/>
    <s v="Kisumu"/>
    <s v="Africa &gt; Kenya &gt; Kisumu"/>
    <s v="Small Business"/>
    <s v="Retail"/>
    <s v="Retail"/>
    <s v="A. Patel"/>
    <x v="1"/>
    <s v="Phones"/>
    <x v="4"/>
    <s v="Low"/>
    <x v="385"/>
    <n v="857.24"/>
    <n v="758.23"/>
    <s v="OK"/>
    <n v="758.23"/>
    <n v="0.125"/>
    <s v="OK"/>
    <n v="0.125"/>
    <n v="6"/>
    <n v="3980.7075"/>
    <n v="1399242.2240200008"/>
    <n v="5143.4400000000005"/>
    <n v="-1162.7325000000005"/>
    <n v="-0.29209192084572921"/>
    <n v="44928"/>
    <s v="Jan-2023"/>
  </r>
  <r>
    <x v="386"/>
    <x v="202"/>
    <x v="19"/>
    <x v="8"/>
    <d v="2023-05-14T00:00:00"/>
    <s v="OK"/>
    <d v="2023-05-14T00:00:00"/>
    <n v="30"/>
    <s v="Africa"/>
    <x v="0"/>
    <s v="Nakuru"/>
    <s v="Nakuru"/>
    <s v="Africa &gt; Kenya &gt; Nakuru"/>
    <s v="Consumer"/>
    <s v="Marketplace"/>
    <s v="Marketplace"/>
    <s v="M. Rossi"/>
    <x v="13"/>
    <s v="Phones"/>
    <x v="4"/>
    <s v="Low"/>
    <x v="386"/>
    <n v="209.25"/>
    <n v="434.8"/>
    <s v="OK"/>
    <n v="434.8"/>
    <n v="0"/>
    <s v="OK"/>
    <n v="0"/>
    <n v="9"/>
    <n v="3913.2000000000003"/>
    <n v="1399242.2240200008"/>
    <n v="1883.25"/>
    <n v="2029.9500000000003"/>
    <n v="0.51874425022999082"/>
    <n v="44928"/>
    <s v="Jan-2023"/>
  </r>
  <r>
    <x v="387"/>
    <x v="309"/>
    <x v="32"/>
    <x v="9"/>
    <d v="2024-11-14T00:00:00"/>
    <s v="OK"/>
    <d v="2024-11-14T00:00:00"/>
    <n v="20"/>
    <s v="Africa"/>
    <x v="0"/>
    <s v="Mombasa"/>
    <s v="Mombasa"/>
    <s v="Africa &gt; Kenya &gt; Mombasa"/>
    <s v="Corporate"/>
    <s v="Direct"/>
    <s v="Direct"/>
    <s v="H. Kim"/>
    <x v="15"/>
    <s v="Printers"/>
    <x v="5"/>
    <s v="High"/>
    <x v="387"/>
    <n v="1396.48"/>
    <n v="3204.5"/>
    <s v="OK"/>
    <n v="3204.5"/>
    <n v="0.318"/>
    <s v="Excess dis"/>
    <n v="0.3"/>
    <n v="14"/>
    <n v="31404.1"/>
    <n v="1616910.1886600002"/>
    <n v="19550.72"/>
    <n v="11853.379999999997"/>
    <n v="0.3774468938769141"/>
    <n v="44928"/>
    <s v="Jan-2023"/>
  </r>
  <r>
    <x v="388"/>
    <x v="310"/>
    <x v="12"/>
    <x v="4"/>
    <d v="2023-04-05T00:00:00"/>
    <s v="OK"/>
    <d v="2023-04-05T00:00:00"/>
    <n v="5"/>
    <s v="Africa"/>
    <x v="0"/>
    <s v="Nakuru"/>
    <s v="Nakuru"/>
    <s v="Africa &gt; Kenya &gt; Nakuru"/>
    <s v="Education"/>
    <s v="Marketplace"/>
    <s v="Marketplace"/>
    <s v="B. Chen"/>
    <x v="6"/>
    <s v="Laptops"/>
    <x v="3"/>
    <s v="Low"/>
    <x v="388"/>
    <n v="533.26"/>
    <n v="385.72"/>
    <s v="OK"/>
    <n v="385.72"/>
    <n v="0"/>
    <s v="OK"/>
    <n v="0"/>
    <n v="15"/>
    <n v="5785.8"/>
    <n v="1711094.3775999998"/>
    <n v="7998.9"/>
    <n v="-2213.0999999999995"/>
    <n v="-0.38250544436378708"/>
    <n v="44928"/>
    <s v="Jan-2023"/>
  </r>
  <r>
    <x v="389"/>
    <x v="311"/>
    <x v="1"/>
    <x v="1"/>
    <d v="2025-05-13T00:00:00"/>
    <s v="OK"/>
    <d v="2025-05-13T00:00:00"/>
    <n v="11"/>
    <s v="Africa"/>
    <x v="0"/>
    <s v="Nakuru"/>
    <s v="Nakuru"/>
    <s v="Africa &gt; Kenya &gt; Nakuru"/>
    <s v="Small Business"/>
    <s v="Online"/>
    <s v="Online"/>
    <s v="A. Patel"/>
    <x v="1"/>
    <s v="Accessories"/>
    <x v="1"/>
    <s v="High"/>
    <x v="389"/>
    <n v="1057.5999999999999"/>
    <n v="1437.06"/>
    <s v="OK"/>
    <n v="1437.06"/>
    <n v="0.20499999999999999"/>
    <s v="OK"/>
    <n v="0.20499999999999999"/>
    <n v="4"/>
    <n v="4569.8508000000002"/>
    <e v="#VALUE!"/>
    <n v="4230.3999999999996"/>
    <n v="339.45080000000053"/>
    <n v="7.4280499485891424E-2"/>
    <n v="44928"/>
    <s v="Jan-2023"/>
  </r>
  <r>
    <x v="390"/>
    <x v="84"/>
    <x v="24"/>
    <x v="3"/>
    <d v="2025-08-19T00:00:00"/>
    <s v="OK"/>
    <d v="2025-08-19T00:00:00"/>
    <n v="12"/>
    <s v="Africa"/>
    <x v="0"/>
    <s v="Nakuru"/>
    <s v="Nakuru"/>
    <s v="Africa &gt; Kenya &gt; Nakuru"/>
    <s v="Corporate"/>
    <m/>
    <s v="Unknown"/>
    <s v="M. Rossi"/>
    <x v="13"/>
    <s v="Components"/>
    <x v="0"/>
    <s v="Low"/>
    <x v="390"/>
    <n v="601.51"/>
    <n v="679.35"/>
    <s v="OK"/>
    <n v="679.35"/>
    <n v="0.188"/>
    <s v="OK"/>
    <n v="0.188"/>
    <n v="3"/>
    <n v="1654.8966000000003"/>
    <n v="1550200.534329999"/>
    <n v="1804.53"/>
    <n v="-149.63339999999971"/>
    <n v="-9.0418579626062243E-2"/>
    <n v="44928"/>
    <s v="Jan-2023"/>
  </r>
  <r>
    <x v="391"/>
    <x v="268"/>
    <x v="3"/>
    <x v="3"/>
    <d v="2025-09-30T00:00:00"/>
    <s v="OK"/>
    <d v="2025-09-30T00:00:00"/>
    <n v="20"/>
    <s v="Africa"/>
    <x v="0"/>
    <s v="Mombasa"/>
    <s v="Mombasa"/>
    <s v="Africa &gt; Kenya &gt; Mombasa"/>
    <s v="Corporate"/>
    <s v="Direct"/>
    <s v="Direct"/>
    <s v="L. Okafor"/>
    <x v="10"/>
    <s v="Phones"/>
    <x v="4"/>
    <s v="High"/>
    <x v="391"/>
    <n v="1009.48"/>
    <n v="1088.81"/>
    <s v="OK"/>
    <n v="1088.81"/>
    <n v="0.16"/>
    <s v="OK"/>
    <n v="0.16"/>
    <n v="6"/>
    <n v="5487.6023999999998"/>
    <n v="1399242.2240200008"/>
    <n v="6056.88"/>
    <n v="-569.27760000000035"/>
    <n v="-0.10373885688219693"/>
    <n v="44928"/>
    <s v="Jan-2023"/>
  </r>
  <r>
    <x v="392"/>
    <x v="312"/>
    <x v="2"/>
    <x v="2"/>
    <d v="2025-04-04T00:00:00"/>
    <s v="OK"/>
    <d v="2025-04-04T00:00:00"/>
    <n v="4"/>
    <s v="Africa"/>
    <x v="0"/>
    <s v="Nakuru"/>
    <s v="Nakuru"/>
    <s v="Africa &gt; Kenya &gt; Nakuru"/>
    <s v="Corporate"/>
    <s v="Direct"/>
    <s v="Direct"/>
    <s v="C. Otieno"/>
    <x v="0"/>
    <s v="Laptops"/>
    <x v="3"/>
    <s v="High"/>
    <x v="392"/>
    <n v="862.08"/>
    <n v="1952.83"/>
    <s v="OK"/>
    <n v="1952.83"/>
    <n v="0"/>
    <s v="OK"/>
    <n v="0"/>
    <n v="7"/>
    <n v="13669.81"/>
    <n v="1711094.3775999998"/>
    <n v="6034.56"/>
    <n v="7635.2499999999991"/>
    <n v="0.5585483631447693"/>
    <n v="44928"/>
    <s v="Jan-2023"/>
  </r>
  <r>
    <x v="393"/>
    <x v="101"/>
    <x v="26"/>
    <x v="8"/>
    <d v="2023-06-07T00:00:00"/>
    <s v="OK"/>
    <d v="2023-06-07T00:00:00"/>
    <n v="27"/>
    <s v="Africa"/>
    <x v="0"/>
    <s v="Mombasa"/>
    <s v="Mombasa"/>
    <s v="Africa &gt; Kenya &gt; Mombasa"/>
    <s v="Corporate"/>
    <s v="Online"/>
    <s v="Online"/>
    <s v="J. Njeri"/>
    <x v="2"/>
    <s v="Phones"/>
    <x v="4"/>
    <s v="Low"/>
    <x v="393"/>
    <n v="12.85"/>
    <n v="15.41"/>
    <s v="OK"/>
    <n v="15.41"/>
    <n v="0.13700000000000001"/>
    <s v="OK"/>
    <n v="0.13700000000000001"/>
    <n v="39"/>
    <n v="518.65436999999997"/>
    <n v="1399242.2240200008"/>
    <n v="501.15"/>
    <n v="17.504369999999994"/>
    <n v="3.3749585489851353E-2"/>
    <n v="44928"/>
    <s v="Jan-2023"/>
  </r>
  <r>
    <x v="394"/>
    <x v="313"/>
    <x v="6"/>
    <x v="5"/>
    <d v="2024-06-08T00:00:00"/>
    <s v="OK"/>
    <d v="2024-06-08T00:00:00"/>
    <n v="6"/>
    <s v="Africa"/>
    <x v="0"/>
    <s v="Kisumu"/>
    <s v="Kisumu"/>
    <s v="Africa &gt; Kenya &gt; Kisumu"/>
    <s v="Consumer"/>
    <s v="Marketplace"/>
    <s v="Marketplace"/>
    <s v="A. Patel"/>
    <x v="1"/>
    <s v="Accessories"/>
    <x v="1"/>
    <s v="Low"/>
    <x v="394"/>
    <n v="292.94"/>
    <n v="356.55"/>
    <s v="OK"/>
    <n v="356.55"/>
    <n v="0.22900000000000001"/>
    <s v="OK"/>
    <n v="0.22900000000000001"/>
    <n v="2"/>
    <n v="549.80010000000004"/>
    <e v="#VALUE!"/>
    <n v="585.88"/>
    <n v="-36.079899999999952"/>
    <n v="-6.5623669402751925E-2"/>
    <n v="44928"/>
    <s v="Jan-2023"/>
  </r>
  <r>
    <x v="395"/>
    <x v="314"/>
    <x v="9"/>
    <x v="6"/>
    <d v="2024-01-20T00:00:00"/>
    <s v="OK"/>
    <d v="2024-01-20T00:00:00"/>
    <n v="22"/>
    <s v="Africa"/>
    <x v="0"/>
    <s v="Kisumu"/>
    <s v="Kisumu"/>
    <s v="Africa &gt; Kenya &gt; Kisumu"/>
    <s v="Corporate"/>
    <s v="Direct"/>
    <s v="Direct"/>
    <s v="L. Okafor"/>
    <x v="10"/>
    <s v="Phones"/>
    <x v="4"/>
    <s v="High"/>
    <x v="395"/>
    <n v="1395.49"/>
    <n v="1679.42"/>
    <s v="OK"/>
    <n v="1679.42"/>
    <n v="0.20300000000000001"/>
    <s v="OK"/>
    <n v="0.20300000000000001"/>
    <n v="12"/>
    <n v="16061.972879999999"/>
    <n v="1399242.2240200008"/>
    <n v="16745.88"/>
    <n v="-683.90712000000167"/>
    <n v="-4.2579272490964493E-2"/>
    <n v="44928"/>
    <s v="Jan-2023"/>
  </r>
  <r>
    <x v="396"/>
    <x v="310"/>
    <x v="12"/>
    <x v="4"/>
    <d v="2023-04-12T00:00:00"/>
    <s v="OK"/>
    <d v="2023-04-12T00:00:00"/>
    <n v="12"/>
    <s v="Africa"/>
    <x v="0"/>
    <s v="Mombasa"/>
    <s v="Mombasa"/>
    <s v="Africa &gt; Kenya &gt; Mombasa"/>
    <s v="Small Business"/>
    <s v="Online"/>
    <s v="Online"/>
    <s v="C. Otieno"/>
    <x v="0"/>
    <s v="Phones"/>
    <x v="4"/>
    <s v="Low"/>
    <x v="396"/>
    <n v="304.22000000000003"/>
    <n v="393.31"/>
    <s v="OK"/>
    <n v="393.31"/>
    <n v="0.26500000000000001"/>
    <s v="OK"/>
    <n v="0.26500000000000001"/>
    <n v="15"/>
    <n v="4336.2427499999994"/>
    <n v="1399242.2240200008"/>
    <n v="4563.3"/>
    <n v="-227.05725000000075"/>
    <n v="-5.2362670424759034E-2"/>
    <n v="44928"/>
    <s v="Jan-2023"/>
  </r>
  <r>
    <x v="397"/>
    <x v="315"/>
    <x v="3"/>
    <x v="3"/>
    <d v="2025-09-28T00:00:00"/>
    <s v="OK"/>
    <d v="2025-09-28T00:00:00"/>
    <n v="17"/>
    <s v="Africa"/>
    <x v="0"/>
    <s v="Nairobi"/>
    <s v="Nairobi"/>
    <s v="Africa &gt; Kenya &gt; Nairobi"/>
    <s v="Non-Profit"/>
    <s v="Distributor"/>
    <s v="Distributor"/>
    <s v="J. Njeri"/>
    <x v="2"/>
    <s v="Laptops"/>
    <x v="3"/>
    <s v="Low"/>
    <x v="397"/>
    <n v="891.46"/>
    <n v="728.61"/>
    <s v="OK"/>
    <n v="728.61"/>
    <n v="0.185"/>
    <s v="OK"/>
    <n v="0.185"/>
    <n v="6"/>
    <n v="3562.9028999999996"/>
    <n v="1711094.3775999998"/>
    <n v="5348.76"/>
    <n v="-1785.8571000000006"/>
    <n v="-0.50123653383874167"/>
    <n v="44928"/>
    <s v="Jan-2023"/>
  </r>
  <r>
    <x v="398"/>
    <x v="36"/>
    <x v="23"/>
    <x v="0"/>
    <d v="2024-03-04T00:00:00"/>
    <s v="OK"/>
    <d v="2024-03-04T00:00:00"/>
    <n v="15"/>
    <s v="Africa"/>
    <x v="0"/>
    <s v="Kisumu"/>
    <s v="Kisumu"/>
    <s v="Africa &gt; Kenya &gt; Kisumu"/>
    <s v="Education"/>
    <s v="Direct"/>
    <s v="Direct"/>
    <s v="K. Singh"/>
    <x v="3"/>
    <s v="Printers"/>
    <x v="5"/>
    <s v="High"/>
    <x v="398"/>
    <n v="928.68"/>
    <n v="2145.17"/>
    <s v="OK"/>
    <n v="2145.17"/>
    <n v="0.13600000000000001"/>
    <s v="OK"/>
    <n v="0.13600000000000001"/>
    <n v="16"/>
    <n v="29654.83008"/>
    <n v="1616910.1886600002"/>
    <n v="14858.88"/>
    <n v="14795.950080000001"/>
    <n v="0.49893896003062177"/>
    <n v="44928"/>
    <s v="Jan-2023"/>
  </r>
  <r>
    <x v="399"/>
    <x v="316"/>
    <x v="20"/>
    <x v="6"/>
    <d v="2023-11-02T00:00:00"/>
    <s v="OK"/>
    <d v="2023-11-02T00:00:00"/>
    <n v="2"/>
    <s v="Africa"/>
    <x v="0"/>
    <s v="Kisumu"/>
    <s v="Kisumu"/>
    <s v="Africa &gt; Kenya &gt; Kisumu"/>
    <s v="Education"/>
    <s v="Retail"/>
    <s v="Retail"/>
    <s v="O. Wang"/>
    <x v="7"/>
    <s v="Accessories"/>
    <x v="1"/>
    <s v="High"/>
    <x v="399"/>
    <n v="867.89"/>
    <n v="1349.94"/>
    <s v="OK"/>
    <n v="1349.94"/>
    <n v="0.184"/>
    <s v="OK"/>
    <n v="0.184"/>
    <n v="10"/>
    <n v="11015.510400000003"/>
    <e v="#VALUE!"/>
    <n v="8678.9"/>
    <n v="2336.6104000000032"/>
    <n v="0.21212003031652557"/>
    <n v="44928"/>
    <s v="Jan-2023"/>
  </r>
  <r>
    <x v="400"/>
    <x v="317"/>
    <x v="23"/>
    <x v="0"/>
    <d v="2024-03-03T00:00:00"/>
    <s v="OK"/>
    <d v="2024-03-03T00:00:00"/>
    <n v="21"/>
    <s v="Africa"/>
    <x v="0"/>
    <s v="Kisumu"/>
    <s v="Kisumu"/>
    <s v="Africa &gt; Kenya &gt; Kisumu"/>
    <s v="Enterprise"/>
    <s v="Online"/>
    <s v="Online"/>
    <s v="B. Chen"/>
    <x v="6"/>
    <s v="Phones"/>
    <x v="4"/>
    <s v="High"/>
    <x v="400"/>
    <n v="516.86"/>
    <n v="852.54"/>
    <s v="OK"/>
    <n v="852.54"/>
    <n v="5.0999999999999997E-2"/>
    <s v="OK"/>
    <n v="5.0999999999999997E-2"/>
    <n v="14"/>
    <n v="11326.846439999999"/>
    <n v="1399242.2240200008"/>
    <n v="7236.04"/>
    <n v="4090.8064399999994"/>
    <n v="0.36116022775355994"/>
    <n v="44928"/>
    <s v="Jan-2023"/>
  </r>
  <r>
    <x v="401"/>
    <x v="318"/>
    <x v="28"/>
    <x v="4"/>
    <d v="2023-02-03T00:00:00"/>
    <s v="OK"/>
    <d v="2023-02-03T00:00:00"/>
    <n v="14"/>
    <s v="Africa"/>
    <x v="0"/>
    <s v="Kisumu"/>
    <s v="Kisumu"/>
    <s v="Africa &gt; Kenya &gt; Kisumu"/>
    <s v="Corporate"/>
    <s v="Retail"/>
    <s v="Retail"/>
    <s v="M. Rossi"/>
    <x v="13"/>
    <s v="Networking"/>
    <x v="6"/>
    <s v="High"/>
    <x v="401"/>
    <n v="884.36"/>
    <n v="1545.34"/>
    <s v="OK"/>
    <n v="1545.34"/>
    <n v="0.24299999999999999"/>
    <s v="OK"/>
    <n v="0.24299999999999999"/>
    <n v="41"/>
    <n v="47962.717579999997"/>
    <e v="#VALUE!"/>
    <n v="36258.76"/>
    <n v="11703.957579999995"/>
    <n v="0.24402198562827965"/>
    <n v="44928"/>
    <s v="Jan-2023"/>
  </r>
  <r>
    <x v="402"/>
    <x v="151"/>
    <x v="25"/>
    <x v="2"/>
    <d v="2025-02-14T00:00:00"/>
    <s v="OK"/>
    <d v="2025-02-14T00:00:00"/>
    <n v="24"/>
    <s v="Africa"/>
    <x v="0"/>
    <s v="Nairobi"/>
    <s v="Nairobi"/>
    <s v="Africa &gt; Kenya &gt; Nairobi"/>
    <s v="Small Business"/>
    <s v="Retail"/>
    <s v="Retail"/>
    <s v="J. Njeri"/>
    <x v="2"/>
    <s v="Accessories"/>
    <x v="1"/>
    <s v="High"/>
    <x v="402"/>
    <n v="1030.44"/>
    <n v="2562.84"/>
    <s v="OK"/>
    <n v="2562.84"/>
    <n v="0.14799999999999999"/>
    <s v="OK"/>
    <n v="0.14799999999999999"/>
    <n v="13"/>
    <n v="28386.015839999996"/>
    <e v="#VALUE!"/>
    <n v="13395.720000000001"/>
    <n v="14990.295839999995"/>
    <n v="0.52808734852027039"/>
    <n v="44928"/>
    <s v="Jan-2023"/>
  </r>
  <r>
    <x v="403"/>
    <x v="319"/>
    <x v="17"/>
    <x v="7"/>
    <d v="2024-10-07T00:00:00"/>
    <s v="OK"/>
    <d v="2024-10-07T00:00:00"/>
    <n v="27"/>
    <s v="Africa"/>
    <x v="0"/>
    <s v="Kisumu"/>
    <s v="Kisumu"/>
    <s v="Africa &gt; Kenya &gt; Kisumu"/>
    <s v="Consumer"/>
    <s v="Retail"/>
    <s v="Retail"/>
    <s v="L. Okafor"/>
    <x v="10"/>
    <s v="Printers"/>
    <x v="5"/>
    <s v="High"/>
    <x v="403"/>
    <n v="1248.3900000000001"/>
    <n v="1805.11"/>
    <s v="OK"/>
    <n v="1805.11"/>
    <n v="0.20300000000000001"/>
    <s v="OK"/>
    <n v="0.20300000000000001"/>
    <n v="11"/>
    <n v="15825.399369999997"/>
    <n v="1616910.1886600002"/>
    <n v="13732.29"/>
    <n v="2093.1093699999965"/>
    <n v="0.13226265707820786"/>
    <n v="44928"/>
    <s v="Jan-2023"/>
  </r>
  <r>
    <x v="404"/>
    <x v="320"/>
    <x v="25"/>
    <x v="2"/>
    <d v="2025-02-06T00:00:00"/>
    <s v="OK"/>
    <d v="2025-02-06T00:00:00"/>
    <n v="8"/>
    <s v="Africa"/>
    <x v="0"/>
    <s v="Kisumu"/>
    <s v="Kisumu"/>
    <s v="Africa &gt; Kenya &gt; Kisumu"/>
    <s v="Education"/>
    <s v="Retail"/>
    <s v="Retail"/>
    <s v="B. Chen"/>
    <x v="6"/>
    <s v="Phones"/>
    <x v="4"/>
    <s v="High"/>
    <x v="404"/>
    <n v="1445.27"/>
    <n v="2691.45"/>
    <s v="OK"/>
    <n v="2691.45"/>
    <n v="0"/>
    <s v="OK"/>
    <n v="0"/>
    <n v="9"/>
    <n v="24223.05"/>
    <n v="1399242.2240200008"/>
    <n v="13007.43"/>
    <n v="11215.619999999999"/>
    <n v="0.46301436028906351"/>
    <n v="44928"/>
    <s v="Jan-2023"/>
  </r>
  <r>
    <x v="405"/>
    <x v="321"/>
    <x v="24"/>
    <x v="3"/>
    <d v="2025-09-24T00:00:00"/>
    <s v="OK"/>
    <d v="2025-09-24T00:00:00"/>
    <n v="30"/>
    <s v="Africa"/>
    <x v="0"/>
    <s v="Nairobi"/>
    <s v="Nairobi"/>
    <s v="Africa &gt; Kenya &gt; Nairobi"/>
    <s v="Consumer"/>
    <s v="Direct"/>
    <s v="Direct"/>
    <s v="B. Chen"/>
    <x v="6"/>
    <s v="Components"/>
    <x v="0"/>
    <s v="High"/>
    <x v="405"/>
    <n v="589.14"/>
    <n v="1300.58"/>
    <s v="OK"/>
    <n v="1300.58"/>
    <n v="5.5E-2"/>
    <s v="OK"/>
    <n v="5.5E-2"/>
    <n v="11"/>
    <n v="13519.529099999998"/>
    <n v="1550200.534329999"/>
    <n v="6480.54"/>
    <n v="7038.989099999998"/>
    <n v="0.52065342275863724"/>
    <n v="44928"/>
    <s v="Jan-2023"/>
  </r>
  <r>
    <x v="406"/>
    <x v="322"/>
    <x v="12"/>
    <x v="4"/>
    <d v="2023-04-01T00:00:00"/>
    <s v="OK"/>
    <d v="2023-04-01T00:00:00"/>
    <n v="25"/>
    <s v="Africa"/>
    <x v="0"/>
    <s v="Nairobi"/>
    <s v="Nairobi"/>
    <s v="Africa &gt; Kenya &gt; Nairobi"/>
    <s v="Consumer"/>
    <s v="Marketplace"/>
    <s v="Marketplace"/>
    <s v="D. Smith"/>
    <x v="14"/>
    <s v="Printers"/>
    <x v="5"/>
    <s v="High"/>
    <x v="406"/>
    <n v="1024.0999999999999"/>
    <n v="918.19"/>
    <s v="OK"/>
    <n v="918.19"/>
    <n v="0.189"/>
    <s v="OK"/>
    <n v="0.189"/>
    <n v="10"/>
    <n v="7446.5209000000004"/>
    <n v="1616910.1886600002"/>
    <n v="10241"/>
    <n v="-2794.4790999999996"/>
    <n v="-0.37527311579827827"/>
    <n v="44928"/>
    <s v="Jan-2023"/>
  </r>
  <r>
    <x v="407"/>
    <x v="323"/>
    <x v="17"/>
    <x v="7"/>
    <d v="2024-10-02T00:00:00"/>
    <s v="OK"/>
    <d v="2024-10-02T00:00:00"/>
    <n v="19"/>
    <s v="Africa"/>
    <x v="0"/>
    <s v="Mombasa"/>
    <s v="Mombasa"/>
    <s v="Africa &gt; Kenya &gt; Mombasa"/>
    <s v="Small Business"/>
    <s v="Retail"/>
    <s v="Retail"/>
    <s v="M. Rossi"/>
    <x v="13"/>
    <s v="Phones"/>
    <x v="4"/>
    <s v="High"/>
    <x v="407"/>
    <n v="1338.99"/>
    <n v="1765.76"/>
    <s v="OK"/>
    <n v="1765.76"/>
    <n v="0.126"/>
    <s v="OK"/>
    <n v="0.126"/>
    <n v="24"/>
    <n v="37038.581760000001"/>
    <n v="1399242.2240200008"/>
    <n v="32135.760000000002"/>
    <n v="4902.8217599999989"/>
    <n v="0.1323706666677725"/>
    <n v="44928"/>
    <s v="Jan-2023"/>
  </r>
  <r>
    <x v="408"/>
    <x v="324"/>
    <x v="13"/>
    <x v="9"/>
    <d v="2024-11-08T00:00:00"/>
    <s v="OK"/>
    <d v="2024-11-08T00:00:00"/>
    <n v="0"/>
    <s v="Africa"/>
    <x v="0"/>
    <s v="Nakuru"/>
    <s v="Nakuru"/>
    <s v="Africa &gt; Kenya &gt; Nakuru"/>
    <s v="Enterprise"/>
    <s v="Marketplace"/>
    <s v="Marketplace"/>
    <s v="M. Rossi"/>
    <x v="13"/>
    <s v="Networking"/>
    <x v="6"/>
    <s v="High"/>
    <x v="408"/>
    <n v="803.28"/>
    <n v="1009"/>
    <s v="OK"/>
    <n v="1009"/>
    <n v="0.11"/>
    <s v="OK"/>
    <n v="0.11"/>
    <n v="4"/>
    <n v="3592.04"/>
    <e v="#VALUE!"/>
    <n v="3213.12"/>
    <n v="378.92000000000007"/>
    <n v="0.10548880302001093"/>
    <n v="44928"/>
    <s v="Jan-2023"/>
  </r>
  <r>
    <x v="409"/>
    <x v="325"/>
    <x v="21"/>
    <x v="10"/>
    <d v="2023-08-25T00:00:00"/>
    <s v="OK"/>
    <d v="2023-08-25T00:00:00"/>
    <n v="10"/>
    <s v="Africa"/>
    <x v="0"/>
    <s v="Nairobi"/>
    <s v="Nairobi"/>
    <s v="Africa &gt; Kenya &gt; Nairobi"/>
    <s v="Small Business"/>
    <s v="Retail"/>
    <s v="Retail"/>
    <s v="N. Brown"/>
    <x v="5"/>
    <s v="Phones"/>
    <x v="4"/>
    <s v="Low"/>
    <x v="409"/>
    <n v="91.85"/>
    <n v="111.29"/>
    <s v="OK"/>
    <n v="111.29"/>
    <n v="0"/>
    <s v="OK"/>
    <n v="0"/>
    <n v="6"/>
    <n v="667.74"/>
    <n v="1399242.2240200008"/>
    <n v="551.09999999999991"/>
    <n v="116.6400000000001"/>
    <n v="0.17467876718483258"/>
    <n v="44928"/>
    <s v="Jan-2023"/>
  </r>
  <r>
    <x v="410"/>
    <x v="326"/>
    <x v="6"/>
    <x v="5"/>
    <d v="2024-06-20T00:00:00"/>
    <s v="OK"/>
    <d v="2024-06-20T00:00:00"/>
    <n v="1"/>
    <s v="Africa"/>
    <x v="0"/>
    <s v="Kisumu"/>
    <s v="Kisumu"/>
    <s v="Africa &gt; Kenya &gt; Kisumu"/>
    <s v="Small Business"/>
    <s v="Direct"/>
    <s v="Direct"/>
    <s v="J. Njeri"/>
    <x v="2"/>
    <s v="Laptops"/>
    <x v="3"/>
    <s v="Low"/>
    <x v="410"/>
    <n v="231.63"/>
    <n v="537.39"/>
    <s v="OK"/>
    <n v="537.39"/>
    <n v="0.08"/>
    <s v="OK"/>
    <n v="0.08"/>
    <n v="12"/>
    <n v="5932.7856000000002"/>
    <n v="1711094.3775999998"/>
    <n v="2779.56"/>
    <n v="3153.2256000000002"/>
    <n v="0.53149158129024587"/>
    <n v="44928"/>
    <s v="Jan-2023"/>
  </r>
  <r>
    <x v="411"/>
    <x v="327"/>
    <x v="12"/>
    <x v="4"/>
    <d v="2023-04-15T00:00:00"/>
    <s v="OK"/>
    <d v="2023-04-15T00:00:00"/>
    <n v="23"/>
    <s v="Africa"/>
    <x v="0"/>
    <s v="Mombasa"/>
    <s v="Mombasa"/>
    <s v="Africa &gt; Kenya &gt; Mombasa"/>
    <s v="Small Business"/>
    <s v="Retail"/>
    <s v="Retail"/>
    <s v="C. Otieno"/>
    <x v="0"/>
    <s v="Accessories"/>
    <x v="1"/>
    <s v="High"/>
    <x v="411"/>
    <n v="875.36"/>
    <n v="1178.6199999999999"/>
    <s v="OK"/>
    <n v="1178.6199999999999"/>
    <n v="0.151"/>
    <s v="OK"/>
    <n v="0.151"/>
    <n v="53"/>
    <n v="53034.364139999991"/>
    <e v="#VALUE!"/>
    <n v="46394.080000000002"/>
    <n v="6640.2841399999888"/>
    <n v="0.12520719815685888"/>
    <n v="44928"/>
    <s v="Jan-2023"/>
  </r>
  <r>
    <x v="412"/>
    <x v="328"/>
    <x v="11"/>
    <x v="8"/>
    <d v="2023-06-18T00:00:00"/>
    <s v="OK"/>
    <d v="2023-06-18T00:00:00"/>
    <n v="8"/>
    <s v="Africa"/>
    <x v="0"/>
    <s v="Nakuru"/>
    <s v="Nakuru"/>
    <s v="Africa &gt; Kenya &gt; Nakuru"/>
    <s v="Enterprise"/>
    <s v="Direct"/>
    <s v="Direct"/>
    <s v="H. Kim"/>
    <x v="15"/>
    <s v="Phones"/>
    <x v="4"/>
    <s v="High"/>
    <x v="412"/>
    <n v="894.23"/>
    <n v="1421.55"/>
    <s v="OK"/>
    <n v="1421.55"/>
    <n v="0.109"/>
    <s v="OK"/>
    <n v="0.109"/>
    <n v="3"/>
    <n v="3799.8031499999997"/>
    <n v="1399242.2240200008"/>
    <n v="2682.69"/>
    <n v="1117.1131499999997"/>
    <n v="0.29399237431549574"/>
    <n v="44928"/>
    <s v="Jan-2023"/>
  </r>
  <r>
    <x v="413"/>
    <x v="78"/>
    <x v="14"/>
    <x v="10"/>
    <d v="2023-08-19T00:00:00"/>
    <s v="OK"/>
    <d v="2023-08-19T00:00:00"/>
    <n v="26"/>
    <s v="Africa"/>
    <x v="0"/>
    <s v="Nairobi"/>
    <s v="Nairobi"/>
    <s v="Africa &gt; Kenya &gt; Nairobi"/>
    <s v="Enterprise"/>
    <s v="Distributor"/>
    <s v="Distributor"/>
    <s v="M. Rossi"/>
    <x v="13"/>
    <s v="Accessories"/>
    <x v="1"/>
    <s v="High"/>
    <x v="413"/>
    <n v="661.45"/>
    <n v="1634.86"/>
    <s v="OK"/>
    <n v="1634.86"/>
    <n v="0.56499999999999995"/>
    <s v="Excess dis"/>
    <n v="0.3"/>
    <n v="24"/>
    <n v="27465.647999999997"/>
    <e v="#VALUE!"/>
    <n v="15874.800000000001"/>
    <n v="11590.847999999996"/>
    <n v="0.42201254454291404"/>
    <n v="44928"/>
    <s v="Jan-2023"/>
  </r>
  <r>
    <x v="414"/>
    <x v="329"/>
    <x v="32"/>
    <x v="9"/>
    <d v="2024-11-04T00:00:00"/>
    <s v="OK"/>
    <d v="2024-11-04T00:00:00"/>
    <n v="6"/>
    <s v="Africa"/>
    <x v="0"/>
    <s v="Nairobi"/>
    <s v="Nairobi"/>
    <s v="Africa &gt; Kenya &gt; Nairobi"/>
    <s v="Corporate"/>
    <s v="Distributor"/>
    <s v="Distributor"/>
    <s v="M. Rossi"/>
    <x v="13"/>
    <s v="Printers"/>
    <x v="5"/>
    <s v="High"/>
    <x v="414"/>
    <n v="805.81"/>
    <n v="1823.04"/>
    <s v="OK"/>
    <n v="1823.04"/>
    <n v="0"/>
    <s v="OK"/>
    <n v="0"/>
    <n v="11"/>
    <n v="20053.439999999999"/>
    <n v="1616910.1886600002"/>
    <n v="8863.91"/>
    <n v="11189.529999999999"/>
    <n v="0.55798556257679477"/>
    <n v="44928"/>
    <s v="Jan-2023"/>
  </r>
  <r>
    <x v="415"/>
    <x v="313"/>
    <x v="6"/>
    <x v="5"/>
    <d v="2024-06-15T00:00:00"/>
    <s v="OK"/>
    <d v="2024-06-15T00:00:00"/>
    <n v="13"/>
    <s v="Africa"/>
    <x v="0"/>
    <s v="Mombasa"/>
    <s v="Mombasa"/>
    <s v="Africa &gt; Kenya &gt; Mombasa"/>
    <s v="Education"/>
    <s v="Online"/>
    <s v="Online"/>
    <s v="O. Wang"/>
    <x v="7"/>
    <s v="Phones"/>
    <x v="4"/>
    <s v="High"/>
    <x v="415"/>
    <n v="1295.18"/>
    <n v="3024.03"/>
    <s v="OK"/>
    <n v="3024.03"/>
    <n v="0.192"/>
    <s v="OK"/>
    <n v="0.192"/>
    <n v="8"/>
    <n v="19547.329920000004"/>
    <n v="1399242.2240200008"/>
    <n v="10361.44"/>
    <n v="9185.8899200000033"/>
    <n v="0.46993067378483178"/>
    <n v="44928"/>
    <s v="Jan-2023"/>
  </r>
  <r>
    <x v="416"/>
    <x v="330"/>
    <x v="7"/>
    <x v="1"/>
    <d v="2025-04-30T00:00:00"/>
    <s v="OK"/>
    <d v="2025-04-30T00:00:00"/>
    <n v="18"/>
    <s v="Africa"/>
    <x v="0"/>
    <s v="Kisumu"/>
    <s v="Kisumu"/>
    <s v="Africa &gt; Kenya &gt; Kisumu"/>
    <s v="Corporate"/>
    <s v="Marketplace"/>
    <s v="Marketplace"/>
    <s v="F. Müller"/>
    <x v="8"/>
    <s v="Networking"/>
    <x v="6"/>
    <s v="High"/>
    <x v="416"/>
    <n v="1119.04"/>
    <n v="1299.02"/>
    <s v="OK"/>
    <n v="1299.02"/>
    <n v="2.5000000000000001E-2"/>
    <s v="OK"/>
    <n v="2.5000000000000001E-2"/>
    <n v="14"/>
    <n v="17731.623"/>
    <e v="#VALUE!"/>
    <n v="15666.56"/>
    <n v="2065.0630000000001"/>
    <n v="0.11646215352085933"/>
    <n v="44928"/>
    <s v="Jan-2023"/>
  </r>
  <r>
    <x v="417"/>
    <x v="331"/>
    <x v="20"/>
    <x v="6"/>
    <d v="2023-10-20T00:00:00"/>
    <s v="OK"/>
    <d v="2023-10-20T00:00:00"/>
    <n v="2"/>
    <s v="Africa"/>
    <x v="0"/>
    <s v="Kisumu"/>
    <s v="Kisumu"/>
    <s v="Africa &gt; Kenya &gt; Kisumu"/>
    <s v="Consumer"/>
    <s v="Retail"/>
    <s v="Retail"/>
    <s v="J. Njeri"/>
    <x v="2"/>
    <s v="Phones"/>
    <x v="4"/>
    <s v="High"/>
    <x v="417"/>
    <n v="774.12"/>
    <n v="908.3"/>
    <s v="OK"/>
    <n v="908.3"/>
    <n v="0"/>
    <s v="OK"/>
    <n v="0"/>
    <n v="30"/>
    <n v="27249"/>
    <n v="1399242.2240200008"/>
    <n v="23223.599999999999"/>
    <n v="4025.4000000000015"/>
    <n v="0.14772652207420461"/>
    <n v="44928"/>
    <s v="Jan-2023"/>
  </r>
  <r>
    <x v="418"/>
    <x v="332"/>
    <x v="5"/>
    <x v="4"/>
    <d v="2023-03-12T00:00:00"/>
    <s v="OK"/>
    <d v="2023-03-12T00:00:00"/>
    <n v="19"/>
    <s v="Africa"/>
    <x v="0"/>
    <s v="Nakuru"/>
    <s v="Nakuru"/>
    <s v="Africa &gt; Kenya &gt; Nakuru"/>
    <s v="Corporate"/>
    <s v="Online"/>
    <s v="Online"/>
    <s v="F. Müller"/>
    <x v="8"/>
    <s v="Networking"/>
    <x v="6"/>
    <s v="Low"/>
    <x v="418"/>
    <n v="352.65"/>
    <n v="485.86"/>
    <s v="OK"/>
    <n v="485.86"/>
    <n v="4.1000000000000002E-2"/>
    <s v="OK"/>
    <n v="4.1000000000000002E-2"/>
    <n v="6"/>
    <n v="2795.6384399999997"/>
    <e v="#VALUE!"/>
    <n v="2115.8999999999996"/>
    <n v="679.73844000000008"/>
    <n v="0.24314247159943908"/>
    <n v="44928"/>
    <s v="Jan-2023"/>
  </r>
  <r>
    <x v="419"/>
    <x v="333"/>
    <x v="13"/>
    <x v="9"/>
    <d v="2024-12-15T00:00:00"/>
    <s v="OK"/>
    <d v="2024-12-15T00:00:00"/>
    <n v="23"/>
    <s v="Africa"/>
    <x v="0"/>
    <s v="Mombasa"/>
    <s v="Mombasa"/>
    <s v="Africa &gt; Kenya &gt; Mombasa"/>
    <s v="Non-Profit"/>
    <s v="Distributor"/>
    <s v="Distributor"/>
    <s v="C. Otieno"/>
    <x v="0"/>
    <s v="Components"/>
    <x v="0"/>
    <s v="High"/>
    <x v="419"/>
    <n v="1335.76"/>
    <n v="2665.91"/>
    <s v="OK"/>
    <n v="2665.91"/>
    <n v="0.21099999999999999"/>
    <s v="OK"/>
    <n v="0.21099999999999999"/>
    <n v="40"/>
    <n v="84136.119600000005"/>
    <n v="1550200.534329999"/>
    <n v="53430.400000000001"/>
    <n v="30705.719600000004"/>
    <n v="0.36495288522909253"/>
    <n v="44928"/>
    <s v="Jan-2023"/>
  </r>
  <r>
    <x v="420"/>
    <x v="334"/>
    <x v="26"/>
    <x v="8"/>
    <d v="2023-05-22T00:00:00"/>
    <s v="OK"/>
    <d v="2023-05-22T00:00:00"/>
    <n v="8"/>
    <s v="Africa"/>
    <x v="0"/>
    <s v="Mombasa"/>
    <s v="Mombasa"/>
    <s v="Africa &gt; Kenya &gt; Mombasa"/>
    <s v="Small Business"/>
    <s v="Distributor"/>
    <s v="Distributor"/>
    <s v="F. Müller"/>
    <x v="8"/>
    <s v="Printers"/>
    <x v="5"/>
    <s v="High"/>
    <x v="420"/>
    <n v="432.01"/>
    <n v="913.78"/>
    <s v="OK"/>
    <n v="913.78"/>
    <n v="4.9000000000000002E-2"/>
    <s v="OK"/>
    <n v="4.9000000000000002E-2"/>
    <n v="12"/>
    <n v="10428.057360000001"/>
    <n v="1616910.1886600002"/>
    <n v="5184.12"/>
    <n v="5243.9373600000008"/>
    <n v="0.50286809699711899"/>
    <n v="44928"/>
    <s v="Jan-2023"/>
  </r>
  <r>
    <x v="421"/>
    <x v="335"/>
    <x v="23"/>
    <x v="0"/>
    <d v="2024-02-28T00:00:00"/>
    <s v="OK"/>
    <d v="2024-02-28T00:00:00"/>
    <n v="22"/>
    <s v="Africa"/>
    <x v="0"/>
    <s v="Kisumu"/>
    <s v="Kisumu"/>
    <s v="Africa &gt; Kenya &gt; Kisumu"/>
    <s v="Non-Profit"/>
    <s v="Online"/>
    <s v="Online"/>
    <s v="K. Singh"/>
    <x v="3"/>
    <s v="Monitors"/>
    <x v="2"/>
    <s v="High"/>
    <x v="421"/>
    <n v="834.93"/>
    <n v="1588.53"/>
    <s v="OK"/>
    <n v="1588.53"/>
    <n v="0.126"/>
    <s v="OK"/>
    <n v="0.126"/>
    <n v="6"/>
    <n v="8330.2513199999994"/>
    <e v="#VALUE!"/>
    <n v="5009.58"/>
    <n v="3320.6713199999995"/>
    <n v="0.39862798761274343"/>
    <n v="44928"/>
    <s v="Jan-2023"/>
  </r>
  <r>
    <x v="422"/>
    <x v="336"/>
    <x v="15"/>
    <x v="5"/>
    <d v="2024-05-10T00:00:00"/>
    <s v="OK"/>
    <d v="2024-05-10T00:00:00"/>
    <n v="16"/>
    <s v="Africa"/>
    <x v="0"/>
    <s v="Kisumu"/>
    <s v="Kisumu"/>
    <s v="Africa &gt; Kenya &gt; Kisumu"/>
    <s v="Non-Profit"/>
    <s v="Online"/>
    <s v="Online"/>
    <s v="N. Brown"/>
    <x v="5"/>
    <s v="Monitors"/>
    <x v="2"/>
    <s v="High"/>
    <x v="422"/>
    <n v="513.30999999999995"/>
    <n v="1186.26"/>
    <s v="OK"/>
    <n v="1186.26"/>
    <n v="9.4E-2"/>
    <s v="OK"/>
    <n v="9.4E-2"/>
    <n v="15"/>
    <n v="16121.273400000002"/>
    <e v="#VALUE!"/>
    <n v="7699.65"/>
    <n v="8421.6234000000022"/>
    <n v="0.52239194702820446"/>
    <n v="44928"/>
    <s v="Jan-2023"/>
  </r>
  <r>
    <x v="423"/>
    <x v="337"/>
    <x v="15"/>
    <x v="5"/>
    <d v="2024-04-27T00:00:00"/>
    <s v="OK"/>
    <d v="2024-04-27T00:00:00"/>
    <n v="11"/>
    <s v="Africa"/>
    <x v="0"/>
    <s v="Nakuru"/>
    <s v="Nakuru"/>
    <s v="Africa &gt; Kenya &gt; Nakuru"/>
    <s v="Enterprise"/>
    <s v="Online"/>
    <s v="Online"/>
    <s v="D. Smith"/>
    <x v="14"/>
    <s v="Printers"/>
    <x v="5"/>
    <s v="High"/>
    <x v="423"/>
    <n v="401.3"/>
    <n v="826.47"/>
    <s v="OK"/>
    <n v="826.47"/>
    <n v="0.22500000000000001"/>
    <s v="OK"/>
    <n v="0.22500000000000001"/>
    <n v="13"/>
    <n v="8326.6852500000005"/>
    <n v="1616910.1886600002"/>
    <n v="5216.9000000000005"/>
    <n v="3109.7852499999999"/>
    <n v="0.37347217489696755"/>
    <n v="44928"/>
    <s v="Jan-2023"/>
  </r>
  <r>
    <x v="424"/>
    <x v="338"/>
    <x v="6"/>
    <x v="5"/>
    <d v="2024-06-23T00:00:00"/>
    <s v="OK"/>
    <d v="2024-06-23T00:00:00"/>
    <n v="18"/>
    <s v="Africa"/>
    <x v="0"/>
    <s v="Nairobi"/>
    <s v="Nairobi"/>
    <s v="Africa &gt; Kenya &gt; Nairobi"/>
    <s v="Consumer"/>
    <s v="Distributor"/>
    <s v="Distributor"/>
    <s v="D. Smith"/>
    <x v="14"/>
    <s v="Laptops"/>
    <x v="3"/>
    <s v="High"/>
    <x v="424"/>
    <n v="1208.74"/>
    <n v="1594.78"/>
    <s v="OK"/>
    <n v="1594.78"/>
    <n v="5.8999999999999997E-2"/>
    <s v="OK"/>
    <n v="5.8999999999999997E-2"/>
    <n v="39"/>
    <n v="58526.83122"/>
    <n v="1711094.3775999998"/>
    <n v="47140.86"/>
    <n v="11385.971219999999"/>
    <n v="0.1945427589817838"/>
    <n v="44928"/>
    <s v="Jan-2023"/>
  </r>
  <r>
    <x v="425"/>
    <x v="339"/>
    <x v="14"/>
    <x v="10"/>
    <d v="2023-07-09T00:00:00"/>
    <s v="OK"/>
    <d v="2023-07-09T00:00:00"/>
    <n v="1"/>
    <s v="Africa"/>
    <x v="0"/>
    <s v="Nairobi"/>
    <s v="Nairobi"/>
    <s v="Africa &gt; Kenya &gt; Nairobi"/>
    <s v="Consumer"/>
    <s v="Online"/>
    <s v="Online"/>
    <s v="D. Smith"/>
    <x v="14"/>
    <s v="Laptops"/>
    <x v="3"/>
    <s v="High"/>
    <x v="425"/>
    <n v="1258.72"/>
    <n v="2797.41"/>
    <s v="OK"/>
    <n v="2797.41"/>
    <n v="0"/>
    <s v="OK"/>
    <n v="0"/>
    <n v="7"/>
    <n v="19581.87"/>
    <n v="1711094.3775999998"/>
    <n v="8811.0400000000009"/>
    <n v="10770.829999999998"/>
    <n v="0.55004093071805704"/>
    <n v="44928"/>
    <s v="Jan-2023"/>
  </r>
  <r>
    <x v="426"/>
    <x v="185"/>
    <x v="8"/>
    <x v="2"/>
    <d v="2025-03-01T00:00:00"/>
    <s v="OK"/>
    <d v="2025-03-01T00:00:00"/>
    <n v="14"/>
    <s v="Africa"/>
    <x v="0"/>
    <s v="Mombasa"/>
    <s v="Mombasa"/>
    <s v="Africa &gt; Kenya &gt; Mombasa"/>
    <s v="Education"/>
    <s v="Direct"/>
    <s v="Direct"/>
    <s v="L. Okafor"/>
    <x v="10"/>
    <s v="Accessories"/>
    <x v="1"/>
    <s v="High"/>
    <x v="426"/>
    <n v="1162.8599999999999"/>
    <n v="1447.68"/>
    <s v="OK"/>
    <n v="1447.68"/>
    <n v="8.6999999999999994E-2"/>
    <s v="OK"/>
    <n v="8.6999999999999994E-2"/>
    <n v="12"/>
    <n v="15860.782080000001"/>
    <e v="#VALUE!"/>
    <n v="13954.32"/>
    <n v="1906.4620800000012"/>
    <n v="0.12019975247021369"/>
    <n v="44928"/>
    <s v="Jan-2023"/>
  </r>
  <r>
    <x v="427"/>
    <x v="174"/>
    <x v="16"/>
    <x v="5"/>
    <d v="2024-05-22T00:00:00"/>
    <s v="OK"/>
    <d v="2024-05-22T00:00:00"/>
    <n v="4"/>
    <s v="Africa"/>
    <x v="0"/>
    <s v="Nairobi"/>
    <s v="Nairobi"/>
    <s v="Africa &gt; Kenya &gt; Nairobi"/>
    <s v="Corporate"/>
    <s v="Direct"/>
    <s v="Direct"/>
    <s v="H. Kim"/>
    <x v="15"/>
    <s v="Accessories"/>
    <x v="1"/>
    <s v="High"/>
    <x v="427"/>
    <n v="857.42"/>
    <n v="1658.92"/>
    <s v="OK"/>
    <n v="1658.92"/>
    <n v="0.122"/>
    <s v="OK"/>
    <n v="0.122"/>
    <n v="9"/>
    <n v="13108.78584"/>
    <e v="#VALUE!"/>
    <n v="7716.78"/>
    <n v="5392.0058400000007"/>
    <n v="0.41132763215544305"/>
    <n v="44928"/>
    <s v="Jan-2023"/>
  </r>
  <r>
    <x v="428"/>
    <x v="148"/>
    <x v="13"/>
    <x v="9"/>
    <d v="2024-12-19T00:00:00"/>
    <s v="OK"/>
    <d v="2024-12-19T00:00:00"/>
    <n v="19"/>
    <s v="Africa"/>
    <x v="0"/>
    <s v="Kisumu"/>
    <s v="Kisumu"/>
    <s v="Africa &gt; Kenya &gt; Kisumu"/>
    <s v="Corporate"/>
    <s v="Online"/>
    <s v="Online"/>
    <s v="L. Okafor"/>
    <x v="10"/>
    <s v="Phones"/>
    <x v="4"/>
    <s v="High"/>
    <x v="428"/>
    <n v="1195.98"/>
    <n v="1841.9"/>
    <s v="OK"/>
    <n v="1841.9"/>
    <n v="5.5E-2"/>
    <s v="OK"/>
    <n v="5.5E-2"/>
    <n v="19"/>
    <n v="33071.3145"/>
    <n v="1399242.2240200008"/>
    <n v="22723.62"/>
    <n v="10347.694500000001"/>
    <n v="0.31289032977506842"/>
    <n v="44928"/>
    <s v="Jan-2023"/>
  </r>
  <r>
    <x v="429"/>
    <x v="340"/>
    <x v="23"/>
    <x v="0"/>
    <d v="2024-02-09T00:00:00"/>
    <s v="OK"/>
    <d v="2024-02-09T00:00:00"/>
    <n v="1"/>
    <s v="Africa"/>
    <x v="0"/>
    <s v="Mombasa"/>
    <s v="Mombasa"/>
    <s v="Africa &gt; Kenya &gt; Mombasa"/>
    <s v="Corporate"/>
    <s v="Direct"/>
    <s v="Direct"/>
    <s v="F. Müller"/>
    <x v="8"/>
    <s v="Components"/>
    <x v="0"/>
    <s v="High"/>
    <x v="429"/>
    <n v="1233.52"/>
    <n v="1543.76"/>
    <s v="OK"/>
    <n v="1543.76"/>
    <n v="0.126"/>
    <s v="OK"/>
    <n v="0.126"/>
    <n v="13"/>
    <n v="17540.201120000002"/>
    <n v="1550200.534329999"/>
    <n v="16035.76"/>
    <n v="1504.4411200000013"/>
    <n v="8.5771030201277493E-2"/>
    <n v="44928"/>
    <s v="Jan-2023"/>
  </r>
  <r>
    <x v="430"/>
    <x v="341"/>
    <x v="4"/>
    <x v="3"/>
    <d v="2025-08-03T00:00:00"/>
    <s v="OK"/>
    <d v="2025-08-03T00:00:00"/>
    <n v="23"/>
    <s v="Africa"/>
    <x v="0"/>
    <s v="Nakuru"/>
    <s v="Nakuru"/>
    <s v="Africa &gt; Kenya &gt; Nakuru"/>
    <s v="Small Business"/>
    <s v="Retail"/>
    <s v="Retail"/>
    <s v="C. Otieno"/>
    <x v="0"/>
    <s v="Phones"/>
    <x v="4"/>
    <s v="Low"/>
    <x v="430"/>
    <n v="389.93"/>
    <n v="486.13"/>
    <s v="OK"/>
    <n v="486.13"/>
    <n v="0.13200000000000001"/>
    <s v="OK"/>
    <n v="0.13200000000000001"/>
    <n v="17"/>
    <n v="7173.3342799999991"/>
    <n v="1399242.2240200008"/>
    <n v="6628.81"/>
    <n v="544.52427999999873"/>
    <n v="7.5909508569562828E-2"/>
    <n v="44928"/>
    <s v="Jan-2023"/>
  </r>
  <r>
    <x v="431"/>
    <x v="342"/>
    <x v="10"/>
    <x v="7"/>
    <d v="2024-08-09T00:00:00"/>
    <s v="OK"/>
    <d v="2024-08-09T00:00:00"/>
    <n v="6"/>
    <s v="Africa"/>
    <x v="0"/>
    <s v="Mombasa"/>
    <s v="Mombasa"/>
    <s v="Africa &gt; Kenya &gt; Mombasa"/>
    <s v="Consumer"/>
    <s v="Marketplace"/>
    <s v="Marketplace"/>
    <s v="H. Kim"/>
    <x v="15"/>
    <s v="Laptops"/>
    <x v="3"/>
    <s v="High"/>
    <x v="431"/>
    <n v="643.21"/>
    <n v="1112.81"/>
    <s v="OK"/>
    <n v="1112.81"/>
    <n v="0.14099999999999999"/>
    <s v="OK"/>
    <n v="0.14099999999999999"/>
    <n v="4"/>
    <n v="3823.6151599999998"/>
    <n v="1711094.3775999998"/>
    <n v="2572.84"/>
    <n v="1250.7751599999997"/>
    <n v="0.32711847496702562"/>
    <n v="44928"/>
    <s v="Jan-2023"/>
  </r>
  <r>
    <x v="432"/>
    <x v="6"/>
    <x v="6"/>
    <x v="5"/>
    <d v="2024-07-21T00:00:00"/>
    <s v="OK"/>
    <d v="2024-07-21T00:00:00"/>
    <n v="21"/>
    <s v="Africa"/>
    <x v="0"/>
    <s v="Kisumu"/>
    <s v="Kisumu"/>
    <s v="Africa &gt; Kenya &gt; Kisumu"/>
    <s v="Small Business"/>
    <s v="Retail"/>
    <s v="Retail"/>
    <s v="K. Singh"/>
    <x v="3"/>
    <s v="Laptops"/>
    <x v="3"/>
    <s v="High"/>
    <x v="432"/>
    <n v="753.43"/>
    <n v="1787.2"/>
    <s v="OK"/>
    <n v="1787.2"/>
    <n v="7.2999999999999995E-2"/>
    <s v="OK"/>
    <n v="7.2999999999999995E-2"/>
    <n v="9"/>
    <n v="14910.609600000002"/>
    <n v="1711094.3775999998"/>
    <n v="6780.87"/>
    <n v="8129.7396000000017"/>
    <n v="0.54523187301476939"/>
    <n v="44928"/>
    <s v="Jan-2023"/>
  </r>
  <r>
    <x v="433"/>
    <x v="343"/>
    <x v="13"/>
    <x v="9"/>
    <d v="2024-12-24T00:00:00"/>
    <s v="OK"/>
    <d v="2024-12-24T00:00:00"/>
    <n v="27"/>
    <s v="Africa"/>
    <x v="0"/>
    <s v="Mombasa"/>
    <s v="Mombasa"/>
    <s v="Africa &gt; Kenya &gt; Mombasa"/>
    <s v="Corporate"/>
    <s v="Distributor"/>
    <s v="Distributor"/>
    <s v="B. Chen"/>
    <x v="6"/>
    <s v="Printers"/>
    <x v="5"/>
    <s v="Low"/>
    <x v="433"/>
    <n v="143.33000000000001"/>
    <n v="233.51"/>
    <s v="OK"/>
    <n v="233.51"/>
    <n v="0.16300000000000001"/>
    <s v="OK"/>
    <n v="0.16300000000000001"/>
    <n v="14"/>
    <n v="2736.27018"/>
    <n v="1616910.1886600002"/>
    <n v="2006.6200000000001"/>
    <n v="729.65017999999986"/>
    <n v="0.26665867476580835"/>
    <n v="44928"/>
    <s v="Jan-2023"/>
  </r>
  <r>
    <x v="434"/>
    <x v="344"/>
    <x v="6"/>
    <x v="5"/>
    <d v="2024-06-30T00:00:00"/>
    <s v="OK"/>
    <d v="2024-06-30T00:00:00"/>
    <n v="5"/>
    <s v="Africa"/>
    <x v="0"/>
    <s v="Kisumu"/>
    <s v="Kisumu"/>
    <s v="Africa &gt; Kenya &gt; Kisumu"/>
    <s v="Education"/>
    <s v="Direct"/>
    <s v="Direct"/>
    <s v="M. Rossi"/>
    <x v="13"/>
    <s v="Networking"/>
    <x v="6"/>
    <s v="High"/>
    <x v="434"/>
    <n v="1323.55"/>
    <n v="3230.35"/>
    <s v="OK"/>
    <n v="3230.35"/>
    <n v="2.1999999999999999E-2"/>
    <s v="OK"/>
    <n v="2.1999999999999999E-2"/>
    <n v="26"/>
    <n v="82141.339799999987"/>
    <e v="#VALUE!"/>
    <n v="34412.299999999996"/>
    <n v="47729.039799999991"/>
    <n v="0.58105991351263542"/>
    <n v="44928"/>
    <s v="Jan-2023"/>
  </r>
  <r>
    <x v="435"/>
    <x v="92"/>
    <x v="29"/>
    <x v="10"/>
    <d v="2023-09-14T00:00:00"/>
    <s v="OK"/>
    <d v="2023-09-14T00:00:00"/>
    <n v="6"/>
    <s v="Africa"/>
    <x v="0"/>
    <s v="Nakuru"/>
    <s v="Nakuru"/>
    <s v="Africa &gt; Kenya &gt; Nakuru"/>
    <s v="Education"/>
    <s v="Direct"/>
    <s v="Direct"/>
    <s v="I. Johnson"/>
    <x v="12"/>
    <s v="Accessories"/>
    <x v="1"/>
    <s v="Low"/>
    <x v="435"/>
    <n v="251.03"/>
    <n v="411.48"/>
    <s v="OK"/>
    <n v="411.48"/>
    <n v="0.16500000000000001"/>
    <s v="OK"/>
    <n v="0.16500000000000001"/>
    <n v="3"/>
    <n v="1030.7574"/>
    <e v="#VALUE!"/>
    <n v="753.09"/>
    <n v="277.66739999999993"/>
    <n v="0.26938191275658069"/>
    <n v="44928"/>
    <s v="Jan-2023"/>
  </r>
  <r>
    <x v="436"/>
    <x v="345"/>
    <x v="4"/>
    <x v="3"/>
    <d v="2025-07-31T00:00:00"/>
    <s v="OK"/>
    <d v="2025-07-31T00:00:00"/>
    <n v="12"/>
    <s v="Africa"/>
    <x v="0"/>
    <s v="Nairobi"/>
    <s v="Nairobi"/>
    <s v="Africa &gt; Kenya &gt; Nairobi"/>
    <s v="Small Business"/>
    <s v="Marketplace"/>
    <s v="Marketplace"/>
    <s v="O. Wang"/>
    <x v="7"/>
    <s v="Accessories"/>
    <x v="1"/>
    <s v="High"/>
    <x v="436"/>
    <n v="619.64"/>
    <n v="861.16"/>
    <s v="OK"/>
    <n v="861.16"/>
    <n v="0.113"/>
    <s v="OK"/>
    <n v="0.113"/>
    <n v="14"/>
    <n v="10693.88488"/>
    <e v="#VALUE!"/>
    <n v="8674.9599999999991"/>
    <n v="2018.9248800000005"/>
    <n v="0.18879246435276761"/>
    <n v="44928"/>
    <s v="Jan-2023"/>
  </r>
  <r>
    <x v="437"/>
    <x v="278"/>
    <x v="32"/>
    <x v="9"/>
    <d v="2024-10-22T00:00:00"/>
    <s v="Invalid date"/>
    <d v="2024-10-28T00:00:00"/>
    <n v="5"/>
    <s v="Africa"/>
    <x v="8"/>
    <s v="Port Harcourt"/>
    <s v="Port Harcourt"/>
    <s v="Africa &gt; Nigeria &gt; Port Harcourt"/>
    <s v="Education"/>
    <s v="Online"/>
    <s v="Online"/>
    <s v="J. Njeri"/>
    <x v="2"/>
    <s v="Printers"/>
    <x v="5"/>
    <s v="Low"/>
    <x v="437"/>
    <n v="1084.3900000000001"/>
    <n v="759.33"/>
    <s v="OK"/>
    <n v="759.33"/>
    <n v="0.23699999999999999"/>
    <s v="OK"/>
    <n v="0.23699999999999999"/>
    <n v="31"/>
    <n v="17960.432489999999"/>
    <n v="1616910.1886600002"/>
    <n v="33616.090000000004"/>
    <n v="-15655.657510000005"/>
    <n v="-0.87167486187856302"/>
    <n v="44928"/>
    <s v="Jan-2023"/>
  </r>
  <r>
    <x v="438"/>
    <x v="346"/>
    <x v="2"/>
    <x v="2"/>
    <d v="2025-04-02T00:00:00"/>
    <s v="OK"/>
    <d v="2025-04-02T00:00:00"/>
    <n v="4"/>
    <s v="Africa"/>
    <x v="8"/>
    <s v="Lagos"/>
    <s v="Lagos"/>
    <s v="Africa &gt; Nigeria &gt; Lagos"/>
    <s v="Non-Profit"/>
    <s v="Marketplace"/>
    <s v="Marketplace"/>
    <s v="G. Dubois"/>
    <x v="4"/>
    <s v="Phones"/>
    <x v="4"/>
    <s v="Low"/>
    <x v="438"/>
    <n v="259.93"/>
    <n v="255.94"/>
    <s v="OK"/>
    <n v="255.94"/>
    <n v="7.1999999999999995E-2"/>
    <s v="OK"/>
    <n v="7.1999999999999995E-2"/>
    <n v="22"/>
    <n v="5225.2710400000005"/>
    <s v=" "/>
    <n v="5718.46"/>
    <n v="-493.1889599999995"/>
    <n v="-9.4385335463861311E-2"/>
    <n v="44928"/>
    <s v="Jan-2023"/>
  </r>
  <r>
    <x v="439"/>
    <x v="347"/>
    <x v="28"/>
    <x v="4"/>
    <d v="2023-01-13T00:00:00"/>
    <s v="Invalid date"/>
    <d v="2023-01-20T00:00:00"/>
    <n v="5"/>
    <s v="Africa"/>
    <x v="8"/>
    <s v="Abuja"/>
    <s v="Abuja"/>
    <s v="Africa &gt; Nigeria &gt; Abuja"/>
    <s v="Education"/>
    <s v="Online"/>
    <s v="Online"/>
    <s v="O. Wang"/>
    <x v="7"/>
    <s v="Printers"/>
    <x v="5"/>
    <s v="Low"/>
    <x v="439"/>
    <n v="28.38"/>
    <n v="47.22"/>
    <s v="OK"/>
    <n v="47.22"/>
    <n v="0.19400000000000001"/>
    <s v="OK"/>
    <n v="0.19400000000000001"/>
    <n v="18"/>
    <n v="685.06776000000002"/>
    <n v="1616910.1886600002"/>
    <n v="510.84"/>
    <n v="174.22776000000005"/>
    <n v="0.25432193743871417"/>
    <n v="44928"/>
    <s v="Jan-2023"/>
  </r>
  <r>
    <x v="440"/>
    <x v="348"/>
    <x v="16"/>
    <x v="5"/>
    <d v="2024-05-29T00:00:00"/>
    <s v="OK"/>
    <d v="2024-05-29T00:00:00"/>
    <n v="25"/>
    <s v="Africa"/>
    <x v="8"/>
    <s v="Abuja"/>
    <s v="Abuja"/>
    <s v="Africa &gt; Nigeria &gt; Abuja"/>
    <s v="Non-Profit"/>
    <s v="Marketplace"/>
    <s v="Marketplace"/>
    <s v="O. Wang"/>
    <x v="7"/>
    <s v="Monitors"/>
    <x v="2"/>
    <s v="High"/>
    <x v="440"/>
    <n v="1295.3399999999999"/>
    <n v="2530.81"/>
    <s v="OK"/>
    <n v="2530.81"/>
    <n v="3.1E-2"/>
    <s v="OK"/>
    <n v="3.1E-2"/>
    <n v="6"/>
    <n v="14714.12934"/>
    <e v="#VALUE!"/>
    <n v="7772.0399999999991"/>
    <n v="6942.0893400000004"/>
    <n v="0.4717974933880798"/>
    <n v="44928"/>
    <s v="Jan-2023"/>
  </r>
  <r>
    <x v="441"/>
    <x v="349"/>
    <x v="31"/>
    <x v="1"/>
    <d v="2025-06-29T00:00:00"/>
    <s v="OK"/>
    <d v="2025-06-29T00:00:00"/>
    <n v="15"/>
    <s v="Africa"/>
    <x v="8"/>
    <s v="Port Harcourt"/>
    <s v="Port Harcourt"/>
    <s v="Africa &gt; Nigeria &gt; Port Harcourt"/>
    <s v="Consumer"/>
    <s v="Marketplace"/>
    <s v="Marketplace"/>
    <s v="M. Rossi"/>
    <x v="13"/>
    <s v="Accessories"/>
    <x v="1"/>
    <s v="High"/>
    <x v="441"/>
    <n v="730.99"/>
    <n v="1242.8399999999999"/>
    <s v="OK"/>
    <n v="1242.8399999999999"/>
    <n v="0.12"/>
    <s v="OK"/>
    <n v="0.12"/>
    <n v="10"/>
    <n v="10936.992"/>
    <e v="#VALUE!"/>
    <n v="7309.9"/>
    <n v="3627.0920000000006"/>
    <n v="0.33163524303574515"/>
    <n v="44928"/>
    <s v="Jan-2023"/>
  </r>
  <r>
    <x v="442"/>
    <x v="350"/>
    <x v="15"/>
    <x v="5"/>
    <d v="2024-05-06T00:00:00"/>
    <s v="OK"/>
    <d v="2024-05-06T00:00:00"/>
    <n v="17"/>
    <s v="Africa"/>
    <x v="8"/>
    <s v="Port Harcourt"/>
    <s v="Port Harcourt"/>
    <s v="Africa &gt; Nigeria &gt; Port Harcourt"/>
    <s v="Non-Profit"/>
    <s v="Online"/>
    <s v="Online"/>
    <s v="A. Patel"/>
    <x v="1"/>
    <s v="Printers"/>
    <x v="5"/>
    <s v="High"/>
    <x v="442"/>
    <n v="865.33"/>
    <n v="1395.64"/>
    <s v="OK"/>
    <n v="1395.64"/>
    <n v="0.17499999999999999"/>
    <s v="OK"/>
    <n v="0.17499999999999999"/>
    <n v="13"/>
    <n v="14968.239"/>
    <n v="1616910.1886600002"/>
    <n v="11249.29"/>
    <n v="3718.9489999999987"/>
    <n v="0.24845601409758347"/>
    <n v="44928"/>
    <s v="Jan-2023"/>
  </r>
  <r>
    <x v="443"/>
    <x v="100"/>
    <x v="11"/>
    <x v="8"/>
    <d v="2023-07-03T00:00:00"/>
    <s v="OK"/>
    <d v="2023-07-03T00:00:00"/>
    <n v="10"/>
    <s v="Africa"/>
    <x v="8"/>
    <s v="Abuja"/>
    <s v="Abuja"/>
    <s v="Africa &gt; Nigeria &gt; Abuja"/>
    <s v="Consumer"/>
    <s v="Online"/>
    <s v="Online"/>
    <s v="J. Njeri"/>
    <x v="2"/>
    <s v="Printers"/>
    <x v="5"/>
    <s v="Low"/>
    <x v="443"/>
    <n v="337.75"/>
    <n v="548.89"/>
    <s v="OK"/>
    <n v="548.89"/>
    <n v="0"/>
    <s v="OK"/>
    <n v="0"/>
    <n v="13"/>
    <n v="7135.57"/>
    <n v="1616910.1886600002"/>
    <n v="4390.75"/>
    <n v="2744.8199999999997"/>
    <n v="0.38466723751571352"/>
    <n v="44928"/>
    <s v="Jan-2023"/>
  </r>
  <r>
    <x v="444"/>
    <x v="351"/>
    <x v="32"/>
    <x v="9"/>
    <d v="2024-11-08T00:00:00"/>
    <s v="OK"/>
    <d v="2024-11-08T00:00:00"/>
    <n v="25"/>
    <s v="Africa"/>
    <x v="8"/>
    <s v="Lagos"/>
    <s v="Lagos"/>
    <s v="Africa &gt; Nigeria &gt; Lagos"/>
    <s v="Enterprise"/>
    <s v="Online"/>
    <s v="Online"/>
    <s v="O. Wang"/>
    <x v="7"/>
    <s v="Networking"/>
    <x v="6"/>
    <s v="High"/>
    <x v="444"/>
    <n v="859.35"/>
    <n v="1825.61"/>
    <s v="OK"/>
    <n v="1825.61"/>
    <n v="0.187"/>
    <s v="OK"/>
    <n v="0.187"/>
    <n v="24"/>
    <n v="35621.302319999995"/>
    <e v="#VALUE!"/>
    <n v="20624.400000000001"/>
    <n v="14996.902319999994"/>
    <n v="0.42100937762681989"/>
    <n v="44928"/>
    <s v="Jan-2023"/>
  </r>
  <r>
    <x v="445"/>
    <x v="352"/>
    <x v="32"/>
    <x v="9"/>
    <d v="2024-11-02T00:00:00"/>
    <s v="OK"/>
    <d v="2024-11-02T00:00:00"/>
    <n v="29"/>
    <s v="Africa"/>
    <x v="8"/>
    <s v="Abuja"/>
    <s v="Abuja"/>
    <s v="Africa &gt; Nigeria &gt; Abuja"/>
    <s v="Corporate"/>
    <s v="Distributor"/>
    <s v="Distributor"/>
    <s v="F. Müller"/>
    <x v="8"/>
    <s v="Accessories"/>
    <x v="1"/>
    <s v="High"/>
    <x v="445"/>
    <n v="412.09"/>
    <n v="968.94"/>
    <s v="OK"/>
    <n v="968.94"/>
    <n v="9.9000000000000005E-2"/>
    <s v="OK"/>
    <n v="9.9000000000000005E-2"/>
    <n v="23"/>
    <n v="20079.343620000003"/>
    <e v="#VALUE!"/>
    <n v="9478.07"/>
    <n v="10601.273620000004"/>
    <n v="0.52796913189137418"/>
    <n v="44928"/>
    <s v="Jan-2023"/>
  </r>
  <r>
    <x v="446"/>
    <x v="210"/>
    <x v="16"/>
    <x v="5"/>
    <d v="2024-05-26T00:00:00"/>
    <s v="Invalid date"/>
    <d v="2024-06-02T00:00:00"/>
    <n v="5"/>
    <s v="Africa"/>
    <x v="8"/>
    <s v="Abuja"/>
    <s v="Abuja"/>
    <s v="Africa &gt; Nigeria &gt; Abuja"/>
    <s v="Enterprise"/>
    <s v="Online"/>
    <s v="Online"/>
    <s v="F. Müller"/>
    <x v="8"/>
    <s v="Accessories"/>
    <x v="1"/>
    <s v="High"/>
    <x v="446"/>
    <n v="1227.08"/>
    <n v="1896.62"/>
    <s v="OK"/>
    <n v="1896.62"/>
    <n v="0"/>
    <s v="OK"/>
    <n v="0"/>
    <n v="18"/>
    <n v="34139.159999999996"/>
    <e v="#VALUE!"/>
    <n v="22087.439999999999"/>
    <n v="12051.719999999998"/>
    <n v="0.353017473189147"/>
    <n v="44928"/>
    <s v="Jan-2023"/>
  </r>
  <r>
    <x v="447"/>
    <x v="353"/>
    <x v="2"/>
    <x v="2"/>
    <d v="2025-03-24T00:00:00"/>
    <s v="OK"/>
    <d v="2025-03-24T00:00:00"/>
    <n v="21"/>
    <s v="Africa"/>
    <x v="8"/>
    <s v="Abuja"/>
    <s v="Abuja"/>
    <s v="Africa &gt; Nigeria &gt; Abuja"/>
    <s v="Enterprise"/>
    <s v="Direct"/>
    <s v="Direct"/>
    <s v="H. Kim"/>
    <x v="15"/>
    <s v="Accessories"/>
    <x v="1"/>
    <s v="Low"/>
    <x v="447"/>
    <n v="555.95000000000005"/>
    <n v="468.09"/>
    <s v="OK"/>
    <n v="468.09"/>
    <n v="0.14199999999999999"/>
    <s v="OK"/>
    <n v="0.14199999999999999"/>
    <n v="11"/>
    <n v="4417.8334199999999"/>
    <e v="#VALUE!"/>
    <n v="6115.4500000000007"/>
    <n v="-1697.6165800000008"/>
    <n v="-0.38426450674095375"/>
    <n v="44928"/>
    <s v="Jan-2023"/>
  </r>
  <r>
    <x v="448"/>
    <x v="63"/>
    <x v="21"/>
    <x v="10"/>
    <d v="2023-08-23T00:00:00"/>
    <s v="OK"/>
    <d v="2023-08-23T00:00:00"/>
    <n v="4"/>
    <s v="Africa"/>
    <x v="8"/>
    <s v="Abuja"/>
    <s v="Abuja"/>
    <s v="Africa &gt; Nigeria &gt; Abuja"/>
    <s v="Small Business"/>
    <s v="Online"/>
    <s v="Online"/>
    <s v="J. Njeri"/>
    <x v="2"/>
    <s v="Monitors"/>
    <x v="2"/>
    <s v="High"/>
    <x v="448"/>
    <n v="790.63"/>
    <n v="1382.31"/>
    <s v="OK"/>
    <n v="1382.31"/>
    <n v="0.10100000000000001"/>
    <s v="OK"/>
    <n v="0.10100000000000001"/>
    <n v="7"/>
    <n v="8698.8768300000011"/>
    <e v="#VALUE!"/>
    <n v="5534.41"/>
    <n v="3164.4668300000012"/>
    <n v="0.36377878338116448"/>
    <n v="44928"/>
    <s v="Jan-2023"/>
  </r>
  <r>
    <x v="449"/>
    <x v="354"/>
    <x v="32"/>
    <x v="9"/>
    <d v="2024-10-29T00:00:00"/>
    <s v="OK"/>
    <d v="2024-10-29T00:00:00"/>
    <n v="7"/>
    <s v="Africa"/>
    <x v="8"/>
    <s v="Port Harcourt"/>
    <s v="Port Harcourt"/>
    <s v="Africa &gt; Nigeria &gt; Port Harcourt"/>
    <s v="Enterprise"/>
    <s v="Distributor"/>
    <s v="Distributor"/>
    <s v="M. Rossi"/>
    <x v="13"/>
    <s v="Monitors"/>
    <x v="2"/>
    <s v="High"/>
    <x v="449"/>
    <n v="1023.06"/>
    <n v="1355.61"/>
    <s v="OK"/>
    <n v="1355.61"/>
    <n v="0.153"/>
    <s v="OK"/>
    <n v="0.153"/>
    <n v="23"/>
    <n v="26408.63841"/>
    <e v="#VALUE!"/>
    <n v="23530.379999999997"/>
    <n v="2878.2584100000022"/>
    <n v="0.10898927711888809"/>
    <n v="44928"/>
    <s v="Jan-2023"/>
  </r>
  <r>
    <x v="450"/>
    <x v="355"/>
    <x v="4"/>
    <x v="3"/>
    <d v="2025-08-07T00:00:00"/>
    <s v="OK"/>
    <d v="2025-08-07T00:00:00"/>
    <n v="17"/>
    <s v="Africa"/>
    <x v="8"/>
    <s v="Lagos"/>
    <s v="Lagos"/>
    <s v="Africa &gt; Nigeria &gt; Lagos"/>
    <s v="Enterprise"/>
    <s v="Direct"/>
    <s v="Direct"/>
    <s v="M. Rossi"/>
    <x v="13"/>
    <s v="Accessories"/>
    <x v="1"/>
    <s v="High"/>
    <x v="450"/>
    <n v="1204.95"/>
    <n v="2065.73"/>
    <s v="OK"/>
    <n v="2065.73"/>
    <n v="0.13600000000000001"/>
    <s v="OK"/>
    <n v="0.13600000000000001"/>
    <n v="10"/>
    <n v="17847.907199999998"/>
    <e v="#VALUE!"/>
    <n v="12049.5"/>
    <n v="5798.4071999999978"/>
    <n v="0.32487882949100039"/>
    <n v="44928"/>
    <s v="Jan-2023"/>
  </r>
  <r>
    <x v="451"/>
    <x v="296"/>
    <x v="17"/>
    <x v="7"/>
    <d v="2024-09-08T00:00:00"/>
    <s v="OK"/>
    <d v="2024-09-08T00:00:00"/>
    <n v="5"/>
    <s v="Africa"/>
    <x v="8"/>
    <s v="Lagos"/>
    <s v="Lagos"/>
    <s v="Africa &gt; Nigeria &gt; Lagos"/>
    <s v="Small Business"/>
    <s v="Direct"/>
    <s v="Direct"/>
    <s v="K. Singh"/>
    <x v="3"/>
    <s v="Printers"/>
    <x v="5"/>
    <s v="Low"/>
    <x v="451"/>
    <n v="197.63"/>
    <n v="325.79000000000002"/>
    <s v="OK"/>
    <n v="325.79000000000002"/>
    <n v="0.11600000000000001"/>
    <s v="OK"/>
    <n v="0.11600000000000001"/>
    <n v="10"/>
    <n v="2879.9836"/>
    <n v="1616910.1886600002"/>
    <n v="1976.3"/>
    <n v="903.68360000000007"/>
    <n v="0.31378081458519419"/>
    <n v="44928"/>
    <s v="Jan-2023"/>
  </r>
  <r>
    <x v="452"/>
    <x v="356"/>
    <x v="0"/>
    <x v="0"/>
    <d v="2024-03-26T00:00:00"/>
    <s v="OK"/>
    <d v="2024-03-26T00:00:00"/>
    <n v="20"/>
    <s v="Africa"/>
    <x v="8"/>
    <s v="Port Harcourt"/>
    <s v="Port Harcourt"/>
    <s v="Africa &gt; Nigeria &gt; Port Harcourt"/>
    <s v="Consumer"/>
    <s v="Marketplace"/>
    <s v="Marketplace"/>
    <s v="I. Johnson"/>
    <x v="12"/>
    <s v="Phones"/>
    <x v="4"/>
    <s v="Low"/>
    <x v="452"/>
    <n v="65.64"/>
    <n v="151.88"/>
    <s v="OK"/>
    <n v="151.88"/>
    <n v="0.16700000000000001"/>
    <s v="OK"/>
    <n v="0.16700000000000001"/>
    <n v="23"/>
    <n v="2909.8689199999999"/>
    <n v="1399242.2240200008"/>
    <n v="1509.72"/>
    <n v="1400.1489199999999"/>
    <n v="0.48117250587356353"/>
    <n v="44928"/>
    <s v="Jan-2023"/>
  </r>
  <r>
    <x v="453"/>
    <x v="243"/>
    <x v="26"/>
    <x v="8"/>
    <d v="2023-06-07T00:00:00"/>
    <s v="OK"/>
    <d v="2023-06-07T00:00:00"/>
    <n v="18"/>
    <s v="Africa"/>
    <x v="8"/>
    <s v="Port Harcourt"/>
    <s v="Port Harcourt"/>
    <s v="Africa &gt; Nigeria &gt; Port Harcourt"/>
    <s v="Enterprise"/>
    <s v="Distributor"/>
    <s v="Distributor"/>
    <s v="E. Garcia"/>
    <x v="11"/>
    <s v="Components"/>
    <x v="0"/>
    <s v="High"/>
    <x v="453"/>
    <n v="1120.06"/>
    <n v="2068.21"/>
    <s v="OK"/>
    <n v="2068.21"/>
    <n v="7.8E-2"/>
    <s v="OK"/>
    <n v="7.8E-2"/>
    <n v="12"/>
    <n v="22882.675440000003"/>
    <n v="1550200.534329999"/>
    <n v="13440.72"/>
    <n v="9441.9554400000034"/>
    <n v="0.41262462795303284"/>
    <n v="44928"/>
    <s v="Jan-2023"/>
  </r>
  <r>
    <x v="454"/>
    <x v="70"/>
    <x v="7"/>
    <x v="1"/>
    <d v="2025-04-26T00:00:00"/>
    <s v="OK"/>
    <d v="2025-04-26T00:00:00"/>
    <n v="10"/>
    <s v="Africa"/>
    <x v="8"/>
    <s v="Port Harcourt"/>
    <s v="Port Harcourt"/>
    <s v="Africa &gt; Nigeria &gt; Port Harcourt"/>
    <s v="Enterprise"/>
    <s v="Marketplace"/>
    <s v="Marketplace"/>
    <s v="F. Müller"/>
    <x v="8"/>
    <s v="Laptops"/>
    <x v="3"/>
    <s v="High"/>
    <x v="454"/>
    <n v="1457.44"/>
    <n v="1996.81"/>
    <s v="OK"/>
    <n v="1996.81"/>
    <n v="0.126"/>
    <s v="OK"/>
    <n v="0.126"/>
    <n v="23"/>
    <n v="40139.874619999995"/>
    <n v="1711094.3775999998"/>
    <n v="33521.120000000003"/>
    <n v="6618.7546199999924"/>
    <n v="0.16489225944672353"/>
    <n v="44928"/>
    <s v="Jan-2023"/>
  </r>
  <r>
    <x v="455"/>
    <x v="262"/>
    <x v="26"/>
    <x v="8"/>
    <d v="2023-05-05T00:00:00"/>
    <s v="Invalid date"/>
    <d v="2023-05-12T00:00:00"/>
    <n v="5"/>
    <s v="Africa"/>
    <x v="8"/>
    <s v="Port Harcourt"/>
    <s v="Port Harcourt"/>
    <s v="Africa &gt; Nigeria &gt; Port Harcourt"/>
    <s v="Non-Profit"/>
    <s v="Marketplace"/>
    <s v="Marketplace"/>
    <s v="A. Patel"/>
    <x v="1"/>
    <s v="Components"/>
    <x v="0"/>
    <s v="High"/>
    <x v="455"/>
    <n v="1269.6500000000001"/>
    <n v="2462.77"/>
    <s v="OK"/>
    <n v="2462.77"/>
    <n v="0.107"/>
    <s v="OK"/>
    <n v="0.107"/>
    <n v="8"/>
    <n v="17594.028880000002"/>
    <n v="1550200.534329999"/>
    <n v="10157.200000000001"/>
    <n v="7436.8288800000009"/>
    <n v="0.42269050089225502"/>
    <n v="44928"/>
    <s v="Jan-2023"/>
  </r>
  <r>
    <x v="456"/>
    <x v="357"/>
    <x v="24"/>
    <x v="3"/>
    <d v="2025-08-26T00:00:00"/>
    <s v="Invalid date"/>
    <d v="2025-09-02T00:00:00"/>
    <n v="5"/>
    <s v="Africa"/>
    <x v="8"/>
    <s v="Port Harcourt"/>
    <s v="Port Harcourt"/>
    <s v="Africa &gt; Nigeria &gt; Port Harcourt"/>
    <s v="Small Business"/>
    <s v="Retail"/>
    <s v="Retail"/>
    <s v="A. Patel"/>
    <x v="1"/>
    <s v="Accessories"/>
    <x v="1"/>
    <s v="High"/>
    <x v="456"/>
    <n v="521.05999999999995"/>
    <n v="1240.31"/>
    <s v="OK"/>
    <n v="1240.31"/>
    <n v="0.14599999999999999"/>
    <s v="OK"/>
    <n v="0.14599999999999999"/>
    <n v="18"/>
    <n v="19066.045319999997"/>
    <e v="#VALUE!"/>
    <n v="9379.0799999999981"/>
    <n v="9686.9653199999993"/>
    <n v="0.50807417885650974"/>
    <n v="44928"/>
    <s v="Jan-2023"/>
  </r>
  <r>
    <x v="457"/>
    <x v="358"/>
    <x v="2"/>
    <x v="2"/>
    <d v="2025-03-26T00:00:00"/>
    <s v="OK"/>
    <d v="2025-03-26T00:00:00"/>
    <n v="1"/>
    <s v="Africa"/>
    <x v="8"/>
    <s v="Lagos"/>
    <s v="Lagos"/>
    <s v="Africa &gt; Nigeria &gt; Lagos"/>
    <s v="Education"/>
    <s v="Distributor"/>
    <s v="Distributor"/>
    <s v="G. Dubois"/>
    <x v="4"/>
    <s v="Accessories"/>
    <x v="1"/>
    <s v="High"/>
    <x v="457"/>
    <n v="1450.43"/>
    <n v="1994.67"/>
    <s v="OK"/>
    <n v="1994.67"/>
    <n v="0.1"/>
    <s v="OK"/>
    <n v="0.1"/>
    <n v="24"/>
    <n v="43084.872000000003"/>
    <e v="#VALUE!"/>
    <n v="34810.32"/>
    <n v="8274.5520000000033"/>
    <n v="0.19205237513529116"/>
    <n v="44928"/>
    <s v="Jan-2023"/>
  </r>
  <r>
    <x v="458"/>
    <x v="359"/>
    <x v="14"/>
    <x v="10"/>
    <d v="2023-08-10T00:00:00"/>
    <s v="OK"/>
    <d v="2023-08-10T00:00:00"/>
    <n v="16"/>
    <s v="Africa"/>
    <x v="8"/>
    <s v="Port Harcourt"/>
    <s v="Port Harcourt"/>
    <s v="Africa &gt; Nigeria &gt; Port Harcourt"/>
    <s v="Corporate"/>
    <s v="Distributor"/>
    <s v="Distributor"/>
    <s v="I. Johnson"/>
    <x v="12"/>
    <s v="Accessories"/>
    <x v="1"/>
    <s v="Low"/>
    <x v="458"/>
    <n v="506.83"/>
    <n v="441.74"/>
    <s v="OK"/>
    <n v="441.74"/>
    <n v="0.24"/>
    <s v="OK"/>
    <n v="0.24"/>
    <n v="9"/>
    <n v="3021.5016000000001"/>
    <e v="#VALUE!"/>
    <n v="4561.47"/>
    <n v="-1539.9684000000002"/>
    <n v="-0.50966989393618067"/>
    <n v="44928"/>
    <s v="Jan-2023"/>
  </r>
  <r>
    <x v="459"/>
    <x v="360"/>
    <x v="26"/>
    <x v="8"/>
    <d v="2023-05-16T00:00:00"/>
    <s v="OK"/>
    <d v="2023-05-16T00:00:00"/>
    <n v="12"/>
    <s v="Africa"/>
    <x v="8"/>
    <s v="Abuja"/>
    <s v="Abuja"/>
    <s v="Africa &gt; Nigeria &gt; Abuja"/>
    <s v="Small Business"/>
    <s v="Marketplace"/>
    <s v="Marketplace"/>
    <s v="J. Njeri"/>
    <x v="2"/>
    <s v="Phones"/>
    <x v="4"/>
    <s v="Low"/>
    <x v="459"/>
    <n v="77.739999999999995"/>
    <n v="147.12"/>
    <s v="OK"/>
    <n v="147.12"/>
    <n v="0"/>
    <s v="OK"/>
    <n v="0"/>
    <n v="15"/>
    <n v="2206.8000000000002"/>
    <n v="1399242.2240200008"/>
    <n v="1166.0999999999999"/>
    <n v="1040.7000000000003"/>
    <n v="0.47158781946710177"/>
    <n v="44928"/>
    <s v="Jan-2023"/>
  </r>
  <r>
    <x v="460"/>
    <x v="361"/>
    <x v="9"/>
    <x v="6"/>
    <d v="2024-01-06T00:00:00"/>
    <s v="OK"/>
    <d v="2024-01-06T00:00:00"/>
    <n v="16"/>
    <s v="Africa"/>
    <x v="8"/>
    <m/>
    <s v="Unkown"/>
    <s v="Africa &gt; Nigeria &gt; Unkown"/>
    <s v="Corporate"/>
    <s v="Marketplace"/>
    <s v="Marketplace"/>
    <s v="K. Singh"/>
    <x v="3"/>
    <s v="Components"/>
    <x v="0"/>
    <s v="High"/>
    <x v="460"/>
    <n v="932.61"/>
    <n v="1982.98"/>
    <s v="OK"/>
    <n v="1982.98"/>
    <n v="0.14399999999999999"/>
    <s v="OK"/>
    <n v="0.14399999999999999"/>
    <n v="16"/>
    <n v="27158.894079999998"/>
    <n v="1550200.534329999"/>
    <n v="14921.76"/>
    <n v="12237.134079999998"/>
    <n v="0.45057556629345635"/>
    <n v="44928"/>
    <s v="Jan-2023"/>
  </r>
  <r>
    <x v="461"/>
    <x v="362"/>
    <x v="14"/>
    <x v="10"/>
    <d v="2023-07-14T00:00:00"/>
    <s v="OK"/>
    <d v="2023-07-14T00:00:00"/>
    <n v="0"/>
    <s v="Africa"/>
    <x v="8"/>
    <s v="Lagos"/>
    <s v="Lagos"/>
    <s v="Africa &gt; Nigeria &gt; Lagos"/>
    <s v="Education"/>
    <s v="Retail"/>
    <s v="Retail"/>
    <s v="I. Johnson"/>
    <x v="12"/>
    <s v="Accessories"/>
    <x v="1"/>
    <s v="High"/>
    <x v="461"/>
    <n v="956.38"/>
    <n v="1454.22"/>
    <s v="OK"/>
    <n v="1454.22"/>
    <n v="3.9E-2"/>
    <s v="OK"/>
    <n v="3.9E-2"/>
    <n v="19"/>
    <n v="26552.60298"/>
    <e v="#VALUE!"/>
    <n v="18171.22"/>
    <n v="8381.3829799999985"/>
    <n v="0.31565202802576603"/>
    <n v="44928"/>
    <s v="Jan-2023"/>
  </r>
  <r>
    <x v="462"/>
    <x v="182"/>
    <x v="14"/>
    <x v="10"/>
    <d v="2023-07-08T00:00:00"/>
    <s v="OK"/>
    <d v="2023-07-08T00:00:00"/>
    <n v="7"/>
    <s v="Africa"/>
    <x v="8"/>
    <s v="Port Harcourt"/>
    <s v="Port Harcourt"/>
    <s v="Africa &gt; Nigeria &gt; Port Harcourt"/>
    <s v="Corporate"/>
    <s v="Retail"/>
    <s v="Retail"/>
    <s v="A. Patel"/>
    <x v="1"/>
    <s v="Laptops"/>
    <x v="3"/>
    <s v="High"/>
    <x v="462"/>
    <n v="834.26"/>
    <n v="1780.56"/>
    <s v="OK"/>
    <n v="1780.56"/>
    <n v="1.4E-2"/>
    <s v="OK"/>
    <n v="1.4E-2"/>
    <n v="47"/>
    <n v="82514.711519999997"/>
    <n v="1711094.3775999998"/>
    <n v="39210.22"/>
    <n v="43304.491519999996"/>
    <n v="0.5248093427497933"/>
    <n v="44928"/>
    <s v="Jan-2023"/>
  </r>
  <r>
    <x v="463"/>
    <x v="363"/>
    <x v="19"/>
    <x v="8"/>
    <d v="2023-04-08T00:00:00"/>
    <s v="OK"/>
    <d v="2023-04-08T00:00:00"/>
    <n v="2"/>
    <s v="Africa"/>
    <x v="8"/>
    <s v="Abuja"/>
    <s v="Abuja"/>
    <s v="Africa &gt; Nigeria &gt; Abuja"/>
    <s v="Small Business"/>
    <s v="Marketplace"/>
    <s v="Marketplace"/>
    <s v="K. Singh"/>
    <x v="3"/>
    <s v="Monitors"/>
    <x v="2"/>
    <s v="High"/>
    <x v="463"/>
    <n v="720.35"/>
    <n v="1571.66"/>
    <s v="OK"/>
    <n v="1571.66"/>
    <n v="0.107"/>
    <s v="OK"/>
    <n v="0.107"/>
    <n v="23"/>
    <n v="32280.32474"/>
    <e v="#VALUE!"/>
    <n v="16568.05"/>
    <n v="15712.274740000001"/>
    <n v="0.4867446305622265"/>
    <n v="44928"/>
    <s v="Jan-2023"/>
  </r>
  <r>
    <x v="464"/>
    <x v="364"/>
    <x v="16"/>
    <x v="5"/>
    <d v="2024-05-12T00:00:00"/>
    <s v="OK"/>
    <d v="2024-05-12T00:00:00"/>
    <n v="5"/>
    <s v="Africa"/>
    <x v="8"/>
    <s v="Abuja"/>
    <s v="Abuja"/>
    <s v="Africa &gt; Nigeria &gt; Abuja"/>
    <s v="Non-Profit"/>
    <s v="Distributor"/>
    <s v="Distributor"/>
    <s v="L. Okafor"/>
    <x v="10"/>
    <s v="Laptops"/>
    <x v="3"/>
    <s v="High"/>
    <x v="464"/>
    <n v="1163.99"/>
    <n v="1617.85"/>
    <s v="OK"/>
    <n v="1617.85"/>
    <n v="0.127"/>
    <s v="OK"/>
    <n v="0.127"/>
    <n v="14"/>
    <n v="19773.362699999998"/>
    <n v="1711094.3775999998"/>
    <n v="16295.86"/>
    <n v="3477.5026999999973"/>
    <n v="0.17586804797749436"/>
    <n v="44928"/>
    <s v="Jan-2023"/>
  </r>
  <r>
    <x v="465"/>
    <x v="365"/>
    <x v="8"/>
    <x v="2"/>
    <d v="2025-03-21T00:00:00"/>
    <s v="OK"/>
    <d v="2025-03-21T00:00:00"/>
    <n v="28"/>
    <s v="Africa"/>
    <x v="8"/>
    <s v="Abuja"/>
    <s v="Abuja"/>
    <s v="Africa &gt; Nigeria &gt; Abuja"/>
    <s v="Enterprise"/>
    <s v="Marketplace"/>
    <s v="Marketplace"/>
    <s v="I. Johnson"/>
    <x v="12"/>
    <s v="Phones"/>
    <x v="4"/>
    <s v="High"/>
    <x v="465"/>
    <n v="1437.39"/>
    <n v="1388.31"/>
    <s v="OK"/>
    <n v="1388.31"/>
    <n v="0.13800000000000001"/>
    <s v="OK"/>
    <n v="0.13800000000000001"/>
    <n v="18"/>
    <n v="21541.017959999997"/>
    <n v="1399242.2240200008"/>
    <n v="25873.02"/>
    <n v="-4332.002040000003"/>
    <n v="-0.20110479681341872"/>
    <n v="44928"/>
    <s v="Jan-2023"/>
  </r>
  <r>
    <x v="466"/>
    <x v="366"/>
    <x v="21"/>
    <x v="10"/>
    <d v="2023-09-16T00:00:00"/>
    <s v="OK"/>
    <d v="2023-09-16T00:00:00"/>
    <n v="22"/>
    <s v="Africa"/>
    <x v="8"/>
    <s v="Abuja"/>
    <s v="Abuja"/>
    <s v="Africa &gt; Nigeria &gt; Abuja"/>
    <s v="Corporate"/>
    <s v="Marketplace"/>
    <s v="Marketplace"/>
    <s v="L. Okafor"/>
    <x v="10"/>
    <s v="Phones"/>
    <x v="4"/>
    <s v="High"/>
    <x v="466"/>
    <n v="1196.83"/>
    <n v="2513.5100000000002"/>
    <s v="OK"/>
    <n v="2513.5100000000002"/>
    <n v="8.3000000000000004E-2"/>
    <s v="OK"/>
    <n v="8.3000000000000004E-2"/>
    <n v="7"/>
    <n v="16134.22069"/>
    <n v="1399242.2240200008"/>
    <n v="8377.81"/>
    <n v="7756.4106900000006"/>
    <n v="0.48074281609445374"/>
    <n v="44928"/>
    <s v="Jan-2023"/>
  </r>
  <r>
    <x v="467"/>
    <x v="140"/>
    <x v="4"/>
    <x v="3"/>
    <d v="2025-07-06T00:00:00"/>
    <s v="OK"/>
    <d v="2025-07-06T00:00:00"/>
    <n v="3"/>
    <s v="Africa"/>
    <x v="8"/>
    <s v="Lagos"/>
    <s v="Lagos"/>
    <s v="Africa &gt; Nigeria &gt; Lagos"/>
    <s v="Consumer"/>
    <s v="Online"/>
    <s v="Online"/>
    <m/>
    <x v="9"/>
    <s v="Laptops"/>
    <x v="3"/>
    <s v="High"/>
    <x v="467"/>
    <n v="1313.3"/>
    <n v="2884.34"/>
    <s v="OK"/>
    <n v="2884.34"/>
    <n v="0.157"/>
    <s v="OK"/>
    <n v="0.157"/>
    <n v="42"/>
    <n v="102122.94203999999"/>
    <n v="1711094.3775999998"/>
    <n v="55158.6"/>
    <n v="46964.342039999996"/>
    <n v="0.45988042551305253"/>
    <n v="44928"/>
    <s v="Jan-2023"/>
  </r>
  <r>
    <x v="468"/>
    <x v="357"/>
    <x v="24"/>
    <x v="3"/>
    <d v="2025-09-05T00:00:00"/>
    <s v="OK"/>
    <d v="2025-09-05T00:00:00"/>
    <n v="8"/>
    <s v="Africa"/>
    <x v="8"/>
    <s v="Port Harcourt"/>
    <s v="Port Harcourt"/>
    <s v="Africa &gt; Nigeria &gt; Port Harcourt"/>
    <s v="Small Business"/>
    <s v="Marketplace"/>
    <s v="Marketplace"/>
    <s v="E. Garcia"/>
    <x v="11"/>
    <s v="Laptops"/>
    <x v="3"/>
    <s v="High"/>
    <x v="468"/>
    <n v="1271.0999999999999"/>
    <n v="1932.42"/>
    <s v="OK"/>
    <n v="1932.42"/>
    <n v="0.25"/>
    <s v="OK"/>
    <n v="0.25"/>
    <n v="21"/>
    <n v="30435.614999999998"/>
    <n v="1711094.3775999998"/>
    <n v="26693.1"/>
    <n v="3742.5149999999994"/>
    <n v="0.12296498690760807"/>
    <n v="44928"/>
    <s v="Jan-2023"/>
  </r>
  <r>
    <x v="469"/>
    <x v="147"/>
    <x v="30"/>
    <x v="9"/>
    <d v="2024-12-19T00:00:00"/>
    <s v="OK"/>
    <d v="2024-12-19T00:00:00"/>
    <n v="9"/>
    <s v="Africa"/>
    <x v="8"/>
    <s v="Lagos"/>
    <s v="Lagos"/>
    <s v="Africa &gt; Nigeria &gt; Lagos"/>
    <s v="Corporate"/>
    <s v="Retail"/>
    <s v="Retail"/>
    <s v="O. Wang"/>
    <x v="7"/>
    <s v="Monitors"/>
    <x v="2"/>
    <s v="High"/>
    <x v="469"/>
    <n v="488.68"/>
    <n v="984.36"/>
    <s v="OK"/>
    <n v="984.36"/>
    <n v="5.8999999999999997E-2"/>
    <s v="OK"/>
    <n v="5.8999999999999997E-2"/>
    <n v="14"/>
    <n v="12967.958640000001"/>
    <e v="#VALUE!"/>
    <n v="6841.52"/>
    <n v="6126.4386400000003"/>
    <n v="0.47242891576649876"/>
    <n v="44928"/>
    <s v="Jan-2023"/>
  </r>
  <r>
    <x v="470"/>
    <x v="367"/>
    <x v="6"/>
    <x v="5"/>
    <d v="2024-07-09T00:00:00"/>
    <s v="OK"/>
    <d v="2024-07-09T00:00:00"/>
    <n v="28"/>
    <s v="Africa"/>
    <x v="8"/>
    <s v="Port Harcourt"/>
    <s v="Port Harcourt"/>
    <s v="Africa &gt; Nigeria &gt; Port Harcourt"/>
    <s v="Corporate"/>
    <s v="Marketplace"/>
    <s v="Marketplace"/>
    <s v="I. Johnson"/>
    <x v="12"/>
    <s v="Phones"/>
    <x v="4"/>
    <s v="High"/>
    <x v="470"/>
    <n v="895.54"/>
    <n v="1045"/>
    <s v="OK"/>
    <n v="1045"/>
    <n v="0.216"/>
    <s v="OK"/>
    <n v="0.216"/>
    <n v="15"/>
    <n v="12289.2"/>
    <n v="1399242.2240200008"/>
    <n v="13433.099999999999"/>
    <n v="-1143.8999999999978"/>
    <n v="-9.3081730299775234E-2"/>
    <n v="44928"/>
    <s v="Jan-2023"/>
  </r>
  <r>
    <x v="471"/>
    <x v="368"/>
    <x v="6"/>
    <x v="5"/>
    <d v="2024-06-28T00:00:00"/>
    <s v="OK"/>
    <d v="2024-06-28T00:00:00"/>
    <n v="5"/>
    <s v="Africa"/>
    <x v="8"/>
    <s v="Port Harcourt"/>
    <s v="Port Harcourt"/>
    <s v="Africa &gt; Nigeria &gt; Port Harcourt"/>
    <s v="Non-Profit"/>
    <s v="Direct"/>
    <s v="Direct"/>
    <s v="M. Rossi"/>
    <x v="13"/>
    <s v="Accessories"/>
    <x v="1"/>
    <s v="Low"/>
    <x v="471"/>
    <n v="242.31"/>
    <n v="587.95000000000005"/>
    <s v="OK"/>
    <n v="587.95000000000005"/>
    <n v="0.22900000000000001"/>
    <s v="OK"/>
    <n v="0.22900000000000001"/>
    <n v="6"/>
    <n v="2719.8567000000003"/>
    <e v="#VALUE!"/>
    <n v="1453.8600000000001"/>
    <n v="1265.9967000000001"/>
    <n v="0.46546448568411714"/>
    <n v="44928"/>
    <s v="Jan-2023"/>
  </r>
  <r>
    <x v="472"/>
    <x v="369"/>
    <x v="15"/>
    <x v="5"/>
    <d v="2024-05-19T00:00:00"/>
    <s v="OK"/>
    <d v="2024-05-19T00:00:00"/>
    <n v="28"/>
    <s v="Africa"/>
    <x v="8"/>
    <s v="Lagos"/>
    <s v="Lagos"/>
    <s v="Africa &gt; Nigeria &gt; Lagos"/>
    <s v="Corporate"/>
    <s v="Distributor"/>
    <s v="Distributor"/>
    <s v="A. Patel"/>
    <x v="1"/>
    <s v="Accessories"/>
    <x v="1"/>
    <s v="Low"/>
    <x v="472"/>
    <n v="187.22"/>
    <n v="309.47000000000003"/>
    <s v="OK"/>
    <n v="309.47000000000003"/>
    <n v="0"/>
    <s v="OK"/>
    <n v="0"/>
    <n v="5"/>
    <n v="1547.3500000000001"/>
    <e v="#VALUE!"/>
    <n v="936.1"/>
    <n v="611.25000000000011"/>
    <n v="0.39503021294471197"/>
    <n v="44928"/>
    <s v="Jan-2023"/>
  </r>
  <r>
    <x v="473"/>
    <x v="370"/>
    <x v="15"/>
    <x v="5"/>
    <d v="2024-04-09T00:00:00"/>
    <s v="OK"/>
    <d v="2024-04-09T00:00:00"/>
    <n v="4"/>
    <s v="Africa"/>
    <x v="8"/>
    <s v="Lagos"/>
    <s v="Lagos"/>
    <s v="Africa &gt; Nigeria &gt; Lagos"/>
    <s v="Non-Profit"/>
    <s v="Direct"/>
    <s v="Direct"/>
    <s v="K. Singh"/>
    <x v="3"/>
    <s v="Components"/>
    <x v="0"/>
    <s v="High"/>
    <x v="473"/>
    <n v="395.07"/>
    <n v="970.27"/>
    <s v="OK"/>
    <n v="970.27"/>
    <n v="0.123"/>
    <s v="OK"/>
    <n v="0.123"/>
    <n v="38"/>
    <n v="32335.21802"/>
    <n v="1550200.534329999"/>
    <n v="15012.66"/>
    <n v="17322.55802"/>
    <n v="0.53571799049833657"/>
    <n v="44928"/>
    <s v="Jan-2023"/>
  </r>
  <r>
    <x v="474"/>
    <x v="238"/>
    <x v="1"/>
    <x v="1"/>
    <d v="2025-05-30T00:00:00"/>
    <s v="OK"/>
    <d v="2025-05-30T00:00:00"/>
    <n v="13"/>
    <s v="Africa"/>
    <x v="8"/>
    <s v="Lagos"/>
    <s v="Lagos"/>
    <s v="Africa &gt; Nigeria &gt; Lagos"/>
    <s v="Consumer"/>
    <s v="Distributor"/>
    <s v="Distributor"/>
    <s v="F. Müller"/>
    <x v="8"/>
    <s v="Accessories"/>
    <x v="1"/>
    <s v="Low"/>
    <x v="474"/>
    <n v="66.400000000000006"/>
    <n v="141.43"/>
    <s v="OK"/>
    <n v="141.43"/>
    <n v="0.107"/>
    <s v="OK"/>
    <n v="0.107"/>
    <n v="8"/>
    <n v="1010.3759200000001"/>
    <e v="#VALUE!"/>
    <n v="531.20000000000005"/>
    <n v="479.17592000000002"/>
    <n v="0.47425508715607551"/>
    <n v="44928"/>
    <s v="Jan-2023"/>
  </r>
  <r>
    <x v="475"/>
    <x v="371"/>
    <x v="26"/>
    <x v="8"/>
    <d v="2023-05-18T00:00:00"/>
    <s v="OK"/>
    <d v="2023-05-18T00:00:00"/>
    <n v="17"/>
    <s v="Africa"/>
    <x v="8"/>
    <s v="Port Harcourt"/>
    <s v="Port Harcourt"/>
    <s v="Africa &gt; Nigeria &gt; Port Harcourt"/>
    <s v="Corporate"/>
    <s v="Direct"/>
    <s v="Direct"/>
    <s v="F. Müller"/>
    <x v="8"/>
    <s v="Components"/>
    <x v="0"/>
    <s v="Low"/>
    <x v="475"/>
    <n v="327.97"/>
    <n v="299.94"/>
    <s v="OK"/>
    <n v="299.94"/>
    <n v="4.9000000000000002E-2"/>
    <s v="OK"/>
    <n v="4.9000000000000002E-2"/>
    <n v="3"/>
    <n v="855.72881999999993"/>
    <n v="1550200.534329999"/>
    <n v="983.91000000000008"/>
    <n v="-128.18118000000015"/>
    <n v="-0.14979182306843442"/>
    <n v="44928"/>
    <s v="Jan-2023"/>
  </r>
  <r>
    <x v="476"/>
    <x v="372"/>
    <x v="8"/>
    <x v="2"/>
    <d v="2025-02-16T00:00:00"/>
    <s v="OK"/>
    <d v="2025-02-16T00:00:00"/>
    <n v="9"/>
    <s v="Africa"/>
    <x v="8"/>
    <s v="Lagos"/>
    <s v="Lagos"/>
    <s v="Africa &gt; Nigeria &gt; Lagos"/>
    <s v="Small Business"/>
    <s v="Distributor"/>
    <s v="Distributor"/>
    <s v="C. Otieno"/>
    <x v="0"/>
    <s v="Printers"/>
    <x v="5"/>
    <s v="Low"/>
    <x v="476"/>
    <n v="90.68"/>
    <n v="118.17"/>
    <s v="OK"/>
    <n v="118.17"/>
    <n v="0.13500000000000001"/>
    <s v="OK"/>
    <n v="0.13500000000000001"/>
    <n v="21"/>
    <n v="2146.5580500000001"/>
    <n v="1616910.1886600002"/>
    <n v="1904.2800000000002"/>
    <n v="242.27804999999989"/>
    <n v="0.11286815653552899"/>
    <n v="44928"/>
    <s v="Jan-2023"/>
  </r>
  <r>
    <x v="477"/>
    <x v="373"/>
    <x v="5"/>
    <x v="4"/>
    <d v="2023-02-12T00:00:00"/>
    <s v="OK"/>
    <d v="2023-02-12T00:00:00"/>
    <n v="1"/>
    <s v="Africa"/>
    <x v="8"/>
    <s v="Port Harcourt"/>
    <s v="Port Harcourt"/>
    <s v="Africa &gt; Nigeria &gt; Port Harcourt"/>
    <s v="Non-Profit"/>
    <s v="Direct"/>
    <s v="Direct"/>
    <s v="D. Smith"/>
    <x v="14"/>
    <s v="Accessories"/>
    <x v="1"/>
    <s v="High"/>
    <x v="477"/>
    <n v="944.61"/>
    <n v="839.04"/>
    <s v="OK"/>
    <n v="839.04"/>
    <n v="5.8999999999999997E-2"/>
    <s v="OK"/>
    <n v="5.8999999999999997E-2"/>
    <n v="6"/>
    <n v="4737.2198399999997"/>
    <e v="#VALUE!"/>
    <n v="5667.66"/>
    <n v="-930.44016000000011"/>
    <n v="-0.19641059343363726"/>
    <n v="44928"/>
    <s v="Jan-2023"/>
  </r>
  <r>
    <x v="478"/>
    <x v="374"/>
    <x v="31"/>
    <x v="1"/>
    <d v="2025-07-11T00:00:00"/>
    <s v="OK"/>
    <d v="2025-07-11T00:00:00"/>
    <n v="15"/>
    <s v="Africa"/>
    <x v="8"/>
    <s v="Port Harcourt"/>
    <s v="Port Harcourt"/>
    <s v="Africa &gt; Nigeria &gt; Port Harcourt"/>
    <s v="Small Business"/>
    <s v="Online"/>
    <s v="Online"/>
    <s v="A. Patel"/>
    <x v="1"/>
    <s v="Laptops"/>
    <x v="3"/>
    <s v="High"/>
    <x v="478"/>
    <n v="1170.1500000000001"/>
    <n v="2115.19"/>
    <s v="OK"/>
    <n v="2115.19"/>
    <n v="9.1999999999999998E-2"/>
    <s v="OK"/>
    <n v="9.1999999999999998E-2"/>
    <n v="23"/>
    <n v="44173.627960000005"/>
    <n v="1711094.3775999998"/>
    <n v="26913.45"/>
    <n v="17260.177960000005"/>
    <n v="0.39073489674946776"/>
    <n v="44928"/>
    <s v="Jan-2023"/>
  </r>
  <r>
    <x v="479"/>
    <x v="375"/>
    <x v="0"/>
    <x v="0"/>
    <d v="2024-04-06T00:00:00"/>
    <s v="OK"/>
    <d v="2024-04-06T00:00:00"/>
    <n v="24"/>
    <s v="Africa"/>
    <x v="8"/>
    <s v="Abuja"/>
    <s v="Abuja"/>
    <s v="Africa &gt; Nigeria &gt; Abuja"/>
    <s v="Consumer"/>
    <s v="Distributor"/>
    <s v="Distributor"/>
    <s v="L. Okafor"/>
    <x v="10"/>
    <s v="Components"/>
    <x v="0"/>
    <s v="High"/>
    <x v="479"/>
    <n v="1232.78"/>
    <n v="1731.75"/>
    <s v="OK"/>
    <n v="1731.75"/>
    <n v="9.2999999999999999E-2"/>
    <s v="OK"/>
    <n v="9.2999999999999999E-2"/>
    <n v="16"/>
    <n v="25131.155999999999"/>
    <n v="1550200.534329999"/>
    <n v="19724.48"/>
    <n v="5406.6759999999995"/>
    <n v="0.21513837246484005"/>
    <n v="44928"/>
    <s v="Jan-2023"/>
  </r>
  <r>
    <x v="480"/>
    <x v="131"/>
    <x v="20"/>
    <x v="6"/>
    <d v="2023-10-11T00:00:00"/>
    <s v="OK"/>
    <d v="2023-10-11T00:00:00"/>
    <n v="2"/>
    <s v="Africa"/>
    <x v="8"/>
    <s v="Port Harcourt"/>
    <s v="Port Harcourt"/>
    <s v="Africa &gt; Nigeria &gt; Port Harcourt"/>
    <s v="Education"/>
    <s v="Marketplace"/>
    <s v="Marketplace"/>
    <s v="K. Singh"/>
    <x v="3"/>
    <s v="Networking"/>
    <x v="6"/>
    <s v="High"/>
    <x v="480"/>
    <n v="391.16"/>
    <n v="902.47"/>
    <s v="OK"/>
    <n v="902.47"/>
    <n v="4.0000000000000001E-3"/>
    <s v="OK"/>
    <n v="4.0000000000000001E-3"/>
    <n v="12"/>
    <n v="10786.32144"/>
    <e v="#VALUE!"/>
    <n v="4693.92"/>
    <n v="6092.4014399999996"/>
    <n v="0.56482661618139207"/>
    <n v="44928"/>
    <s v="Jan-2023"/>
  </r>
  <r>
    <x v="481"/>
    <x v="376"/>
    <x v="4"/>
    <x v="3"/>
    <d v="2025-08-06T00:00:00"/>
    <s v="OK"/>
    <d v="2025-08-06T00:00:00"/>
    <n v="13"/>
    <s v="Africa"/>
    <x v="9"/>
    <s v="Johannesburg"/>
    <s v="Johannesburg"/>
    <s v="Africa &gt; South Africa &gt; Johannesburg"/>
    <s v="Education"/>
    <s v="Marketplace"/>
    <s v="Marketplace"/>
    <s v="D. Smith"/>
    <x v="14"/>
    <s v="Networking"/>
    <x v="6"/>
    <s v="High"/>
    <x v="481"/>
    <n v="1463.9"/>
    <n v="2633.02"/>
    <s v="OK"/>
    <n v="2633.02"/>
    <n v="8.4000000000000005E-2"/>
    <s v="OK"/>
    <n v="8.4000000000000005E-2"/>
    <n v="4"/>
    <n v="9647.3852800000004"/>
    <e v="#VALUE!"/>
    <n v="5855.6"/>
    <n v="3791.7852800000001"/>
    <n v="0.39303761277791527"/>
    <n v="44928"/>
    <s v="Jan-2023"/>
  </r>
  <r>
    <x v="482"/>
    <x v="377"/>
    <x v="10"/>
    <x v="7"/>
    <d v="2024-08-21T00:00:00"/>
    <s v="Invalid date"/>
    <d v="2024-08-28T00:00:00"/>
    <n v="5"/>
    <s v="Africa"/>
    <x v="9"/>
    <s v="Johannesburg"/>
    <s v="Johannesburg"/>
    <s v="Africa &gt; South Africa &gt; Johannesburg"/>
    <s v="Education"/>
    <s v="Retail"/>
    <s v="Retail"/>
    <s v="E. Garcia"/>
    <x v="11"/>
    <s v="Components"/>
    <x v="0"/>
    <s v="High"/>
    <x v="482"/>
    <n v="1432.52"/>
    <n v="3036.87"/>
    <s v="OK"/>
    <n v="3036.87"/>
    <n v="0"/>
    <s v="OK"/>
    <n v="0"/>
    <n v="9"/>
    <n v="27331.829999999998"/>
    <n v="1550200.534329999"/>
    <n v="12892.68"/>
    <n v="14439.149999999998"/>
    <n v="0.52829064135112791"/>
    <n v="44928"/>
    <s v="Jan-2023"/>
  </r>
  <r>
    <x v="483"/>
    <x v="281"/>
    <x v="22"/>
    <x v="0"/>
    <d v="2024-02-02T00:00:00"/>
    <s v="OK"/>
    <d v="2024-02-02T00:00:00"/>
    <n v="22"/>
    <s v="Africa"/>
    <x v="9"/>
    <s v="Durban"/>
    <s v="Durban"/>
    <s v="Africa &gt; South Africa &gt; Durban"/>
    <s v="Consumer"/>
    <s v="Online"/>
    <s v="Online"/>
    <s v="K. Singh"/>
    <x v="3"/>
    <s v="Networking"/>
    <x v="6"/>
    <s v="High"/>
    <x v="483"/>
    <n v="1206.2"/>
    <n v="1759.79"/>
    <s v="OK"/>
    <n v="1759.79"/>
    <n v="0"/>
    <s v="OK"/>
    <n v="0"/>
    <n v="6"/>
    <n v="10558.74"/>
    <e v="#VALUE!"/>
    <n v="7237.2000000000007"/>
    <n v="3321.5399999999991"/>
    <n v="0.31457730751964713"/>
    <n v="44928"/>
    <s v="Jan-2023"/>
  </r>
  <r>
    <x v="484"/>
    <x v="378"/>
    <x v="5"/>
    <x v="4"/>
    <d v="2023-02-26T00:00:00"/>
    <s v="OK"/>
    <d v="2023-02-26T00:00:00"/>
    <n v="11"/>
    <s v="Africa"/>
    <x v="9"/>
    <s v="Johannesburg"/>
    <s v="Johannesburg"/>
    <s v="Africa &gt; South Africa &gt; Johannesburg"/>
    <s v="Non-Profit"/>
    <s v="Retail"/>
    <s v="Retail"/>
    <s v="K. Singh"/>
    <x v="3"/>
    <s v="Laptops"/>
    <x v="3"/>
    <s v="Low"/>
    <x v="484"/>
    <n v="498.5"/>
    <n v="755.87"/>
    <s v="OK"/>
    <n v="755.87"/>
    <n v="0.13"/>
    <s v="OK"/>
    <n v="0.13"/>
    <n v="40"/>
    <n v="26304.275999999998"/>
    <n v="1711094.3775999998"/>
    <n v="19940"/>
    <n v="6364.275999999998"/>
    <n v="0.24194834330357537"/>
    <n v="44928"/>
    <s v="Jan-2023"/>
  </r>
  <r>
    <x v="485"/>
    <x v="63"/>
    <x v="21"/>
    <x v="10"/>
    <d v="2023-09-07T00:00:00"/>
    <s v="OK"/>
    <d v="2023-09-07T00:00:00"/>
    <n v="19"/>
    <s v="Africa"/>
    <x v="9"/>
    <s v="Johannesburg"/>
    <s v="Johannesburg"/>
    <s v="Africa &gt; South Africa &gt; Johannesburg"/>
    <s v="Enterprise"/>
    <s v="Retail"/>
    <s v="Retail"/>
    <s v="D. Smith"/>
    <x v="14"/>
    <s v="Monitors"/>
    <x v="2"/>
    <s v="Low"/>
    <x v="485"/>
    <n v="494.61"/>
    <n v="605.23"/>
    <s v="OK"/>
    <n v="605.23"/>
    <n v="0.20399999999999999"/>
    <s v="OK"/>
    <n v="0.20399999999999999"/>
    <n v="18"/>
    <n v="8671.7354400000004"/>
    <e v="#VALUE!"/>
    <n v="8902.98"/>
    <n v="-231.24455999999918"/>
    <n v="-2.6666468505639647E-2"/>
    <n v="44928"/>
    <s v="Jan-2023"/>
  </r>
  <r>
    <x v="486"/>
    <x v="379"/>
    <x v="15"/>
    <x v="5"/>
    <d v="2024-05-07T00:00:00"/>
    <s v="OK"/>
    <d v="2024-05-07T00:00:00"/>
    <n v="25"/>
    <s v="Africa"/>
    <x v="9"/>
    <s v="Johannesburg"/>
    <s v="Johannesburg"/>
    <s v="Africa &gt; South Africa &gt; Johannesburg"/>
    <s v="Education"/>
    <s v="Distributor"/>
    <s v="Distributor"/>
    <s v="A. Patel"/>
    <x v="1"/>
    <s v="Laptops"/>
    <x v="3"/>
    <s v="High"/>
    <x v="486"/>
    <n v="1376.51"/>
    <n v="1455.91"/>
    <s v="OK"/>
    <n v="1455.91"/>
    <n v="0.185"/>
    <s v="OK"/>
    <n v="0.185"/>
    <n v="17"/>
    <n v="20171.63305"/>
    <n v="1711094.3775999998"/>
    <n v="23400.67"/>
    <n v="-3229.0369499999979"/>
    <n v="-0.1600781127634085"/>
    <n v="44928"/>
    <s v="Jan-2023"/>
  </r>
  <r>
    <x v="487"/>
    <x v="243"/>
    <x v="26"/>
    <x v="8"/>
    <d v="2023-05-18T00:00:00"/>
    <s v="Invalid date"/>
    <d v="2023-05-25T00:00:00"/>
    <n v="5"/>
    <s v="Africa"/>
    <x v="9"/>
    <s v="Durban"/>
    <s v="Durban"/>
    <s v="Africa &gt; South Africa &gt; Durban"/>
    <s v="Corporate"/>
    <s v="Distributor"/>
    <s v="Distributor"/>
    <s v="A. Patel"/>
    <x v="1"/>
    <s v="Components"/>
    <x v="0"/>
    <s v="High"/>
    <x v="487"/>
    <n v="917.88"/>
    <n v="1347.92"/>
    <s v="OK"/>
    <n v="1347.92"/>
    <n v="0.34300000000000003"/>
    <s v="Excess dis"/>
    <n v="0.3"/>
    <n v="5"/>
    <n v="4717.72"/>
    <n v="1550200.534329999"/>
    <n v="4589.3999999999996"/>
    <n v="128.32000000000062"/>
    <n v="2.7199579457873848E-2"/>
    <n v="44928"/>
    <s v="Jan-2023"/>
  </r>
  <r>
    <x v="488"/>
    <x v="380"/>
    <x v="5"/>
    <x v="4"/>
    <d v="2023-02-11T00:00:00"/>
    <s v="OK"/>
    <d v="2023-02-11T00:00:00"/>
    <n v="3"/>
    <s v="Africa"/>
    <x v="9"/>
    <s v="Cape Town"/>
    <s v="Cape Town"/>
    <s v="Africa &gt; South Africa &gt; Cape Town"/>
    <s v="Corporate"/>
    <s v="Direct"/>
    <s v="Direct"/>
    <s v="M. Rossi"/>
    <x v="13"/>
    <s v="Networking"/>
    <x v="6"/>
    <s v="High"/>
    <x v="488"/>
    <n v="1410.05"/>
    <n v="2763.95"/>
    <s v="OK"/>
    <n v="2763.95"/>
    <n v="0.161"/>
    <s v="OK"/>
    <n v="0.161"/>
    <n v="26"/>
    <n v="60292.805299999993"/>
    <e v="#VALUE!"/>
    <n v="36661.299999999996"/>
    <n v="23631.505299999997"/>
    <n v="0.39194569206750779"/>
    <n v="44928"/>
    <s v="Jan-2023"/>
  </r>
  <r>
    <x v="489"/>
    <x v="265"/>
    <x v="9"/>
    <x v="6"/>
    <d v="2023-12-23T00:00:00"/>
    <s v="OK"/>
    <d v="2023-12-23T00:00:00"/>
    <n v="1"/>
    <s v="Africa"/>
    <x v="9"/>
    <s v="Cape Town"/>
    <s v="Cape Town"/>
    <s v="Africa &gt; South Africa &gt; Cape Town"/>
    <s v="Non-Profit"/>
    <s v="Marketplace"/>
    <s v="Marketplace"/>
    <s v="D. Smith"/>
    <x v="14"/>
    <s v="Components"/>
    <x v="0"/>
    <s v="High"/>
    <x v="489"/>
    <n v="1186.18"/>
    <n v="1285.0899999999999"/>
    <s v="OK"/>
    <n v="1285.0899999999999"/>
    <n v="7.0000000000000007E-2"/>
    <s v="OK"/>
    <n v="7.0000000000000007E-2"/>
    <n v="11"/>
    <n v="13146.470699999998"/>
    <n v="1550200.534329999"/>
    <n v="13047.980000000001"/>
    <n v="98.49069999999665"/>
    <n v="7.4917977796121861E-3"/>
    <n v="44928"/>
    <s v="Jan-2023"/>
  </r>
  <r>
    <x v="490"/>
    <x v="381"/>
    <x v="16"/>
    <x v="5"/>
    <d v="2024-05-27T00:00:00"/>
    <s v="OK"/>
    <d v="2024-05-27T00:00:00"/>
    <n v="6"/>
    <s v="Africa"/>
    <x v="9"/>
    <s v="Johannesburg"/>
    <s v="Johannesburg"/>
    <s v="Africa &gt; South Africa &gt; Johannesburg"/>
    <s v="Non-Profit"/>
    <s v="Online"/>
    <s v="Online"/>
    <s v="M. Rossi"/>
    <x v="13"/>
    <s v="Components"/>
    <x v="0"/>
    <s v="High"/>
    <x v="490"/>
    <n v="1157.51"/>
    <n v="1394.3"/>
    <s v="OK"/>
    <n v="1394.3"/>
    <n v="0.27800000000000002"/>
    <s v="OK"/>
    <n v="0.27800000000000002"/>
    <n v="12"/>
    <n v="12080.215199999999"/>
    <n v="1550200.534329999"/>
    <n v="13890.119999999999"/>
    <n v="-1809.9048000000003"/>
    <n v="-0.14982388724333326"/>
    <n v="44928"/>
    <s v="Jan-2023"/>
  </r>
  <r>
    <x v="491"/>
    <x v="382"/>
    <x v="6"/>
    <x v="5"/>
    <d v="2024-07-26T00:00:00"/>
    <s v="OK"/>
    <d v="2024-07-26T00:00:00"/>
    <n v="27"/>
    <s v="Africa"/>
    <x v="9"/>
    <s v="Durban"/>
    <s v="Durban"/>
    <s v="Africa &gt; South Africa &gt; Durban"/>
    <s v="Enterprise"/>
    <s v="Distributor"/>
    <s v="Distributor"/>
    <s v="B. Chen"/>
    <x v="6"/>
    <s v="Networking"/>
    <x v="6"/>
    <s v="Low"/>
    <x v="491"/>
    <n v="5.36"/>
    <n v="4.37"/>
    <s v="OK"/>
    <n v="4.37"/>
    <n v="0.11799999999999999"/>
    <s v="OK"/>
    <n v="0.11799999999999999"/>
    <n v="9"/>
    <n v="34.689059999999998"/>
    <e v="#VALUE!"/>
    <n v="48.24"/>
    <n v="-13.550940000000004"/>
    <n v="-0.39064016148030545"/>
    <n v="44928"/>
    <s v="Jan-2023"/>
  </r>
  <r>
    <x v="492"/>
    <x v="216"/>
    <x v="18"/>
    <x v="6"/>
    <d v="2023-11-29T00:00:00"/>
    <s v="Invalid date"/>
    <d v="2023-12-05T00:00:00"/>
    <n v="5"/>
    <s v="Africa"/>
    <x v="9"/>
    <s v="Durban"/>
    <s v="Durban"/>
    <s v="Africa &gt; South Africa &gt; Durban"/>
    <s v="Small Business"/>
    <s v="Marketplace"/>
    <s v="Marketplace"/>
    <s v="E. Garcia"/>
    <x v="11"/>
    <s v="Laptops"/>
    <x v="3"/>
    <s v="Low"/>
    <x v="492"/>
    <n v="275.56"/>
    <n v="630.72"/>
    <s v="OK"/>
    <n v="630.72"/>
    <n v="0.107"/>
    <s v="OK"/>
    <n v="0.107"/>
    <n v="23"/>
    <n v="12954.358080000002"/>
    <n v="1711094.3775999998"/>
    <n v="6337.88"/>
    <n v="6616.4780800000017"/>
    <n v="0.5107530638831933"/>
    <n v="44928"/>
    <s v="Jan-2023"/>
  </r>
  <r>
    <x v="493"/>
    <x v="383"/>
    <x v="14"/>
    <x v="10"/>
    <d v="2023-07-23T00:00:00"/>
    <s v="OK"/>
    <d v="2023-07-23T00:00:00"/>
    <n v="20"/>
    <s v="Africa"/>
    <x v="9"/>
    <s v="Johannesburg"/>
    <s v="Johannesburg"/>
    <s v="Africa &gt; South Africa &gt; Johannesburg"/>
    <s v="Small Business"/>
    <s v="Distributor"/>
    <s v="Distributor"/>
    <s v="F. Müller"/>
    <x v="8"/>
    <s v="Laptops"/>
    <x v="3"/>
    <s v="High"/>
    <x v="493"/>
    <n v="1001.96"/>
    <n v="1254.95"/>
    <s v="OK"/>
    <n v="1254.95"/>
    <n v="4.4999999999999998E-2"/>
    <s v="OK"/>
    <n v="4.4999999999999998E-2"/>
    <n v="18"/>
    <n v="21572.590500000002"/>
    <n v="1711094.3775999998"/>
    <n v="18035.28"/>
    <n v="3537.3105000000032"/>
    <n v="0.16397244920585699"/>
    <n v="44928"/>
    <s v="Jan-2023"/>
  </r>
  <r>
    <x v="494"/>
    <x v="1"/>
    <x v="1"/>
    <x v="1"/>
    <d v="2025-05-19T00:00:00"/>
    <s v="Invalid date"/>
    <d v="2025-05-26T00:00:00"/>
    <n v="5"/>
    <s v="Africa"/>
    <x v="9"/>
    <s v="Johannesburg"/>
    <s v="Johannesburg"/>
    <s v="Africa &gt; South Africa &gt; Johannesburg"/>
    <s v="Non-Profit"/>
    <s v="Distributor"/>
    <s v="Distributor"/>
    <s v="O. Wang"/>
    <x v="7"/>
    <s v="Laptops"/>
    <x v="3"/>
    <s v="High"/>
    <x v="494"/>
    <n v="1263.8399999999999"/>
    <n v="2281.7199999999998"/>
    <s v="OK"/>
    <n v="2281.7199999999998"/>
    <n v="7.8E-2"/>
    <s v="OK"/>
    <n v="7.8E-2"/>
    <n v="15"/>
    <n v="31556.187599999997"/>
    <n v="1711094.3775999998"/>
    <n v="18957.599999999999"/>
    <n v="12598.587599999999"/>
    <n v="0.39924301882398494"/>
    <n v="44928"/>
    <s v="Jan-2023"/>
  </r>
  <r>
    <x v="495"/>
    <x v="34"/>
    <x v="16"/>
    <x v="5"/>
    <d v="2024-06-03T00:00:00"/>
    <s v="OK"/>
    <d v="2024-06-03T00:00:00"/>
    <n v="11"/>
    <s v="Africa"/>
    <x v="9"/>
    <s v="Johannesburg"/>
    <s v="Johannesburg"/>
    <s v="Africa &gt; South Africa &gt; Johannesburg"/>
    <s v="Small Business"/>
    <s v="Distributor"/>
    <s v="Distributor"/>
    <s v="F. Müller"/>
    <x v="8"/>
    <s v="Printers"/>
    <x v="5"/>
    <s v="Low"/>
    <x v="495"/>
    <n v="180.89"/>
    <n v="249.57"/>
    <s v="OK"/>
    <n v="249.57"/>
    <n v="2.1999999999999999E-2"/>
    <s v="OK"/>
    <n v="2.1999999999999999E-2"/>
    <n v="8"/>
    <n v="1952.6356799999999"/>
    <n v="1616910.1886600002"/>
    <n v="1447.12"/>
    <n v="505.51567999999997"/>
    <n v="0.25888888806948362"/>
    <n v="44928"/>
    <s v="Jan-2023"/>
  </r>
  <r>
    <x v="496"/>
    <x v="384"/>
    <x v="32"/>
    <x v="9"/>
    <d v="2024-10-23T00:00:00"/>
    <s v="OK"/>
    <d v="2024-10-23T00:00:00"/>
    <n v="21"/>
    <s v="Africa"/>
    <x v="9"/>
    <s v="Durban"/>
    <s v="Durban"/>
    <s v="Africa &gt; South Africa &gt; Durban"/>
    <s v="Corporate"/>
    <s v="Marketplace"/>
    <s v="Marketplace"/>
    <s v="A. Patel"/>
    <x v="1"/>
    <s v="Components"/>
    <x v="0"/>
    <s v="High"/>
    <x v="496"/>
    <n v="1095.6099999999999"/>
    <n v="2366.5100000000002"/>
    <s v="OK"/>
    <n v="2366.5100000000002"/>
    <n v="0.152"/>
    <s v="OK"/>
    <n v="0.152"/>
    <n v="9"/>
    <n v="18061.204320000004"/>
    <n v="1550200.534329999"/>
    <n v="9860.49"/>
    <n v="8200.7143200000046"/>
    <n v="0.4540513564158607"/>
    <n v="44928"/>
    <s v="Jan-2023"/>
  </r>
  <r>
    <x v="497"/>
    <x v="385"/>
    <x v="21"/>
    <x v="10"/>
    <d v="2023-09-10T00:00:00"/>
    <s v="OK"/>
    <d v="2023-09-10T00:00:00"/>
    <n v="15"/>
    <s v="Africa"/>
    <x v="9"/>
    <s v="Cape Town"/>
    <s v="Cape Town"/>
    <s v="Africa &gt; South Africa &gt; Cape Town"/>
    <s v="Non-Profit"/>
    <s v="Direct"/>
    <s v="Direct"/>
    <s v="N. Brown"/>
    <x v="5"/>
    <s v="Components"/>
    <x v="0"/>
    <s v="Low"/>
    <x v="497"/>
    <n v="241.14"/>
    <n v="496.52"/>
    <s v="OK"/>
    <n v="496.52"/>
    <n v="9.2999999999999999E-2"/>
    <s v="OK"/>
    <n v="9.2999999999999999E-2"/>
    <n v="10"/>
    <n v="4503.4363999999996"/>
    <n v="1550200.534329999"/>
    <n v="2411.3999999999996"/>
    <n v="2092.0364"/>
    <n v="0.46454223268257994"/>
    <n v="44928"/>
    <s v="Jan-2023"/>
  </r>
  <r>
    <x v="498"/>
    <x v="386"/>
    <x v="4"/>
    <x v="3"/>
    <d v="2025-07-17T00:00:00"/>
    <s v="OK"/>
    <d v="2025-07-17T00:00:00"/>
    <n v="1"/>
    <s v="Africa"/>
    <x v="9"/>
    <s v="Durban"/>
    <s v="Durban"/>
    <s v="Africa &gt; South Africa &gt; Durban"/>
    <s v="Small Business"/>
    <s v="Distributor"/>
    <s v="Distributor"/>
    <s v="B. Chen"/>
    <x v="6"/>
    <s v="Networking"/>
    <x v="6"/>
    <s v="High"/>
    <x v="498"/>
    <n v="1198.9000000000001"/>
    <n v="2941.2"/>
    <s v="OK"/>
    <n v="2941.2"/>
    <n v="5.0999999999999997E-2"/>
    <s v="OK"/>
    <n v="5.0999999999999997E-2"/>
    <n v="24"/>
    <n v="66988.771199999988"/>
    <e v="#VALUE!"/>
    <n v="28773.600000000002"/>
    <n v="38215.171199999982"/>
    <n v="0.57047129713583977"/>
    <n v="44928"/>
    <s v="Jan-2023"/>
  </r>
  <r>
    <x v="499"/>
    <x v="218"/>
    <x v="12"/>
    <x v="4"/>
    <d v="2023-03-30T00:00:00"/>
    <s v="OK"/>
    <d v="2023-03-30T00:00:00"/>
    <n v="16"/>
    <s v="Africa"/>
    <x v="9"/>
    <s v="Cape Town"/>
    <s v="Cape Town"/>
    <s v="Africa &gt; South Africa &gt; Cape Town"/>
    <s v="Consumer"/>
    <s v="Distributor"/>
    <s v="Distributor"/>
    <s v="K. Singh"/>
    <x v="3"/>
    <s v="Components"/>
    <x v="0"/>
    <s v="High"/>
    <x v="499"/>
    <n v="1309.77"/>
    <n v="1589.07"/>
    <s v="OK"/>
    <n v="1589.07"/>
    <n v="0.10199999999999999"/>
    <s v="OK"/>
    <n v="0.10199999999999999"/>
    <n v="10"/>
    <n v="14269.848599999999"/>
    <n v="1550200.534329999"/>
    <n v="13097.7"/>
    <n v="1172.1485999999986"/>
    <n v="8.2141628328137886E-2"/>
    <n v="44928"/>
    <s v="Jan-2023"/>
  </r>
  <r>
    <x v="500"/>
    <x v="387"/>
    <x v="31"/>
    <x v="1"/>
    <d v="2025-06-27T00:00:00"/>
    <s v="OK"/>
    <d v="2025-06-27T00:00:00"/>
    <n v="6"/>
    <s v="Africa"/>
    <x v="9"/>
    <s v="Durban"/>
    <s v="Durban"/>
    <s v="Africa &gt; South Africa &gt; Durban"/>
    <s v="Enterprise"/>
    <s v="Distributor"/>
    <s v="Distributor"/>
    <s v="N. Brown"/>
    <x v="5"/>
    <s v="Phones"/>
    <x v="4"/>
    <s v="Low"/>
    <x v="500"/>
    <n v="93.91"/>
    <n v="99.04"/>
    <s v="OK"/>
    <n v="99.04"/>
    <n v="5.7000000000000002E-2"/>
    <s v="OK"/>
    <n v="5.7000000000000002E-2"/>
    <n v="6"/>
    <n v="560.36831999999993"/>
    <n v="1399242.2240200008"/>
    <n v="563.46"/>
    <n v="-3.0916800000001103"/>
    <n v="-5.5172283829323376E-3"/>
    <n v="44928"/>
    <s v="Jan-2023"/>
  </r>
  <r>
    <x v="501"/>
    <x v="303"/>
    <x v="6"/>
    <x v="5"/>
    <d v="2024-07-03T00:00:00"/>
    <s v="OK"/>
    <d v="2024-07-03T00:00:00"/>
    <n v="17"/>
    <s v="Africa"/>
    <x v="9"/>
    <s v="Johannesburg"/>
    <s v="Johannesburg"/>
    <s v="Africa &gt; South Africa &gt; Johannesburg"/>
    <s v="Enterprise"/>
    <s v="Marketplace"/>
    <s v="Marketplace"/>
    <s v="F. Müller"/>
    <x v="8"/>
    <s v="Phones"/>
    <x v="4"/>
    <s v="High"/>
    <x v="501"/>
    <n v="1173.83"/>
    <n v="2328.9"/>
    <s v="OK"/>
    <n v="2328.9"/>
    <n v="0.12"/>
    <s v="OK"/>
    <n v="0.12"/>
    <n v="17"/>
    <n v="34840.344000000005"/>
    <n v="1399242.2240200008"/>
    <n v="19955.11"/>
    <n v="14885.234000000004"/>
    <n v="0.42724130393201637"/>
    <n v="44928"/>
    <s v="Jan-2023"/>
  </r>
  <r>
    <x v="502"/>
    <x v="191"/>
    <x v="22"/>
    <x v="0"/>
    <d v="2024-01-30T00:00:00"/>
    <s v="OK"/>
    <d v="2024-01-30T00:00:00"/>
    <n v="2"/>
    <s v="Africa"/>
    <x v="9"/>
    <s v="Cape Town"/>
    <s v="Cape Town"/>
    <s v="Africa &gt; South Africa &gt; Cape Town"/>
    <s v="Consumer"/>
    <s v="Direct"/>
    <s v="Direct"/>
    <s v="F. Müller"/>
    <x v="8"/>
    <s v="Accessories"/>
    <x v="1"/>
    <s v="High"/>
    <x v="502"/>
    <n v="798.45"/>
    <n v="1592.02"/>
    <s v="OK"/>
    <n v="1592.02"/>
    <n v="6.6000000000000003E-2"/>
    <s v="OK"/>
    <n v="6.6000000000000003E-2"/>
    <n v="18"/>
    <n v="26765.040239999998"/>
    <e v="#VALUE!"/>
    <n v="14372.1"/>
    <n v="12392.940239999998"/>
    <n v="0.46302714768494585"/>
    <n v="44928"/>
    <s v="Jan-2023"/>
  </r>
  <r>
    <x v="503"/>
    <x v="33"/>
    <x v="14"/>
    <x v="10"/>
    <d v="2023-08-10T00:00:00"/>
    <s v="OK"/>
    <d v="2023-08-10T00:00:00"/>
    <n v="23"/>
    <s v="Africa"/>
    <x v="9"/>
    <s v="Johannesburg"/>
    <s v="Johannesburg"/>
    <s v="Africa &gt; South Africa &gt; Johannesburg"/>
    <s v="Small Business"/>
    <s v="Retail"/>
    <s v="Retail"/>
    <s v="L. Okafor"/>
    <x v="10"/>
    <s v="Components"/>
    <x v="0"/>
    <s v="High"/>
    <x v="503"/>
    <n v="1271.56"/>
    <n v="995.47"/>
    <s v="OK"/>
    <n v="995.47"/>
    <n v="0.192"/>
    <s v="OK"/>
    <n v="0.192"/>
    <n v="13"/>
    <n v="10456.416880000001"/>
    <n v="1550200.534329999"/>
    <n v="16530.28"/>
    <n v="-6073.8631199999982"/>
    <n v="-0.58087423155607754"/>
    <n v="44928"/>
    <s v="Jan-2023"/>
  </r>
  <r>
    <x v="504"/>
    <x v="388"/>
    <x v="6"/>
    <x v="5"/>
    <d v="2024-06-24T00:00:00"/>
    <s v="OK"/>
    <d v="2024-06-24T00:00:00"/>
    <n v="16"/>
    <s v="Africa"/>
    <x v="9"/>
    <s v="Durban"/>
    <s v="Durban"/>
    <s v="Africa &gt; South Africa &gt; Durban"/>
    <s v="Education"/>
    <s v="Distributor"/>
    <s v="Distributor"/>
    <s v="H. Kim"/>
    <x v="15"/>
    <s v="Monitors"/>
    <x v="2"/>
    <s v="Low"/>
    <x v="504"/>
    <n v="597.85"/>
    <n v="741.92"/>
    <s v="OK"/>
    <n v="741.92"/>
    <n v="3.1E-2"/>
    <s v="OK"/>
    <n v="3.1E-2"/>
    <n v="7"/>
    <n v="5032.4433599999993"/>
    <e v="#VALUE!"/>
    <n v="4184.95"/>
    <n v="847.49335999999948"/>
    <n v="0.16840594108544515"/>
    <n v="44928"/>
    <s v="Jan-2023"/>
  </r>
  <r>
    <x v="505"/>
    <x v="262"/>
    <x v="26"/>
    <x v="8"/>
    <d v="2023-05-29T00:00:00"/>
    <s v="OK"/>
    <d v="2023-05-29T00:00:00"/>
    <n v="22"/>
    <s v="Africa"/>
    <x v="9"/>
    <s v="Durban"/>
    <s v="Durban"/>
    <s v="Africa &gt; South Africa &gt; Durban"/>
    <s v="Education"/>
    <s v="Distributor"/>
    <s v="Distributor"/>
    <s v="K. Singh"/>
    <x v="3"/>
    <s v="Accessories"/>
    <x v="1"/>
    <s v="High"/>
    <x v="505"/>
    <n v="653.86"/>
    <n v="931.84"/>
    <s v="OK"/>
    <n v="931.84"/>
    <n v="0.121"/>
    <s v="OK"/>
    <n v="0.121"/>
    <n v="12"/>
    <n v="9829.0483199999999"/>
    <e v="#VALUE!"/>
    <n v="7846.32"/>
    <n v="1982.7283200000002"/>
    <n v="0.20172129136506273"/>
    <n v="44928"/>
    <s v="Jan-2023"/>
  </r>
  <r>
    <x v="506"/>
    <x v="362"/>
    <x v="14"/>
    <x v="10"/>
    <d v="2023-07-21T00:00:00"/>
    <s v="OK"/>
    <d v="2023-07-21T00:00:00"/>
    <n v="7"/>
    <s v="Africa"/>
    <x v="9"/>
    <s v="Durban"/>
    <s v="Durban"/>
    <s v="Africa &gt; South Africa &gt; Durban"/>
    <s v="Enterprise"/>
    <s v="Marketplace"/>
    <s v="Marketplace"/>
    <m/>
    <x v="9"/>
    <s v="Monitors"/>
    <x v="2"/>
    <s v="High"/>
    <x v="506"/>
    <n v="620.74"/>
    <n v="1330.07"/>
    <s v="OK"/>
    <n v="1330.07"/>
    <n v="0.29899999999999999"/>
    <s v="OK"/>
    <n v="0.29899999999999999"/>
    <n v="28"/>
    <n v="26106.613960000002"/>
    <e v="#VALUE!"/>
    <n v="17380.72"/>
    <n v="8725.8939600000012"/>
    <n v="0.33424073965967516"/>
    <n v="44928"/>
    <s v="Jan-2023"/>
  </r>
  <r>
    <x v="507"/>
    <x v="389"/>
    <x v="22"/>
    <x v="0"/>
    <d v="2024-02-03T00:00:00"/>
    <s v="OK"/>
    <d v="2024-02-03T00:00:00"/>
    <n v="16"/>
    <s v="Africa"/>
    <x v="9"/>
    <s v="Cape Town"/>
    <s v="Cape Town"/>
    <s v="Africa &gt; South Africa &gt; Cape Town"/>
    <s v="Non-Profit"/>
    <s v="Distributor"/>
    <s v="Distributor"/>
    <s v="L. Okafor"/>
    <x v="10"/>
    <s v="Printers"/>
    <x v="5"/>
    <s v="High"/>
    <x v="507"/>
    <n v="666.23"/>
    <n v="1382.91"/>
    <s v="OK"/>
    <n v="1382.91"/>
    <n v="0.17599999999999999"/>
    <s v="OK"/>
    <n v="0.17599999999999999"/>
    <n v="13"/>
    <n v="14813.731920000002"/>
    <n v="1616910.1886600002"/>
    <n v="8660.99"/>
    <n v="6152.7419200000022"/>
    <n v="0.41534043907553048"/>
    <n v="44928"/>
    <s v="Jan-2023"/>
  </r>
  <r>
    <x v="508"/>
    <x v="390"/>
    <x v="12"/>
    <x v="4"/>
    <d v="2023-04-04T00:00:00"/>
    <s v="OK"/>
    <d v="2023-04-04T00:00:00"/>
    <n v="22"/>
    <s v="Africa"/>
    <x v="9"/>
    <s v="Durban"/>
    <s v="Durban"/>
    <s v="Africa &gt; South Africa &gt; Durban"/>
    <s v="Small Business"/>
    <s v="Retail"/>
    <s v="Retail"/>
    <s v="A. Patel"/>
    <x v="1"/>
    <s v="Components"/>
    <x v="0"/>
    <s v="High"/>
    <x v="508"/>
    <n v="1113.7"/>
    <n v="1620.6"/>
    <s v="OK"/>
    <n v="1620.6"/>
    <n v="0.13900000000000001"/>
    <s v="OK"/>
    <n v="0.13900000000000001"/>
    <n v="11"/>
    <n v="15348.702599999999"/>
    <n v="1550200.534329999"/>
    <n v="12250.7"/>
    <n v="3098.002599999998"/>
    <n v="0.20184133348182787"/>
    <n v="44928"/>
    <s v="Jan-2023"/>
  </r>
  <r>
    <x v="509"/>
    <x v="391"/>
    <x v="25"/>
    <x v="2"/>
    <d v="2025-01-20T00:00:00"/>
    <s v="OK"/>
    <d v="2025-01-20T00:00:00"/>
    <n v="13"/>
    <s v="Africa"/>
    <x v="9"/>
    <s v="Cape Town"/>
    <s v="Cape Town"/>
    <s v="Africa &gt; South Africa &gt; Cape Town"/>
    <s v="Corporate"/>
    <s v="Direct"/>
    <s v="Direct"/>
    <s v="K. Singh"/>
    <x v="3"/>
    <s v="Networking"/>
    <x v="6"/>
    <s v="High"/>
    <x v="509"/>
    <n v="432.13"/>
    <n v="1034.6600000000001"/>
    <s v="OK"/>
    <n v="1034.6600000000001"/>
    <n v="9.1999999999999998E-2"/>
    <s v="OK"/>
    <n v="9.1999999999999998E-2"/>
    <n v="7"/>
    <n v="6576.298960000001"/>
    <e v="#VALUE!"/>
    <n v="3024.91"/>
    <n v="3551.3889600000011"/>
    <n v="0.54002851476204794"/>
    <n v="44928"/>
    <s v="Jan-2023"/>
  </r>
  <r>
    <x v="510"/>
    <x v="392"/>
    <x v="20"/>
    <x v="6"/>
    <d v="2023-11-05T00:00:00"/>
    <s v="OK"/>
    <d v="2023-11-05T00:00:00"/>
    <n v="10"/>
    <s v="Africa"/>
    <x v="9"/>
    <s v="Cape Town"/>
    <s v="Cape Town"/>
    <s v="Africa &gt; South Africa &gt; Cape Town"/>
    <s v="Non-Profit"/>
    <s v="Online"/>
    <s v="Online"/>
    <s v="I. Johnson"/>
    <x v="12"/>
    <s v="Laptops"/>
    <x v="3"/>
    <s v="Low"/>
    <x v="510"/>
    <n v="20.38"/>
    <n v="42.56"/>
    <s v="OK"/>
    <n v="42.56"/>
    <n v="7.1999999999999995E-2"/>
    <s v="OK"/>
    <n v="7.1999999999999995E-2"/>
    <n v="11"/>
    <n v="434.45248000000004"/>
    <n v="1711094.3775999998"/>
    <n v="224.17999999999998"/>
    <n v="210.27248000000006"/>
    <n v="0.48399419885921713"/>
    <n v="44928"/>
    <s v="Jan-2023"/>
  </r>
  <r>
    <x v="511"/>
    <x v="187"/>
    <x v="31"/>
    <x v="1"/>
    <d v="2025-06-30T00:00:00"/>
    <s v="OK"/>
    <d v="2025-06-30T00:00:00"/>
    <n v="15"/>
    <s v="Africa"/>
    <x v="9"/>
    <s v="Johannesburg"/>
    <s v="Johannesburg"/>
    <s v="Africa &gt; South Africa &gt; Johannesburg"/>
    <s v="Small Business"/>
    <s v="Direct"/>
    <s v="Direct"/>
    <s v="C. Otieno"/>
    <x v="0"/>
    <s v="Monitors"/>
    <x v="2"/>
    <s v="High"/>
    <x v="511"/>
    <n v="1487.59"/>
    <n v="1480.83"/>
    <s v="OK"/>
    <n v="1480.83"/>
    <n v="8.9999999999999993E-3"/>
    <s v="OK"/>
    <n v="8.9999999999999993E-3"/>
    <n v="11"/>
    <n v="16142.527829999999"/>
    <e v="#VALUE!"/>
    <n v="16363.49"/>
    <n v="-220.9621700000007"/>
    <n v="-1.3688201273492908E-2"/>
    <n v="44928"/>
    <s v="Jan-2023"/>
  </r>
  <r>
    <x v="512"/>
    <x v="393"/>
    <x v="3"/>
    <x v="3"/>
    <d v="2025-09-23T00:00:00"/>
    <s v="OK"/>
    <d v="2025-09-23T00:00:00"/>
    <n v="9"/>
    <s v="Africa"/>
    <x v="9"/>
    <s v="Durban"/>
    <s v="Durban"/>
    <s v="Africa &gt; South Africa &gt; Durban"/>
    <s v="Non-Profit"/>
    <s v="Online"/>
    <s v="Online"/>
    <s v="D. Smith"/>
    <x v="14"/>
    <s v="Components"/>
    <x v="0"/>
    <s v="High"/>
    <x v="512"/>
    <n v="1310.3"/>
    <n v="2875.8"/>
    <s v="OK"/>
    <n v="2875.8"/>
    <n v="8.3000000000000004E-2"/>
    <s v="OK"/>
    <n v="8.3000000000000004E-2"/>
    <n v="5"/>
    <n v="13185.543"/>
    <n v="1550200.534329999"/>
    <n v="6551.5"/>
    <n v="6634.0429999999997"/>
    <n v="0.50313005691157353"/>
    <n v="44928"/>
    <s v="Jan-2023"/>
  </r>
  <r>
    <x v="513"/>
    <x v="302"/>
    <x v="17"/>
    <x v="7"/>
    <d v="2024-10-04T00:00:00"/>
    <s v="OK"/>
    <d v="2024-10-04T00:00:00"/>
    <n v="28"/>
    <s v="Africa"/>
    <x v="9"/>
    <s v="Cape Town"/>
    <s v="Cape Town"/>
    <s v="Africa &gt; South Africa &gt; Cape Town"/>
    <s v="Corporate"/>
    <s v="Marketplace"/>
    <s v="Marketplace"/>
    <s v="D. Smith"/>
    <x v="14"/>
    <s v="Monitors"/>
    <x v="2"/>
    <s v="High"/>
    <x v="513"/>
    <n v="1174.17"/>
    <n v="1641.61"/>
    <s v="OK"/>
    <n v="1641.61"/>
    <n v="0.122"/>
    <s v="OK"/>
    <n v="0.122"/>
    <n v="9"/>
    <n v="12972.00222"/>
    <e v="#VALUE!"/>
    <n v="10567.53"/>
    <n v="2404.4722199999997"/>
    <n v="0.18535860380079394"/>
    <n v="44928"/>
    <s v="Jan-2023"/>
  </r>
  <r>
    <x v="514"/>
    <x v="32"/>
    <x v="2"/>
    <x v="2"/>
    <d v="2025-04-29T00:00:00"/>
    <s v="OK"/>
    <d v="2025-04-29T00:00:00"/>
    <n v="30"/>
    <s v="Africa"/>
    <x v="9"/>
    <s v="Durban"/>
    <s v="Durban"/>
    <s v="Africa &gt; South Africa &gt; Durban"/>
    <s v="Consumer"/>
    <s v="Marketplace"/>
    <s v="Marketplace"/>
    <s v="J. Njeri"/>
    <x v="2"/>
    <s v="Monitors"/>
    <x v="2"/>
    <s v="Low"/>
    <x v="514"/>
    <n v="194.6"/>
    <n v="314.87"/>
    <s v="OK"/>
    <n v="314.87"/>
    <n v="0.29299999999999998"/>
    <s v="OK"/>
    <n v="0.29299999999999998"/>
    <n v="25"/>
    <n v="5565.3272500000003"/>
    <e v="#VALUE!"/>
    <n v="4865"/>
    <n v="700.32725000000028"/>
    <n v="0.1258375686712763"/>
    <n v="44928"/>
    <s v="Jan-2023"/>
  </r>
  <r>
    <x v="515"/>
    <x v="138"/>
    <x v="26"/>
    <x v="8"/>
    <d v="2023-06-15T00:00:00"/>
    <s v="OK"/>
    <d v="2023-06-15T00:00:00"/>
    <n v="29"/>
    <s v="Africa"/>
    <x v="9"/>
    <s v="Durban"/>
    <s v="Durban"/>
    <s v="Africa &gt; South Africa &gt; Durban"/>
    <s v="Enterprise"/>
    <s v="Retail"/>
    <s v="Retail"/>
    <s v="K. Singh"/>
    <x v="3"/>
    <s v="Accessories"/>
    <x v="1"/>
    <s v="Low"/>
    <x v="515"/>
    <n v="40.89"/>
    <n v="62.82"/>
    <s v="OK"/>
    <n v="62.82"/>
    <n v="0.129"/>
    <s v="OK"/>
    <n v="0.129"/>
    <n v="17"/>
    <n v="930.17574000000002"/>
    <e v="#VALUE!"/>
    <n v="695.13"/>
    <n v="235.04574000000002"/>
    <n v="0.25268960465470752"/>
    <n v="44928"/>
    <s v="Jan-2023"/>
  </r>
  <r>
    <x v="516"/>
    <x v="394"/>
    <x v="7"/>
    <x v="1"/>
    <d v="2025-04-19T00:00:00"/>
    <s v="OK"/>
    <d v="2025-04-19T00:00:00"/>
    <n v="9"/>
    <s v="Africa"/>
    <x v="9"/>
    <s v="Durban"/>
    <s v="Durban"/>
    <s v="Africa &gt; South Africa &gt; Durban"/>
    <s v="Enterprise"/>
    <m/>
    <s v="Unknown"/>
    <s v="G. Dubois"/>
    <x v="4"/>
    <s v="Networking"/>
    <x v="6"/>
    <s v="Low"/>
    <x v="516"/>
    <n v="113.74"/>
    <n v="165.7"/>
    <s v="OK"/>
    <n v="165.7"/>
    <n v="0.124"/>
    <s v="OK"/>
    <n v="0.124"/>
    <n v="13"/>
    <n v="1886.9915999999998"/>
    <e v="#VALUE!"/>
    <n v="1478.62"/>
    <n v="408.37159999999994"/>
    <n v="0.21641410592394794"/>
    <n v="44928"/>
    <s v="Jan-2023"/>
  </r>
  <r>
    <x v="517"/>
    <x v="395"/>
    <x v="21"/>
    <x v="10"/>
    <d v="2023-09-20T00:00:00"/>
    <s v="OK"/>
    <d v="2023-09-20T00:00:00"/>
    <n v="27"/>
    <s v="Africa"/>
    <x v="9"/>
    <s v="Durban"/>
    <s v="Durban"/>
    <s v="Africa &gt; South Africa &gt; Durban"/>
    <s v="Small Business"/>
    <s v="Marketplace"/>
    <s v="Marketplace"/>
    <s v="M. Rossi"/>
    <x v="13"/>
    <s v="Printers"/>
    <x v="5"/>
    <s v="High"/>
    <x v="517"/>
    <n v="1399.64"/>
    <n v="3342.11"/>
    <s v="OK"/>
    <n v="3342.11"/>
    <n v="0"/>
    <s v="OK"/>
    <n v="0"/>
    <n v="10"/>
    <n v="33421.1"/>
    <n v="1616910.1886600002"/>
    <n v="13996.400000000001"/>
    <n v="19424.699999999997"/>
    <n v="0.58121067229983447"/>
    <n v="44928"/>
    <s v="Jan-2023"/>
  </r>
  <r>
    <x v="518"/>
    <x v="396"/>
    <x v="21"/>
    <x v="10"/>
    <d v="2023-09-03T00:00:00"/>
    <s v="OK"/>
    <d v="2023-09-03T00:00:00"/>
    <n v="17"/>
    <s v="Africa"/>
    <x v="9"/>
    <s v="Durban"/>
    <s v="Durban"/>
    <s v="Africa &gt; South Africa &gt; Durban"/>
    <s v="Enterprise"/>
    <s v="Retail"/>
    <s v="Retail"/>
    <s v="A. Patel"/>
    <x v="1"/>
    <s v="Phones"/>
    <x v="4"/>
    <s v="High"/>
    <x v="518"/>
    <n v="676.37"/>
    <n v="1276.67"/>
    <s v="OK"/>
    <n v="1276.67"/>
    <n v="6.6000000000000003E-2"/>
    <s v="OK"/>
    <n v="6.6000000000000003E-2"/>
    <n v="10"/>
    <n v="11924.0978"/>
    <n v="1399242.2240200008"/>
    <n v="6763.7"/>
    <n v="5160.3977999999997"/>
    <n v="0.4327705027712872"/>
    <n v="44928"/>
    <s v="Jan-2023"/>
  </r>
  <r>
    <x v="519"/>
    <x v="83"/>
    <x v="31"/>
    <x v="1"/>
    <d v="2025-07-14T00:00:00"/>
    <s v="OK"/>
    <d v="2025-07-14T00:00:00"/>
    <n v="20"/>
    <s v="Africa"/>
    <x v="9"/>
    <s v="Johannesburg"/>
    <s v="Johannesburg"/>
    <s v="Africa &gt; South Africa &gt; Johannesburg"/>
    <s v="Enterprise"/>
    <s v="Marketplace"/>
    <s v="Marketplace"/>
    <s v="J. Njeri"/>
    <x v="2"/>
    <s v="Laptops"/>
    <x v="3"/>
    <s v="High"/>
    <x v="519"/>
    <n v="1151.06"/>
    <n v="2821.36"/>
    <s v="OK"/>
    <n v="2821.36"/>
    <n v="0.248"/>
    <s v="OK"/>
    <n v="0.248"/>
    <n v="20"/>
    <n v="42433.254400000005"/>
    <n v="1711094.3775999998"/>
    <n v="23021.199999999997"/>
    <n v="19412.054400000008"/>
    <n v="0.45747267501594235"/>
    <n v="44928"/>
    <s v="Jan-2023"/>
  </r>
  <r>
    <x v="520"/>
    <x v="397"/>
    <x v="14"/>
    <x v="10"/>
    <d v="2023-07-13T00:00:00"/>
    <s v="OK"/>
    <d v="2023-07-13T00:00:00"/>
    <n v="6"/>
    <s v="Africa"/>
    <x v="9"/>
    <s v="Cape Town"/>
    <s v="Cape Town"/>
    <s v="Africa &gt; South Africa &gt; Cape Town"/>
    <s v="Small Business"/>
    <s v="Marketplace"/>
    <s v="Marketplace"/>
    <s v="B. Chen"/>
    <x v="6"/>
    <s v="Accessories"/>
    <x v="1"/>
    <s v="High"/>
    <x v="520"/>
    <n v="612.59"/>
    <n v="1424.74"/>
    <s v="OK"/>
    <n v="1424.74"/>
    <n v="4.3999999999999997E-2"/>
    <s v="OK"/>
    <n v="4.3999999999999997E-2"/>
    <n v="15"/>
    <n v="20430.771599999996"/>
    <e v="#VALUE!"/>
    <n v="9188.85"/>
    <n v="11241.921599999996"/>
    <n v="0.55024459281802152"/>
    <n v="44928"/>
    <s v="Jan-2023"/>
  </r>
  <r>
    <x v="521"/>
    <x v="398"/>
    <x v="9"/>
    <x v="6"/>
    <d v="2024-01-01T00:00:00"/>
    <s v="OK"/>
    <d v="2024-01-01T00:00:00"/>
    <n v="4"/>
    <s v="Africa"/>
    <x v="9"/>
    <s v="Cape Town"/>
    <s v="Cape Town"/>
    <s v="Africa &gt; South Africa &gt; Cape Town"/>
    <s v="Education"/>
    <s v="Distributor"/>
    <s v="Distributor"/>
    <s v="A. Patel"/>
    <x v="1"/>
    <s v="Printers"/>
    <x v="5"/>
    <s v="High"/>
    <x v="521"/>
    <n v="1141.8"/>
    <n v="2318.7399999999998"/>
    <s v="OK"/>
    <n v="2318.7399999999998"/>
    <n v="0.107"/>
    <s v="OK"/>
    <n v="0.107"/>
    <n v="32"/>
    <n v="66260.314239999992"/>
    <n v="1616910.1886600002"/>
    <n v="36537.599999999999"/>
    <n v="29722.714239999994"/>
    <n v="0.44857490612468304"/>
    <n v="44928"/>
    <s v="Jan-2023"/>
  </r>
  <r>
    <x v="522"/>
    <x v="399"/>
    <x v="0"/>
    <x v="0"/>
    <d v="2024-03-16T00:00:00"/>
    <s v="OK"/>
    <d v="2024-03-16T00:00:00"/>
    <n v="12"/>
    <s v="Africa"/>
    <x v="9"/>
    <s v="Johannesburg"/>
    <s v="Johannesburg"/>
    <s v="Africa &gt; South Africa &gt; Johannesburg"/>
    <s v="Enterprise"/>
    <s v="Distributor"/>
    <s v="Distributor"/>
    <s v="M. Rossi"/>
    <x v="13"/>
    <s v="Monitors"/>
    <x v="2"/>
    <s v="High"/>
    <x v="522"/>
    <n v="441.08"/>
    <n v="1054.29"/>
    <s v="OK"/>
    <n v="1054.29"/>
    <n v="0.23699999999999999"/>
    <s v="OK"/>
    <n v="0.23699999999999999"/>
    <n v="6"/>
    <n v="4826.5396199999996"/>
    <e v="#VALUE!"/>
    <n v="2646.48"/>
    <n v="2180.0596199999995"/>
    <n v="0.45168169985932899"/>
    <n v="44928"/>
    <s v="Jan-2023"/>
  </r>
  <r>
    <x v="523"/>
    <x v="400"/>
    <x v="28"/>
    <x v="4"/>
    <d v="2023-01-30T00:00:00"/>
    <s v="OK"/>
    <d v="2023-01-30T00:00:00"/>
    <n v="23"/>
    <s v="Africa"/>
    <x v="9"/>
    <s v="Cape Town"/>
    <s v="Cape Town"/>
    <s v="Africa &gt; South Africa &gt; Cape Town"/>
    <s v="Consumer"/>
    <s v="Online"/>
    <s v="Online"/>
    <s v="A. Patel"/>
    <x v="1"/>
    <s v="Printers"/>
    <x v="5"/>
    <s v="Low"/>
    <x v="523"/>
    <n v="299.02"/>
    <n v="724.7"/>
    <s v="OK"/>
    <n v="724.7"/>
    <n v="0.14000000000000001"/>
    <s v="OK"/>
    <n v="0.14000000000000001"/>
    <n v="5"/>
    <n v="3116.21"/>
    <n v="1616910.1886600002"/>
    <n v="1495.1"/>
    <n v="1621.1100000000001"/>
    <n v="0.52021847051386139"/>
    <n v="44928"/>
    <s v="Jan-2023"/>
  </r>
  <r>
    <x v="524"/>
    <x v="401"/>
    <x v="31"/>
    <x v="1"/>
    <d v="2025-06-21T00:00:00"/>
    <s v="OK"/>
    <d v="2025-06-21T00:00:00"/>
    <n v="2"/>
    <s v="Africa"/>
    <x v="9"/>
    <s v="Johannesburg"/>
    <s v="Johannesburg"/>
    <s v="Africa &gt; South Africa &gt; Johannesburg"/>
    <s v="Small Business"/>
    <m/>
    <s v="Unknown"/>
    <s v="H. Kim"/>
    <x v="15"/>
    <s v="Phones"/>
    <x v="4"/>
    <s v="High"/>
    <x v="524"/>
    <n v="1466.27"/>
    <n v="3589.89"/>
    <s v="OK"/>
    <n v="3589.89"/>
    <n v="9.7000000000000003E-2"/>
    <s v="OK"/>
    <n v="9.7000000000000003E-2"/>
    <n v="9"/>
    <n v="29175.036029999999"/>
    <n v="1399242.2240200008"/>
    <n v="13196.43"/>
    <n v="15978.606029999999"/>
    <n v="0.54768076425234147"/>
    <n v="44928"/>
    <s v="Jan-2023"/>
  </r>
  <r>
    <x v="525"/>
    <x v="191"/>
    <x v="22"/>
    <x v="0"/>
    <d v="2024-01-27T00:00:00"/>
    <s v="Invalid date"/>
    <d v="2024-02-02T00:00:00"/>
    <n v="5"/>
    <s v="Africa"/>
    <x v="9"/>
    <s v="Cape Town"/>
    <s v="Cape Town"/>
    <s v="Africa &gt; South Africa &gt; Cape Town"/>
    <s v="Enterprise"/>
    <s v="Direct"/>
    <s v="Direct"/>
    <s v="O. Wang"/>
    <x v="7"/>
    <s v="Components"/>
    <x v="0"/>
    <s v="Low"/>
    <x v="525"/>
    <n v="109.75"/>
    <n v="124.25"/>
    <s v="OK"/>
    <n v="124.25"/>
    <n v="0.12"/>
    <s v="OK"/>
    <n v="0.12"/>
    <n v="19"/>
    <n v="2077.46"/>
    <n v="1550200.534329999"/>
    <n v="2085.25"/>
    <n v="-7.7899999999999636"/>
    <n v="-3.7497713554051405E-3"/>
    <n v="44928"/>
    <s v="Jan-2023"/>
  </r>
  <r>
    <x v="526"/>
    <x v="1"/>
    <x v="1"/>
    <x v="1"/>
    <d v="2025-05-19T00:00:00"/>
    <s v="Invalid date"/>
    <d v="2025-05-26T00:00:00"/>
    <n v="5"/>
    <s v="Europe"/>
    <x v="10"/>
    <s v="Birmingham"/>
    <s v="Birmingham"/>
    <s v="Europe &gt; United Kingdom &gt; Birmingham"/>
    <s v="Enterprise"/>
    <s v="Online"/>
    <s v="Online"/>
    <s v="M. Rossi"/>
    <x v="13"/>
    <s v="Laptops"/>
    <x v="3"/>
    <s v="High"/>
    <x v="526"/>
    <n v="1015.16"/>
    <n v="2148.14"/>
    <s v="OK"/>
    <n v="2148.14"/>
    <n v="3.7999999999999999E-2"/>
    <s v="OK"/>
    <n v="3.7999999999999999E-2"/>
    <n v="19"/>
    <n v="39263.702919999996"/>
    <n v="1711094.3775999998"/>
    <n v="19288.04"/>
    <n v="19975.662919999995"/>
    <n v="0.50875647059322227"/>
    <n v="44928"/>
    <s v="Jan-2023"/>
  </r>
  <r>
    <x v="527"/>
    <x v="402"/>
    <x v="15"/>
    <x v="5"/>
    <d v="2024-05-08T00:00:00"/>
    <s v="OK"/>
    <d v="2024-05-08T00:00:00"/>
    <n v="20"/>
    <s v="Europe"/>
    <x v="10"/>
    <s v="London"/>
    <s v="London"/>
    <s v="Europe &gt; United Kingdom &gt; London"/>
    <s v="Non-Profit"/>
    <m/>
    <s v="Unknown"/>
    <s v="D. Smith"/>
    <x v="14"/>
    <s v="Laptops"/>
    <x v="3"/>
    <s v="High"/>
    <x v="527"/>
    <n v="645.33000000000004"/>
    <n v="1321.85"/>
    <s v="OK"/>
    <n v="1321.85"/>
    <n v="0"/>
    <s v="OK"/>
    <n v="0"/>
    <n v="10"/>
    <n v="13218.5"/>
    <n v="1711094.3775999998"/>
    <n v="6453.3"/>
    <n v="6765.2"/>
    <n v="0.51179785906116426"/>
    <n v="44928"/>
    <s v="Jan-2023"/>
  </r>
  <r>
    <x v="528"/>
    <x v="403"/>
    <x v="16"/>
    <x v="5"/>
    <d v="2024-05-28T00:00:00"/>
    <s v="OK"/>
    <d v="2024-05-28T00:00:00"/>
    <n v="14"/>
    <s v="Europe"/>
    <x v="10"/>
    <s v="Birmingham"/>
    <s v="Birmingham"/>
    <s v="Europe &gt; United Kingdom &gt; Birmingham"/>
    <s v="Consumer"/>
    <s v="Retail"/>
    <s v="Retail"/>
    <s v="B. Chen"/>
    <x v="6"/>
    <s v="Networking"/>
    <x v="6"/>
    <s v="High"/>
    <x v="528"/>
    <n v="1421.14"/>
    <n v="3524"/>
    <s v="OK"/>
    <n v="3524"/>
    <n v="0"/>
    <s v="OK"/>
    <n v="0"/>
    <n v="31"/>
    <n v="109244"/>
    <e v="#VALUE!"/>
    <n v="44055.340000000004"/>
    <n v="65188.659999999996"/>
    <n v="0.59672531214528945"/>
    <n v="44928"/>
    <s v="Jan-2023"/>
  </r>
  <r>
    <x v="529"/>
    <x v="404"/>
    <x v="12"/>
    <x v="4"/>
    <d v="2023-04-09T00:00:00"/>
    <s v="OK"/>
    <d v="2023-04-09T00:00:00"/>
    <n v="21"/>
    <s v="Europe"/>
    <x v="10"/>
    <s v="Manchester"/>
    <s v="Manchester"/>
    <s v="Europe &gt; United Kingdom &gt; Manchester"/>
    <s v="Consumer"/>
    <s v="Retail"/>
    <s v="Retail"/>
    <s v="L. Okafor"/>
    <x v="10"/>
    <s v="Accessories"/>
    <x v="1"/>
    <s v="High"/>
    <x v="529"/>
    <n v="1082.17"/>
    <n v="1234.0999999999999"/>
    <s v="OK"/>
    <n v="1234.0999999999999"/>
    <n v="0.189"/>
    <s v="OK"/>
    <n v="0.189"/>
    <n v="16"/>
    <n v="16013.681599999998"/>
    <e v="#VALUE!"/>
    <n v="17314.72"/>
    <n v="-1301.0384000000031"/>
    <n v="-8.124542703534228E-2"/>
    <n v="44928"/>
    <s v="Jan-2023"/>
  </r>
  <r>
    <x v="530"/>
    <x v="405"/>
    <x v="11"/>
    <x v="8"/>
    <d v="2023-06-16T00:00:00"/>
    <s v="OK"/>
    <d v="2023-06-16T00:00:00"/>
    <n v="2"/>
    <s v="Europe"/>
    <x v="10"/>
    <s v="Manchester"/>
    <s v="Manchester"/>
    <s v="Europe &gt; United Kingdom &gt; Manchester"/>
    <s v="Non-Profit"/>
    <s v="Direct"/>
    <s v="Direct"/>
    <s v="K. Singh"/>
    <x v="3"/>
    <s v="Components"/>
    <x v="0"/>
    <s v="Low"/>
    <x v="530"/>
    <n v="357.36"/>
    <n v="703.62"/>
    <s v="OK"/>
    <n v="703.62"/>
    <n v="0.25700000000000001"/>
    <s v="OK"/>
    <n v="0.25700000000000001"/>
    <n v="20"/>
    <n v="10455.7932"/>
    <n v="1550200.534329999"/>
    <n v="7147.2000000000007"/>
    <n v="3308.5931999999993"/>
    <n v="0.31643636563125593"/>
    <n v="44928"/>
    <s v="Jan-2023"/>
  </r>
  <r>
    <x v="531"/>
    <x v="358"/>
    <x v="2"/>
    <x v="2"/>
    <d v="2025-04-17T00:00:00"/>
    <s v="OK"/>
    <d v="2025-04-17T00:00:00"/>
    <n v="23"/>
    <s v="Europe"/>
    <x v="10"/>
    <s v="London"/>
    <s v="London"/>
    <s v="Europe &gt; United Kingdom &gt; London"/>
    <s v="Consumer"/>
    <s v="Retail"/>
    <s v="Retail"/>
    <s v="H. Kim"/>
    <x v="15"/>
    <s v="Networking"/>
    <x v="6"/>
    <s v="High"/>
    <x v="531"/>
    <n v="1421.19"/>
    <n v="1808.26"/>
    <s v="OK"/>
    <n v="1808.26"/>
    <n v="0.104"/>
    <s v="OK"/>
    <n v="0.104"/>
    <n v="13"/>
    <n v="21062.61248"/>
    <e v="#VALUE!"/>
    <n v="18475.47"/>
    <n v="2587.1424799999986"/>
    <n v="0.12283103449093123"/>
    <n v="44928"/>
    <s v="Jan-2023"/>
  </r>
  <r>
    <x v="532"/>
    <x v="363"/>
    <x v="19"/>
    <x v="8"/>
    <d v="2023-04-27T00:00:00"/>
    <s v="OK"/>
    <d v="2023-04-27T00:00:00"/>
    <n v="21"/>
    <s v="Europe"/>
    <x v="10"/>
    <s v="Manchester"/>
    <s v="Manchester"/>
    <s v="Europe &gt; United Kingdom &gt; Manchester"/>
    <s v="Enterprise"/>
    <s v="Distributor"/>
    <s v="Distributor"/>
    <s v="I. Johnson"/>
    <x v="12"/>
    <s v="Printers"/>
    <x v="5"/>
    <s v="High"/>
    <x v="532"/>
    <n v="1084.79"/>
    <n v="2484.9899999999998"/>
    <s v="OK"/>
    <n v="2484.9899999999998"/>
    <n v="3.4000000000000002E-2"/>
    <s v="OK"/>
    <n v="3.4000000000000002E-2"/>
    <n v="18"/>
    <n v="43209.006119999991"/>
    <n v="1616910.1886600002"/>
    <n v="19526.22"/>
    <n v="23682.78611999999"/>
    <n v="0.54809837685755114"/>
    <n v="44928"/>
    <s v="Jan-2023"/>
  </r>
  <r>
    <x v="533"/>
    <x v="406"/>
    <x v="10"/>
    <x v="7"/>
    <d v="2024-09-04T00:00:00"/>
    <s v="OK"/>
    <d v="2024-09-04T00:00:00"/>
    <n v="21"/>
    <s v="Europe"/>
    <x v="10"/>
    <s v="Manchester"/>
    <s v="Manchester"/>
    <s v="Europe &gt; United Kingdom &gt; Manchester"/>
    <s v="Non-Profit"/>
    <s v="Online"/>
    <s v="Online"/>
    <s v="J. Njeri"/>
    <x v="2"/>
    <s v="Phones"/>
    <x v="4"/>
    <s v="High"/>
    <x v="533"/>
    <n v="1138.8"/>
    <n v="2250.81"/>
    <s v="OK"/>
    <n v="2250.81"/>
    <n v="0.123"/>
    <s v="OK"/>
    <n v="0.123"/>
    <n v="12"/>
    <n v="23687.524440000001"/>
    <n v="1399242.2240200008"/>
    <n v="13665.599999999999"/>
    <n v="10021.924440000003"/>
    <n v="0.42308872188756258"/>
    <n v="44928"/>
    <s v="Jan-2023"/>
  </r>
  <r>
    <x v="534"/>
    <x v="407"/>
    <x v="6"/>
    <x v="5"/>
    <d v="2024-06-11T00:00:00"/>
    <s v="OK"/>
    <d v="2024-06-11T00:00:00"/>
    <n v="1"/>
    <s v="Europe"/>
    <x v="10"/>
    <s v="Birmingham"/>
    <s v="Birmingham"/>
    <s v="Europe &gt; United Kingdom &gt; Birmingham"/>
    <s v="Small Business"/>
    <s v="Marketplace"/>
    <s v="Marketplace"/>
    <s v="M. Rossi"/>
    <x v="13"/>
    <s v="Laptops"/>
    <x v="3"/>
    <s v="High"/>
    <x v="534"/>
    <n v="1187.1300000000001"/>
    <n v="1795.17"/>
    <s v="OK"/>
    <n v="1795.17"/>
    <n v="1.2E-2"/>
    <s v="OK"/>
    <n v="1.2E-2"/>
    <n v="17"/>
    <n v="30151.675319999998"/>
    <n v="1711094.3775999998"/>
    <n v="20181.210000000003"/>
    <n v="9970.4653199999957"/>
    <n v="0.33067699271046663"/>
    <n v="44928"/>
    <s v="Jan-2023"/>
  </r>
  <r>
    <x v="535"/>
    <x v="401"/>
    <x v="31"/>
    <x v="1"/>
    <d v="2025-07-12T00:00:00"/>
    <s v="OK"/>
    <d v="2025-07-12T00:00:00"/>
    <n v="23"/>
    <s v="Europe"/>
    <x v="10"/>
    <m/>
    <s v="Unkown"/>
    <s v="Europe &gt; United Kingdom &gt; Unkown"/>
    <s v="Non-Profit"/>
    <s v="Direct"/>
    <s v="Direct"/>
    <m/>
    <x v="9"/>
    <s v="Networking"/>
    <x v="6"/>
    <s v="High"/>
    <x v="535"/>
    <n v="801.24"/>
    <n v="1959.09"/>
    <s v="OK"/>
    <n v="1959.09"/>
    <n v="0.123"/>
    <s v="OK"/>
    <n v="0.123"/>
    <n v="23"/>
    <n v="39516.804389999998"/>
    <e v="#VALUE!"/>
    <n v="18428.52"/>
    <n v="21088.284389999997"/>
    <n v="0.53365358650651762"/>
    <n v="44928"/>
    <s v="Jan-2023"/>
  </r>
  <r>
    <x v="536"/>
    <x v="261"/>
    <x v="24"/>
    <x v="3"/>
    <d v="2025-08-14T00:00:00"/>
    <s v="OK"/>
    <d v="2025-08-14T00:00:00"/>
    <n v="9"/>
    <s v="Europe"/>
    <x v="10"/>
    <s v="London"/>
    <s v="London"/>
    <s v="Europe &gt; United Kingdom &gt; London"/>
    <s v="Non-Profit"/>
    <s v="Direct"/>
    <s v="Direct"/>
    <s v="E. Garcia"/>
    <x v="11"/>
    <s v="Components"/>
    <x v="0"/>
    <s v="Low"/>
    <x v="536"/>
    <n v="41.76"/>
    <n v="45.19"/>
    <s v="OK"/>
    <n v="45.19"/>
    <n v="0.17899999999999999"/>
    <s v="OK"/>
    <n v="0.17899999999999999"/>
    <n v="23"/>
    <n v="853.32276999999988"/>
    <n v="1550200.534329999"/>
    <n v="960.4799999999999"/>
    <n v="-107.15723000000003"/>
    <n v="-0.12557643340514638"/>
    <n v="44928"/>
    <s v="Jan-2023"/>
  </r>
  <r>
    <x v="537"/>
    <x v="408"/>
    <x v="28"/>
    <x v="4"/>
    <d v="2023-01-31T00:00:00"/>
    <s v="OK"/>
    <d v="2023-01-31T00:00:00"/>
    <n v="4"/>
    <s v="Europe"/>
    <x v="10"/>
    <s v="Manchester"/>
    <s v="Manchester"/>
    <s v="Europe &gt; United Kingdom &gt; Manchester"/>
    <s v="Enterprise"/>
    <s v="Online"/>
    <s v="Online"/>
    <s v="N. Brown"/>
    <x v="5"/>
    <s v="Laptops"/>
    <x v="3"/>
    <s v="Low"/>
    <x v="537"/>
    <n v="941.2"/>
    <n v="668.02"/>
    <s v="OK"/>
    <n v="668.02"/>
    <n v="0.22"/>
    <s v="OK"/>
    <n v="0.22"/>
    <n v="16"/>
    <n v="8336.8896000000004"/>
    <n v="1711094.3775999998"/>
    <n v="15059.2"/>
    <n v="-6722.3104000000003"/>
    <n v="-0.80633314371825193"/>
    <n v="44928"/>
    <s v="Jan-2023"/>
  </r>
  <r>
    <x v="538"/>
    <x v="409"/>
    <x v="32"/>
    <x v="9"/>
    <d v="2024-11-08T00:00:00"/>
    <s v="OK"/>
    <d v="2024-11-08T00:00:00"/>
    <n v="30"/>
    <s v="Europe"/>
    <x v="10"/>
    <s v="Manchester"/>
    <s v="Manchester"/>
    <s v="Europe &gt; United Kingdom &gt; Manchester"/>
    <s v="Small Business"/>
    <s v="Distributor"/>
    <s v="Distributor"/>
    <s v="J. Njeri"/>
    <x v="2"/>
    <s v="Components"/>
    <x v="0"/>
    <s v="Low"/>
    <x v="538"/>
    <n v="343.85"/>
    <n v="538.04"/>
    <s v="OK"/>
    <n v="538.04"/>
    <n v="0.13900000000000001"/>
    <s v="OK"/>
    <n v="0.13900000000000001"/>
    <n v="5"/>
    <n v="2316.2621999999997"/>
    <n v="1550200.534329999"/>
    <n v="1719.25"/>
    <n v="597.01219999999967"/>
    <n v="0.25774810813732563"/>
    <n v="44928"/>
    <s v="Jan-2023"/>
  </r>
  <r>
    <x v="539"/>
    <x v="410"/>
    <x v="7"/>
    <x v="1"/>
    <d v="2025-05-04T00:00:00"/>
    <s v="OK"/>
    <d v="2025-05-04T00:00:00"/>
    <n v="20"/>
    <s v="Europe"/>
    <x v="10"/>
    <s v="Birmingham"/>
    <s v="Birmingham"/>
    <s v="Europe &gt; United Kingdom &gt; Birmingham"/>
    <s v="Enterprise"/>
    <s v="Marketplace"/>
    <s v="Marketplace"/>
    <s v="K. Singh"/>
    <x v="3"/>
    <s v="Monitors"/>
    <x v="2"/>
    <s v="High"/>
    <x v="539"/>
    <n v="1413.87"/>
    <n v="3275"/>
    <s v="OK"/>
    <n v="3275"/>
    <n v="0.255"/>
    <s v="OK"/>
    <n v="0.255"/>
    <n v="38"/>
    <n v="92715.25"/>
    <e v="#VALUE!"/>
    <n v="53727.06"/>
    <n v="38988.19"/>
    <n v="0.42051539525590453"/>
    <n v="44928"/>
    <s v="Jan-2023"/>
  </r>
  <r>
    <x v="540"/>
    <x v="411"/>
    <x v="21"/>
    <x v="10"/>
    <d v="2023-09-11T00:00:00"/>
    <s v="OK"/>
    <d v="2023-09-11T00:00:00"/>
    <n v="15"/>
    <s v="Europe"/>
    <x v="10"/>
    <s v="London"/>
    <s v="London"/>
    <s v="Europe &gt; United Kingdom &gt; London"/>
    <s v="Consumer"/>
    <s v="Marketplace"/>
    <s v="Marketplace"/>
    <s v="N. Brown"/>
    <x v="5"/>
    <s v="Printers"/>
    <x v="5"/>
    <s v="High"/>
    <x v="540"/>
    <n v="943.79"/>
    <n v="1913.76"/>
    <s v="OK"/>
    <n v="1913.76"/>
    <n v="9.0999999999999998E-2"/>
    <s v="OK"/>
    <n v="9.0999999999999998E-2"/>
    <n v="9"/>
    <n v="15656.47056"/>
    <n v="1616910.1886600002"/>
    <n v="8494.11"/>
    <n v="7162.3605599999992"/>
    <n v="0.45746967891338081"/>
    <n v="44928"/>
    <s v="Jan-2023"/>
  </r>
  <r>
    <x v="541"/>
    <x v="412"/>
    <x v="21"/>
    <x v="10"/>
    <d v="2023-08-22T00:00:00"/>
    <s v="OK"/>
    <d v="2023-08-22T00:00:00"/>
    <n v="14"/>
    <s v="Europe"/>
    <x v="10"/>
    <s v="Birmingham"/>
    <s v="Birmingham"/>
    <s v="Europe &gt; United Kingdom &gt; Birmingham"/>
    <s v="Non-Profit"/>
    <s v="Direct"/>
    <s v="Direct"/>
    <s v="N. Brown"/>
    <x v="5"/>
    <s v="Monitors"/>
    <x v="2"/>
    <s v="High"/>
    <x v="541"/>
    <n v="446.69"/>
    <n v="967.25"/>
    <s v="OK"/>
    <n v="967.25"/>
    <n v="9.4E-2"/>
    <s v="OK"/>
    <n v="9.4E-2"/>
    <n v="10"/>
    <n v="8763.2849999999999"/>
    <e v="#VALUE!"/>
    <n v="4466.8999999999996"/>
    <n v="4296.3850000000002"/>
    <n v="0.49027105702941309"/>
    <n v="44928"/>
    <s v="Jan-2023"/>
  </r>
  <r>
    <x v="542"/>
    <x v="413"/>
    <x v="8"/>
    <x v="2"/>
    <d v="2025-02-25T00:00:00"/>
    <s v="OK"/>
    <d v="2025-02-25T00:00:00"/>
    <n v="21"/>
    <s v="Europe"/>
    <x v="10"/>
    <s v="Birmingham"/>
    <s v="Birmingham"/>
    <s v="Europe &gt; United Kingdom &gt; Birmingham"/>
    <s v="Corporate"/>
    <s v="Marketplace"/>
    <s v="Marketplace"/>
    <s v="D. Smith"/>
    <x v="14"/>
    <s v="Monitors"/>
    <x v="2"/>
    <s v="High"/>
    <x v="542"/>
    <n v="1016.32"/>
    <n v="2253.42"/>
    <s v="OK"/>
    <n v="2253.42"/>
    <n v="5.5E-2"/>
    <s v="OK"/>
    <n v="5.5E-2"/>
    <n v="12"/>
    <n v="25553.782800000001"/>
    <e v="#VALUE!"/>
    <n v="12195.84"/>
    <n v="13357.942800000001"/>
    <n v="0.52273837124419797"/>
    <n v="44928"/>
    <s v="Jan-2023"/>
  </r>
  <r>
    <x v="543"/>
    <x v="414"/>
    <x v="14"/>
    <x v="10"/>
    <d v="2023-08-01T00:00:00"/>
    <s v="OK"/>
    <d v="2023-08-01T00:00:00"/>
    <n v="30"/>
    <s v="Europe"/>
    <x v="10"/>
    <s v="Birmingham"/>
    <s v="Birmingham"/>
    <s v="Europe &gt; United Kingdom &gt; Birmingham"/>
    <s v="Small Business"/>
    <s v="Retail"/>
    <s v="Retail"/>
    <s v="B. Chen"/>
    <x v="6"/>
    <s v="Components"/>
    <x v="0"/>
    <s v="Low"/>
    <x v="543"/>
    <n v="137.46"/>
    <n v="188.3"/>
    <s v="OK"/>
    <n v="188.3"/>
    <n v="3.7999999999999999E-2"/>
    <s v="OK"/>
    <n v="3.7999999999999999E-2"/>
    <n v="37"/>
    <n v="6702.3501999999999"/>
    <n v="1550200.534329999"/>
    <n v="5086.0200000000004"/>
    <n v="1616.3301999999994"/>
    <n v="0.24115872071262398"/>
    <n v="44928"/>
    <s v="Jan-2023"/>
  </r>
  <r>
    <x v="544"/>
    <x v="26"/>
    <x v="19"/>
    <x v="8"/>
    <d v="2023-05-07T00:00:00"/>
    <s v="OK"/>
    <d v="2023-05-07T00:00:00"/>
    <n v="18"/>
    <s v="Europe"/>
    <x v="10"/>
    <s v="Birmingham"/>
    <s v="Birmingham"/>
    <s v="Europe &gt; United Kingdom &gt; Birmingham"/>
    <s v="Enterprise"/>
    <s v="Retail"/>
    <s v="Retail"/>
    <s v="N. Brown"/>
    <x v="5"/>
    <s v="Laptops"/>
    <x v="3"/>
    <s v="High"/>
    <x v="544"/>
    <n v="1089.1500000000001"/>
    <n v="1088.2"/>
    <s v="OK"/>
    <n v="1088.2"/>
    <n v="5.0999999999999997E-2"/>
    <s v="OK"/>
    <n v="5.0999999999999997E-2"/>
    <n v="15"/>
    <n v="15490.527"/>
    <n v="1711094.3775999998"/>
    <n v="16337.250000000002"/>
    <n v="-846.72300000000178"/>
    <n v="-5.4660696824582002E-2"/>
    <n v="44928"/>
    <s v="Jan-2023"/>
  </r>
  <r>
    <x v="545"/>
    <x v="26"/>
    <x v="19"/>
    <x v="8"/>
    <d v="2023-05-07T00:00:00"/>
    <s v="OK"/>
    <d v="2023-05-07T00:00:00"/>
    <n v="18"/>
    <s v="Europe"/>
    <x v="10"/>
    <s v="London"/>
    <s v="London"/>
    <s v="Europe &gt; United Kingdom &gt; London"/>
    <s v="Non-Profit"/>
    <s v="Direct"/>
    <s v="Direct"/>
    <s v="H. Kim"/>
    <x v="15"/>
    <s v="Networking"/>
    <x v="6"/>
    <s v="Low"/>
    <x v="545"/>
    <n v="516.96"/>
    <n v="745.38"/>
    <s v="OK"/>
    <n v="745.38"/>
    <n v="0.19700000000000001"/>
    <s v="OK"/>
    <n v="0.19700000000000001"/>
    <n v="4"/>
    <n v="2394.1605599999998"/>
    <e v="#VALUE!"/>
    <n v="2067.84"/>
    <n v="326.32055999999966"/>
    <n v="0.13629852794835101"/>
    <n v="44928"/>
    <s v="Jan-2023"/>
  </r>
  <r>
    <x v="546"/>
    <x v="415"/>
    <x v="32"/>
    <x v="9"/>
    <d v="2024-10-08T00:00:00"/>
    <s v="OK"/>
    <d v="2024-10-08T00:00:00"/>
    <n v="0"/>
    <s v="Europe"/>
    <x v="10"/>
    <s v="London"/>
    <s v="London"/>
    <s v="Europe &gt; United Kingdom &gt; London"/>
    <s v="Corporate"/>
    <s v="Online"/>
    <s v="Online"/>
    <s v="E. Garcia"/>
    <x v="11"/>
    <s v="Monitors"/>
    <x v="2"/>
    <s v="High"/>
    <x v="546"/>
    <n v="1108.1099999999999"/>
    <n v="2503.79"/>
    <s v="OK"/>
    <n v="2503.79"/>
    <n v="0.184"/>
    <s v="OK"/>
    <n v="0.184"/>
    <n v="19"/>
    <n v="38818.760160000005"/>
    <e v="#VALUE!"/>
    <n v="21054.089999999997"/>
    <n v="17764.670160000009"/>
    <n v="0.45763105485025896"/>
    <n v="44928"/>
    <s v="Jan-2023"/>
  </r>
  <r>
    <x v="547"/>
    <x v="416"/>
    <x v="20"/>
    <x v="6"/>
    <d v="2023-11-09T00:00:00"/>
    <s v="OK"/>
    <d v="2023-11-09T00:00:00"/>
    <n v="19"/>
    <s v="Europe"/>
    <x v="10"/>
    <s v="London"/>
    <s v="London"/>
    <s v="Europe &gt; United Kingdom &gt; London"/>
    <s v="Non-Profit"/>
    <s v="Direct"/>
    <s v="Direct"/>
    <s v="A. Patel"/>
    <x v="1"/>
    <s v="Accessories"/>
    <x v="1"/>
    <s v="High"/>
    <x v="547"/>
    <n v="1142.48"/>
    <n v="2105.5300000000002"/>
    <s v="OK"/>
    <n v="2105.5300000000002"/>
    <n v="0.20699999999999999"/>
    <s v="OK"/>
    <n v="0.20699999999999999"/>
    <n v="14"/>
    <n v="23375.594060000003"/>
    <e v="#VALUE!"/>
    <n v="15994.720000000001"/>
    <n v="7380.8740600000019"/>
    <n v="0.31575129346680658"/>
    <n v="44928"/>
    <s v="Jan-2023"/>
  </r>
  <r>
    <x v="548"/>
    <x v="417"/>
    <x v="21"/>
    <x v="10"/>
    <d v="2023-09-22T00:00:00"/>
    <s v="OK"/>
    <d v="2023-09-22T00:00:00"/>
    <n v="30"/>
    <s v="Europe"/>
    <x v="10"/>
    <s v="London"/>
    <s v="London"/>
    <s v="Europe &gt; United Kingdom &gt; London"/>
    <s v="Consumer"/>
    <s v="Distributor"/>
    <s v="Distributor"/>
    <s v="O. Wang"/>
    <x v="7"/>
    <s v="Accessories"/>
    <x v="1"/>
    <s v="Low"/>
    <x v="548"/>
    <n v="209.81"/>
    <n v="523"/>
    <s v="OK"/>
    <n v="523"/>
    <n v="5.8999999999999997E-2"/>
    <s v="OK"/>
    <n v="5.8999999999999997E-2"/>
    <n v="15"/>
    <n v="7382.1450000000004"/>
    <e v="#VALUE!"/>
    <n v="3147.15"/>
    <n v="4234.9950000000008"/>
    <n v="0.57368082041195356"/>
    <n v="44928"/>
    <s v="Jan-2023"/>
  </r>
  <r>
    <x v="549"/>
    <x v="418"/>
    <x v="31"/>
    <x v="1"/>
    <d v="2025-07-08T00:00:00"/>
    <s v="OK"/>
    <d v="2025-07-08T00:00:00"/>
    <n v="16"/>
    <s v="Europe"/>
    <x v="10"/>
    <s v="London"/>
    <s v="London"/>
    <s v="Europe &gt; United Kingdom &gt; London"/>
    <s v="Education"/>
    <s v="Direct"/>
    <s v="Direct"/>
    <s v="A. Patel"/>
    <x v="1"/>
    <s v="Phones"/>
    <x v="4"/>
    <s v="High"/>
    <x v="549"/>
    <n v="892.73"/>
    <n v="979.84"/>
    <s v="OK"/>
    <n v="979.84"/>
    <n v="0.17399999999999999"/>
    <s v="OK"/>
    <n v="0.17399999999999999"/>
    <n v="10"/>
    <n v="8093.4784"/>
    <n v="1399242.2240200008"/>
    <n v="8927.2999999999993"/>
    <n v="-833.82159999999931"/>
    <n v="-0.10302388649112838"/>
    <n v="44928"/>
    <s v="Jan-2023"/>
  </r>
  <r>
    <x v="550"/>
    <x v="419"/>
    <x v="30"/>
    <x v="9"/>
    <d v="2025-01-12T00:00:00"/>
    <s v="OK"/>
    <d v="2025-01-12T00:00:00"/>
    <n v="14"/>
    <s v="Europe"/>
    <x v="10"/>
    <s v="Manchester"/>
    <s v="Manchester"/>
    <s v="Europe &gt; United Kingdom &gt; Manchester"/>
    <s v="Corporate"/>
    <s v="Direct"/>
    <s v="Direct"/>
    <s v="B. Chen"/>
    <x v="6"/>
    <s v="Monitors"/>
    <x v="2"/>
    <s v="High"/>
    <x v="550"/>
    <n v="1399.72"/>
    <n v="3149.21"/>
    <s v="OK"/>
    <n v="3149.21"/>
    <n v="0.185"/>
    <s v="OK"/>
    <n v="0.185"/>
    <n v="12"/>
    <n v="30799.273800000003"/>
    <e v="#VALUE!"/>
    <n v="16796.64"/>
    <n v="14002.633800000003"/>
    <n v="0.45464168703873797"/>
    <n v="44928"/>
    <s v="Jan-2023"/>
  </r>
  <r>
    <x v="551"/>
    <x v="183"/>
    <x v="13"/>
    <x v="9"/>
    <d v="2024-11-05T00:00:00"/>
    <s v="OK"/>
    <d v="2024-11-05T00:00:00"/>
    <n v="1"/>
    <s v="Europe"/>
    <x v="10"/>
    <s v="London"/>
    <s v="London"/>
    <s v="Europe &gt; United Kingdom &gt; London"/>
    <s v="Corporate"/>
    <s v="Retail"/>
    <s v="Retail"/>
    <s v="M. Rossi"/>
    <x v="13"/>
    <s v="Printers"/>
    <x v="5"/>
    <s v="High"/>
    <x v="551"/>
    <n v="840.68"/>
    <n v="1493.53"/>
    <s v="OK"/>
    <n v="1493.53"/>
    <n v="0"/>
    <s v="OK"/>
    <n v="0"/>
    <n v="27"/>
    <n v="40325.31"/>
    <n v="1616910.1886600002"/>
    <n v="22698.359999999997"/>
    <n v="17626.95"/>
    <n v="0.43711877230454027"/>
    <n v="44928"/>
    <s v="Jan-2023"/>
  </r>
  <r>
    <x v="552"/>
    <x v="393"/>
    <x v="3"/>
    <x v="3"/>
    <d v="2025-09-26T00:00:00"/>
    <s v="OK"/>
    <d v="2025-09-26T00:00:00"/>
    <n v="12"/>
    <s v="Europe"/>
    <x v="10"/>
    <s v="London"/>
    <s v="London"/>
    <s v="Europe &gt; United Kingdom &gt; London"/>
    <s v="Small Business"/>
    <s v="Direct"/>
    <s v="Direct"/>
    <s v="N. Brown"/>
    <x v="5"/>
    <s v="Networking"/>
    <x v="6"/>
    <s v="High"/>
    <x v="552"/>
    <n v="425.15"/>
    <n v="885.92"/>
    <s v="OK"/>
    <n v="885.92"/>
    <n v="0.23899999999999999"/>
    <s v="OK"/>
    <n v="0.23899999999999999"/>
    <n v="13"/>
    <n v="8764.4065599999994"/>
    <e v="#VALUE!"/>
    <n v="5526.95"/>
    <n v="3237.4565599999996"/>
    <n v="0.3693868532725848"/>
    <n v="44928"/>
    <s v="Jan-2023"/>
  </r>
  <r>
    <x v="553"/>
    <x v="420"/>
    <x v="18"/>
    <x v="6"/>
    <d v="2023-12-06T00:00:00"/>
    <s v="OK"/>
    <d v="2023-12-06T00:00:00"/>
    <n v="21"/>
    <s v="Europe"/>
    <x v="10"/>
    <s v="Manchester"/>
    <s v="Manchester"/>
    <s v="Europe &gt; United Kingdom &gt; Manchester"/>
    <s v="Education"/>
    <s v="Direct"/>
    <s v="Direct"/>
    <s v="H. Kim"/>
    <x v="15"/>
    <s v="Accessories"/>
    <x v="1"/>
    <s v="High"/>
    <x v="553"/>
    <n v="1184.99"/>
    <n v="1154.3399999999999"/>
    <s v="OK"/>
    <n v="1154.3399999999999"/>
    <n v="2.8000000000000001E-2"/>
    <s v="OK"/>
    <n v="2.8000000000000001E-2"/>
    <n v="5"/>
    <n v="5610.0923999999995"/>
    <e v="#VALUE!"/>
    <n v="5924.95"/>
    <n v="-314.85760000000028"/>
    <n v="-5.6123424990290764E-2"/>
    <n v="44928"/>
    <s v="Jan-2023"/>
  </r>
  <r>
    <x v="554"/>
    <x v="60"/>
    <x v="5"/>
    <x v="4"/>
    <d v="2023-03-08T00:00:00"/>
    <s v="OK"/>
    <d v="2023-03-08T00:00:00"/>
    <n v="13"/>
    <s v="Europe"/>
    <x v="10"/>
    <s v="Manchester"/>
    <s v="Manchester"/>
    <s v="Europe &gt; United Kingdom &gt; Manchester"/>
    <s v="Small Business"/>
    <s v="Direct"/>
    <s v="Direct"/>
    <s v="C. Otieno"/>
    <x v="0"/>
    <s v="Printers"/>
    <x v="5"/>
    <s v="Low"/>
    <x v="554"/>
    <n v="307.37"/>
    <n v="462.61"/>
    <s v="OK"/>
    <n v="462.61"/>
    <n v="0.188"/>
    <s v="OK"/>
    <n v="0.188"/>
    <n v="11"/>
    <n v="4132.0325200000007"/>
    <n v="1616910.1886600002"/>
    <n v="3381.07"/>
    <n v="750.9625200000005"/>
    <n v="0.18174167709599739"/>
    <n v="44928"/>
    <s v="Jan-2023"/>
  </r>
  <r>
    <x v="555"/>
    <x v="421"/>
    <x v="22"/>
    <x v="0"/>
    <d v="2024-01-27T00:00:00"/>
    <s v="OK"/>
    <d v="2024-01-27T00:00:00"/>
    <n v="26"/>
    <s v="Europe"/>
    <x v="10"/>
    <s v="Manchester"/>
    <s v="Manchester"/>
    <s v="Europe &gt; United Kingdom &gt; Manchester"/>
    <s v="Education"/>
    <s v="Distributor"/>
    <s v="Distributor"/>
    <s v="D. Smith"/>
    <x v="14"/>
    <s v="Accessories"/>
    <x v="1"/>
    <s v="High"/>
    <x v="555"/>
    <n v="657.45"/>
    <n v="1325.96"/>
    <s v="OK"/>
    <n v="1325.96"/>
    <n v="0.16700000000000001"/>
    <s v="OK"/>
    <n v="0.16700000000000001"/>
    <n v="21"/>
    <n v="23195.01828"/>
    <e v="#VALUE!"/>
    <n v="13806.45"/>
    <n v="9388.5682799999995"/>
    <n v="0.40476658249048808"/>
    <n v="44928"/>
    <s v="Jan-2023"/>
  </r>
  <r>
    <x v="556"/>
    <x v="368"/>
    <x v="6"/>
    <x v="5"/>
    <d v="2024-06-25T00:00:00"/>
    <s v="OK"/>
    <d v="2024-06-25T00:00:00"/>
    <n v="2"/>
    <s v="Europe"/>
    <x v="10"/>
    <s v="Birmingham"/>
    <s v="Birmingham"/>
    <s v="Europe &gt; United Kingdom &gt; Birmingham"/>
    <s v="Small Business"/>
    <s v="Marketplace"/>
    <s v="Marketplace"/>
    <s v="L. Okafor"/>
    <x v="10"/>
    <s v="Accessories"/>
    <x v="1"/>
    <s v="High"/>
    <x v="556"/>
    <n v="951.44"/>
    <n v="1646.43"/>
    <s v="OK"/>
    <n v="1646.43"/>
    <n v="0.11"/>
    <s v="OK"/>
    <n v="0.11"/>
    <n v="24"/>
    <n v="35167.7448"/>
    <e v="#VALUE!"/>
    <n v="22834.560000000001"/>
    <n v="12333.184799999999"/>
    <n v="0.35069592520473475"/>
    <n v="44928"/>
    <s v="Jan-2023"/>
  </r>
  <r>
    <x v="557"/>
    <x v="422"/>
    <x v="31"/>
    <x v="1"/>
    <d v="2025-07-10T00:00:00"/>
    <s v="OK"/>
    <d v="2025-07-10T00:00:00"/>
    <n v="15"/>
    <s v="Europe"/>
    <x v="10"/>
    <s v="Birmingham"/>
    <s v="Birmingham"/>
    <s v="Europe &gt; United Kingdom &gt; Birmingham"/>
    <s v="Non-Profit"/>
    <s v="Marketplace"/>
    <s v="Marketplace"/>
    <s v="D. Smith"/>
    <x v="14"/>
    <s v="Phones"/>
    <x v="4"/>
    <s v="Low"/>
    <x v="557"/>
    <n v="546.83000000000004"/>
    <n v="400.84"/>
    <s v="OK"/>
    <n v="400.84"/>
    <n v="7.8E-2"/>
    <s v="OK"/>
    <n v="7.8E-2"/>
    <n v="13"/>
    <n v="4804.4682400000002"/>
    <n v="1399242.2240200008"/>
    <n v="7108.7900000000009"/>
    <n v="-2304.3217600000007"/>
    <n v="-0.47962056254533608"/>
    <n v="44928"/>
    <s v="Jan-2023"/>
  </r>
  <r>
    <x v="558"/>
    <x v="423"/>
    <x v="11"/>
    <x v="8"/>
    <d v="2023-06-28T00:00:00"/>
    <s v="OK"/>
    <d v="2023-06-28T00:00:00"/>
    <n v="23"/>
    <s v="Europe"/>
    <x v="10"/>
    <s v="Birmingham"/>
    <s v="Birmingham"/>
    <s v="Europe &gt; United Kingdom &gt; Birmingham"/>
    <s v="Corporate"/>
    <s v="Direct"/>
    <s v="Direct"/>
    <s v="K. Singh"/>
    <x v="3"/>
    <s v="Printers"/>
    <x v="5"/>
    <s v="Low"/>
    <x v="558"/>
    <n v="605.82000000000005"/>
    <n v="771.12"/>
    <s v="OK"/>
    <n v="771.12"/>
    <n v="0.13200000000000001"/>
    <s v="OK"/>
    <n v="0.13200000000000001"/>
    <n v="19"/>
    <n v="12717.311040000001"/>
    <n v="1616910.1886600002"/>
    <n v="11510.580000000002"/>
    <n v="1206.7310399999988"/>
    <n v="9.4888851597986767E-2"/>
    <n v="44928"/>
    <s v="Jan-2023"/>
  </r>
  <r>
    <x v="559"/>
    <x v="209"/>
    <x v="7"/>
    <x v="1"/>
    <d v="2025-04-10T00:00:00"/>
    <s v="OK"/>
    <d v="2025-04-10T00:00:00"/>
    <n v="6"/>
    <s v="Europe"/>
    <x v="10"/>
    <s v="Birmingham"/>
    <s v="Birmingham"/>
    <s v="Europe &gt; United Kingdom &gt; Birmingham"/>
    <s v="Non-Profit"/>
    <s v="Direct"/>
    <s v="Direct"/>
    <s v="N. Brown"/>
    <x v="5"/>
    <s v="Printers"/>
    <x v="5"/>
    <s v="Low"/>
    <x v="559"/>
    <n v="290.14"/>
    <n v="250.73"/>
    <s v="OK"/>
    <n v="250.73"/>
    <n v="3.4000000000000002E-2"/>
    <s v="OK"/>
    <n v="3.4000000000000002E-2"/>
    <n v="17"/>
    <n v="4117.4880599999997"/>
    <n v="1616910.1886600002"/>
    <n v="4932.38"/>
    <n v="-814.89194000000043"/>
    <n v="-0.19790997038131072"/>
    <n v="44928"/>
    <s v="Jan-2023"/>
  </r>
  <r>
    <x v="560"/>
    <x v="424"/>
    <x v="25"/>
    <x v="2"/>
    <d v="2025-02-17T00:00:00"/>
    <s v="OK"/>
    <d v="2025-02-17T00:00:00"/>
    <n v="17"/>
    <s v="Europe"/>
    <x v="10"/>
    <s v="London"/>
    <s v="London"/>
    <s v="Europe &gt; United Kingdom &gt; London"/>
    <s v="Enterprise"/>
    <s v="Retail"/>
    <s v="Retail"/>
    <s v="H. Kim"/>
    <x v="15"/>
    <s v="Components"/>
    <x v="0"/>
    <s v="Low"/>
    <x v="530"/>
    <n v="378.26"/>
    <n v="541.55999999999995"/>
    <s v="OK"/>
    <n v="541.55999999999995"/>
    <n v="0.16300000000000001"/>
    <s v="OK"/>
    <n v="0.16300000000000001"/>
    <n v="25"/>
    <n v="11332.142999999998"/>
    <n v="1550200.534329999"/>
    <n v="9456.5"/>
    <n v="1875.6429999999982"/>
    <n v="0.16551529573885526"/>
    <n v="44928"/>
    <s v="Jan-2023"/>
  </r>
  <r>
    <x v="561"/>
    <x v="298"/>
    <x v="4"/>
    <x v="3"/>
    <d v="2025-08-17T00:00:00"/>
    <s v="OK"/>
    <d v="2025-08-17T00:00:00"/>
    <n v="25"/>
    <s v="Europe"/>
    <x v="10"/>
    <s v="Birmingham"/>
    <s v="Birmingham"/>
    <s v="Europe &gt; United Kingdom &gt; Birmingham"/>
    <s v="Education"/>
    <s v="Online"/>
    <s v="Online"/>
    <s v="I. Johnson"/>
    <x v="12"/>
    <s v="Printers"/>
    <x v="5"/>
    <s v="High"/>
    <x v="560"/>
    <n v="1142.06"/>
    <n v="1455"/>
    <s v="OK"/>
    <n v="1455"/>
    <n v="7.8E-2"/>
    <s v="OK"/>
    <n v="7.8E-2"/>
    <n v="28"/>
    <n v="37562.28"/>
    <n v="1616910.1886600002"/>
    <n v="31977.68"/>
    <n v="5584.5999999999985"/>
    <n v="0.1486757459877302"/>
    <n v="44928"/>
    <s v="Jan-2023"/>
  </r>
  <r>
    <x v="562"/>
    <x v="425"/>
    <x v="26"/>
    <x v="8"/>
    <d v="2023-06-20T00:00:00"/>
    <s v="OK"/>
    <d v="2023-06-20T00:00:00"/>
    <n v="22"/>
    <s v="Europe"/>
    <x v="10"/>
    <s v="London"/>
    <s v="London"/>
    <s v="Europe &gt; United Kingdom &gt; London"/>
    <s v="Small Business"/>
    <s v="Direct"/>
    <s v="Direct"/>
    <s v="K. Singh"/>
    <x v="3"/>
    <s v="Components"/>
    <x v="0"/>
    <s v="High"/>
    <x v="561"/>
    <n v="1295.3900000000001"/>
    <n v="2905.06"/>
    <s v="OK"/>
    <n v="2905.06"/>
    <n v="0.14799999999999999"/>
    <s v="OK"/>
    <n v="0.14799999999999999"/>
    <n v="8"/>
    <n v="19800.88896"/>
    <n v="1550200.534329999"/>
    <n v="10363.120000000001"/>
    <n v="9437.7689599999994"/>
    <n v="0.47663359857556614"/>
    <n v="44928"/>
    <s v="Jan-2023"/>
  </r>
  <r>
    <x v="563"/>
    <x v="416"/>
    <x v="20"/>
    <x v="6"/>
    <d v="2023-10-21T00:00:00"/>
    <s v="OK"/>
    <d v="2023-10-21T00:00:00"/>
    <n v="0"/>
    <s v="Europe"/>
    <x v="10"/>
    <s v="Manchester"/>
    <s v="Manchester"/>
    <s v="Europe &gt; United Kingdom &gt; Manchester"/>
    <s v="Enterprise"/>
    <s v="Distributor"/>
    <s v="Distributor"/>
    <s v="J. Njeri"/>
    <x v="2"/>
    <s v="Monitors"/>
    <x v="2"/>
    <s v="Low"/>
    <x v="562"/>
    <n v="384.19"/>
    <n v="278.35000000000002"/>
    <s v="OK"/>
    <n v="278.35000000000002"/>
    <n v="5.6000000000000001E-2"/>
    <s v="OK"/>
    <n v="5.6000000000000001E-2"/>
    <n v="10"/>
    <n v="2627.6239999999998"/>
    <e v="#VALUE!"/>
    <n v="3841.9"/>
    <n v="-1214.2760000000003"/>
    <n v="-0.46211938998882657"/>
    <n v="44928"/>
    <s v="Jan-2023"/>
  </r>
  <r>
    <x v="564"/>
    <x v="426"/>
    <x v="28"/>
    <x v="4"/>
    <d v="2023-02-03T00:00:00"/>
    <s v="OK"/>
    <d v="2023-02-03T00:00:00"/>
    <n v="15"/>
    <s v="Europe"/>
    <x v="10"/>
    <s v="London"/>
    <s v="London"/>
    <s v="Europe &gt; United Kingdom &gt; London"/>
    <s v="Enterprise"/>
    <s v="Distributor"/>
    <s v="Distributor"/>
    <s v="G. Dubois"/>
    <x v="4"/>
    <s v="Accessories"/>
    <x v="1"/>
    <s v="High"/>
    <x v="563"/>
    <n v="873.06"/>
    <n v="2101.5500000000002"/>
    <s v="OK"/>
    <n v="2101.5500000000002"/>
    <n v="6.6000000000000003E-2"/>
    <s v="OK"/>
    <n v="6.6000000000000003E-2"/>
    <n v="10"/>
    <n v="19628.476999999999"/>
    <e v="#VALUE!"/>
    <n v="8730.5999999999985"/>
    <n v="10897.877"/>
    <n v="0.55520746719167269"/>
    <n v="44928"/>
    <s v="Jan-2023"/>
  </r>
  <r>
    <x v="565"/>
    <x v="427"/>
    <x v="16"/>
    <x v="5"/>
    <d v="2024-05-16T00:00:00"/>
    <s v="OK"/>
    <d v="2024-05-16T00:00:00"/>
    <n v="6"/>
    <s v="Europe"/>
    <x v="10"/>
    <s v="Birmingham"/>
    <s v="Birmingham"/>
    <s v="Europe &gt; United Kingdom &gt; Birmingham"/>
    <s v="Non-Profit"/>
    <s v="Direct"/>
    <s v="Direct"/>
    <s v="G. Dubois"/>
    <x v="4"/>
    <s v="Laptops"/>
    <x v="3"/>
    <s v="Low"/>
    <x v="564"/>
    <n v="210.76"/>
    <n v="221.58"/>
    <s v="OK"/>
    <n v="221.58"/>
    <n v="8.8999999999999996E-2"/>
    <s v="OK"/>
    <n v="8.8999999999999996E-2"/>
    <n v="5"/>
    <n v="1009.2969000000002"/>
    <n v="1711094.3775999998"/>
    <n v="1053.8"/>
    <n v="-44.50309999999979"/>
    <n v="-4.4093170205912434E-2"/>
    <n v="44928"/>
    <s v="Jan-2023"/>
  </r>
  <r>
    <x v="566"/>
    <x v="428"/>
    <x v="14"/>
    <x v="10"/>
    <d v="2023-08-13T00:00:00"/>
    <s v="OK"/>
    <d v="2023-08-13T00:00:00"/>
    <n v="28"/>
    <s v="Europe"/>
    <x v="10"/>
    <s v="Manchester"/>
    <s v="Manchester"/>
    <s v="Europe &gt; United Kingdom &gt; Manchester"/>
    <s v="Non-Profit"/>
    <s v="Online"/>
    <s v="Online"/>
    <s v="J. Njeri"/>
    <x v="2"/>
    <s v="Laptops"/>
    <x v="3"/>
    <s v="High"/>
    <x v="565"/>
    <n v="1039.03"/>
    <n v="2545.81"/>
    <s v="OK"/>
    <n v="2545.81"/>
    <n v="0.216"/>
    <s v="OK"/>
    <n v="0.216"/>
    <n v="21"/>
    <n v="41914.215840000004"/>
    <n v="1711094.3775999998"/>
    <n v="21819.63"/>
    <n v="20094.585840000003"/>
    <n v="0.47942172929364774"/>
    <n v="44928"/>
    <s v="Jan-2023"/>
  </r>
  <r>
    <x v="567"/>
    <x v="429"/>
    <x v="16"/>
    <x v="5"/>
    <d v="2024-05-24T00:00:00"/>
    <s v="OK"/>
    <d v="2024-05-24T00:00:00"/>
    <n v="12"/>
    <s v="Europe"/>
    <x v="10"/>
    <s v="Manchester"/>
    <s v="Manchester"/>
    <s v="Europe &gt; United Kingdom &gt; Manchester"/>
    <s v="Education"/>
    <s v="Marketplace"/>
    <s v="Marketplace"/>
    <s v="K. Singh"/>
    <x v="3"/>
    <s v="Printers"/>
    <x v="5"/>
    <s v="Low"/>
    <x v="566"/>
    <n v="111.02"/>
    <n v="172.88"/>
    <s v="OK"/>
    <n v="172.88"/>
    <n v="0.19700000000000001"/>
    <s v="OK"/>
    <n v="0.19700000000000001"/>
    <n v="29"/>
    <n v="4025.8565599999993"/>
    <n v="1616910.1886600002"/>
    <n v="3219.58"/>
    <n v="806.27655999999934"/>
    <n v="0.20027453735212053"/>
    <n v="44928"/>
    <s v="Jan-2023"/>
  </r>
  <r>
    <x v="568"/>
    <x v="37"/>
    <x v="17"/>
    <x v="7"/>
    <d v="2024-09-13T00:00:00"/>
    <s v="OK"/>
    <d v="2024-09-13T00:00:00"/>
    <n v="4"/>
    <s v="Europe"/>
    <x v="10"/>
    <s v="London"/>
    <s v="London"/>
    <s v="Europe &gt; United Kingdom &gt; London"/>
    <s v="Consumer"/>
    <s v="Marketplace"/>
    <s v="Marketplace"/>
    <s v="F. Müller"/>
    <x v="8"/>
    <s v="Networking"/>
    <x v="6"/>
    <s v="High"/>
    <x v="567"/>
    <n v="1133.08"/>
    <n v="976.17"/>
    <s v="OK"/>
    <n v="976.17"/>
    <n v="4.2000000000000003E-2"/>
    <s v="OK"/>
    <n v="4.2000000000000003E-2"/>
    <n v="27"/>
    <n v="25249.613219999999"/>
    <e v="#VALUE!"/>
    <n v="30593.159999999996"/>
    <n v="-5343.5467799999969"/>
    <n v="-0.21162885678452373"/>
    <n v="44928"/>
    <s v="Jan-2023"/>
  </r>
  <r>
    <x v="569"/>
    <x v="430"/>
    <x v="15"/>
    <x v="5"/>
    <d v="2024-04-24T00:00:00"/>
    <s v="Invalid date"/>
    <d v="2024-05-01T00:00:00"/>
    <n v="5"/>
    <s v="Europe"/>
    <x v="10"/>
    <s v="London"/>
    <s v="London"/>
    <s v="Europe &gt; United Kingdom &gt; London"/>
    <s v="Non-Profit"/>
    <s v="Distributor"/>
    <s v="Distributor"/>
    <s v="N. Brown"/>
    <x v="5"/>
    <s v="Phones"/>
    <x v="4"/>
    <s v="High"/>
    <x v="568"/>
    <n v="1232.77"/>
    <n v="891.73"/>
    <s v="OK"/>
    <n v="891.73"/>
    <n v="0.16700000000000001"/>
    <s v="OK"/>
    <n v="0.16700000000000001"/>
    <n v="10"/>
    <n v="7428.1108999999988"/>
    <n v="1399242.2240200008"/>
    <n v="12327.7"/>
    <n v="-4899.589100000002"/>
    <n v="-0.65960096260813805"/>
    <n v="44928"/>
    <s v="Jan-2023"/>
  </r>
  <r>
    <x v="570"/>
    <x v="431"/>
    <x v="32"/>
    <x v="9"/>
    <d v="2024-10-11T00:00:00"/>
    <s v="OK"/>
    <d v="2024-10-11T00:00:00"/>
    <n v="1"/>
    <s v="Europe"/>
    <x v="10"/>
    <s v="Manchester"/>
    <s v="Manchester"/>
    <s v="Europe &gt; United Kingdom &gt; Manchester"/>
    <s v="Non-Profit"/>
    <s v="Distributor"/>
    <s v="Distributor"/>
    <s v="L. Okafor"/>
    <x v="10"/>
    <s v="Components"/>
    <x v="0"/>
    <s v="High"/>
    <x v="569"/>
    <n v="1389.46"/>
    <n v="1784.7"/>
    <s v="OK"/>
    <n v="1784.7"/>
    <n v="0.14599999999999999"/>
    <s v="OK"/>
    <n v="0.14599999999999999"/>
    <n v="33"/>
    <n v="50296.415399999998"/>
    <n v="1550200.534329999"/>
    <n v="45852.18"/>
    <n v="4444.2353999999978"/>
    <n v="8.8360877503011831E-2"/>
    <n v="44928"/>
    <s v="Jan-2023"/>
  </r>
  <r>
    <x v="571"/>
    <x v="432"/>
    <x v="30"/>
    <x v="9"/>
    <d v="2024-12-26T00:00:00"/>
    <s v="OK"/>
    <d v="2024-12-26T00:00:00"/>
    <n v="19"/>
    <s v="Europe"/>
    <x v="10"/>
    <s v="London"/>
    <s v="London"/>
    <s v="Europe &gt; United Kingdom &gt; London"/>
    <s v="Enterprise"/>
    <s v="Online"/>
    <s v="Online"/>
    <s v="D. Smith"/>
    <x v="14"/>
    <s v="Networking"/>
    <x v="6"/>
    <s v="High"/>
    <x v="570"/>
    <n v="1035.24"/>
    <n v="2383.41"/>
    <s v="OK"/>
    <n v="2383.41"/>
    <n v="0.17"/>
    <s v="OK"/>
    <n v="0.17"/>
    <n v="15"/>
    <n v="29673.454499999993"/>
    <e v="#VALUE!"/>
    <n v="15528.6"/>
    <n v="14144.854499999992"/>
    <n v="0.47668378145860962"/>
    <n v="44928"/>
    <s v="Jan-2023"/>
  </r>
  <r>
    <x v="572"/>
    <x v="413"/>
    <x v="8"/>
    <x v="2"/>
    <d v="2025-02-08T00:00:00"/>
    <s v="OK"/>
    <d v="2025-02-08T00:00:00"/>
    <n v="4"/>
    <s v="Europe"/>
    <x v="10"/>
    <s v="Manchester"/>
    <s v="Manchester"/>
    <s v="Europe &gt; United Kingdom &gt; Manchester"/>
    <s v="Enterprise"/>
    <s v="Marketplace"/>
    <s v="Marketplace"/>
    <s v="L. Okafor"/>
    <x v="10"/>
    <s v="Networking"/>
    <x v="6"/>
    <s v="Low"/>
    <x v="571"/>
    <n v="586.21"/>
    <n v="727.22"/>
    <s v="OK"/>
    <n v="727.22"/>
    <n v="6.8000000000000005E-2"/>
    <s v="OK"/>
    <n v="6.8000000000000005E-2"/>
    <n v="15"/>
    <n v="10166.535600000001"/>
    <e v="#VALUE!"/>
    <n v="8793.1500000000015"/>
    <n v="1373.3855999999996"/>
    <n v="0.13508884973559721"/>
    <n v="44928"/>
    <s v="Jan-2023"/>
  </r>
  <r>
    <x v="573"/>
    <x v="433"/>
    <x v="22"/>
    <x v="0"/>
    <d v="2024-02-04T00:00:00"/>
    <s v="OK"/>
    <d v="2024-02-04T00:00:00"/>
    <n v="11"/>
    <s v="Europe"/>
    <x v="10"/>
    <s v="Manchester"/>
    <s v="Manchester"/>
    <s v="Europe &gt; United Kingdom &gt; Manchester"/>
    <s v="Consumer"/>
    <s v="Retail"/>
    <s v="Retail"/>
    <s v="B. Chen"/>
    <x v="6"/>
    <s v="Laptops"/>
    <x v="3"/>
    <s v="High"/>
    <x v="572"/>
    <n v="525.34"/>
    <n v="1233.79"/>
    <s v="OK"/>
    <n v="1233.79"/>
    <n v="0.14299999999999999"/>
    <s v="OK"/>
    <n v="0.14299999999999999"/>
    <n v="4"/>
    <n v="4229.4321199999995"/>
    <n v="1711094.3775999998"/>
    <n v="2101.36"/>
    <n v="2128.0721199999994"/>
    <n v="0.50315788494082736"/>
    <n v="44928"/>
    <s v="Jan-2023"/>
  </r>
  <r>
    <x v="574"/>
    <x v="434"/>
    <x v="11"/>
    <x v="8"/>
    <d v="2023-07-12T00:00:00"/>
    <s v="OK"/>
    <d v="2023-07-12T00:00:00"/>
    <n v="27"/>
    <s v="Europe"/>
    <x v="10"/>
    <s v="Manchester"/>
    <s v="Manchester"/>
    <s v="Europe &gt; United Kingdom &gt; Manchester"/>
    <s v="Consumer"/>
    <s v="Direct"/>
    <s v="Direct"/>
    <s v="I. Johnson"/>
    <x v="12"/>
    <s v="Accessories"/>
    <x v="1"/>
    <s v="High"/>
    <x v="573"/>
    <n v="751.28"/>
    <n v="1111.8800000000001"/>
    <s v="OK"/>
    <n v="1111.8800000000001"/>
    <n v="0.13500000000000001"/>
    <s v="OK"/>
    <n v="0.13500000000000001"/>
    <n v="7"/>
    <n v="6732.4334000000008"/>
    <e v="#VALUE!"/>
    <n v="5258.96"/>
    <n v="1473.4734000000008"/>
    <n v="0.21886193482433863"/>
    <n v="44928"/>
    <s v="Jan-2023"/>
  </r>
  <r>
    <x v="575"/>
    <x v="435"/>
    <x v="13"/>
    <x v="9"/>
    <d v="2024-11-24T00:00:00"/>
    <s v="OK"/>
    <d v="2024-11-24T00:00:00"/>
    <n v="13"/>
    <s v="Europe"/>
    <x v="10"/>
    <s v="London"/>
    <s v="London"/>
    <s v="Europe &gt; United Kingdom &gt; London"/>
    <s v="Corporate"/>
    <s v="Retail"/>
    <s v="Retail"/>
    <s v="E. Garcia"/>
    <x v="11"/>
    <s v="Networking"/>
    <x v="6"/>
    <s v="Low"/>
    <x v="574"/>
    <n v="164.53"/>
    <n v="327.72"/>
    <s v="OK"/>
    <n v="327.72"/>
    <n v="6.7000000000000004E-2"/>
    <s v="OK"/>
    <n v="6.7000000000000004E-2"/>
    <n v="14"/>
    <n v="4280.6786400000001"/>
    <e v="#VALUE!"/>
    <n v="2303.42"/>
    <n v="1977.25864"/>
    <n v="0.46190307805960412"/>
    <n v="44928"/>
    <s v="Jan-2023"/>
  </r>
  <r>
    <x v="576"/>
    <x v="127"/>
    <x v="0"/>
    <x v="0"/>
    <d v="2024-03-22T00:00:00"/>
    <s v="OK"/>
    <d v="2024-03-22T00:00:00"/>
    <n v="13"/>
    <s v="Europe"/>
    <x v="10"/>
    <s v="Manchester"/>
    <s v="Manchester"/>
    <s v="Europe &gt; United Kingdom &gt; Manchester"/>
    <s v="Consumer"/>
    <s v="Online"/>
    <s v="Online"/>
    <s v="E. Garcia"/>
    <x v="11"/>
    <s v="Laptops"/>
    <x v="3"/>
    <s v="High"/>
    <x v="575"/>
    <n v="985.45"/>
    <n v="1802.44"/>
    <s v="OK"/>
    <n v="1802.44"/>
    <n v="8.9999999999999993E-3"/>
    <s v="OK"/>
    <n v="8.9999999999999993E-3"/>
    <n v="19"/>
    <n v="33938.142760000002"/>
    <n v="1711094.3775999998"/>
    <n v="18723.55"/>
    <n v="15214.592760000003"/>
    <n v="0.44830363486867486"/>
    <n v="44928"/>
    <s v="Jan-2023"/>
  </r>
  <r>
    <x v="577"/>
    <x v="436"/>
    <x v="19"/>
    <x v="8"/>
    <d v="2023-04-25T00:00:00"/>
    <s v="OK"/>
    <d v="2023-04-25T00:00:00"/>
    <n v="15"/>
    <s v="Europe"/>
    <x v="10"/>
    <s v="London"/>
    <s v="London"/>
    <s v="Europe &gt; United Kingdom &gt; London"/>
    <s v="Small Business"/>
    <s v="Retail"/>
    <s v="Retail"/>
    <s v="D. Smith"/>
    <x v="14"/>
    <s v="Printers"/>
    <x v="5"/>
    <s v="High"/>
    <x v="576"/>
    <n v="405.66"/>
    <n v="962.51"/>
    <s v="OK"/>
    <n v="962.51"/>
    <n v="0.19"/>
    <s v="OK"/>
    <n v="0.19"/>
    <n v="7"/>
    <n v="5457.4317000000001"/>
    <n v="1616910.1886600002"/>
    <n v="2839.6200000000003"/>
    <n v="2617.8116999999997"/>
    <n v="0.47967832561239376"/>
    <n v="44928"/>
    <s v="Jan-2023"/>
  </r>
  <r>
    <x v="578"/>
    <x v="196"/>
    <x v="30"/>
    <x v="9"/>
    <d v="2025-01-16T00:00:00"/>
    <s v="OK"/>
    <d v="2025-01-16T00:00:00"/>
    <n v="30"/>
    <s v="Europe"/>
    <x v="10"/>
    <s v="Manchester"/>
    <s v="Manchester"/>
    <s v="Europe &gt; United Kingdom &gt; Manchester"/>
    <s v="Corporate"/>
    <s v="Retail"/>
    <s v="Retail"/>
    <s v="D. Smith"/>
    <x v="14"/>
    <s v="Monitors"/>
    <x v="2"/>
    <s v="Medium"/>
    <x v="577"/>
    <n v="722.87"/>
    <n v="-33.659999999999997"/>
    <s v="negative unit price"/>
    <s v=""/>
    <n v="0.10199999999999999"/>
    <s v="OK"/>
    <n v="0.10199999999999999"/>
    <n v="28"/>
    <e v="#VALUE!"/>
    <e v="#VALUE!"/>
    <n v="20240.36"/>
    <e v="#VALUE!"/>
    <e v="#VALUE!"/>
    <n v="44928"/>
    <s v="Jan-2023"/>
  </r>
  <r>
    <x v="579"/>
    <x v="341"/>
    <x v="4"/>
    <x v="3"/>
    <d v="2025-07-16T00:00:00"/>
    <s v="OK"/>
    <d v="2025-07-16T00:00:00"/>
    <n v="5"/>
    <s v="Europe"/>
    <x v="10"/>
    <s v="London"/>
    <s v="London"/>
    <s v="Europe &gt; United Kingdom &gt; London"/>
    <s v="Enterprise"/>
    <s v="Online"/>
    <s v="Online"/>
    <s v="K. Singh"/>
    <x v="3"/>
    <s v="Printers"/>
    <x v="5"/>
    <s v="High"/>
    <x v="578"/>
    <n v="930.03"/>
    <n v="1086.68"/>
    <s v="OK"/>
    <n v="1086.68"/>
    <n v="0.109"/>
    <s v="OK"/>
    <n v="0.109"/>
    <n v="26"/>
    <n v="25174.028880000002"/>
    <n v="1616910.1886600002"/>
    <n v="24180.78"/>
    <n v="993.24888000000283"/>
    <n v="3.9455300728168656E-2"/>
    <n v="44928"/>
    <s v="Jan-2023"/>
  </r>
  <r>
    <x v="580"/>
    <x v="174"/>
    <x v="16"/>
    <x v="5"/>
    <d v="2024-05-23T00:00:00"/>
    <s v="OK"/>
    <d v="2024-05-23T00:00:00"/>
    <n v="5"/>
    <s v="Americas"/>
    <x v="11"/>
    <s v="Chicago"/>
    <s v="Chicago"/>
    <s v="Americas &gt; USA &gt; Chicago"/>
    <s v="Enterprise"/>
    <s v="Retail"/>
    <s v="Retail"/>
    <s v="H. Kim"/>
    <x v="15"/>
    <s v="Laptops"/>
    <x v="3"/>
    <s v="High"/>
    <x v="579"/>
    <n v="1274.5899999999999"/>
    <n v="2553.69"/>
    <s v="OK"/>
    <n v="2553.69"/>
    <n v="0.01"/>
    <s v="OK"/>
    <n v="0.01"/>
    <n v="8"/>
    <n v="20225.2248"/>
    <n v="1711094.3775999998"/>
    <n v="10196.719999999999"/>
    <n v="10028.504800000001"/>
    <n v="0.49584145042481803"/>
    <n v="44928"/>
    <s v="Jan-2023"/>
  </r>
  <r>
    <x v="581"/>
    <x v="437"/>
    <x v="11"/>
    <x v="8"/>
    <d v="2023-06-24T00:00:00"/>
    <s v="OK"/>
    <d v="2023-06-24T00:00:00"/>
    <n v="7"/>
    <s v="Americas"/>
    <x v="11"/>
    <s v="San Francisco"/>
    <s v="San Francisco"/>
    <s v="Americas &gt; USA &gt; San Francisco"/>
    <s v="Corporate"/>
    <s v="Retail"/>
    <s v="Retail"/>
    <s v="I. Johnson"/>
    <x v="12"/>
    <s v="Printers"/>
    <x v="5"/>
    <s v="Low"/>
    <x v="580"/>
    <n v="313.99"/>
    <n v="454.42"/>
    <s v="OK"/>
    <n v="454.42"/>
    <n v="0.129"/>
    <s v="OK"/>
    <n v="0.129"/>
    <n v="9"/>
    <n v="3562.1983800000003"/>
    <n v="1616910.1886600002"/>
    <n v="2825.91"/>
    <n v="736.28838000000042"/>
    <n v="0.20669493988147858"/>
    <n v="44928"/>
    <s v="Jan-2023"/>
  </r>
  <r>
    <x v="582"/>
    <x v="438"/>
    <x v="7"/>
    <x v="1"/>
    <d v="2025-04-22T00:00:00"/>
    <s v="Invalid date"/>
    <d v="2025-04-28T00:00:00"/>
    <n v="5"/>
    <s v="Americas"/>
    <x v="11"/>
    <s v="San Francisco"/>
    <s v="San Francisco"/>
    <s v="Americas &gt; USA &gt; San Francisco"/>
    <s v="Non-Profit"/>
    <s v="Distributor"/>
    <s v="Distributor"/>
    <s v="D. Smith"/>
    <x v="14"/>
    <s v="Monitors"/>
    <x v="2"/>
    <s v="Low"/>
    <x v="581"/>
    <n v="23.24"/>
    <n v="44.57"/>
    <s v="OK"/>
    <n v="44.57"/>
    <n v="0.215"/>
    <s v="OK"/>
    <n v="0.215"/>
    <n v="15"/>
    <n v="524.81174999999996"/>
    <e v="#VALUE!"/>
    <n v="348.59999999999997"/>
    <n v="176.21174999999999"/>
    <n v="0.33576182316802167"/>
    <n v="44928"/>
    <s v="Jan-2023"/>
  </r>
  <r>
    <x v="583"/>
    <x v="439"/>
    <x v="25"/>
    <x v="2"/>
    <d v="2025-01-24T00:00:00"/>
    <s v="OK"/>
    <d v="2025-01-24T00:00:00"/>
    <n v="7"/>
    <s v="Americas"/>
    <x v="11"/>
    <s v="Austin"/>
    <s v="Austin"/>
    <s v="Americas &gt; USA &gt; Austin"/>
    <s v="Enterprise"/>
    <s v="Online"/>
    <s v="Online"/>
    <s v="G. Dubois"/>
    <x v="4"/>
    <s v="Accessories"/>
    <x v="1"/>
    <s v="Low"/>
    <x v="582"/>
    <n v="142.09"/>
    <n v="218.5"/>
    <s v="OK"/>
    <n v="218.5"/>
    <n v="0.11899999999999999"/>
    <s v="OK"/>
    <n v="0.11899999999999999"/>
    <n v="11"/>
    <n v="2117.4834999999998"/>
    <e v="#VALUE!"/>
    <n v="1562.99"/>
    <n v="554.49349999999981"/>
    <n v="0.26186437816398561"/>
    <n v="44928"/>
    <s v="Jan-2023"/>
  </r>
  <r>
    <x v="584"/>
    <x v="440"/>
    <x v="16"/>
    <x v="5"/>
    <d v="2024-06-13T00:00:00"/>
    <s v="OK"/>
    <d v="2024-06-13T00:00:00"/>
    <n v="14"/>
    <s v="Americas"/>
    <x v="11"/>
    <s v="San Francisco"/>
    <s v="San Francisco"/>
    <s v="Americas &gt; USA &gt; San Francisco"/>
    <s v="Small Business"/>
    <s v="Retail"/>
    <s v="Retail"/>
    <s v="F. Müller"/>
    <x v="8"/>
    <s v="Phones"/>
    <x v="4"/>
    <s v="Low"/>
    <x v="583"/>
    <n v="157.78"/>
    <n v="361.1"/>
    <s v="OK"/>
    <n v="361.1"/>
    <n v="0.187"/>
    <s v="OK"/>
    <n v="0.187"/>
    <n v="9"/>
    <n v="2642.1686999999997"/>
    <n v="1399242.2240200008"/>
    <n v="1420.02"/>
    <n v="1222.1486999999997"/>
    <n v="0.46255513510549112"/>
    <n v="44928"/>
    <s v="Jan-2023"/>
  </r>
  <r>
    <x v="585"/>
    <x v="203"/>
    <x v="28"/>
    <x v="4"/>
    <d v="2023-01-30T00:00:00"/>
    <s v="OK"/>
    <d v="2023-01-30T00:00:00"/>
    <n v="8"/>
    <s v="Americas"/>
    <x v="11"/>
    <s v="San Francisco"/>
    <s v="San Francisco"/>
    <s v="Americas &gt; USA &gt; San Francisco"/>
    <s v="Small Business"/>
    <s v="Online"/>
    <s v="Online"/>
    <s v="A. Patel"/>
    <x v="1"/>
    <s v="Networking"/>
    <x v="6"/>
    <s v="High"/>
    <x v="584"/>
    <n v="413.52"/>
    <n v="1004.34"/>
    <s v="OK"/>
    <n v="1004.34"/>
    <n v="0.111"/>
    <s v="OK"/>
    <n v="0.111"/>
    <n v="18"/>
    <n v="16071.44868"/>
    <e v="#VALUE!"/>
    <n v="7443.36"/>
    <n v="8628.0886800000007"/>
    <n v="0.53685817948304593"/>
    <n v="44928"/>
    <s v="Jan-2023"/>
  </r>
  <r>
    <x v="586"/>
    <x v="441"/>
    <x v="30"/>
    <x v="9"/>
    <d v="2024-12-26T00:00:00"/>
    <s v="OK"/>
    <d v="2024-12-26T00:00:00"/>
    <n v="5"/>
    <s v="Americas"/>
    <x v="11"/>
    <s v="San Francisco"/>
    <s v="San Francisco"/>
    <s v="Americas &gt; USA &gt; San Francisco"/>
    <s v="Consumer"/>
    <s v="Marketplace"/>
    <s v="Marketplace"/>
    <s v="M. Rossi"/>
    <x v="13"/>
    <s v="Printers"/>
    <x v="5"/>
    <s v="Low"/>
    <x v="585"/>
    <n v="699.57"/>
    <n v="572.71"/>
    <s v="OK"/>
    <n v="572.71"/>
    <n v="0.192"/>
    <s v="OK"/>
    <n v="0.192"/>
    <n v="26"/>
    <n v="12031.491680000001"/>
    <n v="1616910.1886600002"/>
    <n v="18188.82"/>
    <n v="-6157.3283199999987"/>
    <n v="-0.51176765805651114"/>
    <n v="44928"/>
    <s v="Jan-2023"/>
  </r>
  <r>
    <x v="587"/>
    <x v="442"/>
    <x v="14"/>
    <x v="10"/>
    <d v="2023-08-25T00:00:00"/>
    <s v="OK"/>
    <d v="2023-08-25T00:00:00"/>
    <n v="30"/>
    <s v="Americas"/>
    <x v="11"/>
    <s v="New York"/>
    <s v="New York"/>
    <s v="Americas &gt; USA &gt; New York"/>
    <s v="Consumer"/>
    <s v="Retail"/>
    <s v="Retail"/>
    <s v="M. Rossi"/>
    <x v="13"/>
    <s v="Accessories"/>
    <x v="1"/>
    <s v="High"/>
    <x v="586"/>
    <n v="1261.48"/>
    <n v="1643.18"/>
    <s v="OK"/>
    <n v="1643.18"/>
    <n v="0.151"/>
    <s v="OK"/>
    <n v="0.151"/>
    <n v="23"/>
    <n v="32086.37586"/>
    <e v="#VALUE!"/>
    <n v="29014.04"/>
    <n v="3072.3358599999992"/>
    <n v="9.5752037357079045E-2"/>
    <n v="44928"/>
    <s v="Jan-2023"/>
  </r>
  <r>
    <x v="588"/>
    <x v="443"/>
    <x v="5"/>
    <x v="4"/>
    <d v="2023-03-09T00:00:00"/>
    <s v="OK"/>
    <d v="2023-03-09T00:00:00"/>
    <n v="13"/>
    <s v="Americas"/>
    <x v="11"/>
    <s v="New York"/>
    <s v="New York"/>
    <s v="Americas &gt; USA &gt; New York"/>
    <s v="Enterprise"/>
    <s v="Online"/>
    <s v="Online"/>
    <s v="M. Rossi"/>
    <x v="13"/>
    <s v="Components"/>
    <x v="0"/>
    <s v="Low"/>
    <x v="587"/>
    <n v="6.85"/>
    <n v="10.18"/>
    <s v="OK"/>
    <n v="10.18"/>
    <n v="4.7E-2"/>
    <s v="OK"/>
    <n v="4.7E-2"/>
    <n v="10"/>
    <n v="97.0154"/>
    <n v="1550200.534329999"/>
    <n v="68.5"/>
    <n v="28.5154"/>
    <n v="0.2939265312517394"/>
    <n v="44928"/>
    <s v="Jan-2023"/>
  </r>
  <r>
    <x v="589"/>
    <x v="444"/>
    <x v="10"/>
    <x v="7"/>
    <d v="2024-09-03T00:00:00"/>
    <s v="OK"/>
    <d v="2024-09-03T00:00:00"/>
    <n v="22"/>
    <s v="Americas"/>
    <x v="11"/>
    <s v="Austin"/>
    <s v="Austin"/>
    <s v="Americas &gt; USA &gt; Austin"/>
    <s v="Consumer"/>
    <s v="Distributor"/>
    <s v="Distributor"/>
    <s v="I. Johnson"/>
    <x v="12"/>
    <s v="Laptops"/>
    <x v="3"/>
    <s v="High"/>
    <x v="588"/>
    <n v="797.8"/>
    <n v="886.22"/>
    <s v="OK"/>
    <n v="886.22"/>
    <n v="0.23599999999999999"/>
    <s v="OK"/>
    <n v="0.23599999999999999"/>
    <n v="36"/>
    <n v="24374.594880000001"/>
    <n v="1711094.3775999998"/>
    <n v="28720.799999999999"/>
    <n v="-4346.2051199999987"/>
    <n v="-0.17830881462428633"/>
    <n v="44928"/>
    <s v="Jan-2023"/>
  </r>
  <r>
    <x v="590"/>
    <x v="360"/>
    <x v="26"/>
    <x v="8"/>
    <d v="2023-05-26T00:00:00"/>
    <s v="OK"/>
    <d v="2023-05-26T00:00:00"/>
    <n v="22"/>
    <s v="Americas"/>
    <x v="11"/>
    <s v="San Francisco"/>
    <s v="San Francisco"/>
    <s v="Americas &gt; USA &gt; San Francisco"/>
    <s v="Enterprise"/>
    <s v="Online"/>
    <s v="Online"/>
    <s v="J. Njeri"/>
    <x v="2"/>
    <s v="Networking"/>
    <x v="6"/>
    <s v="Low"/>
    <x v="589"/>
    <n v="249.71"/>
    <n v="361.33"/>
    <s v="OK"/>
    <n v="361.33"/>
    <n v="9.4E-2"/>
    <s v="OK"/>
    <n v="9.4E-2"/>
    <n v="12"/>
    <n v="3928.3797600000003"/>
    <e v="#VALUE!"/>
    <n v="2996.52"/>
    <n v="931.85976000000028"/>
    <n v="0.23721223937881206"/>
    <n v="44928"/>
    <s v="Jan-2023"/>
  </r>
  <r>
    <x v="591"/>
    <x v="445"/>
    <x v="28"/>
    <x v="4"/>
    <d v="2023-01-19T00:00:00"/>
    <s v="OK"/>
    <d v="2023-01-19T00:00:00"/>
    <n v="6"/>
    <s v="Americas"/>
    <x v="11"/>
    <s v="Chicago"/>
    <s v="Chicago"/>
    <s v="Americas &gt; USA &gt; Chicago"/>
    <s v="Corporate"/>
    <s v="Direct"/>
    <s v="Direct"/>
    <s v="H. Kim"/>
    <x v="15"/>
    <s v="Phones"/>
    <x v="4"/>
    <s v="High"/>
    <x v="590"/>
    <n v="833.57"/>
    <n v="881.57"/>
    <s v="OK"/>
    <n v="881.57"/>
    <n v="5.7000000000000002E-2"/>
    <s v="OK"/>
    <n v="5.7000000000000002E-2"/>
    <n v="18"/>
    <n v="14963.769179999999"/>
    <n v="1399242.2240200008"/>
    <n v="15004.26"/>
    <n v="-40.490820000000895"/>
    <n v="-2.7059238560107821E-3"/>
    <n v="44928"/>
    <s v="Jan-2023"/>
  </r>
  <r>
    <x v="592"/>
    <x v="239"/>
    <x v="22"/>
    <x v="0"/>
    <d v="2024-01-29T00:00:00"/>
    <s v="OK"/>
    <d v="2024-01-29T00:00:00"/>
    <n v="17"/>
    <s v="Americas"/>
    <x v="11"/>
    <s v="Chicago"/>
    <s v="Chicago"/>
    <s v="Americas &gt; USA &gt; Chicago"/>
    <s v="Education"/>
    <s v="Distributor"/>
    <s v="Distributor"/>
    <s v="A. Patel"/>
    <x v="1"/>
    <s v="Printers"/>
    <x v="5"/>
    <s v="Low"/>
    <x v="591"/>
    <n v="493.76"/>
    <n v="625.04"/>
    <s v="OK"/>
    <n v="625.04"/>
    <n v="0.25800000000000001"/>
    <s v="OK"/>
    <n v="0.25800000000000001"/>
    <n v="10"/>
    <n v="4637.7968000000001"/>
    <n v="1616910.1886600002"/>
    <n v="4937.6000000000004"/>
    <n v="-299.80320000000029"/>
    <n v="-6.464345311549663E-2"/>
    <n v="44928"/>
    <s v="Jan-2023"/>
  </r>
  <r>
    <x v="593"/>
    <x v="325"/>
    <x v="21"/>
    <x v="10"/>
    <d v="2023-09-07T00:00:00"/>
    <s v="OK"/>
    <d v="2023-09-07T00:00:00"/>
    <n v="23"/>
    <s v="Americas"/>
    <x v="11"/>
    <s v="New York"/>
    <s v="New York"/>
    <s v="Americas &gt; USA &gt; New York"/>
    <s v="Enterprise"/>
    <s v="Online"/>
    <s v="Online"/>
    <s v="K. Singh"/>
    <x v="3"/>
    <s v="Phones"/>
    <x v="4"/>
    <s v="High"/>
    <x v="592"/>
    <n v="590.33000000000004"/>
    <n v="973.04"/>
    <s v="OK"/>
    <n v="973.04"/>
    <n v="0"/>
    <s v="OK"/>
    <n v="0"/>
    <n v="26"/>
    <n v="25299.040000000001"/>
    <n v="1399242.2240200008"/>
    <n v="15348.580000000002"/>
    <n v="9950.4599999999991"/>
    <n v="0.39331373838691108"/>
    <n v="44928"/>
    <s v="Jan-2023"/>
  </r>
  <r>
    <x v="594"/>
    <x v="446"/>
    <x v="29"/>
    <x v="10"/>
    <d v="2023-10-02T00:00:00"/>
    <s v="OK"/>
    <d v="2023-10-02T00:00:00"/>
    <n v="7"/>
    <s v="Americas"/>
    <x v="11"/>
    <s v="New York"/>
    <s v="New York"/>
    <s v="Americas &gt; USA &gt; New York"/>
    <s v="Education"/>
    <s v="Marketplace"/>
    <s v="Marketplace"/>
    <s v="I. Johnson"/>
    <x v="12"/>
    <s v="Accessories"/>
    <x v="1"/>
    <s v="Low"/>
    <x v="593"/>
    <n v="145.58000000000001"/>
    <n v="228.15"/>
    <s v="OK"/>
    <n v="228.15"/>
    <n v="0.20399999999999999"/>
    <s v="OK"/>
    <n v="0.20399999999999999"/>
    <n v="5"/>
    <n v="908.03700000000003"/>
    <e v="#VALUE!"/>
    <n v="727.90000000000009"/>
    <n v="180.13699999999994"/>
    <n v="0.19838068272548359"/>
    <n v="44928"/>
    <s v="Jan-2023"/>
  </r>
  <r>
    <x v="595"/>
    <x v="447"/>
    <x v="20"/>
    <x v="6"/>
    <d v="2023-10-29T00:00:00"/>
    <s v="OK"/>
    <d v="2023-10-29T00:00:00"/>
    <n v="25"/>
    <s v="Americas"/>
    <x v="11"/>
    <s v="San Francisco"/>
    <s v="San Francisco"/>
    <s v="Americas &gt; USA &gt; San Francisco"/>
    <s v="Small Business"/>
    <s v="Distributor"/>
    <s v="Distributor"/>
    <s v="O. Wang"/>
    <x v="7"/>
    <s v="Accessories"/>
    <x v="1"/>
    <s v="High"/>
    <x v="594"/>
    <n v="1239.8399999999999"/>
    <n v="1482.75"/>
    <s v="OK"/>
    <n v="1482.75"/>
    <n v="6.7000000000000004E-2"/>
    <s v="OK"/>
    <n v="6.7000000000000004E-2"/>
    <n v="4"/>
    <n v="5533.6230000000005"/>
    <e v="#VALUE!"/>
    <n v="4959.3599999999997"/>
    <n v="574.26300000000083"/>
    <n v="0.10377703721413634"/>
    <n v="44928"/>
    <s v="Jan-2023"/>
  </r>
  <r>
    <x v="596"/>
    <x v="448"/>
    <x v="24"/>
    <x v="3"/>
    <d v="2025-08-30T00:00:00"/>
    <s v="OK"/>
    <d v="2025-08-30T00:00:00"/>
    <n v="20"/>
    <s v="Americas"/>
    <x v="11"/>
    <s v="San Francisco"/>
    <s v="San Francisco"/>
    <s v="Americas &gt; USA &gt; San Francisco"/>
    <s v="Corporate"/>
    <s v="Marketplace"/>
    <s v="Marketplace"/>
    <s v="K. Singh"/>
    <x v="3"/>
    <s v="Printers"/>
    <x v="5"/>
    <s v="High"/>
    <x v="595"/>
    <n v="933.29"/>
    <n v="1456.81"/>
    <s v="OK"/>
    <n v="1456.81"/>
    <n v="0.123"/>
    <s v="OK"/>
    <n v="0.123"/>
    <n v="13"/>
    <n v="16609.090809999998"/>
    <n v="1616910.1886600002"/>
    <n v="12132.77"/>
    <n v="4476.3208099999974"/>
    <n v="0.26951028573489977"/>
    <n v="44928"/>
    <s v="Jan-2023"/>
  </r>
  <r>
    <x v="597"/>
    <x v="449"/>
    <x v="0"/>
    <x v="0"/>
    <d v="2024-04-24T00:00:00"/>
    <s v="OK"/>
    <d v="2024-04-24T00:00:00"/>
    <n v="25"/>
    <s v="Americas"/>
    <x v="11"/>
    <s v="Austin"/>
    <s v="Austin"/>
    <s v="Americas &gt; USA &gt; Austin"/>
    <s v="Non-Profit"/>
    <s v="Online"/>
    <s v="Online"/>
    <s v="G. Dubois"/>
    <x v="4"/>
    <s v="Laptops"/>
    <x v="3"/>
    <s v="Low"/>
    <x v="596"/>
    <n v="160.82"/>
    <n v="258.52"/>
    <s v="OK"/>
    <n v="258.52"/>
    <n v="0.13"/>
    <s v="OK"/>
    <n v="0.13"/>
    <n v="17"/>
    <n v="3823.5108"/>
    <n v="1711094.3775999998"/>
    <n v="2733.94"/>
    <n v="1089.5708"/>
    <n v="0.28496605789631874"/>
    <n v="44928"/>
    <s v="Jan-2023"/>
  </r>
  <r>
    <x v="598"/>
    <x v="450"/>
    <x v="17"/>
    <x v="7"/>
    <d v="2024-09-08T00:00:00"/>
    <s v="OK"/>
    <d v="2024-09-08T00:00:00"/>
    <n v="6"/>
    <s v="Americas"/>
    <x v="11"/>
    <s v="Austin"/>
    <s v="Austin"/>
    <s v="Americas &gt; USA &gt; Austin"/>
    <s v="Consumer"/>
    <s v="Direct"/>
    <s v="Direct"/>
    <s v="H. Kim"/>
    <x v="15"/>
    <s v="Components"/>
    <x v="0"/>
    <s v="High"/>
    <x v="597"/>
    <n v="462.94"/>
    <n v="1015.7"/>
    <s v="OK"/>
    <n v="1015.7"/>
    <n v="0.14299999999999999"/>
    <s v="OK"/>
    <n v="0.14299999999999999"/>
    <n v="14"/>
    <n v="12186.368600000002"/>
    <n v="1550200.534329999"/>
    <n v="6481.16"/>
    <n v="5705.2086000000018"/>
    <n v="0.46816314090483041"/>
    <n v="44928"/>
    <s v="Jan-2023"/>
  </r>
  <r>
    <x v="599"/>
    <x v="451"/>
    <x v="27"/>
    <x v="7"/>
    <d v="2024-07-31T00:00:00"/>
    <s v="OK"/>
    <d v="2024-07-31T00:00:00"/>
    <n v="2"/>
    <s v="Americas"/>
    <x v="11"/>
    <s v="New York"/>
    <s v="New York"/>
    <s v="Americas &gt; USA &gt; New York"/>
    <s v="Education"/>
    <s v="Marketplace"/>
    <s v="Marketplace"/>
    <s v="I. Johnson"/>
    <x v="12"/>
    <s v="Printers"/>
    <x v="5"/>
    <s v="High"/>
    <x v="598"/>
    <n v="798.97"/>
    <n v="1814.06"/>
    <s v="OK"/>
    <n v="1814.06"/>
    <n v="0.122"/>
    <s v="OK"/>
    <n v="0.122"/>
    <n v="16"/>
    <n v="25483.91488"/>
    <n v="1616910.1886600002"/>
    <n v="12783.52"/>
    <n v="12700.39488"/>
    <n v="0.49836906691159061"/>
    <n v="44928"/>
    <s v="Jan-2023"/>
  </r>
  <r>
    <x v="600"/>
    <x v="452"/>
    <x v="0"/>
    <x v="0"/>
    <d v="2024-04-11T00:00:00"/>
    <s v="OK"/>
    <d v="2024-04-11T00:00:00"/>
    <n v="15"/>
    <s v="Americas"/>
    <x v="11"/>
    <s v="San Francisco"/>
    <s v="San Francisco"/>
    <s v="Americas &gt; USA &gt; San Francisco"/>
    <s v="Small Business"/>
    <s v="Direct"/>
    <s v="Direct"/>
    <s v="O. Wang"/>
    <x v="7"/>
    <s v="Networking"/>
    <x v="6"/>
    <s v="High"/>
    <x v="599"/>
    <n v="1338.35"/>
    <n v="2247.14"/>
    <s v="OK"/>
    <n v="2247.14"/>
    <n v="0.115"/>
    <s v="OK"/>
    <n v="0.115"/>
    <n v="40"/>
    <n v="79548.755999999994"/>
    <e v="#VALUE!"/>
    <n v="53534"/>
    <n v="26014.755999999994"/>
    <n v="0.32702907384246205"/>
    <n v="44928"/>
    <s v="Jan-2023"/>
  </r>
  <r>
    <x v="601"/>
    <x v="434"/>
    <x v="11"/>
    <x v="8"/>
    <d v="2023-06-23T00:00:00"/>
    <s v="OK"/>
    <d v="2023-06-23T00:00:00"/>
    <n v="8"/>
    <s v="Americas"/>
    <x v="11"/>
    <s v="San Francisco"/>
    <s v="San Francisco"/>
    <s v="Americas &gt; USA &gt; San Francisco"/>
    <s v="Consumer"/>
    <s v="Distributor"/>
    <s v="Distributor"/>
    <s v="O. Wang"/>
    <x v="7"/>
    <s v="Monitors"/>
    <x v="2"/>
    <s v="High"/>
    <x v="600"/>
    <n v="1097.0899999999999"/>
    <n v="2182.31"/>
    <s v="OK"/>
    <n v="2182.31"/>
    <n v="0.112"/>
    <s v="OK"/>
    <n v="0.112"/>
    <n v="9"/>
    <n v="17441.021520000002"/>
    <e v="#VALUE!"/>
    <n v="9873.81"/>
    <n v="7567.2115200000026"/>
    <n v="0.43387432962699546"/>
    <n v="44928"/>
    <s v="Jan-2023"/>
  </r>
  <r>
    <x v="602"/>
    <x v="47"/>
    <x v="11"/>
    <x v="8"/>
    <d v="2023-07-08T00:00:00"/>
    <s v="OK"/>
    <d v="2023-07-08T00:00:00"/>
    <n v="18"/>
    <s v="Americas"/>
    <x v="11"/>
    <s v="Austin"/>
    <s v="Austin"/>
    <s v="Americas &gt; USA &gt; Austin"/>
    <s v="Non-Profit"/>
    <s v="Direct"/>
    <s v="Direct"/>
    <s v="F. Müller"/>
    <x v="8"/>
    <s v="Monitors"/>
    <x v="2"/>
    <s v="Low"/>
    <x v="601"/>
    <n v="337"/>
    <n v="511.03"/>
    <s v="OK"/>
    <n v="511.03"/>
    <n v="0.108"/>
    <s v="OK"/>
    <n v="0.108"/>
    <n v="7"/>
    <n v="3190.8713200000002"/>
    <e v="#VALUE!"/>
    <n v="2359"/>
    <n v="831.8713200000002"/>
    <n v="0.26070349963219458"/>
    <n v="44928"/>
    <s v="Jan-2023"/>
  </r>
  <r>
    <x v="603"/>
    <x v="453"/>
    <x v="0"/>
    <x v="0"/>
    <d v="2024-04-05T00:00:00"/>
    <s v="OK"/>
    <d v="2024-04-05T00:00:00"/>
    <n v="10"/>
    <s v="Americas"/>
    <x v="11"/>
    <s v="Austin"/>
    <s v="Austin"/>
    <s v="Americas &gt; USA &gt; Austin"/>
    <s v="Consumer"/>
    <s v="Direct"/>
    <s v="Direct"/>
    <s v="J. Njeri"/>
    <x v="2"/>
    <s v="Monitors"/>
    <x v="2"/>
    <s v="Low"/>
    <x v="602"/>
    <n v="5.66"/>
    <n v="4.22"/>
    <s v="OK"/>
    <n v="4.22"/>
    <n v="0.11899999999999999"/>
    <s v="OK"/>
    <n v="0.11899999999999999"/>
    <n v="18"/>
    <n v="66.920760000000001"/>
    <e v="#VALUE!"/>
    <n v="101.88"/>
    <n v="-34.959239999999994"/>
    <n v="-0.52239753403876454"/>
    <n v="44928"/>
    <s v="Jan-2023"/>
  </r>
  <r>
    <x v="604"/>
    <x v="454"/>
    <x v="1"/>
    <x v="1"/>
    <d v="2025-06-09T00:00:00"/>
    <s v="OK"/>
    <d v="2025-06-09T00:00:00"/>
    <n v="22"/>
    <s v="Americas"/>
    <x v="11"/>
    <s v="New York"/>
    <s v="New York"/>
    <s v="Americas &gt; USA &gt; New York"/>
    <s v="Consumer"/>
    <s v="Retail"/>
    <s v="Retail"/>
    <s v="H. Kim"/>
    <x v="15"/>
    <s v="Networking"/>
    <x v="6"/>
    <s v="Low"/>
    <x v="603"/>
    <n v="382.96"/>
    <n v="552.84"/>
    <s v="OK"/>
    <n v="552.84"/>
    <n v="0.17599999999999999"/>
    <s v="OK"/>
    <n v="0.17599999999999999"/>
    <n v="8"/>
    <n v="3644.3212800000006"/>
    <e v="#VALUE!"/>
    <n v="3063.68"/>
    <n v="580.64128000000073"/>
    <n v="0.15932768693763483"/>
    <n v="44928"/>
    <s v="Jan-2023"/>
  </r>
  <r>
    <x v="605"/>
    <x v="455"/>
    <x v="7"/>
    <x v="1"/>
    <d v="2025-04-27T00:00:00"/>
    <s v="OK"/>
    <d v="2025-04-27T00:00:00"/>
    <n v="26"/>
    <s v="Americas"/>
    <x v="11"/>
    <s v="San Francisco"/>
    <s v="San Francisco"/>
    <s v="Americas &gt; USA &gt; San Francisco"/>
    <s v="Corporate"/>
    <s v="Direct"/>
    <s v="Direct"/>
    <s v="I. Johnson"/>
    <x v="12"/>
    <s v="Monitors"/>
    <x v="2"/>
    <s v="Low"/>
    <x v="604"/>
    <n v="156.55000000000001"/>
    <n v="227.45"/>
    <s v="OK"/>
    <n v="227.45"/>
    <n v="1.4E-2"/>
    <s v="OK"/>
    <n v="1.4E-2"/>
    <n v="13"/>
    <n v="2915.4540999999999"/>
    <e v="#VALUE!"/>
    <n v="2035.15"/>
    <n v="880.30409999999983"/>
    <n v="0.3019440779396938"/>
    <n v="44928"/>
    <s v="Jan-2023"/>
  </r>
  <r>
    <x v="606"/>
    <x v="95"/>
    <x v="22"/>
    <x v="0"/>
    <d v="2024-01-01T00:00:00"/>
    <s v="Invalid date"/>
    <d v="2024-01-07T00:00:00"/>
    <n v="5"/>
    <s v="Americas"/>
    <x v="11"/>
    <s v="Chicago"/>
    <s v="Chicago"/>
    <s v="Americas &gt; USA &gt; Chicago"/>
    <s v="Education"/>
    <s v="Marketplace"/>
    <s v="Marketplace"/>
    <s v="B. Chen"/>
    <x v="6"/>
    <s v="Networking"/>
    <x v="6"/>
    <s v="Low"/>
    <x v="605"/>
    <n v="404.77"/>
    <n v="433.88"/>
    <s v="OK"/>
    <n v="433.88"/>
    <n v="0.215"/>
    <s v="OK"/>
    <n v="0.215"/>
    <n v="22"/>
    <n v="7493.1076000000012"/>
    <e v="#VALUE!"/>
    <n v="8904.9399999999987"/>
    <n v="-1411.8323999999975"/>
    <n v="-0.18841747314558746"/>
    <n v="44928"/>
    <s v="Jan-2023"/>
  </r>
  <r>
    <x v="607"/>
    <x v="456"/>
    <x v="25"/>
    <x v="2"/>
    <d v="2025-01-23T00:00:00"/>
    <s v="OK"/>
    <d v="2025-01-23T00:00:00"/>
    <n v="12"/>
    <s v="Americas"/>
    <x v="11"/>
    <s v="Austin"/>
    <s v="Austin"/>
    <s v="Americas &gt; USA &gt; Austin"/>
    <s v="Consumer"/>
    <s v="Distributor"/>
    <s v="Distributor"/>
    <s v="H. Kim"/>
    <x v="15"/>
    <s v="Phones"/>
    <x v="4"/>
    <s v="Low"/>
    <x v="606"/>
    <n v="100.69"/>
    <n v="226.14"/>
    <s v="OK"/>
    <n v="226.14"/>
    <n v="6.5000000000000002E-2"/>
    <s v="OK"/>
    <n v="6.5000000000000002E-2"/>
    <n v="12"/>
    <n v="2537.2908000000002"/>
    <n v="1399242.2240200008"/>
    <n v="1208.28"/>
    <n v="1329.0108000000002"/>
    <n v="0.52379128162999689"/>
    <n v="44928"/>
    <s v="Jan-2023"/>
  </r>
  <r>
    <x v="608"/>
    <x v="94"/>
    <x v="19"/>
    <x v="8"/>
    <d v="2023-04-11T00:00:00"/>
    <s v="Invalid date"/>
    <d v="2023-04-18T00:00:00"/>
    <n v="5"/>
    <s v="Americas"/>
    <x v="11"/>
    <s v="San Francisco"/>
    <s v="San Francisco"/>
    <s v="Americas &gt; USA &gt; San Francisco"/>
    <s v="Education"/>
    <s v="Marketplace"/>
    <s v="Marketplace"/>
    <s v="G. Dubois"/>
    <x v="4"/>
    <s v="Networking"/>
    <x v="6"/>
    <s v="Low"/>
    <x v="607"/>
    <n v="32.1"/>
    <n v="70.599999999999994"/>
    <s v="OK"/>
    <n v="70.599999999999994"/>
    <n v="0.28199999999999997"/>
    <s v="OK"/>
    <n v="0.28199999999999997"/>
    <n v="22"/>
    <n v="1115.1975999999997"/>
    <e v="#VALUE!"/>
    <n v="706.2"/>
    <n v="408.99759999999969"/>
    <n v="0.36674899587301818"/>
    <n v="44928"/>
    <s v="Jan-2023"/>
  </r>
  <r>
    <x v="609"/>
    <x v="446"/>
    <x v="29"/>
    <x v="10"/>
    <d v="2023-10-09T00:00:00"/>
    <s v="OK"/>
    <d v="2023-10-09T00:00:00"/>
    <n v="14"/>
    <s v="Americas"/>
    <x v="11"/>
    <s v="New York"/>
    <s v="New York"/>
    <s v="Americas &gt; USA &gt; New York"/>
    <s v="Small Business"/>
    <s v="Marketplace"/>
    <s v="Marketplace"/>
    <s v="J. Njeri"/>
    <x v="2"/>
    <s v="Laptops"/>
    <x v="3"/>
    <s v="High"/>
    <x v="608"/>
    <n v="1279.56"/>
    <n v="3083.8"/>
    <s v="OK"/>
    <n v="3083.8"/>
    <n v="0.106"/>
    <s v="OK"/>
    <n v="0.106"/>
    <n v="5"/>
    <n v="13784.586000000001"/>
    <n v="1711094.3775999998"/>
    <n v="6397.7999999999993"/>
    <n v="7386.7860000000019"/>
    <n v="0.53587289455047848"/>
    <n v="44928"/>
    <s v="Jan-2023"/>
  </r>
  <r>
    <x v="610"/>
    <x v="457"/>
    <x v="5"/>
    <x v="4"/>
    <d v="2023-02-28T00:00:00"/>
    <s v="OK"/>
    <d v="2023-02-28T00:00:00"/>
    <n v="23"/>
    <s v="Americas"/>
    <x v="11"/>
    <s v="Austin"/>
    <s v="Austin"/>
    <s v="Americas &gt; USA &gt; Austin"/>
    <s v="Non-Profit"/>
    <s v="Distributor"/>
    <s v="Distributor"/>
    <s v="L. Okafor"/>
    <x v="10"/>
    <s v="Phones"/>
    <x v="4"/>
    <s v="High"/>
    <x v="609"/>
    <n v="1214.49"/>
    <n v="1533.95"/>
    <s v="OK"/>
    <n v="1533.95"/>
    <n v="0"/>
    <s v="OK"/>
    <n v="0"/>
    <n v="11"/>
    <n v="16873.45"/>
    <n v="1399242.2240200008"/>
    <n v="13359.39"/>
    <n v="3514.0600000000013"/>
    <n v="0.20825972163369086"/>
    <n v="44928"/>
    <s v="Jan-2023"/>
  </r>
  <r>
    <x v="611"/>
    <x v="458"/>
    <x v="16"/>
    <x v="5"/>
    <d v="2024-05-27T00:00:00"/>
    <s v="OK"/>
    <d v="2024-05-27T00:00:00"/>
    <n v="10"/>
    <s v="Americas"/>
    <x v="11"/>
    <s v="Austin"/>
    <s v="Austin"/>
    <s v="Americas &gt; USA &gt; Austin"/>
    <s v="Non-Profit"/>
    <s v="Online"/>
    <s v="Online"/>
    <s v="C. Otieno"/>
    <x v="0"/>
    <s v="Phones"/>
    <x v="4"/>
    <s v="High"/>
    <x v="610"/>
    <n v="1484.23"/>
    <n v="3472.81"/>
    <s v="OK"/>
    <n v="3472.81"/>
    <n v="0.25600000000000001"/>
    <s v="OK"/>
    <n v="0.25600000000000001"/>
    <n v="12"/>
    <n v="31005.24768"/>
    <n v="1399242.2240200008"/>
    <n v="17810.760000000002"/>
    <n v="13194.487679999998"/>
    <n v="0.42555659661803413"/>
    <n v="44928"/>
    <s v="Jan-2023"/>
  </r>
  <r>
    <x v="612"/>
    <x v="47"/>
    <x v="11"/>
    <x v="8"/>
    <d v="2023-07-08T00:00:00"/>
    <s v="OK"/>
    <d v="2023-07-08T00:00:00"/>
    <n v="18"/>
    <s v="Americas"/>
    <x v="11"/>
    <s v="New York"/>
    <s v="New York"/>
    <s v="Americas &gt; USA &gt; New York"/>
    <s v="Consumer"/>
    <s v="Marketplace"/>
    <s v="Marketplace"/>
    <s v="O. Wang"/>
    <x v="7"/>
    <s v="Networking"/>
    <x v="6"/>
    <s v="High"/>
    <x v="611"/>
    <n v="1145.53"/>
    <n v="1278.3"/>
    <s v="OK"/>
    <n v="1278.3"/>
    <n v="0.09"/>
    <s v="OK"/>
    <n v="0.09"/>
    <n v="41"/>
    <n v="47693.373"/>
    <e v="#VALUE!"/>
    <n v="46966.729999999996"/>
    <n v="726.64300000000367"/>
    <n v="1.5235722581416158E-2"/>
    <n v="44928"/>
    <s v="Jan-2023"/>
  </r>
  <r>
    <x v="613"/>
    <x v="127"/>
    <x v="0"/>
    <x v="0"/>
    <d v="2024-03-26T00:00:00"/>
    <s v="OK"/>
    <d v="2024-03-26T00:00:00"/>
    <n v="17"/>
    <s v="Americas"/>
    <x v="11"/>
    <s v="San Francisco"/>
    <s v="San Francisco"/>
    <s v="Americas &gt; USA &gt; San Francisco"/>
    <s v="Education"/>
    <s v="Direct"/>
    <s v="Direct"/>
    <s v="I. Johnson"/>
    <x v="12"/>
    <s v="Phones"/>
    <x v="4"/>
    <s v="High"/>
    <x v="612"/>
    <n v="1137.4100000000001"/>
    <n v="1680.93"/>
    <s v="OK"/>
    <n v="1680.93"/>
    <n v="0.254"/>
    <s v="OK"/>
    <n v="0.254"/>
    <n v="9"/>
    <n v="11285.764020000001"/>
    <n v="1399242.2240200008"/>
    <n v="10236.69"/>
    <n v="1049.07402"/>
    <n v="9.2955516183121464E-2"/>
    <n v="44928"/>
    <s v="Jan-2023"/>
  </r>
  <r>
    <x v="614"/>
    <x v="444"/>
    <x v="10"/>
    <x v="7"/>
    <d v="2024-08-15T00:00:00"/>
    <s v="OK"/>
    <d v="2024-08-15T00:00:00"/>
    <n v="3"/>
    <s v="Americas"/>
    <x v="11"/>
    <s v="Chicago"/>
    <s v="Chicago"/>
    <s v="Americas &gt; USA &gt; Chicago"/>
    <s v="Corporate"/>
    <s v="Marketplace"/>
    <s v="Marketplace"/>
    <s v="D. Smith"/>
    <x v="14"/>
    <s v="Printers"/>
    <x v="5"/>
    <s v="High"/>
    <x v="613"/>
    <n v="850.7"/>
    <n v="1118.56"/>
    <s v="OK"/>
    <n v="1118.56"/>
    <n v="0.18"/>
    <s v="OK"/>
    <n v="0.18"/>
    <n v="19"/>
    <n v="17427.164800000002"/>
    <n v="1616910.1886600002"/>
    <n v="16163.300000000001"/>
    <n v="1263.8648000000012"/>
    <n v="7.2522685962090688E-2"/>
    <n v="44928"/>
    <s v="Jan-2023"/>
  </r>
  <r>
    <x v="615"/>
    <x v="459"/>
    <x v="8"/>
    <x v="2"/>
    <d v="2025-03-17T00:00:00"/>
    <s v="OK"/>
    <d v="2025-03-17T00:00:00"/>
    <n v="20"/>
    <s v="Americas"/>
    <x v="11"/>
    <s v="San Francisco"/>
    <s v="San Francisco"/>
    <s v="Americas &gt; USA &gt; San Francisco"/>
    <s v="Non-Profit"/>
    <s v="Marketplace"/>
    <s v="Marketplace"/>
    <s v="H. Kim"/>
    <x v="15"/>
    <s v="Phones"/>
    <x v="4"/>
    <s v="High"/>
    <x v="614"/>
    <n v="1205.26"/>
    <n v="1696.35"/>
    <s v="OK"/>
    <n v="1696.35"/>
    <n v="1.9E-2"/>
    <s v="OK"/>
    <n v="1.9E-2"/>
    <n v="6"/>
    <n v="9984.7160999999978"/>
    <n v="1399242.2240200008"/>
    <n v="7231.5599999999995"/>
    <n v="2753.1560999999983"/>
    <n v="0.27573704374028213"/>
    <n v="44928"/>
    <s v="Jan-2023"/>
  </r>
  <r>
    <x v="616"/>
    <x v="460"/>
    <x v="26"/>
    <x v="8"/>
    <d v="2023-06-21T00:00:00"/>
    <s v="OK"/>
    <d v="2023-06-21T00:00:00"/>
    <n v="28"/>
    <s v="Americas"/>
    <x v="11"/>
    <s v="Austin"/>
    <s v="Austin"/>
    <s v="Americas &gt; USA &gt; Austin"/>
    <s v="Small Business"/>
    <s v="Marketplace"/>
    <s v="Marketplace"/>
    <s v="G. Dubois"/>
    <x v="4"/>
    <s v="Monitors"/>
    <x v="2"/>
    <s v="High"/>
    <x v="615"/>
    <n v="813.97"/>
    <n v="1568.83"/>
    <s v="OK"/>
    <n v="1568.83"/>
    <n v="1.7000000000000001E-2"/>
    <s v="OK"/>
    <n v="1.7000000000000001E-2"/>
    <n v="15"/>
    <n v="23132.398349999996"/>
    <e v="#VALUE!"/>
    <n v="12209.550000000001"/>
    <n v="10922.848349999995"/>
    <n v="0.4721883215364911"/>
    <n v="44928"/>
    <s v="Jan-2023"/>
  </r>
  <r>
    <x v="617"/>
    <x v="461"/>
    <x v="10"/>
    <x v="7"/>
    <d v="2024-08-17T00:00:00"/>
    <s v="OK"/>
    <d v="2024-08-17T00:00:00"/>
    <n v="13"/>
    <s v="Americas"/>
    <x v="11"/>
    <s v="Austin"/>
    <s v="Austin"/>
    <s v="Americas &gt; USA &gt; Austin"/>
    <s v="Consumer"/>
    <s v="Retail"/>
    <s v="Retail"/>
    <s v="D. Smith"/>
    <x v="14"/>
    <s v="Monitors"/>
    <x v="2"/>
    <s v="Low"/>
    <x v="616"/>
    <n v="352.79"/>
    <n v="754.22"/>
    <s v="OK"/>
    <n v="754.22"/>
    <n v="0.113"/>
    <s v="OK"/>
    <n v="0.113"/>
    <n v="7"/>
    <n v="4682.9519799999998"/>
    <e v="#VALUE!"/>
    <n v="2469.5300000000002"/>
    <n v="2213.4219799999996"/>
    <n v="0.47265528014233443"/>
    <n v="44928"/>
    <s v="Jan-2023"/>
  </r>
  <r>
    <x v="618"/>
    <x v="154"/>
    <x v="7"/>
    <x v="1"/>
    <d v="2025-05-17T00:00:00"/>
    <s v="OK"/>
    <d v="2025-05-17T00:00:00"/>
    <n v="20"/>
    <s v="Americas"/>
    <x v="11"/>
    <s v="Austin"/>
    <s v="Austin"/>
    <s v="Americas &gt; USA &gt; Austin"/>
    <s v="Corporate"/>
    <s v="Direct"/>
    <s v="Direct"/>
    <s v="N. Brown"/>
    <x v="5"/>
    <s v="Phones"/>
    <x v="4"/>
    <s v="High"/>
    <x v="617"/>
    <n v="932.26"/>
    <n v="1624.67"/>
    <s v="OK"/>
    <n v="1624.67"/>
    <n v="0.23499999999999999"/>
    <s v="OK"/>
    <n v="0.23499999999999999"/>
    <n v="28"/>
    <n v="34800.431400000001"/>
    <n v="1399242.2240200008"/>
    <n v="26103.279999999999"/>
    <n v="8697.1514000000025"/>
    <n v="0.24991504559337163"/>
    <n v="44928"/>
    <s v="Jan-2023"/>
  </r>
  <r>
    <x v="619"/>
    <x v="79"/>
    <x v="0"/>
    <x v="0"/>
    <d v="2024-03-23T00:00:00"/>
    <s v="OK"/>
    <d v="2024-03-23T00:00:00"/>
    <n v="21"/>
    <s v="Americas"/>
    <x v="11"/>
    <s v="Chicago"/>
    <s v="Chicago"/>
    <s v="Americas &gt; USA &gt; Chicago"/>
    <s v="Small Business"/>
    <s v="Online"/>
    <s v="Online"/>
    <s v="F. Müller"/>
    <x v="8"/>
    <s v="Components"/>
    <x v="0"/>
    <s v="Low"/>
    <x v="618"/>
    <n v="225.01"/>
    <n v="333.48"/>
    <s v="OK"/>
    <n v="333.48"/>
    <n v="0.11899999999999999"/>
    <s v="OK"/>
    <n v="0.11899999999999999"/>
    <n v="12"/>
    <n v="3525.5505600000001"/>
    <n v="1550200.534329999"/>
    <n v="2700.12"/>
    <n v="825.43056000000024"/>
    <n v="0.23412813004729685"/>
    <n v="44928"/>
    <s v="Jan-2023"/>
  </r>
  <r>
    <x v="620"/>
    <x v="208"/>
    <x v="22"/>
    <x v="0"/>
    <d v="2024-01-15T00:00:00"/>
    <s v="OK"/>
    <d v="2024-01-15T00:00:00"/>
    <n v="2"/>
    <s v="Americas"/>
    <x v="11"/>
    <s v="San Francisco"/>
    <s v="San Francisco"/>
    <s v="Americas &gt; USA &gt; San Francisco"/>
    <s v="Non-Profit"/>
    <s v="Direct"/>
    <s v="Direct"/>
    <s v="E. Garcia"/>
    <x v="11"/>
    <s v="Components"/>
    <x v="0"/>
    <s v="High"/>
    <x v="619"/>
    <n v="1061.3699999999999"/>
    <n v="1938.33"/>
    <s v="OK"/>
    <n v="1938.33"/>
    <n v="0.17"/>
    <s v="OK"/>
    <n v="0.17"/>
    <n v="4"/>
    <n v="6435.2555999999995"/>
    <n v="1550200.534329999"/>
    <n v="4245.4799999999996"/>
    <n v="2189.7755999999999"/>
    <n v="0.34027795259600879"/>
    <n v="44928"/>
    <s v="Jan-2023"/>
  </r>
  <r>
    <x v="621"/>
    <x v="462"/>
    <x v="10"/>
    <x v="7"/>
    <d v="2024-08-26T00:00:00"/>
    <s v="OK"/>
    <d v="2024-08-26T00:00:00"/>
    <n v="10"/>
    <s v="Americas"/>
    <x v="11"/>
    <s v="Chicago"/>
    <s v="Chicago"/>
    <s v="Americas &gt; USA &gt; Chicago"/>
    <s v="Corporate"/>
    <s v="Distributor"/>
    <s v="Distributor"/>
    <s v="L. Okafor"/>
    <x v="10"/>
    <s v="Laptops"/>
    <x v="3"/>
    <s v="High"/>
    <x v="139"/>
    <n v="1291.7"/>
    <n v="2657.84"/>
    <s v="OK"/>
    <n v="2657.84"/>
    <n v="8.6999999999999994E-2"/>
    <s v="OK"/>
    <n v="8.6999999999999994E-2"/>
    <n v="21"/>
    <n v="50958.766320000002"/>
    <n v="1711094.3775999998"/>
    <n v="27125.7"/>
    <n v="23833.066320000002"/>
    <n v="0.46769315745083367"/>
    <n v="44928"/>
    <s v="Jan-2023"/>
  </r>
  <r>
    <x v="622"/>
    <x v="463"/>
    <x v="24"/>
    <x v="3"/>
    <d v="2025-08-26T00:00:00"/>
    <s v="OK"/>
    <d v="2025-08-26T00:00:00"/>
    <n v="6"/>
    <s v="Americas"/>
    <x v="11"/>
    <s v="New York"/>
    <s v="New York"/>
    <s v="Americas &gt; USA &gt; New York"/>
    <s v="Corporate"/>
    <s v="Retail"/>
    <s v="Retail"/>
    <s v="M. Rossi"/>
    <x v="13"/>
    <s v="Networking"/>
    <x v="6"/>
    <s v="High"/>
    <x v="620"/>
    <n v="1304.95"/>
    <n v="1712.03"/>
    <s v="OK"/>
    <n v="1712.03"/>
    <n v="0.21199999999999999"/>
    <s v="OK"/>
    <n v="0.21199999999999999"/>
    <n v="8"/>
    <n v="10792.637119999999"/>
    <e v="#VALUE!"/>
    <n v="10439.6"/>
    <n v="353.03711999999905"/>
    <n v="3.2710922833287949E-2"/>
    <n v="44928"/>
    <s v="Jan-2023"/>
  </r>
  <r>
    <x v="623"/>
    <x v="0"/>
    <x v="0"/>
    <x v="0"/>
    <d v="2024-03-29T00:00:00"/>
    <s v="OK"/>
    <d v="2024-03-29T00:00:00"/>
    <n v="18"/>
    <s v="Americas"/>
    <x v="11"/>
    <s v="New York"/>
    <s v="New York"/>
    <s v="Americas &gt; USA &gt; New York"/>
    <s v="Corporate"/>
    <s v="Retail"/>
    <s v="Retail"/>
    <s v="M. Rossi"/>
    <x v="13"/>
    <s v="Monitors"/>
    <x v="2"/>
    <s v="High"/>
    <x v="621"/>
    <n v="710.98"/>
    <n v="1481.45"/>
    <s v="OK"/>
    <n v="1481.45"/>
    <n v="0.21099999999999999"/>
    <s v="OK"/>
    <n v="0.21099999999999999"/>
    <n v="9"/>
    <n v="10519.776450000001"/>
    <e v="#VALUE!"/>
    <n v="6398.82"/>
    <n v="4120.9564500000015"/>
    <n v="0.39173422264120461"/>
    <n v="44928"/>
    <s v="Jan-2023"/>
  </r>
  <r>
    <x v="624"/>
    <x v="309"/>
    <x v="32"/>
    <x v="9"/>
    <d v="2024-11-05T00:00:00"/>
    <s v="OK"/>
    <d v="2024-11-05T00:00:00"/>
    <n v="11"/>
    <s v="Americas"/>
    <x v="11"/>
    <s v="New York"/>
    <s v="New York"/>
    <s v="Americas &gt; USA &gt; New York"/>
    <s v="Corporate"/>
    <s v="Distributor"/>
    <s v="Distributor"/>
    <s v="N. Brown"/>
    <x v="5"/>
    <s v="Components"/>
    <x v="0"/>
    <s v="Low"/>
    <x v="622"/>
    <n v="446.66"/>
    <n v="527.64"/>
    <s v="OK"/>
    <n v="527.64"/>
    <n v="0.14499999999999999"/>
    <s v="OK"/>
    <n v="0.14499999999999999"/>
    <n v="15"/>
    <n v="6766.9829999999993"/>
    <n v="1550200.534329999"/>
    <n v="6699.9000000000005"/>
    <n v="67.082999999998719"/>
    <n v="9.9132804087137105E-3"/>
    <n v="44928"/>
    <s v="Jan-2023"/>
  </r>
  <r>
    <x v="625"/>
    <x v="464"/>
    <x v="23"/>
    <x v="0"/>
    <d v="2024-02-20T00:00:00"/>
    <s v="OK"/>
    <d v="2024-02-20T00:00:00"/>
    <n v="0"/>
    <s v="Americas"/>
    <x v="11"/>
    <s v="New York"/>
    <s v="New York"/>
    <s v="Americas &gt; USA &gt; New York"/>
    <s v="Enterprise"/>
    <s v="Online"/>
    <s v="Online"/>
    <s v="C. Otieno"/>
    <x v="0"/>
    <s v="Networking"/>
    <x v="6"/>
    <s v="High"/>
    <x v="623"/>
    <n v="1407.05"/>
    <n v="2858.93"/>
    <s v="OK"/>
    <n v="2858.93"/>
    <n v="0"/>
    <s v="OK"/>
    <n v="0"/>
    <n v="12"/>
    <n v="34307.159999999996"/>
    <e v="#VALUE!"/>
    <n v="16884.599999999999"/>
    <n v="17422.559999999998"/>
    <n v="0.50784034586366222"/>
    <n v="44928"/>
    <s v="Jan-2023"/>
  </r>
  <r>
    <x v="626"/>
    <x v="465"/>
    <x v="26"/>
    <x v="8"/>
    <d v="2023-05-16T00:00:00"/>
    <s v="OK"/>
    <d v="2023-05-16T00:00:00"/>
    <n v="13"/>
    <s v="Americas"/>
    <x v="11"/>
    <s v="New York"/>
    <s v="New York"/>
    <s v="Americas &gt; USA &gt; New York"/>
    <s v="Corporate"/>
    <s v="Marketplace"/>
    <s v="Marketplace"/>
    <s v="L. Okafor"/>
    <x v="10"/>
    <s v="Phones"/>
    <x v="4"/>
    <s v="Low"/>
    <x v="624"/>
    <n v="64.5"/>
    <n v="123.62"/>
    <s v="OK"/>
    <n v="123.62"/>
    <n v="0"/>
    <s v="OK"/>
    <n v="0"/>
    <n v="3"/>
    <n v="370.86"/>
    <n v="1399242.2240200008"/>
    <n v="193.5"/>
    <n v="177.36"/>
    <n v="0.47823976702798904"/>
    <n v="44928"/>
    <s v="Jan-2023"/>
  </r>
  <r>
    <x v="627"/>
    <x v="466"/>
    <x v="5"/>
    <x v="4"/>
    <d v="2023-02-26T00:00:00"/>
    <s v="Invalid date"/>
    <d v="2023-03-04T00:00:00"/>
    <n v="5"/>
    <s v="Americas"/>
    <x v="11"/>
    <s v="San Francisco"/>
    <s v="San Francisco"/>
    <s v="Americas &gt; USA &gt; San Francisco"/>
    <s v="Non-Profit"/>
    <s v="Online"/>
    <s v="Online"/>
    <s v="L. Okafor"/>
    <x v="10"/>
    <s v="Networking"/>
    <x v="6"/>
    <s v="High"/>
    <x v="625"/>
    <n v="1015.91"/>
    <n v="2331.48"/>
    <s v="OK"/>
    <n v="2331.48"/>
    <n v="0.14599999999999999"/>
    <s v="OK"/>
    <n v="0.14599999999999999"/>
    <n v="26"/>
    <n v="51768.181920000003"/>
    <e v="#VALUE!"/>
    <n v="26413.66"/>
    <n v="25354.521920000003"/>
    <n v="0.48977037592669626"/>
    <n v="44928"/>
    <s v="Jan-2023"/>
  </r>
  <r>
    <x v="628"/>
    <x v="219"/>
    <x v="19"/>
    <x v="8"/>
    <d v="2023-04-23T00:00:00"/>
    <s v="OK"/>
    <d v="2023-04-23T00:00:00"/>
    <n v="7"/>
    <s v="Americas"/>
    <x v="11"/>
    <s v="Austin"/>
    <s v="Austin"/>
    <s v="Americas &gt; USA &gt; Austin"/>
    <s v="Corporate"/>
    <s v="Distributor"/>
    <s v="Distributor"/>
    <s v="O. Wang"/>
    <x v="7"/>
    <s v="Printers"/>
    <x v="5"/>
    <s v="High"/>
    <x v="626"/>
    <n v="1099.1500000000001"/>
    <n v="1431.37"/>
    <s v="OK"/>
    <n v="1431.37"/>
    <n v="0.104"/>
    <s v="OK"/>
    <n v="0.104"/>
    <n v="8"/>
    <n v="10260.060159999999"/>
    <n v="1616910.1886600002"/>
    <n v="8793.2000000000007"/>
    <n v="1466.8601599999984"/>
    <n v="0.14296798821109433"/>
    <n v="44928"/>
    <s v="Jan-2023"/>
  </r>
  <r>
    <x v="629"/>
    <x v="160"/>
    <x v="23"/>
    <x v="0"/>
    <d v="2024-02-01T00:00:00"/>
    <s v="OK"/>
    <d v="2024-02-01T00:00:00"/>
    <n v="0"/>
    <s v="Americas"/>
    <x v="11"/>
    <s v="Austin"/>
    <s v="Austin"/>
    <s v="Americas &gt; USA &gt; Austin"/>
    <s v="Consumer"/>
    <s v="Distributor"/>
    <s v="Distributor"/>
    <s v="H. Kim"/>
    <x v="15"/>
    <s v="Printers"/>
    <x v="5"/>
    <s v="High"/>
    <x v="627"/>
    <n v="714.43"/>
    <n v="1595.52"/>
    <s v="OK"/>
    <n v="1595.52"/>
    <n v="0.19400000000000001"/>
    <s v="OK"/>
    <n v="0.19400000000000001"/>
    <n v="14"/>
    <n v="18003.847679999999"/>
    <n v="1616910.1886600002"/>
    <n v="10002.019999999999"/>
    <n v="8001.8276800000003"/>
    <n v="0.44445097638151093"/>
    <n v="44928"/>
    <s v="Jan-2023"/>
  </r>
  <r>
    <x v="630"/>
    <x v="467"/>
    <x v="32"/>
    <x v="9"/>
    <d v="2024-11-06T00:00:00"/>
    <s v="OK"/>
    <d v="2024-11-06T00:00:00"/>
    <n v="18"/>
    <s v="Americas"/>
    <x v="11"/>
    <s v="Chicago"/>
    <s v="Chicago"/>
    <s v="Americas &gt; USA &gt; Chicago"/>
    <s v="Education"/>
    <m/>
    <s v="Unknown"/>
    <s v="C. Otieno"/>
    <x v="0"/>
    <s v="Monitors"/>
    <x v="2"/>
    <s v="High"/>
    <x v="628"/>
    <n v="942.02"/>
    <n v="1028.46"/>
    <s v="OK"/>
    <n v="1028.46"/>
    <n v="0"/>
    <s v="OK"/>
    <n v="0"/>
    <n v="9"/>
    <n v="9256.14"/>
    <e v="#VALUE!"/>
    <n v="8478.18"/>
    <n v="777.95999999999913"/>
    <n v="8.4047994088248354E-2"/>
    <n v="44928"/>
    <s v="Jan-2023"/>
  </r>
  <r>
    <x v="631"/>
    <x v="468"/>
    <x v="33"/>
    <x v="11"/>
    <m/>
    <s v="OK"/>
    <d v="1899-12-30T00:00:00"/>
    <n v="0"/>
    <m/>
    <x v="12"/>
    <m/>
    <s v="Unkown"/>
    <s v=" &gt;  &gt; Unkown"/>
    <m/>
    <m/>
    <s v="Unknown"/>
    <m/>
    <x v="9"/>
    <m/>
    <x v="7"/>
    <s v="Low"/>
    <x v="629"/>
    <m/>
    <m/>
    <s v="OK"/>
    <n v="0"/>
    <m/>
    <s v="OK"/>
    <n v="0"/>
    <m/>
    <n v="0"/>
    <n v="0"/>
    <n v="0"/>
    <n v="0"/>
    <n v="0"/>
    <n v="44928"/>
    <s v="Jan-2023"/>
  </r>
</pivotCacheRecords>
</file>

<file path=xl/pivotCache/pivotCacheRecords2.xml><?xml version="1.0" encoding="utf-8"?>
<pivotCacheRecords xmlns="http://schemas.openxmlformats.org/spreadsheetml/2006/main" xmlns:r="http://schemas.openxmlformats.org/officeDocument/2006/relationships" count="632">
  <r>
    <x v="0"/>
    <d v="2024-03-11T00:00:00"/>
    <x v="0"/>
    <s v="2024-Q1"/>
    <d v="2024-04-06T00:00:00"/>
    <x v="0"/>
    <x v="0"/>
    <x v="0"/>
    <s v="Kisumu"/>
    <s v="Africa &gt; Kenya &gt; Kisumu"/>
    <s v="Corporate"/>
    <x v="0"/>
    <x v="0"/>
    <x v="0"/>
    <x v="0"/>
    <s v="Low"/>
    <x v="0"/>
    <n v="279.24"/>
    <n v="608.9"/>
    <n v="608.9"/>
    <x v="0"/>
    <s v="OK"/>
    <n v="0.112"/>
    <n v="9"/>
    <n v="4866.3287999999993"/>
    <n v="2513.16"/>
    <n v="2353.1687999999995"/>
    <n v="0.48356140670149533"/>
    <d v="1899-12-30T00:00:00"/>
    <s v="Jan-1900"/>
    <s v="Low/Medium cutoff"/>
    <n v="814.55090000000007"/>
    <n v="0"/>
  </r>
  <r>
    <x v="1"/>
    <d v="2025-05-21T00:00:00"/>
    <x v="1"/>
    <s v="2025-Q2"/>
    <d v="2025-06-09T00:00:00"/>
    <x v="1"/>
    <x v="1"/>
    <x v="1"/>
    <s v="São Paulo"/>
    <s v="Americas &gt; Brazil &gt; São Paulo"/>
    <s v="Non-Profit"/>
    <x v="1"/>
    <x v="1"/>
    <x v="1"/>
    <x v="0"/>
    <s v="High"/>
    <x v="1"/>
    <n v="1331.38"/>
    <n v="2309.56"/>
    <n v="2309.56"/>
    <x v="1"/>
    <s v="OK"/>
    <n v="0.14899999999999999"/>
    <n v="31"/>
    <n v="60928.502359999999"/>
    <n v="41272.780000000006"/>
    <n v="19655.722359999992"/>
    <n v="0.32260307735553528"/>
    <d v="1899-12-30T00:00:00"/>
    <s v="Jan-1900"/>
    <s v="Medium/High cutoff"/>
    <n v="1619.115"/>
    <n v="0"/>
  </r>
  <r>
    <x v="2"/>
    <d v="2025-03-06T00:00:00"/>
    <x v="2"/>
    <s v="2025-Q1"/>
    <d v="2025-03-31T00:00:00"/>
    <x v="2"/>
    <x v="1"/>
    <x v="1"/>
    <s v="Brasília"/>
    <s v="Americas &gt; Brazil &gt; Brasília"/>
    <s v="Non-Profit"/>
    <x v="1"/>
    <x v="1"/>
    <x v="2"/>
    <x v="0"/>
    <s v="Low"/>
    <x v="2"/>
    <n v="331.57"/>
    <n v="548.4"/>
    <n v="548.4"/>
    <x v="2"/>
    <s v="OK"/>
    <n v="9.4E-2"/>
    <n v="10"/>
    <n v="4968.5039999999999"/>
    <n v="3315.7"/>
    <n v="1652.8040000000001"/>
    <n v="0.33265626836568918"/>
    <d v="1899-12-30T00:00:00"/>
    <s v="Jan-1900"/>
    <n v="0"/>
    <n v="0"/>
    <n v="0"/>
  </r>
  <r>
    <x v="3"/>
    <d v="2025-09-01T00:00:00"/>
    <x v="3"/>
    <s v="2025-Q3"/>
    <d v="2025-09-30T00:00:00"/>
    <x v="3"/>
    <x v="1"/>
    <x v="1"/>
    <s v="Brasília"/>
    <s v="Americas &gt; Brazil &gt; Brasília"/>
    <s v="Education"/>
    <x v="0"/>
    <x v="0"/>
    <x v="3"/>
    <x v="1"/>
    <s v="Low"/>
    <x v="3"/>
    <n v="780.59"/>
    <n v="631.57000000000005"/>
    <n v="631.57000000000005"/>
    <x v="3"/>
    <s v="OK"/>
    <n v="0"/>
    <n v="12"/>
    <n v="7578.84"/>
    <n v="9367.08"/>
    <n v="-1788.2399999999998"/>
    <n v="-0.23595167598207639"/>
    <d v="1899-12-30T00:00:00"/>
    <s v="Jan-1900"/>
    <n v="0"/>
    <n v="0"/>
    <n v="0"/>
  </r>
  <r>
    <x v="4"/>
    <d v="2025-07-20T00:00:00"/>
    <x v="4"/>
    <s v="2025-Q3"/>
    <d v="2025-08-05T00:00:00"/>
    <x v="4"/>
    <x v="1"/>
    <x v="1"/>
    <s v="Brasília"/>
    <s v="Americas &gt; Brazil &gt; Brasília"/>
    <s v="Enterprise"/>
    <x v="2"/>
    <x v="2"/>
    <x v="4"/>
    <x v="1"/>
    <s v="High"/>
    <x v="4"/>
    <n v="1068.17"/>
    <n v="2375.37"/>
    <n v="2375.37"/>
    <x v="4"/>
    <s v="OK"/>
    <n v="0.109"/>
    <n v="18"/>
    <n v="38096.18406"/>
    <n v="19227.060000000001"/>
    <n v="18869.124059999998"/>
    <n v="0.49530220744108822"/>
    <d v="1899-12-30T00:00:00"/>
    <s v="Jan-1900"/>
    <n v="0"/>
    <n v="0"/>
    <n v="0"/>
  </r>
  <r>
    <x v="5"/>
    <d v="2023-02-07T00:00:00"/>
    <x v="5"/>
    <s v="2023-Q1"/>
    <d v="2023-02-12T00:00:00"/>
    <x v="5"/>
    <x v="1"/>
    <x v="1"/>
    <s v="São Paulo"/>
    <s v="Americas &gt; Brazil &gt; São Paulo"/>
    <s v="Education"/>
    <x v="1"/>
    <x v="1"/>
    <x v="5"/>
    <x v="0"/>
    <s v="High"/>
    <x v="5"/>
    <n v="948.55"/>
    <n v="2089.16"/>
    <n v="2089.16"/>
    <x v="5"/>
    <s v="OK"/>
    <n v="7.0000000000000001E-3"/>
    <n v="12"/>
    <n v="24894.430559999997"/>
    <n v="11382.599999999999"/>
    <n v="13511.830559999999"/>
    <n v="0.54276519912492427"/>
    <d v="1899-12-30T00:00:00"/>
    <s v="Jan-1900"/>
    <n v="0"/>
    <n v="0"/>
    <n v="0"/>
  </r>
  <r>
    <x v="6"/>
    <d v="2024-06-30T00:00:00"/>
    <x v="6"/>
    <s v="2024-Q2"/>
    <d v="2024-07-14T00:00:00"/>
    <x v="6"/>
    <x v="1"/>
    <x v="1"/>
    <s v="Brasília"/>
    <s v="Americas &gt; Brazil &gt; Brasília"/>
    <s v="Education"/>
    <x v="0"/>
    <x v="0"/>
    <x v="0"/>
    <x v="1"/>
    <s v="High"/>
    <x v="6"/>
    <n v="1491.85"/>
    <n v="2583.02"/>
    <n v="2583.02"/>
    <x v="6"/>
    <s v="OK"/>
    <n v="0.16800000000000001"/>
    <n v="4"/>
    <n v="8596.2905599999995"/>
    <n v="5967.4"/>
    <n v="2628.8905599999998"/>
    <n v="0.30581685689321325"/>
    <d v="1899-12-30T00:00:00"/>
    <s v="Jan-1900"/>
    <n v="0"/>
    <n v="0"/>
    <n v="0"/>
  </r>
  <r>
    <x v="7"/>
    <d v="2025-04-06T00:00:00"/>
    <x v="7"/>
    <s v="2025-Q2"/>
    <d v="2025-04-30T00:00:00"/>
    <x v="7"/>
    <x v="1"/>
    <x v="1"/>
    <s v="Brasília"/>
    <s v="Americas &gt; Brazil &gt; Brasília"/>
    <s v="Education"/>
    <x v="1"/>
    <x v="1"/>
    <x v="3"/>
    <x v="2"/>
    <s v="Medium"/>
    <x v="7"/>
    <n v="855.78"/>
    <n v="977.38"/>
    <n v="977.38"/>
    <x v="7"/>
    <s v="OK"/>
    <n v="0.14699999999999999"/>
    <n v="38"/>
    <n v="31680.795320000001"/>
    <n v="32519.64"/>
    <n v="-838.84467999999833"/>
    <n v="-2.6478018355506307E-2"/>
    <d v="1899-12-30T00:00:00"/>
    <s v="Jan-1900"/>
    <n v="0"/>
    <n v="0"/>
    <n v="0"/>
  </r>
  <r>
    <x v="8"/>
    <d v="2025-02-09T00:00:00"/>
    <x v="8"/>
    <s v="2025-Q1"/>
    <d v="2025-03-01T00:00:00"/>
    <x v="8"/>
    <x v="1"/>
    <x v="1"/>
    <s v="São Paulo"/>
    <s v="Americas &gt; Brazil &gt; São Paulo"/>
    <s v="Corporate"/>
    <x v="3"/>
    <x v="3"/>
    <x v="6"/>
    <x v="3"/>
    <s v="High"/>
    <x v="8"/>
    <n v="1154.6400000000001"/>
    <n v="2794.13"/>
    <n v="2794.13"/>
    <x v="8"/>
    <s v="OK"/>
    <n v="3.5000000000000003E-2"/>
    <n v="11"/>
    <n v="29659.68995"/>
    <n v="12701.04"/>
    <n v="16958.649949999999"/>
    <n v="0.57177435025749479"/>
    <d v="1899-12-30T00:00:00"/>
    <s v="Jan-1900"/>
    <n v="0"/>
    <n v="0"/>
    <n v="0"/>
  </r>
  <r>
    <x v="9"/>
    <d v="2023-12-03T00:00:00"/>
    <x v="9"/>
    <s v="2023-Q4"/>
    <d v="2023-12-26T00:00:00"/>
    <x v="9"/>
    <x v="1"/>
    <x v="1"/>
    <s v="Rio de Janeiro"/>
    <s v="Americas &gt; Brazil &gt; Rio de Janeiro"/>
    <s v="Education"/>
    <x v="0"/>
    <x v="0"/>
    <x v="7"/>
    <x v="4"/>
    <s v="Medium"/>
    <x v="9"/>
    <n v="1303.1099999999999"/>
    <n v="1145.67"/>
    <n v="1145.67"/>
    <x v="9"/>
    <s v="OK"/>
    <n v="0.184"/>
    <n v="13"/>
    <n v="12153.267360000002"/>
    <n v="16940.43"/>
    <n v="-4787.1626399999986"/>
    <n v="-0.39389922875851208"/>
    <d v="1899-12-30T00:00:00"/>
    <s v="Jan-1900"/>
    <n v="0"/>
    <n v="0"/>
    <n v="0"/>
  </r>
  <r>
    <x v="10"/>
    <d v="2025-04-09T00:00:00"/>
    <x v="7"/>
    <s v="2025-Q2"/>
    <d v="2025-05-06T00:00:00"/>
    <x v="10"/>
    <x v="1"/>
    <x v="1"/>
    <s v="Brasília"/>
    <s v="Americas &gt; Brazil &gt; Brasília"/>
    <s v="Enterprise"/>
    <x v="2"/>
    <x v="2"/>
    <x v="8"/>
    <x v="3"/>
    <s v="Low"/>
    <x v="10"/>
    <n v="264.19"/>
    <n v="620.92999999999995"/>
    <n v="620.92999999999995"/>
    <x v="10"/>
    <s v="OK"/>
    <n v="0.14199999999999999"/>
    <n v="12"/>
    <n v="6393.0952799999995"/>
    <n v="3170.2799999999997"/>
    <n v="3222.8152799999998"/>
    <n v="0.50410875152794532"/>
    <d v="1899-12-30T00:00:00"/>
    <s v="Jan-1900"/>
    <n v="0"/>
    <n v="0"/>
    <n v="0"/>
  </r>
  <r>
    <x v="11"/>
    <d v="2024-08-28T00:00:00"/>
    <x v="10"/>
    <s v="2024-Q3"/>
    <d v="2024-09-25T00:00:00"/>
    <x v="11"/>
    <x v="1"/>
    <x v="1"/>
    <s v="Rio de Janeiro"/>
    <s v="Americas &gt; Brazil &gt; Rio de Janeiro"/>
    <s v="Non-Profit"/>
    <x v="1"/>
    <x v="1"/>
    <x v="9"/>
    <x v="1"/>
    <s v="High"/>
    <x v="11"/>
    <n v="1394.65"/>
    <n v="3144.1"/>
    <n v="3144.1"/>
    <x v="11"/>
    <s v="OK"/>
    <n v="0.13400000000000001"/>
    <n v="13"/>
    <n v="35396.277799999996"/>
    <n v="18130.45"/>
    <n v="17265.827799999995"/>
    <n v="0.4877865378263021"/>
    <d v="1899-12-30T00:00:00"/>
    <s v="Jan-1900"/>
    <n v="0"/>
    <n v="0"/>
    <n v="0"/>
  </r>
  <r>
    <x v="12"/>
    <d v="2024-06-30T00:00:00"/>
    <x v="6"/>
    <s v="2024-Q2"/>
    <d v="2024-07-05T00:00:00"/>
    <x v="5"/>
    <x v="1"/>
    <x v="1"/>
    <s v="Rio de Janeiro"/>
    <s v="Americas &gt; Brazil &gt; Rio de Janeiro"/>
    <s v="Small Business"/>
    <x v="4"/>
    <x v="4"/>
    <x v="10"/>
    <x v="1"/>
    <s v="High"/>
    <x v="12"/>
    <n v="1112.98"/>
    <n v="2095.73"/>
    <n v="2095.73"/>
    <x v="12"/>
    <s v="OK"/>
    <n v="7.1999999999999995E-2"/>
    <n v="17"/>
    <n v="33062.236480000007"/>
    <n v="18920.66"/>
    <n v="14141.576480000007"/>
    <n v="0.42772594916724777"/>
    <d v="1899-12-30T00:00:00"/>
    <s v="Jan-1900"/>
    <n v="0"/>
    <n v="0"/>
    <n v="0"/>
  </r>
  <r>
    <x v="13"/>
    <d v="2023-06-24T00:00:00"/>
    <x v="11"/>
    <s v="2023-Q2"/>
    <d v="2023-06-29T00:00:00"/>
    <x v="5"/>
    <x v="1"/>
    <x v="1"/>
    <s v="Rio de Janeiro"/>
    <s v="Americas &gt; Brazil &gt; Rio de Janeiro"/>
    <s v="Non-Profit"/>
    <x v="0"/>
    <x v="0"/>
    <x v="11"/>
    <x v="5"/>
    <s v="Medium"/>
    <x v="13"/>
    <n v="804.01"/>
    <n v="1405.07"/>
    <n v="1405.07"/>
    <x v="13"/>
    <s v="OK"/>
    <n v="9.6000000000000002E-2"/>
    <n v="8"/>
    <n v="10161.46624"/>
    <n v="6432.08"/>
    <n v="3729.3862399999998"/>
    <n v="0.36701260939287439"/>
    <d v="1899-12-30T00:00:00"/>
    <s v="Jan-1900"/>
    <n v="0"/>
    <n v="0"/>
    <n v="0"/>
  </r>
  <r>
    <x v="14"/>
    <d v="2023-03-02T00:00:00"/>
    <x v="12"/>
    <s v="2023-Q1"/>
    <d v="2023-03-05T00:00:00"/>
    <x v="12"/>
    <x v="1"/>
    <x v="1"/>
    <s v="Brasília"/>
    <s v="Americas &gt; Brazil &gt; Brasília"/>
    <s v="Enterprise"/>
    <x v="4"/>
    <x v="4"/>
    <x v="4"/>
    <x v="2"/>
    <s v="High"/>
    <x v="14"/>
    <n v="1473.58"/>
    <n v="3436.52"/>
    <n v="3436.52"/>
    <x v="14"/>
    <s v="OK"/>
    <n v="0.108"/>
    <n v="8"/>
    <n v="24523.006720000001"/>
    <n v="11788.64"/>
    <n v="12734.366720000002"/>
    <n v="0.51928243813652564"/>
    <d v="1899-12-30T00:00:00"/>
    <s v="Jan-1900"/>
    <n v="0"/>
    <n v="0"/>
    <n v="0"/>
  </r>
  <r>
    <x v="15"/>
    <d v="2024-11-02T00:00:00"/>
    <x v="13"/>
    <s v="2024-Q4"/>
    <d v="2024-11-29T00:00:00"/>
    <x v="10"/>
    <x v="1"/>
    <x v="1"/>
    <s v="Brasília"/>
    <s v="Americas &gt; Brazil &gt; Brasília"/>
    <s v="Small Business"/>
    <x v="4"/>
    <x v="4"/>
    <x v="12"/>
    <x v="6"/>
    <s v="Medium"/>
    <x v="15"/>
    <n v="1363.51"/>
    <n v="1433.9"/>
    <n v="1433.9"/>
    <x v="15"/>
    <s v="OK"/>
    <n v="5.7000000000000002E-2"/>
    <n v="8"/>
    <n v="10817.3416"/>
    <n v="10908.08"/>
    <n v="-90.738400000000183"/>
    <n v="-8.3882346842037592E-3"/>
    <d v="1899-12-30T00:00:00"/>
    <s v="Jan-1900"/>
    <n v="0"/>
    <n v="0"/>
    <n v="0"/>
  </r>
  <r>
    <x v="16"/>
    <d v="2025-02-12T00:00:00"/>
    <x v="8"/>
    <s v="2025-Q1"/>
    <d v="2025-02-28T00:00:00"/>
    <x v="4"/>
    <x v="1"/>
    <x v="1"/>
    <s v="São Paulo"/>
    <s v="Americas &gt; Brazil &gt; São Paulo"/>
    <s v="Non-Profit"/>
    <x v="4"/>
    <x v="4"/>
    <x v="6"/>
    <x v="2"/>
    <s v="Medium"/>
    <x v="16"/>
    <n v="414.95"/>
    <n v="1027.73"/>
    <n v="1027.73"/>
    <x v="16"/>
    <s v="OK"/>
    <n v="6.3E-2"/>
    <n v="8"/>
    <n v="7703.8640800000003"/>
    <n v="3319.6"/>
    <n v="4384.2640800000008"/>
    <n v="0.56909935513815568"/>
    <d v="1899-12-30T00:00:00"/>
    <s v="Jan-1900"/>
    <n v="0"/>
    <n v="0"/>
    <n v="0"/>
  </r>
  <r>
    <x v="17"/>
    <d v="2023-07-05T00:00:00"/>
    <x v="14"/>
    <s v="2023-Q3"/>
    <d v="2023-07-14T00:00:00"/>
    <x v="13"/>
    <x v="1"/>
    <x v="1"/>
    <s v="Brasília"/>
    <s v="Americas &gt; Brazil &gt; Brasília"/>
    <s v="Enterprise"/>
    <x v="4"/>
    <x v="4"/>
    <x v="6"/>
    <x v="6"/>
    <s v="Medium"/>
    <x v="17"/>
    <n v="578.85"/>
    <n v="998.76"/>
    <n v="998.76"/>
    <x v="17"/>
    <s v="OK"/>
    <n v="8.2000000000000003E-2"/>
    <n v="28"/>
    <n v="25672.127039999999"/>
    <n v="16207.800000000001"/>
    <n v="9464.3270399999983"/>
    <n v="0.36866158480960831"/>
    <d v="1899-12-30T00:00:00"/>
    <s v="Jan-1900"/>
    <n v="0"/>
    <n v="0"/>
    <n v="0"/>
  </r>
  <r>
    <x v="18"/>
    <d v="2024-04-03T00:00:00"/>
    <x v="15"/>
    <s v="2024-Q2"/>
    <d v="2024-04-07T00:00:00"/>
    <x v="14"/>
    <x v="1"/>
    <x v="1"/>
    <s v="Brasília"/>
    <s v="Americas &gt; Brazil &gt; Brasília"/>
    <s v="Non-Profit"/>
    <x v="4"/>
    <x v="4"/>
    <x v="5"/>
    <x v="4"/>
    <s v="Medium"/>
    <x v="18"/>
    <n v="1023.27"/>
    <n v="1343.64"/>
    <n v="1343.64"/>
    <x v="18"/>
    <s v="OK"/>
    <n v="0.13300000000000001"/>
    <n v="7"/>
    <n v="8154.5511600000009"/>
    <n v="7162.8899999999994"/>
    <n v="991.66116000000147"/>
    <n v="0.12160830688810116"/>
    <d v="1899-12-30T00:00:00"/>
    <s v="Jan-1900"/>
    <n v="0"/>
    <n v="0"/>
    <n v="0"/>
  </r>
  <r>
    <x v="19"/>
    <d v="2025-09-15T00:00:00"/>
    <x v="3"/>
    <s v="2025-Q3"/>
    <d v="2025-09-18T00:00:00"/>
    <x v="12"/>
    <x v="1"/>
    <x v="1"/>
    <s v="Rio de Janeiro"/>
    <s v="Americas &gt; Brazil &gt; Rio de Janeiro"/>
    <s v="Non-Profit"/>
    <x v="4"/>
    <x v="4"/>
    <x v="10"/>
    <x v="1"/>
    <s v="Low"/>
    <x v="19"/>
    <n v="5.5"/>
    <n v="5.92"/>
    <n v="5.92"/>
    <x v="19"/>
    <s v="OK"/>
    <n v="0.21199999999999999"/>
    <n v="4"/>
    <n v="18.659839999999999"/>
    <n v="22"/>
    <n v="-3.3401600000000009"/>
    <n v="-0.17900260666758133"/>
    <d v="1899-12-30T00:00:00"/>
    <s v="Jan-1900"/>
    <n v="0"/>
    <n v="0"/>
    <n v="0"/>
  </r>
  <r>
    <x v="20"/>
    <d v="2023-07-19T00:00:00"/>
    <x v="14"/>
    <s v="2023-Q3"/>
    <d v="2023-07-31T00:00:00"/>
    <x v="15"/>
    <x v="1"/>
    <x v="1"/>
    <s v="Rio de Janeiro"/>
    <s v="Americas &gt; Brazil &gt; Rio de Janeiro"/>
    <s v="Corporate"/>
    <x v="0"/>
    <x v="0"/>
    <x v="0"/>
    <x v="2"/>
    <s v="High"/>
    <x v="20"/>
    <n v="1334.64"/>
    <n v="2273.42"/>
    <n v="2273.42"/>
    <x v="20"/>
    <s v="OK"/>
    <n v="0.11799999999999999"/>
    <n v="14"/>
    <n v="28072.190160000002"/>
    <n v="18684.960000000003"/>
    <n v="9387.2301599999992"/>
    <n v="0.33439607335575267"/>
    <d v="1899-12-30T00:00:00"/>
    <s v="Jan-1900"/>
    <n v="0"/>
    <n v="0"/>
    <n v="0"/>
  </r>
  <r>
    <x v="21"/>
    <d v="2024-05-19T00:00:00"/>
    <x v="16"/>
    <s v="2024-Q2"/>
    <d v="2024-06-08T00:00:00"/>
    <x v="8"/>
    <x v="1"/>
    <x v="1"/>
    <s v="Brasília"/>
    <s v="Americas &gt; Brazil &gt; Brasília"/>
    <s v="Small Business"/>
    <x v="0"/>
    <x v="0"/>
    <x v="11"/>
    <x v="2"/>
    <s v="Medium"/>
    <x v="21"/>
    <n v="1075.9000000000001"/>
    <n v="1242.1500000000001"/>
    <n v="1242.1500000000001"/>
    <x v="21"/>
    <s v="OK"/>
    <n v="1.2E-2"/>
    <n v="7"/>
    <n v="8590.7094000000016"/>
    <n v="7531.3000000000011"/>
    <n v="1059.4094000000005"/>
    <n v="0.12332036280961853"/>
    <d v="1899-12-30T00:00:00"/>
    <s v="Jan-1900"/>
    <n v="0"/>
    <n v="0"/>
    <n v="0"/>
  </r>
  <r>
    <x v="22"/>
    <d v="2024-09-22T00:00:00"/>
    <x v="17"/>
    <s v="2024-Q3"/>
    <d v="2024-10-01T00:00:00"/>
    <x v="13"/>
    <x v="1"/>
    <x v="1"/>
    <s v="São Paulo"/>
    <s v="Americas &gt; Brazil &gt; São Paulo"/>
    <s v="Non-Profit"/>
    <x v="1"/>
    <x v="1"/>
    <x v="3"/>
    <x v="2"/>
    <s v="High"/>
    <x v="22"/>
    <n v="1378.8"/>
    <n v="1952.04"/>
    <n v="1952.04"/>
    <x v="22"/>
    <s v="OK"/>
    <n v="0.159"/>
    <n v="19"/>
    <n v="31191.64716"/>
    <n v="26197.200000000001"/>
    <n v="4994.4471599999997"/>
    <n v="0.16012130216723058"/>
    <d v="1899-12-30T00:00:00"/>
    <s v="Jan-1900"/>
    <n v="0"/>
    <n v="0"/>
    <n v="0"/>
  </r>
  <r>
    <x v="23"/>
    <d v="2023-11-10T00:00:00"/>
    <x v="18"/>
    <s v="2023-Q4"/>
    <d v="2023-11-28T00:00:00"/>
    <x v="16"/>
    <x v="1"/>
    <x v="1"/>
    <s v="Brasília"/>
    <s v="Americas &gt; Brazil &gt; Brasília"/>
    <s v="Education"/>
    <x v="2"/>
    <x v="2"/>
    <x v="10"/>
    <x v="1"/>
    <s v="Low"/>
    <x v="23"/>
    <n v="388.51"/>
    <n v="776.46"/>
    <n v="776.46"/>
    <x v="23"/>
    <s v="OK"/>
    <n v="0.157"/>
    <n v="12"/>
    <n v="7854.6693599999999"/>
    <n v="4662.12"/>
    <n v="3192.54936"/>
    <n v="0.40645241876864946"/>
    <d v="1899-12-30T00:00:00"/>
    <s v="Jan-1900"/>
    <n v="0"/>
    <n v="0"/>
    <n v="0"/>
  </r>
  <r>
    <x v="24"/>
    <d v="2024-09-19T00:00:00"/>
    <x v="17"/>
    <s v="2024-Q3"/>
    <d v="2024-10-14T00:00:00"/>
    <x v="2"/>
    <x v="1"/>
    <x v="1"/>
    <s v="Rio de Janeiro"/>
    <s v="Americas &gt; Brazil &gt; Rio de Janeiro"/>
    <s v="Small Business"/>
    <x v="0"/>
    <x v="0"/>
    <x v="3"/>
    <x v="5"/>
    <s v="Medium"/>
    <x v="24"/>
    <n v="386.96"/>
    <n v="937.46"/>
    <n v="937.46"/>
    <x v="24"/>
    <s v="OK"/>
    <n v="0.26600000000000001"/>
    <n v="41"/>
    <n v="28211.92124"/>
    <n v="15865.359999999999"/>
    <n v="12346.561240000001"/>
    <n v="0.43763631462626335"/>
    <d v="1899-12-30T00:00:00"/>
    <s v="Jan-1900"/>
    <n v="0"/>
    <n v="0"/>
    <n v="0"/>
  </r>
  <r>
    <x v="25"/>
    <d v="2023-12-19T00:00:00"/>
    <x v="9"/>
    <s v="2023-Q4"/>
    <d v="2023-12-20T00:00:00"/>
    <x v="17"/>
    <x v="1"/>
    <x v="1"/>
    <s v="Rio de Janeiro"/>
    <s v="Americas &gt; Brazil &gt; Rio de Janeiro"/>
    <s v="Consumer"/>
    <x v="3"/>
    <x v="3"/>
    <x v="2"/>
    <x v="4"/>
    <s v="High"/>
    <x v="25"/>
    <n v="1080.43"/>
    <n v="2529.15"/>
    <n v="2529.15"/>
    <x v="7"/>
    <s v="OK"/>
    <n v="0.14699999999999999"/>
    <n v="10"/>
    <n v="21573.6495"/>
    <n v="10804.300000000001"/>
    <n v="10769.349499999998"/>
    <n v="0.49918997247081437"/>
    <d v="1899-12-30T00:00:00"/>
    <s v="Jan-1900"/>
    <n v="0"/>
    <n v="0"/>
    <n v="0"/>
  </r>
  <r>
    <x v="26"/>
    <d v="2025-04-24T00:00:00"/>
    <x v="7"/>
    <s v="2025-Q2"/>
    <d v="2025-05-06T00:00:00"/>
    <x v="15"/>
    <x v="1"/>
    <x v="1"/>
    <s v="Brasília"/>
    <s v="Americas &gt; Brazil &gt; Brasília"/>
    <s v="Consumer"/>
    <x v="1"/>
    <x v="1"/>
    <x v="0"/>
    <x v="4"/>
    <s v="Medium"/>
    <x v="26"/>
    <n v="394.13"/>
    <n v="932.29"/>
    <n v="932.29"/>
    <x v="4"/>
    <s v="OK"/>
    <n v="0.109"/>
    <n v="7"/>
    <n v="5814.6927299999998"/>
    <n v="2758.91"/>
    <n v="3055.7827299999999"/>
    <n v="0.5255278089303268"/>
    <d v="1899-12-30T00:00:00"/>
    <s v="Jan-1900"/>
    <n v="0"/>
    <n v="0"/>
    <n v="0"/>
  </r>
  <r>
    <x v="27"/>
    <d v="2023-04-19T00:00:00"/>
    <x v="19"/>
    <s v="2023-Q2"/>
    <d v="2023-04-28T00:00:00"/>
    <x v="13"/>
    <x v="1"/>
    <x v="1"/>
    <s v="Rio de Janeiro"/>
    <s v="Americas &gt; Brazil &gt; Rio de Janeiro"/>
    <s v="Corporate"/>
    <x v="3"/>
    <x v="3"/>
    <x v="13"/>
    <x v="4"/>
    <s v="Medium"/>
    <x v="27"/>
    <n v="1013.54"/>
    <n v="927.93"/>
    <n v="927.93"/>
    <x v="25"/>
    <s v="OK"/>
    <n v="0.17499999999999999"/>
    <n v="16"/>
    <n v="12248.675999999999"/>
    <n v="16216.64"/>
    <n v="-3967.9639999999999"/>
    <n v="-0.32395044166406234"/>
    <d v="1899-12-30T00:00:00"/>
    <s v="Jan-1900"/>
    <n v="0"/>
    <n v="0"/>
    <n v="0"/>
  </r>
  <r>
    <x v="28"/>
    <d v="2023-10-11T00:00:00"/>
    <x v="20"/>
    <s v="2023-Q4"/>
    <d v="2023-10-13T00:00:00"/>
    <x v="18"/>
    <x v="1"/>
    <x v="1"/>
    <s v="Brasília"/>
    <s v="Americas &gt; Brazil &gt; Brasília"/>
    <s v="Consumer"/>
    <x v="3"/>
    <x v="3"/>
    <x v="9"/>
    <x v="1"/>
    <s v="Low"/>
    <x v="28"/>
    <n v="715.94"/>
    <n v="550.07000000000005"/>
    <n v="550.07000000000005"/>
    <x v="26"/>
    <s v="OK"/>
    <n v="0.14000000000000001"/>
    <n v="16"/>
    <n v="7568.9632000000001"/>
    <n v="11455.04"/>
    <n v="-3886.0768000000007"/>
    <n v="-0.51342260456491595"/>
    <d v="1899-12-30T00:00:00"/>
    <s v="Jan-1900"/>
    <n v="0"/>
    <n v="0"/>
    <n v="0"/>
  </r>
  <r>
    <x v="29"/>
    <d v="2023-08-04T00:00:00"/>
    <x v="21"/>
    <s v="2023-Q3"/>
    <d v="2023-08-24T00:00:00"/>
    <x v="8"/>
    <x v="1"/>
    <x v="1"/>
    <s v="Brasília"/>
    <s v="Americas &gt; Brazil &gt; Brasília"/>
    <s v="Non-Profit"/>
    <x v="4"/>
    <x v="4"/>
    <x v="9"/>
    <x v="6"/>
    <s v="Medium"/>
    <x v="29"/>
    <n v="582.88"/>
    <n v="1044.1400000000001"/>
    <n v="1044.1400000000001"/>
    <x v="27"/>
    <s v="OK"/>
    <n v="0.216"/>
    <n v="10"/>
    <n v="8186.057600000001"/>
    <n v="5828.8"/>
    <n v="2357.2576000000008"/>
    <n v="0.28796005539956138"/>
    <d v="1899-12-30T00:00:00"/>
    <s v="Jan-1900"/>
    <n v="0"/>
    <n v="0"/>
    <n v="0"/>
  </r>
  <r>
    <x v="30"/>
    <d v="2023-12-24T00:00:00"/>
    <x v="9"/>
    <s v="2023-Q4"/>
    <d v="2024-01-01T00:00:00"/>
    <x v="19"/>
    <x v="1"/>
    <x v="1"/>
    <s v="São Paulo"/>
    <s v="Americas &gt; Brazil &gt; São Paulo"/>
    <s v="Education"/>
    <x v="4"/>
    <x v="4"/>
    <x v="0"/>
    <x v="4"/>
    <s v="Low"/>
    <x v="30"/>
    <n v="526.49"/>
    <n v="496.2"/>
    <n v="496.2"/>
    <x v="3"/>
    <s v="OK"/>
    <n v="0"/>
    <n v="14"/>
    <n v="6946.8"/>
    <n v="7370.8600000000006"/>
    <n v="-424.0600000000004"/>
    <n v="-6.1043933897621985E-2"/>
    <d v="1899-12-30T00:00:00"/>
    <s v="Jan-1900"/>
    <n v="0"/>
    <n v="0"/>
    <n v="0"/>
  </r>
  <r>
    <x v="31"/>
    <d v="2023-08-03T00:00:00"/>
    <x v="21"/>
    <s v="2023-Q3"/>
    <d v="2023-08-14T00:00:00"/>
    <x v="20"/>
    <x v="1"/>
    <x v="1"/>
    <s v="Brasília"/>
    <s v="Americas &gt; Brazil &gt; Brasília"/>
    <s v="Corporate"/>
    <x v="4"/>
    <x v="4"/>
    <x v="2"/>
    <x v="1"/>
    <s v="Low"/>
    <x v="31"/>
    <n v="232.73"/>
    <n v="334.19"/>
    <n v="334.19"/>
    <x v="11"/>
    <s v="OK"/>
    <n v="0.13400000000000001"/>
    <n v="25"/>
    <n v="7235.2134999999998"/>
    <n v="5818.25"/>
    <n v="1416.9634999999998"/>
    <n v="0.1958426658729559"/>
    <d v="1899-12-30T00:00:00"/>
    <s v="Jan-1900"/>
    <n v="0"/>
    <n v="0"/>
    <n v="0"/>
  </r>
  <r>
    <x v="32"/>
    <d v="2024-01-25T00:00:00"/>
    <x v="22"/>
    <s v="2024-Q1"/>
    <d v="2024-01-27T00:00:00"/>
    <x v="18"/>
    <x v="1"/>
    <x v="1"/>
    <s v="São Paulo"/>
    <s v="Americas &gt; Brazil &gt; São Paulo"/>
    <s v="Non-Profit"/>
    <x v="2"/>
    <x v="2"/>
    <x v="5"/>
    <x v="3"/>
    <s v="High"/>
    <x v="32"/>
    <n v="1410.97"/>
    <n v="1650.75"/>
    <n v="1650.75"/>
    <x v="28"/>
    <s v="OK"/>
    <n v="0.13500000000000001"/>
    <n v="6"/>
    <n v="8567.3924999999999"/>
    <n v="8465.82"/>
    <n v="101.57250000000022"/>
    <n v="1.1855707556295596E-2"/>
    <d v="1899-12-30T00:00:00"/>
    <s v="Jan-1900"/>
    <n v="0"/>
    <n v="0"/>
    <n v="0"/>
  </r>
  <r>
    <x v="33"/>
    <d v="2025-03-30T00:00:00"/>
    <x v="2"/>
    <s v="2025-Q1"/>
    <d v="2025-04-07T00:00:00"/>
    <x v="19"/>
    <x v="1"/>
    <x v="1"/>
    <s v="São Paulo"/>
    <s v="Americas &gt; Brazil &gt; São Paulo"/>
    <s v="Non-Profit"/>
    <x v="4"/>
    <x v="4"/>
    <x v="10"/>
    <x v="5"/>
    <s v="Low"/>
    <x v="33"/>
    <n v="71.62"/>
    <n v="118.37"/>
    <n v="118.37"/>
    <x v="29"/>
    <s v="OK"/>
    <n v="0.156"/>
    <n v="11"/>
    <n v="1098.9470800000001"/>
    <n v="787.82"/>
    <n v="311.12708000000009"/>
    <n v="0.28311379652603474"/>
    <d v="1899-12-30T00:00:00"/>
    <s v="Jan-1900"/>
    <n v="0"/>
    <n v="0"/>
    <n v="0"/>
  </r>
  <r>
    <x v="34"/>
    <d v="2023-07-18T00:00:00"/>
    <x v="14"/>
    <s v="2023-Q3"/>
    <d v="2023-07-22T00:00:00"/>
    <x v="14"/>
    <x v="1"/>
    <x v="1"/>
    <s v="São Paulo"/>
    <s v="Americas &gt; Brazil &gt; São Paulo"/>
    <s v="Consumer"/>
    <x v="4"/>
    <x v="4"/>
    <x v="8"/>
    <x v="6"/>
    <s v="High"/>
    <x v="34"/>
    <n v="1269.55"/>
    <n v="2071.1"/>
    <n v="2071.1"/>
    <x v="30"/>
    <s v="OK"/>
    <n v="0.129"/>
    <n v="22"/>
    <n v="39686.4182"/>
    <n v="27930.1"/>
    <n v="11756.318200000002"/>
    <n v="0.29623026549672354"/>
    <d v="1899-12-30T00:00:00"/>
    <s v="Jan-1900"/>
    <n v="0"/>
    <n v="0"/>
    <n v="0"/>
  </r>
  <r>
    <x v="35"/>
    <d v="2024-05-23T00:00:00"/>
    <x v="16"/>
    <s v="2024-Q2"/>
    <d v="2024-06-06T00:00:00"/>
    <x v="6"/>
    <x v="1"/>
    <x v="1"/>
    <s v="Rio de Janeiro"/>
    <s v="Americas &gt; Brazil &gt; Rio de Janeiro"/>
    <s v="Non-Profit"/>
    <x v="1"/>
    <x v="1"/>
    <x v="12"/>
    <x v="6"/>
    <s v="Low"/>
    <x v="35"/>
    <n v="51.13"/>
    <n v="57.53"/>
    <n v="57.53"/>
    <x v="31"/>
    <s v="OK"/>
    <n v="4.4999999999999998E-2"/>
    <n v="16"/>
    <n v="879.05840000000001"/>
    <n v="818.08"/>
    <n v="60.978399999999965"/>
    <n v="6.9367859973808302E-2"/>
    <d v="1899-12-30T00:00:00"/>
    <s v="Jan-1900"/>
    <n v="0"/>
    <n v="0"/>
    <n v="0"/>
  </r>
  <r>
    <x v="36"/>
    <d v="2023-11-14T00:00:00"/>
    <x v="18"/>
    <s v="2023-Q4"/>
    <d v="2023-11-30T00:00:00"/>
    <x v="4"/>
    <x v="1"/>
    <x v="1"/>
    <s v="São Paulo"/>
    <s v="Americas &gt; Brazil &gt; São Paulo"/>
    <s v="Enterprise"/>
    <x v="4"/>
    <x v="4"/>
    <x v="3"/>
    <x v="6"/>
    <s v="Medium"/>
    <x v="36"/>
    <n v="1017.92"/>
    <n v="1175.25"/>
    <n v="1175.25"/>
    <x v="32"/>
    <s v="OK"/>
    <n v="7.4999999999999997E-2"/>
    <n v="15"/>
    <n v="16306.59375"/>
    <n v="15268.8"/>
    <n v="1037.7937500000007"/>
    <n v="6.3642583234159542E-2"/>
    <d v="1899-12-30T00:00:00"/>
    <s v="Jan-1900"/>
    <n v="0"/>
    <n v="0"/>
    <n v="0"/>
  </r>
  <r>
    <x v="37"/>
    <d v="2024-02-18T00:00:00"/>
    <x v="23"/>
    <s v="2024-Q1"/>
    <d v="2024-03-11T00:00:00"/>
    <x v="21"/>
    <x v="1"/>
    <x v="1"/>
    <s v="São Paulo"/>
    <s v="Americas &gt; Brazil &gt; São Paulo"/>
    <s v="Consumer"/>
    <x v="1"/>
    <x v="1"/>
    <x v="1"/>
    <x v="0"/>
    <s v="Low"/>
    <x v="37"/>
    <n v="80.48"/>
    <n v="65.650000000000006"/>
    <n v="65.650000000000006"/>
    <x v="33"/>
    <s v="OK"/>
    <n v="0.17599999999999999"/>
    <n v="13"/>
    <n v="703.2428000000001"/>
    <n v="1046.24"/>
    <n v="-342.99719999999991"/>
    <n v="-0.48773652570634191"/>
    <d v="1899-12-30T00:00:00"/>
    <s v="Jan-1900"/>
    <n v="0"/>
    <n v="0"/>
    <n v="0"/>
  </r>
  <r>
    <x v="38"/>
    <d v="2024-09-09T00:00:00"/>
    <x v="17"/>
    <s v="2024-Q3"/>
    <d v="2024-10-08T00:00:00"/>
    <x v="3"/>
    <x v="1"/>
    <x v="1"/>
    <s v="São Paulo"/>
    <s v="Americas &gt; Brazil &gt; São Paulo"/>
    <s v="Education"/>
    <x v="4"/>
    <x v="4"/>
    <x v="2"/>
    <x v="0"/>
    <s v="High"/>
    <x v="38"/>
    <n v="1010.33"/>
    <n v="2492.14"/>
    <n v="2492.14"/>
    <x v="34"/>
    <s v="OK"/>
    <n v="5.0999999999999997E-2"/>
    <n v="11"/>
    <n v="26015.449459999996"/>
    <n v="11113.630000000001"/>
    <n v="14901.819459999995"/>
    <n v="0.57280653493656752"/>
    <d v="1899-12-30T00:00:00"/>
    <s v="Jan-1900"/>
    <n v="0"/>
    <n v="0"/>
    <n v="0"/>
  </r>
  <r>
    <x v="39"/>
    <d v="2025-05-19T00:00:00"/>
    <x v="1"/>
    <s v="2025-Q2"/>
    <d v="2025-05-24T00:00:00"/>
    <x v="5"/>
    <x v="1"/>
    <x v="1"/>
    <s v="São Paulo"/>
    <s v="Americas &gt; Brazil &gt; São Paulo"/>
    <s v="Small Business"/>
    <x v="3"/>
    <x v="3"/>
    <x v="10"/>
    <x v="2"/>
    <s v="Medium"/>
    <x v="39"/>
    <n v="383.77"/>
    <n v="952.56"/>
    <n v="952.56"/>
    <x v="35"/>
    <s v="OK"/>
    <n v="0.3"/>
    <n v="10"/>
    <n v="6667.9199999999983"/>
    <n v="3837.7"/>
    <n v="2830.2199999999984"/>
    <n v="0.42445320279787385"/>
    <d v="1899-12-30T00:00:00"/>
    <s v="Jan-1900"/>
    <n v="0"/>
    <n v="0"/>
    <n v="0"/>
  </r>
  <r>
    <x v="40"/>
    <d v="2024-02-18T00:00:00"/>
    <x v="23"/>
    <s v="2024-Q1"/>
    <d v="2024-03-03T00:00:00"/>
    <x v="6"/>
    <x v="1"/>
    <x v="1"/>
    <s v="Unkown"/>
    <s v="Americas &gt; Brazil &gt; Unkown"/>
    <s v="Enterprise"/>
    <x v="3"/>
    <x v="3"/>
    <x v="1"/>
    <x v="5"/>
    <s v="Medium"/>
    <x v="40"/>
    <n v="624.23"/>
    <n v="1318.37"/>
    <n v="1318.37"/>
    <x v="36"/>
    <s v="OK"/>
    <n v="0.21"/>
    <n v="37"/>
    <n v="38535.955099999999"/>
    <n v="23096.510000000002"/>
    <n v="15439.445099999997"/>
    <n v="0.40065038118128793"/>
    <d v="1899-12-30T00:00:00"/>
    <s v="Jan-1900"/>
    <n v="0"/>
    <n v="0"/>
    <n v="0"/>
  </r>
  <r>
    <x v="41"/>
    <d v="2024-11-07T00:00:00"/>
    <x v="13"/>
    <s v="2024-Q4"/>
    <d v="2024-11-26T00:00:00"/>
    <x v="1"/>
    <x v="1"/>
    <x v="1"/>
    <s v="Rio de Janeiro"/>
    <s v="Americas &gt; Brazil &gt; Rio de Janeiro"/>
    <s v="Non-Profit"/>
    <x v="3"/>
    <x v="3"/>
    <x v="2"/>
    <x v="5"/>
    <s v="Low"/>
    <x v="41"/>
    <n v="55.35"/>
    <n v="128.68"/>
    <n v="128.68"/>
    <x v="37"/>
    <s v="OK"/>
    <n v="0.128"/>
    <n v="10"/>
    <n v="1122.0896000000002"/>
    <n v="553.5"/>
    <n v="568.58960000000025"/>
    <n v="0.50672388372550647"/>
    <d v="1899-12-30T00:00:00"/>
    <s v="Jan-1900"/>
    <n v="0"/>
    <n v="0"/>
    <n v="0"/>
  </r>
  <r>
    <x v="42"/>
    <d v="2025-08-14T00:00:00"/>
    <x v="24"/>
    <s v="2025-Q3"/>
    <d v="2025-09-11T00:00:00"/>
    <x v="11"/>
    <x v="1"/>
    <x v="1"/>
    <s v="São Paulo"/>
    <s v="Americas &gt; Brazil &gt; São Paulo"/>
    <s v="Non-Profit"/>
    <x v="4"/>
    <x v="4"/>
    <x v="8"/>
    <x v="5"/>
    <s v="High"/>
    <x v="42"/>
    <n v="1203.02"/>
    <n v="2439.33"/>
    <n v="2439.33"/>
    <x v="3"/>
    <s v="OK"/>
    <n v="0"/>
    <n v="18"/>
    <n v="43907.94"/>
    <n v="21654.36"/>
    <n v="22253.58"/>
    <n v="0.50682359500354612"/>
    <d v="1899-12-30T00:00:00"/>
    <s v="Jan-1900"/>
    <n v="0"/>
    <n v="0"/>
    <n v="0"/>
  </r>
  <r>
    <x v="43"/>
    <d v="2024-04-03T00:00:00"/>
    <x v="15"/>
    <s v="2024-Q2"/>
    <d v="2024-04-21T00:00:00"/>
    <x v="16"/>
    <x v="1"/>
    <x v="1"/>
    <s v="Brasília"/>
    <s v="Americas &gt; Brazil &gt; Brasília"/>
    <s v="Small Business"/>
    <x v="3"/>
    <x v="3"/>
    <x v="6"/>
    <x v="6"/>
    <s v="High"/>
    <x v="43"/>
    <n v="1176.69"/>
    <n v="2201.54"/>
    <n v="2201.54"/>
    <x v="38"/>
    <s v="OK"/>
    <n v="0.17"/>
    <n v="27"/>
    <n v="49336.511399999996"/>
    <n v="31770.63"/>
    <n v="17565.881399999995"/>
    <n v="0.35604222717701106"/>
    <d v="1899-12-30T00:00:00"/>
    <s v="Jan-1900"/>
    <n v="0"/>
    <n v="0"/>
    <n v="0"/>
  </r>
  <r>
    <x v="44"/>
    <d v="2025-02-06T00:00:00"/>
    <x v="8"/>
    <s v="2025-Q1"/>
    <d v="2025-02-15T00:00:00"/>
    <x v="13"/>
    <x v="1"/>
    <x v="1"/>
    <s v="São Paulo"/>
    <s v="Americas &gt; Brazil &gt; São Paulo"/>
    <s v="Non-Profit"/>
    <x v="3"/>
    <x v="3"/>
    <x v="8"/>
    <x v="6"/>
    <s v="High"/>
    <x v="44"/>
    <n v="837.39"/>
    <n v="1905.42"/>
    <n v="1905.42"/>
    <x v="39"/>
    <s v="OK"/>
    <n v="3.2000000000000001E-2"/>
    <n v="18"/>
    <n v="33200.038079999998"/>
    <n v="15073.02"/>
    <n v="18127.018079999998"/>
    <n v="0.54599389423350919"/>
    <d v="1899-12-30T00:00:00"/>
    <s v="Jan-1900"/>
    <n v="0"/>
    <n v="0"/>
    <n v="0"/>
  </r>
  <r>
    <x v="45"/>
    <d v="2025-01-20T00:00:00"/>
    <x v="25"/>
    <s v="2025-Q1"/>
    <d v="2025-02-03T00:00:00"/>
    <x v="6"/>
    <x v="1"/>
    <x v="1"/>
    <s v="Brasília"/>
    <s v="Americas &gt; Brazil &gt; Brasília"/>
    <s v="Enterprise"/>
    <x v="2"/>
    <x v="2"/>
    <x v="8"/>
    <x v="0"/>
    <s v="Medium"/>
    <x v="45"/>
    <n v="974.11"/>
    <n v="880.99"/>
    <n v="880.99"/>
    <x v="40"/>
    <s v="OK"/>
    <n v="0.111"/>
    <n v="10"/>
    <n v="7832.0010999999995"/>
    <n v="9741.1"/>
    <n v="-1909.0989000000009"/>
    <n v="-0.2437562093805121"/>
    <d v="1899-12-30T00:00:00"/>
    <s v="Jan-1900"/>
    <n v="0"/>
    <n v="0"/>
    <n v="0"/>
  </r>
  <r>
    <x v="46"/>
    <d v="2023-12-05T00:00:00"/>
    <x v="9"/>
    <s v="2023-Q4"/>
    <d v="2023-12-12T00:00:00"/>
    <x v="22"/>
    <x v="1"/>
    <x v="1"/>
    <s v="Brasília"/>
    <s v="Americas &gt; Brazil &gt; Brasília"/>
    <s v="Corporate"/>
    <x v="4"/>
    <x v="4"/>
    <x v="8"/>
    <x v="4"/>
    <s v="Low"/>
    <x v="46"/>
    <n v="307.43"/>
    <n v="495.19"/>
    <n v="495.19"/>
    <x v="3"/>
    <s v="OK"/>
    <n v="0"/>
    <n v="42"/>
    <n v="20797.98"/>
    <n v="12912.06"/>
    <n v="7885.92"/>
    <n v="0.37916759223732305"/>
    <d v="1899-12-30T00:00:00"/>
    <s v="Jan-1900"/>
    <n v="0"/>
    <n v="0"/>
    <n v="0"/>
  </r>
  <r>
    <x v="47"/>
    <d v="2023-05-23T00:00:00"/>
    <x v="26"/>
    <s v="2023-Q2"/>
    <d v="2023-05-25T00:00:00"/>
    <x v="18"/>
    <x v="1"/>
    <x v="1"/>
    <s v="Rio de Janeiro"/>
    <s v="Americas &gt; Brazil &gt; Rio de Janeiro"/>
    <s v="Enterprise"/>
    <x v="0"/>
    <x v="0"/>
    <x v="13"/>
    <x v="5"/>
    <s v="Medium"/>
    <x v="47"/>
    <n v="690.49"/>
    <n v="1290.29"/>
    <n v="1290.29"/>
    <x v="41"/>
    <s v="OK"/>
    <n v="4.2000000000000003E-2"/>
    <n v="22"/>
    <n v="27194.152039999997"/>
    <n v="15190.78"/>
    <n v="12003.372039999997"/>
    <n v="0.44139534199647718"/>
    <d v="1899-12-30T00:00:00"/>
    <s v="Jan-1900"/>
    <n v="0"/>
    <n v="0"/>
    <n v="0"/>
  </r>
  <r>
    <x v="48"/>
    <d v="2023-08-10T00:00:00"/>
    <x v="21"/>
    <s v="2023-Q3"/>
    <d v="2023-08-15T00:00:00"/>
    <x v="5"/>
    <x v="1"/>
    <x v="1"/>
    <s v="São Paulo"/>
    <s v="Americas &gt; Brazil &gt; São Paulo"/>
    <s v="Education"/>
    <x v="4"/>
    <x v="4"/>
    <x v="4"/>
    <x v="6"/>
    <s v="High"/>
    <x v="48"/>
    <n v="1307.52"/>
    <n v="1921.65"/>
    <n v="1921.65"/>
    <x v="42"/>
    <s v="OK"/>
    <n v="0.123"/>
    <n v="13"/>
    <n v="21908.731650000002"/>
    <n v="16997.759999999998"/>
    <n v="4910.9716500000031"/>
    <n v="0.22415590863289445"/>
    <d v="1899-12-30T00:00:00"/>
    <s v="Jan-1900"/>
    <n v="0"/>
    <n v="0"/>
    <n v="0"/>
  </r>
  <r>
    <x v="49"/>
    <d v="2024-03-01T00:00:00"/>
    <x v="0"/>
    <s v="2024-Q1"/>
    <d v="2024-03-06T00:00:00"/>
    <x v="5"/>
    <x v="1"/>
    <x v="1"/>
    <s v="São Paulo"/>
    <s v="Americas &gt; Brazil &gt; São Paulo"/>
    <s v="Non-Profit"/>
    <x v="4"/>
    <x v="4"/>
    <x v="12"/>
    <x v="4"/>
    <s v="Low"/>
    <x v="49"/>
    <n v="5.34"/>
    <n v="12.69"/>
    <n v="12.69"/>
    <x v="43"/>
    <s v="OK"/>
    <n v="0.13200000000000001"/>
    <n v="10"/>
    <n v="110.14919999999999"/>
    <n v="53.4"/>
    <n v="56.749199999999995"/>
    <n v="0.51520301554618642"/>
    <d v="1899-12-30T00:00:00"/>
    <s v="Jan-1900"/>
    <n v="0"/>
    <n v="0"/>
    <n v="0"/>
  </r>
  <r>
    <x v="50"/>
    <d v="2023-06-20T00:00:00"/>
    <x v="11"/>
    <s v="2023-Q2"/>
    <d v="2023-07-04T00:00:00"/>
    <x v="6"/>
    <x v="1"/>
    <x v="1"/>
    <s v="Brasília"/>
    <s v="Americas &gt; Brazil &gt; Brasília"/>
    <s v="Non-Profit"/>
    <x v="4"/>
    <x v="4"/>
    <x v="0"/>
    <x v="6"/>
    <s v="High"/>
    <x v="50"/>
    <n v="1292.8599999999999"/>
    <n v="2981.01"/>
    <n v="2981.01"/>
    <x v="10"/>
    <s v="OK"/>
    <n v="0.14199999999999999"/>
    <n v="12"/>
    <n v="30692.47896"/>
    <n v="15514.32"/>
    <n v="15178.158960000001"/>
    <n v="0.49452372288927687"/>
    <d v="1899-12-30T00:00:00"/>
    <s v="Jan-1900"/>
    <n v="0"/>
    <n v="0"/>
    <n v="0"/>
  </r>
  <r>
    <x v="51"/>
    <d v="2023-10-25T00:00:00"/>
    <x v="20"/>
    <s v="2023-Q4"/>
    <d v="2023-10-28T00:00:00"/>
    <x v="12"/>
    <x v="1"/>
    <x v="1"/>
    <s v="Brasília"/>
    <s v="Americas &gt; Brazil &gt; Brasília"/>
    <s v="Corporate"/>
    <x v="3"/>
    <x v="3"/>
    <x v="10"/>
    <x v="1"/>
    <s v="Medium"/>
    <x v="51"/>
    <n v="509.31"/>
    <n v="1145.9000000000001"/>
    <n v="1145.9000000000001"/>
    <x v="15"/>
    <s v="OK"/>
    <n v="5.7000000000000002E-2"/>
    <n v="8"/>
    <n v="8644.6696000000011"/>
    <n v="4074.48"/>
    <n v="4570.1896000000015"/>
    <n v="0.52867140231709964"/>
    <d v="1899-12-30T00:00:00"/>
    <s v="Jan-1900"/>
    <n v="0"/>
    <n v="0"/>
    <n v="0"/>
  </r>
  <r>
    <x v="52"/>
    <d v="2025-09-08T00:00:00"/>
    <x v="3"/>
    <s v="2025-Q3"/>
    <d v="2025-10-05T00:00:00"/>
    <x v="10"/>
    <x v="1"/>
    <x v="1"/>
    <s v="Rio de Janeiro"/>
    <s v="Americas &gt; Brazil &gt; Rio de Janeiro"/>
    <s v="Education"/>
    <x v="1"/>
    <x v="1"/>
    <x v="0"/>
    <x v="2"/>
    <s v="High"/>
    <x v="52"/>
    <n v="660.78"/>
    <n v="1630.39"/>
    <n v="1630.39"/>
    <x v="44"/>
    <s v="OK"/>
    <n v="0.218"/>
    <n v="13"/>
    <n v="16574.544740000001"/>
    <n v="8590.14"/>
    <n v="7984.4047400000018"/>
    <n v="0.48172694123724097"/>
    <d v="1899-12-30T00:00:00"/>
    <s v="Jan-1900"/>
    <n v="0"/>
    <n v="0"/>
    <n v="0"/>
  </r>
  <r>
    <x v="53"/>
    <d v="2025-03-10T00:00:00"/>
    <x v="2"/>
    <s v="2025-Q1"/>
    <d v="2025-03-27T00:00:00"/>
    <x v="23"/>
    <x v="1"/>
    <x v="1"/>
    <s v="Rio de Janeiro"/>
    <s v="Americas &gt; Brazil &gt; Rio de Janeiro"/>
    <s v="Enterprise"/>
    <x v="4"/>
    <x v="4"/>
    <x v="8"/>
    <x v="6"/>
    <s v="Medium"/>
    <x v="53"/>
    <n v="996.73"/>
    <n v="1217.43"/>
    <n v="1217.43"/>
    <x v="45"/>
    <s v="OK"/>
    <n v="7.0000000000000007E-2"/>
    <n v="9"/>
    <n v="10189.8891"/>
    <n v="8970.57"/>
    <n v="1219.3191000000006"/>
    <n v="0.11965970267527255"/>
    <d v="1899-12-30T00:00:00"/>
    <s v="Jan-1900"/>
    <n v="0"/>
    <n v="0"/>
    <n v="0"/>
  </r>
  <r>
    <x v="54"/>
    <d v="2025-01-10T00:00:00"/>
    <x v="25"/>
    <s v="2025-Q1"/>
    <d v="2025-02-06T00:00:00"/>
    <x v="10"/>
    <x v="1"/>
    <x v="1"/>
    <s v="Brasília"/>
    <s v="Americas &gt; Brazil &gt; Brasília"/>
    <s v="Non-Profit"/>
    <x v="0"/>
    <x v="0"/>
    <x v="6"/>
    <x v="3"/>
    <s v="Medium"/>
    <x v="54"/>
    <n v="725.62"/>
    <n v="1559.19"/>
    <n v="1559.19"/>
    <x v="46"/>
    <s v="OK"/>
    <n v="0.19"/>
    <n v="12"/>
    <n v="15155.326800000001"/>
    <n v="8707.44"/>
    <n v="6447.8868000000002"/>
    <n v="0.42545349797405885"/>
    <d v="1899-12-30T00:00:00"/>
    <s v="Jan-1900"/>
    <n v="0"/>
    <n v="0"/>
    <n v="0"/>
  </r>
  <r>
    <x v="55"/>
    <d v="2024-07-13T00:00:00"/>
    <x v="27"/>
    <s v="2024-Q3"/>
    <d v="2024-08-03T00:00:00"/>
    <x v="24"/>
    <x v="1"/>
    <x v="1"/>
    <s v="Rio de Janeiro"/>
    <s v="Americas &gt; Brazil &gt; Rio de Janeiro"/>
    <s v="Corporate"/>
    <x v="2"/>
    <x v="2"/>
    <x v="13"/>
    <x v="2"/>
    <s v="Medium"/>
    <x v="55"/>
    <n v="702.98"/>
    <n v="1104.8"/>
    <n v="1104.8"/>
    <x v="25"/>
    <s v="OK"/>
    <n v="0.17499999999999999"/>
    <n v="12"/>
    <n v="10937.519999999999"/>
    <n v="8435.76"/>
    <n v="2501.7599999999984"/>
    <n v="0.22873192460448061"/>
    <d v="1899-12-30T00:00:00"/>
    <s v="Jan-1900"/>
    <n v="0"/>
    <n v="0"/>
    <n v="0"/>
  </r>
  <r>
    <x v="56"/>
    <d v="2025-08-06T00:00:00"/>
    <x v="24"/>
    <s v="2025-Q3"/>
    <d v="2025-08-23T00:00:00"/>
    <x v="23"/>
    <x v="1"/>
    <x v="1"/>
    <s v="Brasília"/>
    <s v="Americas &gt; Brazil &gt; Brasília"/>
    <s v="Consumer"/>
    <x v="3"/>
    <x v="3"/>
    <x v="1"/>
    <x v="2"/>
    <s v="Low"/>
    <x v="56"/>
    <n v="86.64"/>
    <n v="213.06"/>
    <n v="213.06"/>
    <x v="19"/>
    <s v="OK"/>
    <n v="0.21199999999999999"/>
    <n v="11"/>
    <n v="1846.8040799999999"/>
    <n v="953.04"/>
    <n v="893.76407999999992"/>
    <n v="0.48395175735154322"/>
    <d v="1899-12-30T00:00:00"/>
    <s v="Jan-1900"/>
    <n v="0"/>
    <n v="0"/>
    <n v="0"/>
  </r>
  <r>
    <x v="57"/>
    <d v="2023-06-03T00:00:00"/>
    <x v="11"/>
    <s v="2023-Q2"/>
    <d v="2023-07-01T00:00:00"/>
    <x v="11"/>
    <x v="1"/>
    <x v="1"/>
    <s v="Brasília"/>
    <s v="Americas &gt; Brazil &gt; Brasília"/>
    <s v="Small Business"/>
    <x v="2"/>
    <x v="2"/>
    <x v="1"/>
    <x v="0"/>
    <s v="High"/>
    <x v="57"/>
    <n v="860.4"/>
    <n v="2066.6"/>
    <n v="2066.6"/>
    <x v="47"/>
    <s v="OK"/>
    <n v="0.01"/>
    <n v="3"/>
    <n v="6137.8019999999988"/>
    <n v="2581.1999999999998"/>
    <n v="3556.601999999999"/>
    <n v="0.57945857491004105"/>
    <d v="1899-12-30T00:00:00"/>
    <s v="Jan-1900"/>
    <n v="0"/>
    <n v="0"/>
    <n v="0"/>
  </r>
  <r>
    <x v="58"/>
    <d v="2023-01-29T00:00:00"/>
    <x v="28"/>
    <s v="2023-Q1"/>
    <d v="2023-02-06T00:00:00"/>
    <x v="19"/>
    <x v="1"/>
    <x v="1"/>
    <s v="Brasília"/>
    <s v="Americas &gt; Brazil &gt; Brasília"/>
    <s v="Corporate"/>
    <x v="2"/>
    <x v="2"/>
    <x v="14"/>
    <x v="2"/>
    <s v="Low"/>
    <x v="58"/>
    <n v="41.84"/>
    <n v="86.2"/>
    <n v="86.2"/>
    <x v="48"/>
    <s v="OK"/>
    <n v="0.22600000000000001"/>
    <n v="27"/>
    <n v="1801.4076000000002"/>
    <n v="1129.68"/>
    <n v="671.72760000000017"/>
    <n v="0.37289039970742882"/>
    <d v="1899-12-30T00:00:00"/>
    <s v="Jan-1900"/>
    <n v="0"/>
    <n v="0"/>
    <n v="0"/>
  </r>
  <r>
    <x v="59"/>
    <d v="2025-04-17T00:00:00"/>
    <x v="7"/>
    <s v="2025-Q2"/>
    <d v="2025-04-17T00:00:00"/>
    <x v="25"/>
    <x v="1"/>
    <x v="1"/>
    <s v="São Paulo"/>
    <s v="Americas &gt; Brazil &gt; São Paulo"/>
    <s v="Corporate"/>
    <x v="3"/>
    <x v="3"/>
    <x v="10"/>
    <x v="4"/>
    <s v="Medium"/>
    <x v="59"/>
    <n v="719.41"/>
    <n v="1125.99"/>
    <n v="1125.99"/>
    <x v="49"/>
    <s v="OK"/>
    <n v="4.1000000000000002E-2"/>
    <n v="21"/>
    <n v="22676.312610000001"/>
    <n v="15107.609999999999"/>
    <n v="7568.7026100000021"/>
    <n v="0.33377131194876403"/>
    <d v="1899-12-30T00:00:00"/>
    <s v="Jan-1900"/>
    <n v="0"/>
    <n v="0"/>
    <n v="0"/>
  </r>
  <r>
    <x v="60"/>
    <d v="2024-08-17T00:00:00"/>
    <x v="10"/>
    <s v="2024-Q3"/>
    <d v="2024-08-22T00:00:00"/>
    <x v="5"/>
    <x v="1"/>
    <x v="1"/>
    <s v="Rio de Janeiro"/>
    <s v="Americas &gt; Brazil &gt; Rio de Janeiro"/>
    <s v="Consumer"/>
    <x v="4"/>
    <x v="4"/>
    <x v="13"/>
    <x v="2"/>
    <s v="Low"/>
    <x v="60"/>
    <n v="165.3"/>
    <n v="275.07"/>
    <n v="275.07"/>
    <x v="18"/>
    <s v="OK"/>
    <n v="0.13300000000000001"/>
    <n v="25"/>
    <n v="5962.1422499999999"/>
    <n v="4132.5"/>
    <n v="1829.6422499999999"/>
    <n v="0.30687665159280625"/>
    <d v="1899-12-30T00:00:00"/>
    <s v="Jan-1900"/>
    <n v="0"/>
    <n v="0"/>
    <n v="0"/>
  </r>
  <r>
    <x v="61"/>
    <d v="2023-09-17T00:00:00"/>
    <x v="29"/>
    <s v="2023-Q3"/>
    <d v="2023-10-02T00:00:00"/>
    <x v="26"/>
    <x v="1"/>
    <x v="1"/>
    <s v="Rio de Janeiro"/>
    <s v="Americas &gt; Brazil &gt; Rio de Janeiro"/>
    <s v="Small Business"/>
    <x v="0"/>
    <x v="0"/>
    <x v="6"/>
    <x v="3"/>
    <s v="Low"/>
    <x v="61"/>
    <n v="689.33"/>
    <n v="668.27"/>
    <n v="668.27"/>
    <x v="50"/>
    <s v="OK"/>
    <n v="0.186"/>
    <n v="13"/>
    <n v="7071.6331400000008"/>
    <n v="8961.2900000000009"/>
    <n v="-1889.6568600000001"/>
    <n v="-0.26721647214861033"/>
    <d v="1899-12-30T00:00:00"/>
    <s v="Jan-1900"/>
    <n v="0"/>
    <n v="0"/>
    <n v="0"/>
  </r>
  <r>
    <x v="62"/>
    <d v="2025-04-17T00:00:00"/>
    <x v="7"/>
    <s v="2025-Q2"/>
    <d v="2025-05-03T00:00:00"/>
    <x v="4"/>
    <x v="1"/>
    <x v="1"/>
    <s v="Rio de Janeiro"/>
    <s v="Americas &gt; Brazil &gt; Rio de Janeiro"/>
    <s v="Consumer"/>
    <x v="2"/>
    <x v="2"/>
    <x v="2"/>
    <x v="6"/>
    <s v="Low"/>
    <x v="62"/>
    <n v="168.68"/>
    <n v="413.34"/>
    <n v="413.34"/>
    <x v="50"/>
    <s v="OK"/>
    <n v="0.186"/>
    <n v="7"/>
    <n v="2355.2113199999999"/>
    <n v="1180.76"/>
    <n v="1174.4513199999999"/>
    <n v="0.49866069767361682"/>
    <d v="1899-12-30T00:00:00"/>
    <s v="Jan-1900"/>
    <n v="0"/>
    <n v="0"/>
    <n v="0"/>
  </r>
  <r>
    <x v="63"/>
    <d v="2023-01-02T00:00:00"/>
    <x v="28"/>
    <s v="2023-Q1"/>
    <d v="2023-01-05T00:00:00"/>
    <x v="12"/>
    <x v="1"/>
    <x v="2"/>
    <s v="Toronto"/>
    <s v="Americas &gt; Canada &gt; Toronto"/>
    <s v="Corporate"/>
    <x v="3"/>
    <x v="3"/>
    <x v="6"/>
    <x v="3"/>
    <s v="Low"/>
    <x v="63"/>
    <n v="315.87"/>
    <n v="591.67999999999995"/>
    <n v="591.67999999999995"/>
    <x v="3"/>
    <s v="OK"/>
    <n v="0"/>
    <n v="7"/>
    <n v="4141.7599999999993"/>
    <n v="2211.09"/>
    <n v="1930.6699999999992"/>
    <n v="0.46614724175229844"/>
    <d v="1899-12-30T00:00:00"/>
    <s v="Jan-1900"/>
    <n v="0"/>
    <n v="0"/>
    <n v="0"/>
  </r>
  <r>
    <x v="64"/>
    <d v="2023-02-23T00:00:00"/>
    <x v="5"/>
    <s v="2023-Q1"/>
    <d v="2023-03-25T00:00:00"/>
    <x v="27"/>
    <x v="1"/>
    <x v="2"/>
    <s v="Montreal"/>
    <s v="Americas &gt; Canada &gt; Montreal"/>
    <s v="Enterprise"/>
    <x v="1"/>
    <x v="1"/>
    <x v="14"/>
    <x v="4"/>
    <s v="High"/>
    <x v="64"/>
    <n v="1242.6600000000001"/>
    <n v="1794.07"/>
    <n v="1794.07"/>
    <x v="51"/>
    <s v="OK"/>
    <n v="8.8999999999999996E-2"/>
    <n v="16"/>
    <n v="26150.364320000001"/>
    <n v="19882.560000000001"/>
    <n v="6267.8043199999993"/>
    <n v="0.23968325042440553"/>
    <d v="1899-12-30T00:00:00"/>
    <s v="Jan-1900"/>
    <n v="0"/>
    <n v="0"/>
    <n v="0"/>
  </r>
  <r>
    <x v="65"/>
    <d v="2024-05-20T00:00:00"/>
    <x v="16"/>
    <s v="2024-Q2"/>
    <d v="2024-06-02T00:00:00"/>
    <x v="28"/>
    <x v="1"/>
    <x v="2"/>
    <s v="Vancouver"/>
    <s v="Americas &gt; Canada &gt; Vancouver"/>
    <s v="Enterprise"/>
    <x v="2"/>
    <x v="2"/>
    <x v="3"/>
    <x v="0"/>
    <s v="Medium"/>
    <x v="65"/>
    <n v="675.43"/>
    <n v="996.36"/>
    <n v="996.36"/>
    <x v="52"/>
    <s v="OK"/>
    <n v="0.182"/>
    <n v="22"/>
    <n v="17930.494560000003"/>
    <n v="14859.46"/>
    <n v="3071.0345600000037"/>
    <n v="0.17127439233332575"/>
    <d v="1899-12-30T00:00:00"/>
    <s v="Jan-1900"/>
    <n v="0"/>
    <n v="0"/>
    <n v="0"/>
  </r>
  <r>
    <x v="66"/>
    <d v="2024-11-06T00:00:00"/>
    <x v="13"/>
    <s v="2024-Q4"/>
    <d v="2024-11-22T00:00:00"/>
    <x v="4"/>
    <x v="1"/>
    <x v="2"/>
    <s v="Toronto"/>
    <s v="Americas &gt; Canada &gt; Toronto"/>
    <s v="Non-Profit"/>
    <x v="3"/>
    <x v="3"/>
    <x v="14"/>
    <x v="1"/>
    <s v="High"/>
    <x v="66"/>
    <n v="1454.11"/>
    <n v="2629.75"/>
    <n v="2629.75"/>
    <x v="53"/>
    <s v="OK"/>
    <n v="0.29199999999999998"/>
    <n v="8"/>
    <n v="14894.903999999999"/>
    <n v="11632.88"/>
    <n v="3262.0239999999994"/>
    <n v="0.21900268709351867"/>
    <d v="1899-12-30T00:00:00"/>
    <s v="Jan-1900"/>
    <n v="0"/>
    <n v="0"/>
    <n v="0"/>
  </r>
  <r>
    <x v="67"/>
    <d v="2023-08-19T00:00:00"/>
    <x v="21"/>
    <s v="2023-Q3"/>
    <d v="2023-09-12T00:00:00"/>
    <x v="7"/>
    <x v="1"/>
    <x v="2"/>
    <s v="Vancouver"/>
    <s v="Americas &gt; Canada &gt; Vancouver"/>
    <s v="Enterprise"/>
    <x v="0"/>
    <x v="0"/>
    <x v="12"/>
    <x v="5"/>
    <s v="Medium"/>
    <x v="67"/>
    <n v="1183.95"/>
    <n v="1503.53"/>
    <n v="1503.53"/>
    <x v="54"/>
    <s v="OK"/>
    <n v="0.24099999999999999"/>
    <n v="16"/>
    <n v="18258.868320000001"/>
    <n v="18943.2"/>
    <n v="-684.33167999999932"/>
    <n v="-3.7479413729623705E-2"/>
    <d v="1899-12-30T00:00:00"/>
    <s v="Jan-1900"/>
    <n v="0"/>
    <n v="0"/>
    <n v="0"/>
  </r>
  <r>
    <x v="68"/>
    <d v="2024-12-05T00:00:00"/>
    <x v="30"/>
    <s v="2024-Q4"/>
    <d v="2024-12-28T00:00:00"/>
    <x v="9"/>
    <x v="1"/>
    <x v="2"/>
    <s v="Vancouver"/>
    <s v="Americas &gt; Canada &gt; Vancouver"/>
    <s v="Corporate"/>
    <x v="4"/>
    <x v="4"/>
    <x v="8"/>
    <x v="1"/>
    <s v="Low"/>
    <x v="68"/>
    <n v="107.03"/>
    <n v="242.29"/>
    <n v="242.29"/>
    <x v="55"/>
    <s v="OK"/>
    <n v="0.18"/>
    <n v="30"/>
    <n v="5960.3340000000007"/>
    <n v="3210.9"/>
    <n v="2749.4340000000007"/>
    <n v="0.46128857879440988"/>
    <d v="1899-12-30T00:00:00"/>
    <s v="Jan-1900"/>
    <n v="0"/>
    <n v="0"/>
    <n v="0"/>
  </r>
  <r>
    <x v="69"/>
    <d v="2025-06-03T00:00:00"/>
    <x v="31"/>
    <s v="2025-Q2"/>
    <d v="2025-06-10T00:00:00"/>
    <x v="22"/>
    <x v="1"/>
    <x v="2"/>
    <s v="Toronto"/>
    <s v="Americas &gt; Canada &gt; Toronto"/>
    <s v="Consumer"/>
    <x v="3"/>
    <x v="3"/>
    <x v="7"/>
    <x v="5"/>
    <s v="Low"/>
    <x v="69"/>
    <n v="75.180000000000007"/>
    <n v="53.45"/>
    <n v="53.45"/>
    <x v="23"/>
    <s v="OK"/>
    <n v="0.157"/>
    <n v="17"/>
    <n v="765.99195000000009"/>
    <n v="1278.0600000000002"/>
    <n v="-512.06805000000008"/>
    <n v="-0.66850317421743144"/>
    <d v="1899-12-30T00:00:00"/>
    <s v="Jan-1900"/>
    <n v="0"/>
    <n v="0"/>
    <n v="0"/>
  </r>
  <r>
    <x v="70"/>
    <d v="2025-07-09T00:00:00"/>
    <x v="4"/>
    <s v="2025-Q3"/>
    <d v="2025-07-18T00:00:00"/>
    <x v="13"/>
    <x v="1"/>
    <x v="2"/>
    <s v="Vancouver"/>
    <s v="Americas &gt; Canada &gt; Vancouver"/>
    <s v="Education"/>
    <x v="3"/>
    <x v="3"/>
    <x v="12"/>
    <x v="3"/>
    <s v="Low"/>
    <x v="70"/>
    <n v="57.96"/>
    <n v="88.51"/>
    <n v="88.51"/>
    <x v="56"/>
    <s v="OK"/>
    <n v="4.2999999999999997E-2"/>
    <n v="7"/>
    <n v="592.92849000000001"/>
    <n v="405.72"/>
    <n v="187.20848999999998"/>
    <n v="0.3157353595877978"/>
    <d v="1899-12-30T00:00:00"/>
    <s v="Jan-1900"/>
    <n v="0"/>
    <n v="0"/>
    <n v="0"/>
  </r>
  <r>
    <x v="71"/>
    <d v="2023-08-21T00:00:00"/>
    <x v="21"/>
    <s v="2023-Q3"/>
    <d v="2023-09-04T00:00:00"/>
    <x v="6"/>
    <x v="1"/>
    <x v="2"/>
    <s v="Montreal"/>
    <s v="Americas &gt; Canada &gt; Montreal"/>
    <s v="Education"/>
    <x v="3"/>
    <x v="3"/>
    <x v="8"/>
    <x v="0"/>
    <s v="Low"/>
    <x v="71"/>
    <n v="178.19"/>
    <n v="284.43"/>
    <n v="284.43"/>
    <x v="51"/>
    <s v="OK"/>
    <n v="8.8999999999999996E-2"/>
    <n v="8"/>
    <n v="2072.9258400000003"/>
    <n v="1425.52"/>
    <n v="647.40584000000035"/>
    <n v="0.31231500302972742"/>
    <d v="1899-12-30T00:00:00"/>
    <s v="Jan-1900"/>
    <n v="0"/>
    <n v="0"/>
    <n v="0"/>
  </r>
  <r>
    <x v="72"/>
    <d v="2024-06-15T00:00:00"/>
    <x v="6"/>
    <s v="2024-Q2"/>
    <d v="2024-07-06T00:00:00"/>
    <x v="24"/>
    <x v="1"/>
    <x v="2"/>
    <s v="Toronto"/>
    <s v="Americas &gt; Canada &gt; Toronto"/>
    <s v="Enterprise"/>
    <x v="3"/>
    <x v="3"/>
    <x v="10"/>
    <x v="5"/>
    <s v="Medium"/>
    <x v="72"/>
    <n v="817.23"/>
    <n v="1467.17"/>
    <n v="1467.17"/>
    <x v="57"/>
    <s v="OK"/>
    <n v="0.245"/>
    <n v="9"/>
    <n v="9969.4201499999999"/>
    <n v="7355.07"/>
    <n v="2614.3501500000002"/>
    <n v="0.26223693160328893"/>
    <d v="1899-12-30T00:00:00"/>
    <s v="Jan-1900"/>
    <n v="0"/>
    <n v="0"/>
    <n v="0"/>
  </r>
  <r>
    <x v="73"/>
    <d v="2024-09-23T00:00:00"/>
    <x v="17"/>
    <s v="2024-Q3"/>
    <d v="2024-10-18T00:00:00"/>
    <x v="2"/>
    <x v="1"/>
    <x v="2"/>
    <s v="Vancouver"/>
    <s v="Americas &gt; Canada &gt; Vancouver"/>
    <s v="Small Business"/>
    <x v="1"/>
    <x v="1"/>
    <x v="5"/>
    <x v="4"/>
    <s v="High"/>
    <x v="73"/>
    <n v="1297"/>
    <n v="2411.52"/>
    <n v="2411.52"/>
    <x v="58"/>
    <s v="OK"/>
    <n v="2.1000000000000001E-2"/>
    <n v="18"/>
    <n v="42495.805439999996"/>
    <n v="23346"/>
    <n v="19149.805439999996"/>
    <n v="0.45062813239385913"/>
    <d v="1899-12-30T00:00:00"/>
    <s v="Jan-1900"/>
    <n v="0"/>
    <n v="0"/>
    <n v="0"/>
  </r>
  <r>
    <x v="74"/>
    <d v="2025-04-16T00:00:00"/>
    <x v="7"/>
    <s v="2025-Q2"/>
    <d v="2025-05-16T00:00:00"/>
    <x v="27"/>
    <x v="1"/>
    <x v="2"/>
    <s v="Montreal"/>
    <s v="Americas &gt; Canada &gt; Montreal"/>
    <s v="Enterprise"/>
    <x v="3"/>
    <x v="3"/>
    <x v="3"/>
    <x v="5"/>
    <s v="Low"/>
    <x v="74"/>
    <n v="763.32"/>
    <n v="568.29"/>
    <n v="568.29"/>
    <x v="59"/>
    <s v="OK"/>
    <n v="0.13100000000000001"/>
    <n v="16"/>
    <n v="7901.5041599999995"/>
    <n v="12213.12"/>
    <n v="-4311.6158400000013"/>
    <n v="-0.54567026134426555"/>
    <d v="1899-12-30T00:00:00"/>
    <s v="Jan-1900"/>
    <n v="0"/>
    <n v="0"/>
    <n v="0"/>
  </r>
  <r>
    <x v="75"/>
    <d v="2023-04-05T00:00:00"/>
    <x v="19"/>
    <s v="2023-Q2"/>
    <d v="2023-04-16T00:00:00"/>
    <x v="20"/>
    <x v="1"/>
    <x v="2"/>
    <s v="Vancouver"/>
    <s v="Americas &gt; Canada &gt; Vancouver"/>
    <s v="Non-Profit"/>
    <x v="1"/>
    <x v="1"/>
    <x v="7"/>
    <x v="2"/>
    <s v="Low"/>
    <x v="75"/>
    <n v="213.1"/>
    <n v="501.31"/>
    <n v="501.31"/>
    <x v="60"/>
    <s v="OK"/>
    <n v="5.6000000000000001E-2"/>
    <n v="15"/>
    <n v="7098.5495999999994"/>
    <n v="3196.5"/>
    <n v="3902.0495999999994"/>
    <n v="0.54969674368409005"/>
    <d v="1899-12-30T00:00:00"/>
    <s v="Jan-1900"/>
    <n v="0"/>
    <n v="0"/>
    <n v="0"/>
  </r>
  <r>
    <x v="76"/>
    <d v="2025-07-14T00:00:00"/>
    <x v="4"/>
    <s v="2025-Q3"/>
    <d v="2025-08-04T00:00:00"/>
    <x v="24"/>
    <x v="1"/>
    <x v="2"/>
    <s v="Montreal"/>
    <s v="Americas &gt; Canada &gt; Montreal"/>
    <s v="Consumer"/>
    <x v="1"/>
    <x v="1"/>
    <x v="15"/>
    <x v="2"/>
    <s v="Low"/>
    <x v="76"/>
    <n v="90.3"/>
    <n v="131.76"/>
    <n v="131.76"/>
    <x v="61"/>
    <s v="OK"/>
    <n v="0.10199999999999999"/>
    <n v="15"/>
    <n v="1774.8072"/>
    <n v="1354.5"/>
    <n v="420.30719999999997"/>
    <n v="0.23681851189244668"/>
    <d v="1899-12-30T00:00:00"/>
    <s v="Jan-1900"/>
    <n v="0"/>
    <n v="0"/>
    <n v="0"/>
  </r>
  <r>
    <x v="77"/>
    <d v="2025-07-17T00:00:00"/>
    <x v="4"/>
    <s v="2025-Q3"/>
    <d v="2025-07-23T00:00:00"/>
    <x v="29"/>
    <x v="1"/>
    <x v="2"/>
    <s v="Vancouver"/>
    <s v="Americas &gt; Canada &gt; Vancouver"/>
    <s v="Consumer"/>
    <x v="1"/>
    <x v="1"/>
    <x v="15"/>
    <x v="0"/>
    <s v="High"/>
    <x v="77"/>
    <n v="1364.89"/>
    <n v="2757.54"/>
    <n v="2757.54"/>
    <x v="62"/>
    <s v="OK"/>
    <n v="0.17199999999999999"/>
    <n v="61"/>
    <n v="139277.83032000001"/>
    <n v="83258.290000000008"/>
    <n v="56019.54032"/>
    <n v="0.4022143379983118"/>
    <d v="1899-12-30T00:00:00"/>
    <s v="Jan-1900"/>
    <n v="0"/>
    <n v="0"/>
    <n v="0"/>
  </r>
  <r>
    <x v="78"/>
    <d v="2024-02-16T00:00:00"/>
    <x v="23"/>
    <s v="2024-Q1"/>
    <d v="2024-03-04T00:00:00"/>
    <x v="23"/>
    <x v="1"/>
    <x v="2"/>
    <s v="Montreal"/>
    <s v="Americas &gt; Canada &gt; Montreal"/>
    <s v="Non-Profit"/>
    <x v="0"/>
    <x v="0"/>
    <x v="14"/>
    <x v="3"/>
    <s v="High"/>
    <x v="78"/>
    <n v="1350.98"/>
    <n v="2210.4"/>
    <n v="2210.4"/>
    <x v="63"/>
    <s v="OK"/>
    <n v="0.26300000000000001"/>
    <n v="6"/>
    <n v="9774.3888000000006"/>
    <n v="8105.88"/>
    <n v="1668.5088000000005"/>
    <n v="0.17070211080615091"/>
    <d v="1899-12-30T00:00:00"/>
    <s v="Jan-1900"/>
    <n v="0"/>
    <n v="0"/>
    <n v="0"/>
  </r>
  <r>
    <x v="79"/>
    <d v="2023-03-04T00:00:00"/>
    <x v="12"/>
    <s v="2023-Q1"/>
    <d v="2023-03-24T00:00:00"/>
    <x v="8"/>
    <x v="1"/>
    <x v="2"/>
    <s v="Montreal"/>
    <s v="Americas &gt; Canada &gt; Montreal"/>
    <s v="Consumer"/>
    <x v="3"/>
    <x v="3"/>
    <x v="12"/>
    <x v="3"/>
    <s v="Medium"/>
    <x v="79"/>
    <n v="481.71"/>
    <n v="912.45"/>
    <n v="912.45"/>
    <x v="64"/>
    <s v="OK"/>
    <n v="0.20300000000000001"/>
    <n v="24"/>
    <n v="17453.3436"/>
    <n v="11561.039999999999"/>
    <n v="5892.3036000000011"/>
    <n v="0.33760313983619739"/>
    <d v="1899-12-30T00:00:00"/>
    <s v="Jan-1900"/>
    <n v="0"/>
    <n v="0"/>
    <n v="0"/>
  </r>
  <r>
    <x v="80"/>
    <d v="2024-03-15T00:00:00"/>
    <x v="0"/>
    <s v="2024-Q1"/>
    <d v="2024-04-09T00:00:00"/>
    <x v="2"/>
    <x v="1"/>
    <x v="2"/>
    <s v="Vancouver"/>
    <s v="Americas &gt; Canada &gt; Vancouver"/>
    <s v="Consumer"/>
    <x v="1"/>
    <x v="1"/>
    <x v="8"/>
    <x v="2"/>
    <s v="Medium"/>
    <x v="80"/>
    <n v="648.64"/>
    <n v="815.19"/>
    <n v="815.19"/>
    <x v="65"/>
    <s v="OK"/>
    <n v="0.22500000000000001"/>
    <n v="28"/>
    <n v="17689.623"/>
    <n v="18161.919999999998"/>
    <n v="-472.29699999999866"/>
    <n v="-2.6699099240272032E-2"/>
    <d v="1899-12-30T00:00:00"/>
    <s v="Jan-1900"/>
    <n v="0"/>
    <n v="0"/>
    <n v="0"/>
  </r>
  <r>
    <x v="81"/>
    <d v="2025-09-02T00:00:00"/>
    <x v="3"/>
    <s v="2025-Q3"/>
    <d v="2025-09-11T00:00:00"/>
    <x v="13"/>
    <x v="1"/>
    <x v="2"/>
    <s v="Toronto"/>
    <s v="Americas &gt; Canada &gt; Toronto"/>
    <s v="Corporate"/>
    <x v="3"/>
    <x v="3"/>
    <x v="13"/>
    <x v="5"/>
    <s v="Medium"/>
    <x v="81"/>
    <n v="1207.6300000000001"/>
    <n v="921.68"/>
    <n v="921.68"/>
    <x v="66"/>
    <s v="OK"/>
    <n v="0.19600000000000001"/>
    <n v="17"/>
    <n v="12597.52224"/>
    <n v="20529.710000000003"/>
    <n v="-7932.1877600000025"/>
    <n v="-0.62966253274897988"/>
    <d v="1899-12-30T00:00:00"/>
    <s v="Jan-1900"/>
    <n v="0"/>
    <n v="0"/>
    <n v="0"/>
  </r>
  <r>
    <x v="82"/>
    <d v="2023-07-24T00:00:00"/>
    <x v="14"/>
    <s v="2023-Q3"/>
    <d v="2023-08-13T00:00:00"/>
    <x v="8"/>
    <x v="1"/>
    <x v="2"/>
    <s v="Montreal"/>
    <s v="Americas &gt; Canada &gt; Montreal"/>
    <s v="Education"/>
    <x v="4"/>
    <x v="4"/>
    <x v="0"/>
    <x v="2"/>
    <s v="High"/>
    <x v="82"/>
    <n v="1082.3800000000001"/>
    <n v="1766.55"/>
    <n v="1766.55"/>
    <x v="67"/>
    <s v="OK"/>
    <n v="0.16400000000000001"/>
    <n v="20"/>
    <n v="29536.716"/>
    <n v="21647.600000000002"/>
    <n v="7889.1159999999982"/>
    <n v="0.26709523157550752"/>
    <d v="1899-12-30T00:00:00"/>
    <s v="Jan-1900"/>
    <n v="0"/>
    <n v="0"/>
    <n v="0"/>
  </r>
  <r>
    <x v="83"/>
    <d v="2024-03-02T00:00:00"/>
    <x v="0"/>
    <s v="2024-Q1"/>
    <d v="2024-03-16T00:00:00"/>
    <x v="6"/>
    <x v="1"/>
    <x v="2"/>
    <s v="Vancouver"/>
    <s v="Americas &gt; Canada &gt; Vancouver"/>
    <s v="Non-Profit"/>
    <x v="4"/>
    <x v="4"/>
    <x v="7"/>
    <x v="5"/>
    <s v="Low"/>
    <x v="83"/>
    <n v="248.24"/>
    <n v="464.05"/>
    <n v="464.05"/>
    <x v="68"/>
    <s v="OK"/>
    <n v="0.16900000000000001"/>
    <n v="11"/>
    <n v="4241.88105"/>
    <n v="2730.6400000000003"/>
    <n v="1511.2410499999996"/>
    <n v="0.3562667203975462"/>
    <d v="1899-12-30T00:00:00"/>
    <s v="Jan-1900"/>
    <n v="0"/>
    <n v="0"/>
    <n v="0"/>
  </r>
  <r>
    <x v="84"/>
    <d v="2025-05-10T00:00:00"/>
    <x v="1"/>
    <s v="2025-Q2"/>
    <d v="2025-05-27T00:00:00"/>
    <x v="23"/>
    <x v="1"/>
    <x v="2"/>
    <s v="Vancouver"/>
    <s v="Americas &gt; Canada &gt; Vancouver"/>
    <s v="Education"/>
    <x v="4"/>
    <x v="4"/>
    <x v="0"/>
    <x v="0"/>
    <s v="Medium"/>
    <x v="84"/>
    <n v="862.89"/>
    <n v="1426.03"/>
    <n v="1426.03"/>
    <x v="60"/>
    <s v="OK"/>
    <n v="5.6000000000000001E-2"/>
    <n v="19"/>
    <n v="25577.274079999999"/>
    <n v="16394.91"/>
    <n v="9182.3640799999994"/>
    <n v="0.35900479665188778"/>
    <d v="1899-12-30T00:00:00"/>
    <s v="Jan-1900"/>
    <n v="0"/>
    <n v="0"/>
    <n v="0"/>
  </r>
  <r>
    <x v="85"/>
    <d v="2023-06-24T00:00:00"/>
    <x v="11"/>
    <s v="2023-Q2"/>
    <d v="2023-06-29T00:00:00"/>
    <x v="5"/>
    <x v="1"/>
    <x v="2"/>
    <s v="Toronto"/>
    <s v="Americas &gt; Canada &gt; Toronto"/>
    <s v="Non-Profit"/>
    <x v="0"/>
    <x v="0"/>
    <x v="13"/>
    <x v="1"/>
    <s v="Medium"/>
    <x v="85"/>
    <n v="471.42"/>
    <n v="824.81"/>
    <n v="824.81"/>
    <x v="69"/>
    <s v="OK"/>
    <n v="8.7999999999999995E-2"/>
    <n v="15"/>
    <n v="11283.400799999999"/>
    <n v="7071.3"/>
    <n v="4212.1007999999993"/>
    <n v="0.37330064531608231"/>
    <d v="1899-12-30T00:00:00"/>
    <s v="Jan-1900"/>
    <n v="0"/>
    <n v="0"/>
    <n v="0"/>
  </r>
  <r>
    <x v="86"/>
    <d v="2023-10-22T00:00:00"/>
    <x v="20"/>
    <s v="2023-Q4"/>
    <d v="2023-11-16T00:00:00"/>
    <x v="2"/>
    <x v="1"/>
    <x v="2"/>
    <s v="Toronto"/>
    <s v="Americas &gt; Canada &gt; Toronto"/>
    <s v="Small Business"/>
    <x v="2"/>
    <x v="2"/>
    <x v="12"/>
    <x v="3"/>
    <s v="High"/>
    <x v="86"/>
    <n v="1373.31"/>
    <n v="3154.14"/>
    <n v="3154.14"/>
    <x v="70"/>
    <s v="OK"/>
    <n v="0.2"/>
    <n v="11"/>
    <n v="27756.432000000001"/>
    <n v="15106.41"/>
    <n v="12650.022000000001"/>
    <n v="0.45575101295440279"/>
    <d v="1899-12-30T00:00:00"/>
    <s v="Jan-1900"/>
    <n v="0"/>
    <n v="0"/>
    <n v="0"/>
  </r>
  <r>
    <x v="87"/>
    <d v="2024-07-25T00:00:00"/>
    <x v="27"/>
    <s v="2024-Q3"/>
    <d v="2024-08-02T00:00:00"/>
    <x v="19"/>
    <x v="1"/>
    <x v="2"/>
    <s v="Montreal"/>
    <s v="Americas &gt; Canada &gt; Montreal"/>
    <s v="Consumer"/>
    <x v="4"/>
    <x v="4"/>
    <x v="2"/>
    <x v="1"/>
    <s v="High"/>
    <x v="87"/>
    <n v="986.81"/>
    <n v="2050.31"/>
    <n v="2050.31"/>
    <x v="71"/>
    <s v="OK"/>
    <n v="0.10299999999999999"/>
    <n v="43"/>
    <n v="79082.507010000001"/>
    <n v="42432.829999999994"/>
    <n v="36649.677010000007"/>
    <n v="0.46343595310358138"/>
    <d v="1899-12-30T00:00:00"/>
    <s v="Jan-1900"/>
    <n v="0"/>
    <n v="0"/>
    <n v="0"/>
  </r>
  <r>
    <x v="88"/>
    <d v="2025-06-24T00:00:00"/>
    <x v="31"/>
    <s v="2025-Q2"/>
    <d v="2025-07-23T00:00:00"/>
    <x v="3"/>
    <x v="1"/>
    <x v="2"/>
    <s v="Vancouver"/>
    <s v="Americas &gt; Canada &gt; Vancouver"/>
    <s v="Non-Profit"/>
    <x v="2"/>
    <x v="2"/>
    <x v="12"/>
    <x v="5"/>
    <s v="Low"/>
    <x v="88"/>
    <n v="255.4"/>
    <n v="322.70999999999998"/>
    <n v="322.70999999999998"/>
    <x v="72"/>
    <s v="OK"/>
    <n v="0.115"/>
    <n v="16"/>
    <n v="4569.5735999999997"/>
    <n v="4086.4"/>
    <n v="483.17359999999962"/>
    <n v="0.10573713048412212"/>
    <d v="1899-12-30T00:00:00"/>
    <s v="Jan-1900"/>
    <n v="0"/>
    <n v="0"/>
    <n v="0"/>
  </r>
  <r>
    <x v="89"/>
    <d v="2025-08-07T00:00:00"/>
    <x v="24"/>
    <s v="2025-Q3"/>
    <d v="2025-09-06T00:00:00"/>
    <x v="27"/>
    <x v="1"/>
    <x v="2"/>
    <s v="Montreal"/>
    <s v="Americas &gt; Canada &gt; Montreal"/>
    <s v="Education"/>
    <x v="4"/>
    <x v="4"/>
    <x v="13"/>
    <x v="6"/>
    <s v="Medium"/>
    <x v="89"/>
    <n v="833.73"/>
    <n v="1116.5999999999999"/>
    <n v="1116.5999999999999"/>
    <x v="33"/>
    <s v="OK"/>
    <n v="0.17599999999999999"/>
    <n v="14"/>
    <n v="12881.097599999999"/>
    <n v="11672.220000000001"/>
    <n v="1208.877599999998"/>
    <n v="9.3848958958279924E-2"/>
    <d v="1899-12-30T00:00:00"/>
    <s v="Jan-1900"/>
    <n v="0"/>
    <n v="0"/>
    <n v="0"/>
  </r>
  <r>
    <x v="90"/>
    <d v="2024-11-05T00:00:00"/>
    <x v="13"/>
    <s v="2024-Q4"/>
    <d v="2024-11-08T00:00:00"/>
    <x v="12"/>
    <x v="1"/>
    <x v="2"/>
    <s v="Toronto"/>
    <s v="Americas &gt; Canada &gt; Toronto"/>
    <s v="Education"/>
    <x v="2"/>
    <x v="2"/>
    <x v="7"/>
    <x v="0"/>
    <s v="Medium"/>
    <x v="90"/>
    <n v="1020.4"/>
    <n v="1184.71"/>
    <n v="1184.71"/>
    <x v="73"/>
    <s v="OK"/>
    <n v="0.106"/>
    <n v="16"/>
    <n v="16946.091840000001"/>
    <n v="16326.4"/>
    <n v="619.69184000000132"/>
    <n v="3.6568422138328345E-2"/>
    <d v="1899-12-30T00:00:00"/>
    <s v="Jan-1900"/>
    <n v="0"/>
    <n v="0"/>
    <n v="0"/>
  </r>
  <r>
    <x v="91"/>
    <d v="2023-08-29T00:00:00"/>
    <x v="21"/>
    <s v="2023-Q3"/>
    <d v="2023-09-13T00:00:00"/>
    <x v="26"/>
    <x v="1"/>
    <x v="2"/>
    <s v="Vancouver"/>
    <s v="Americas &gt; Canada &gt; Vancouver"/>
    <s v="Small Business"/>
    <x v="2"/>
    <x v="2"/>
    <x v="7"/>
    <x v="5"/>
    <s v="High"/>
    <x v="91"/>
    <n v="1287.6400000000001"/>
    <n v="2717.15"/>
    <n v="2717.15"/>
    <x v="39"/>
    <s v="OK"/>
    <n v="3.2000000000000001E-2"/>
    <n v="7"/>
    <n v="18411.4084"/>
    <n v="9013.4800000000014"/>
    <n v="9397.9283999999989"/>
    <n v="0.51044049405802105"/>
    <d v="1899-12-30T00:00:00"/>
    <s v="Jan-1900"/>
    <n v="0"/>
    <n v="0"/>
    <n v="0"/>
  </r>
  <r>
    <x v="92"/>
    <d v="2024-09-25T00:00:00"/>
    <x v="17"/>
    <s v="2024-Q3"/>
    <d v="2024-10-03T00:00:00"/>
    <x v="19"/>
    <x v="1"/>
    <x v="2"/>
    <s v="Toronto"/>
    <s v="Americas &gt; Canada &gt; Toronto"/>
    <s v="Consumer"/>
    <x v="1"/>
    <x v="1"/>
    <x v="11"/>
    <x v="5"/>
    <s v="Medium"/>
    <x v="92"/>
    <n v="558.19000000000005"/>
    <n v="1031.6400000000001"/>
    <n v="1031.6400000000001"/>
    <x v="3"/>
    <s v="OK"/>
    <n v="0"/>
    <n v="21"/>
    <n v="21664.440000000002"/>
    <n v="11721.990000000002"/>
    <n v="9942.4500000000007"/>
    <n v="0.45892947152107322"/>
    <d v="1899-12-30T00:00:00"/>
    <s v="Jan-1900"/>
    <n v="0"/>
    <n v="0"/>
    <n v="0"/>
  </r>
  <r>
    <x v="93"/>
    <d v="2023-06-13T00:00:00"/>
    <x v="11"/>
    <s v="2023-Q2"/>
    <d v="2023-06-24T00:00:00"/>
    <x v="20"/>
    <x v="1"/>
    <x v="2"/>
    <s v="Toronto"/>
    <s v="Americas &gt; Canada &gt; Toronto"/>
    <s v="Corporate"/>
    <x v="1"/>
    <x v="1"/>
    <x v="0"/>
    <x v="5"/>
    <s v="Low"/>
    <x v="93"/>
    <n v="247.07"/>
    <n v="495.19"/>
    <n v="495.19"/>
    <x v="74"/>
    <s v="OK"/>
    <n v="2.8000000000000001E-2"/>
    <n v="4"/>
    <n v="1925.29872"/>
    <n v="988.28"/>
    <n v="937.01872000000003"/>
    <n v="0.48668744764968214"/>
    <d v="1899-12-30T00:00:00"/>
    <s v="Jan-1900"/>
    <n v="0"/>
    <n v="0"/>
    <n v="0"/>
  </r>
  <r>
    <x v="94"/>
    <d v="2024-06-03T00:00:00"/>
    <x v="6"/>
    <s v="2024-Q2"/>
    <d v="2024-06-24T00:00:00"/>
    <x v="24"/>
    <x v="1"/>
    <x v="2"/>
    <s v="Toronto"/>
    <s v="Americas &gt; Canada &gt; Toronto"/>
    <s v="Small Business"/>
    <x v="4"/>
    <x v="4"/>
    <x v="4"/>
    <x v="2"/>
    <s v="High"/>
    <x v="94"/>
    <n v="1205.5"/>
    <n v="2210.17"/>
    <n v="2210.17"/>
    <x v="75"/>
    <s v="OK"/>
    <n v="0.104"/>
    <n v="23"/>
    <n v="45547.183360000003"/>
    <n v="27726.5"/>
    <n v="17820.683360000003"/>
    <n v="0.39125763758314652"/>
    <d v="1899-12-30T00:00:00"/>
    <s v="Jan-1900"/>
    <n v="0"/>
    <n v="0"/>
    <n v="0"/>
  </r>
  <r>
    <x v="95"/>
    <d v="2024-12-27T00:00:00"/>
    <x v="30"/>
    <s v="2024-Q4"/>
    <d v="2024-12-29T00:00:00"/>
    <x v="18"/>
    <x v="1"/>
    <x v="2"/>
    <s v="Vancouver"/>
    <s v="Americas &gt; Canada &gt; Vancouver"/>
    <s v="Enterprise"/>
    <x v="2"/>
    <x v="2"/>
    <x v="0"/>
    <x v="1"/>
    <s v="High"/>
    <x v="95"/>
    <n v="1146.72"/>
    <n v="2074.34"/>
    <n v="2074.34"/>
    <x v="40"/>
    <s v="OK"/>
    <n v="0.111"/>
    <n v="8"/>
    <n v="14752.706080000002"/>
    <n v="9173.76"/>
    <n v="5578.9460800000015"/>
    <n v="0.37816425337472737"/>
    <d v="1899-12-30T00:00:00"/>
    <s v="Jan-1900"/>
    <n v="0"/>
    <n v="0"/>
    <n v="0"/>
  </r>
  <r>
    <x v="96"/>
    <d v="2024-11-17T00:00:00"/>
    <x v="13"/>
    <s v="2024-Q4"/>
    <d v="2024-11-28T00:00:00"/>
    <x v="20"/>
    <x v="1"/>
    <x v="2"/>
    <s v="Unkown"/>
    <s v="Americas &gt; Canada &gt; Unkown"/>
    <s v="Consumer"/>
    <x v="3"/>
    <x v="3"/>
    <x v="1"/>
    <x v="5"/>
    <s v="High"/>
    <x v="96"/>
    <n v="1008.16"/>
    <n v="2077.5"/>
    <n v="2077.5"/>
    <x v="76"/>
    <s v="OK"/>
    <n v="7.3999999999999996E-2"/>
    <n v="15"/>
    <n v="28856.475000000002"/>
    <n v="15122.4"/>
    <n v="13734.075000000003"/>
    <n v="0.47594430712691005"/>
    <d v="1899-12-30T00:00:00"/>
    <s v="Jan-1900"/>
    <n v="0"/>
    <n v="0"/>
    <n v="0"/>
  </r>
  <r>
    <x v="97"/>
    <d v="2023-09-08T00:00:00"/>
    <x v="29"/>
    <s v="2023-Q3"/>
    <d v="2023-10-02T00:00:00"/>
    <x v="7"/>
    <x v="1"/>
    <x v="2"/>
    <s v="Toronto"/>
    <s v="Americas &gt; Canada &gt; Toronto"/>
    <s v="Education"/>
    <x v="4"/>
    <x v="4"/>
    <x v="1"/>
    <x v="1"/>
    <s v="High"/>
    <x v="97"/>
    <n v="1299.03"/>
    <n v="2451.2199999999998"/>
    <n v="2451.2199999999998"/>
    <x v="77"/>
    <s v="OK"/>
    <n v="0.20799999999999999"/>
    <n v="8"/>
    <n v="15530.929919999999"/>
    <n v="10392.24"/>
    <n v="5138.6899199999989"/>
    <n v="0.3308681416032041"/>
    <d v="1899-12-30T00:00:00"/>
    <s v="Jan-1900"/>
    <n v="0"/>
    <n v="0"/>
    <n v="0"/>
  </r>
  <r>
    <x v="98"/>
    <d v="2025-05-14T00:00:00"/>
    <x v="1"/>
    <s v="2025-Q2"/>
    <d v="2025-05-19T00:00:00"/>
    <x v="5"/>
    <x v="1"/>
    <x v="2"/>
    <s v="Vancouver"/>
    <s v="Americas &gt; Canada &gt; Vancouver"/>
    <s v="Non-Profit"/>
    <x v="3"/>
    <x v="3"/>
    <x v="8"/>
    <x v="5"/>
    <s v="High"/>
    <x v="98"/>
    <n v="883.5"/>
    <n v="1978.91"/>
    <n v="1978.91"/>
    <x v="78"/>
    <s v="OK"/>
    <n v="5.3999999999999999E-2"/>
    <n v="27"/>
    <n v="50545.319219999998"/>
    <n v="23854.5"/>
    <n v="26690.819219999998"/>
    <n v="0.52805718970390547"/>
    <d v="1899-12-30T00:00:00"/>
    <s v="Jan-1900"/>
    <n v="0"/>
    <n v="0"/>
    <n v="0"/>
  </r>
  <r>
    <x v="99"/>
    <d v="2023-04-13T00:00:00"/>
    <x v="19"/>
    <s v="2023-Q2"/>
    <d v="2023-05-02T00:00:00"/>
    <x v="1"/>
    <x v="1"/>
    <x v="2"/>
    <s v="Montreal"/>
    <s v="Americas &gt; Canada &gt; Montreal"/>
    <s v="Consumer"/>
    <x v="3"/>
    <x v="3"/>
    <x v="11"/>
    <x v="2"/>
    <s v="High"/>
    <x v="99"/>
    <n v="671.05"/>
    <n v="1645.48"/>
    <n v="1645.48"/>
    <x v="79"/>
    <s v="OK"/>
    <n v="0.13700000000000001"/>
    <n v="6"/>
    <n v="8520.2954399999999"/>
    <n v="4026.2999999999997"/>
    <n v="4493.9954400000006"/>
    <n v="0.52744596377517172"/>
    <d v="1899-12-30T00:00:00"/>
    <s v="Jan-1900"/>
    <n v="0"/>
    <n v="0"/>
    <n v="0"/>
  </r>
  <r>
    <x v="100"/>
    <d v="2024-01-02T00:00:00"/>
    <x v="22"/>
    <s v="2024-Q1"/>
    <d v="2024-01-02T00:00:00"/>
    <x v="25"/>
    <x v="1"/>
    <x v="2"/>
    <s v="Vancouver"/>
    <s v="Americas &gt; Canada &gt; Vancouver"/>
    <s v="Education"/>
    <x v="4"/>
    <x v="4"/>
    <x v="1"/>
    <x v="3"/>
    <s v="Low"/>
    <x v="100"/>
    <n v="444.41"/>
    <n v="754.24"/>
    <n v="754.24"/>
    <x v="80"/>
    <s v="OK"/>
    <n v="0.20699999999999999"/>
    <n v="32"/>
    <n v="19139.594240000002"/>
    <n v="14221.12"/>
    <n v="4918.4742400000014"/>
    <n v="0.25697902360546598"/>
    <d v="1899-12-30T00:00:00"/>
    <s v="Jan-1900"/>
    <n v="0"/>
    <n v="0"/>
    <n v="0"/>
  </r>
  <r>
    <x v="101"/>
    <d v="2023-12-19T00:00:00"/>
    <x v="9"/>
    <s v="2023-Q4"/>
    <d v="2024-01-01T00:00:00"/>
    <x v="28"/>
    <x v="1"/>
    <x v="2"/>
    <s v="Toronto"/>
    <s v="Americas &gt; Canada &gt; Toronto"/>
    <s v="Enterprise"/>
    <x v="0"/>
    <x v="0"/>
    <x v="3"/>
    <x v="2"/>
    <s v="Medium"/>
    <x v="101"/>
    <n v="856.1"/>
    <n v="901.48"/>
    <n v="901.48"/>
    <x v="60"/>
    <s v="OK"/>
    <n v="5.6000000000000001E-2"/>
    <n v="17"/>
    <n v="14466.95104"/>
    <n v="14553.7"/>
    <n v="-86.748960000000807"/>
    <n v="-5.9963540182134192E-3"/>
    <d v="1899-12-30T00:00:00"/>
    <s v="Jan-1900"/>
    <n v="0"/>
    <n v="0"/>
    <n v="0"/>
  </r>
  <r>
    <x v="102"/>
    <d v="2025-08-03T00:00:00"/>
    <x v="24"/>
    <s v="2025-Q3"/>
    <d v="2025-08-16T00:00:00"/>
    <x v="28"/>
    <x v="1"/>
    <x v="2"/>
    <s v="Montreal"/>
    <s v="Americas &gt; Canada &gt; Montreal"/>
    <s v="Enterprise"/>
    <x v="3"/>
    <x v="3"/>
    <x v="7"/>
    <x v="6"/>
    <s v="Medium"/>
    <x v="102"/>
    <n v="698.66"/>
    <n v="868.62"/>
    <n v="868.62"/>
    <x v="12"/>
    <s v="OK"/>
    <n v="7.1999999999999995E-2"/>
    <n v="15"/>
    <n v="12091.190399999999"/>
    <n v="10479.9"/>
    <n v="1611.2903999999999"/>
    <n v="0.13326151906432637"/>
    <d v="1899-12-30T00:00:00"/>
    <s v="Jan-1900"/>
    <n v="0"/>
    <n v="0"/>
    <n v="0"/>
  </r>
  <r>
    <x v="103"/>
    <d v="2023-08-02T00:00:00"/>
    <x v="21"/>
    <s v="2023-Q3"/>
    <d v="2023-08-19T00:00:00"/>
    <x v="23"/>
    <x v="1"/>
    <x v="2"/>
    <s v="Vancouver"/>
    <s v="Americas &gt; Canada &gt; Vancouver"/>
    <s v="Corporate"/>
    <x v="1"/>
    <x v="1"/>
    <x v="8"/>
    <x v="6"/>
    <s v="Low"/>
    <x v="103"/>
    <n v="175.38"/>
    <n v="347.9"/>
    <n v="347.9"/>
    <x v="12"/>
    <s v="OK"/>
    <n v="7.1999999999999995E-2"/>
    <n v="43"/>
    <n v="13882.6016"/>
    <n v="7541.34"/>
    <n v="6341.2615999999998"/>
    <n v="0.45677761148169804"/>
    <d v="1899-12-30T00:00:00"/>
    <s v="Jan-1900"/>
    <n v="0"/>
    <n v="0"/>
    <n v="0"/>
  </r>
  <r>
    <x v="104"/>
    <d v="2025-02-17T00:00:00"/>
    <x v="8"/>
    <s v="2025-Q1"/>
    <d v="2025-02-22T00:00:00"/>
    <x v="5"/>
    <x v="1"/>
    <x v="2"/>
    <s v="Toronto"/>
    <s v="Americas &gt; Canada &gt; Toronto"/>
    <s v="Small Business"/>
    <x v="0"/>
    <x v="0"/>
    <x v="14"/>
    <x v="0"/>
    <s v="High"/>
    <x v="104"/>
    <n v="1133.47"/>
    <n v="1698.75"/>
    <n v="1698.75"/>
    <x v="56"/>
    <s v="OK"/>
    <n v="4.2999999999999997E-2"/>
    <n v="5"/>
    <n v="8128.5187499999993"/>
    <n v="5667.35"/>
    <n v="2461.1687499999989"/>
    <n v="0.30278194904821976"/>
    <d v="1899-12-30T00:00:00"/>
    <s v="Jan-1900"/>
    <n v="0"/>
    <n v="0"/>
    <n v="0"/>
  </r>
  <r>
    <x v="105"/>
    <d v="2024-08-19T00:00:00"/>
    <x v="10"/>
    <s v="2024-Q3"/>
    <d v="2024-09-02T00:00:00"/>
    <x v="6"/>
    <x v="1"/>
    <x v="2"/>
    <s v="Toronto"/>
    <s v="Americas &gt; Canada &gt; Toronto"/>
    <s v="Consumer"/>
    <x v="3"/>
    <x v="3"/>
    <x v="0"/>
    <x v="5"/>
    <s v="Medium"/>
    <x v="105"/>
    <n v="1337.01"/>
    <n v="1269.78"/>
    <n v="1269.78"/>
    <x v="81"/>
    <s v="OK"/>
    <n v="0.16"/>
    <n v="7"/>
    <n v="7466.3063999999986"/>
    <n v="9359.07"/>
    <n v="-1892.7636000000011"/>
    <n v="-0.25350735672996244"/>
    <d v="1899-12-30T00:00:00"/>
    <s v="Jan-1900"/>
    <n v="0"/>
    <n v="0"/>
    <n v="0"/>
  </r>
  <r>
    <x v="106"/>
    <d v="2023-06-23T00:00:00"/>
    <x v="11"/>
    <s v="2023-Q2"/>
    <d v="2023-07-18T00:00:00"/>
    <x v="2"/>
    <x v="1"/>
    <x v="2"/>
    <s v="Vancouver"/>
    <s v="Americas &gt; Canada &gt; Vancouver"/>
    <s v="Enterprise"/>
    <x v="1"/>
    <x v="1"/>
    <x v="5"/>
    <x v="4"/>
    <s v="Medium"/>
    <x v="106"/>
    <n v="807.02"/>
    <n v="1435.54"/>
    <n v="1435.54"/>
    <x v="3"/>
    <s v="OK"/>
    <n v="0"/>
    <n v="23"/>
    <n v="33017.42"/>
    <n v="18561.46"/>
    <n v="14455.96"/>
    <n v="0.43782827368098415"/>
    <d v="1899-12-30T00:00:00"/>
    <s v="Jan-1900"/>
    <n v="0"/>
    <n v="0"/>
    <n v="0"/>
  </r>
  <r>
    <x v="107"/>
    <d v="2023-05-11T00:00:00"/>
    <x v="26"/>
    <s v="2023-Q2"/>
    <d v="2023-05-28T00:00:00"/>
    <x v="23"/>
    <x v="2"/>
    <x v="3"/>
    <s v="Shenzhen"/>
    <s v="Asia &gt; China &gt; Shenzhen"/>
    <s v="Enterprise"/>
    <x v="2"/>
    <x v="2"/>
    <x v="11"/>
    <x v="6"/>
    <s v="High"/>
    <x v="107"/>
    <n v="1331.19"/>
    <n v="2903.09"/>
    <n v="2903.09"/>
    <x v="82"/>
    <s v="OK"/>
    <n v="0.14299999999999999"/>
    <n v="8"/>
    <n v="19903.585040000002"/>
    <n v="10649.52"/>
    <n v="9254.0650400000013"/>
    <n v="0.46494463290920784"/>
    <d v="1899-12-30T00:00:00"/>
    <s v="Jan-1900"/>
    <n v="0"/>
    <n v="0"/>
    <n v="0"/>
  </r>
  <r>
    <x v="108"/>
    <d v="2025-06-24T00:00:00"/>
    <x v="31"/>
    <s v="2025-Q2"/>
    <d v="2025-07-10T00:00:00"/>
    <x v="4"/>
    <x v="2"/>
    <x v="3"/>
    <s v="Shanghai"/>
    <s v="Asia &gt; China &gt; Shanghai"/>
    <s v="Enterprise"/>
    <x v="4"/>
    <x v="4"/>
    <x v="5"/>
    <x v="0"/>
    <s v="High"/>
    <x v="108"/>
    <n v="757.19"/>
    <n v="1735.41"/>
    <n v="1735.41"/>
    <x v="83"/>
    <s v="OK"/>
    <n v="0.13600000000000001"/>
    <n v="8"/>
    <n v="11995.153920000001"/>
    <n v="6057.52"/>
    <n v="5937.6339200000002"/>
    <n v="0.4950027285685718"/>
    <d v="1899-12-30T00:00:00"/>
    <s v="Jan-1900"/>
    <n v="0"/>
    <n v="0"/>
    <n v="0"/>
  </r>
  <r>
    <x v="109"/>
    <d v="2023-04-21T00:00:00"/>
    <x v="19"/>
    <s v="2023-Q2"/>
    <d v="2023-05-10T00:00:00"/>
    <x v="1"/>
    <x v="2"/>
    <x v="3"/>
    <s v="Shanghai"/>
    <s v="Asia &gt; China &gt; Shanghai"/>
    <s v="Corporate"/>
    <x v="0"/>
    <x v="0"/>
    <x v="1"/>
    <x v="0"/>
    <s v="High"/>
    <x v="109"/>
    <n v="882.33"/>
    <n v="1880.15"/>
    <n v="1880.15"/>
    <x v="84"/>
    <s v="OK"/>
    <n v="0.05"/>
    <n v="5"/>
    <n v="8930.7124999999996"/>
    <n v="4411.6500000000005"/>
    <n v="4519.0624999999991"/>
    <n v="0.50601365792482955"/>
    <d v="1899-12-30T00:00:00"/>
    <s v="Jan-1900"/>
    <n v="0"/>
    <n v="0"/>
    <n v="0"/>
  </r>
  <r>
    <x v="110"/>
    <d v="2024-12-15T00:00:00"/>
    <x v="30"/>
    <s v="2024-Q4"/>
    <d v="2024-12-20T00:00:00"/>
    <x v="5"/>
    <x v="2"/>
    <x v="3"/>
    <s v="Shenzhen"/>
    <s v="Asia &gt; China &gt; Shenzhen"/>
    <s v="Small Business"/>
    <x v="4"/>
    <x v="4"/>
    <x v="2"/>
    <x v="6"/>
    <s v="Low"/>
    <x v="110"/>
    <n v="717.55"/>
    <n v="546.42999999999995"/>
    <n v="546.42999999999995"/>
    <x v="85"/>
    <s v="OK"/>
    <n v="4.7E-2"/>
    <n v="18"/>
    <n v="9373.460219999999"/>
    <n v="12915.9"/>
    <n v="-3542.4397800000006"/>
    <n v="-0.37792231437026369"/>
    <d v="1899-12-30T00:00:00"/>
    <s v="Jan-1900"/>
    <n v="0"/>
    <n v="0"/>
    <n v="0"/>
  </r>
  <r>
    <x v="111"/>
    <d v="2024-04-06T00:00:00"/>
    <x v="15"/>
    <s v="2024-Q2"/>
    <d v="2024-04-25T00:00:00"/>
    <x v="1"/>
    <x v="2"/>
    <x v="3"/>
    <s v="Shanghai"/>
    <s v="Asia &gt; China &gt; Shanghai"/>
    <s v="Corporate"/>
    <x v="0"/>
    <x v="0"/>
    <x v="3"/>
    <x v="0"/>
    <s v="High"/>
    <x v="111"/>
    <n v="1366.48"/>
    <n v="1678.14"/>
    <n v="1678.14"/>
    <x v="86"/>
    <s v="OK"/>
    <n v="0.154"/>
    <n v="10"/>
    <n v="14197.064400000001"/>
    <n v="13664.8"/>
    <n v="532.26440000000184"/>
    <n v="3.7491159087790132E-2"/>
    <d v="1899-12-30T00:00:00"/>
    <s v="Jan-1900"/>
    <n v="0"/>
    <n v="0"/>
    <n v="0"/>
  </r>
  <r>
    <x v="112"/>
    <d v="2025-07-22T00:00:00"/>
    <x v="4"/>
    <s v="2025-Q3"/>
    <d v="2025-08-18T00:00:00"/>
    <x v="10"/>
    <x v="2"/>
    <x v="3"/>
    <s v="Shenzhen"/>
    <s v="Asia &gt; China &gt; Shenzhen"/>
    <s v="Non-Profit"/>
    <x v="2"/>
    <x v="2"/>
    <x v="13"/>
    <x v="6"/>
    <s v="Low"/>
    <x v="112"/>
    <n v="547.32000000000005"/>
    <n v="419.17"/>
    <n v="419.17"/>
    <x v="87"/>
    <s v="OK"/>
    <n v="9.1999999999999998E-2"/>
    <n v="14"/>
    <n v="5328.4890400000004"/>
    <n v="7662.4800000000005"/>
    <n v="-2333.9909600000001"/>
    <n v="-0.43802116181137907"/>
    <d v="1899-12-30T00:00:00"/>
    <s v="Jan-1900"/>
    <n v="0"/>
    <n v="0"/>
    <n v="0"/>
  </r>
  <r>
    <x v="113"/>
    <d v="2025-01-27T00:00:00"/>
    <x v="25"/>
    <s v="2025-Q1"/>
    <d v="2025-02-15T00:00:00"/>
    <x v="1"/>
    <x v="2"/>
    <x v="3"/>
    <s v="Shenzhen"/>
    <s v="Asia &gt; China &gt; Shenzhen"/>
    <s v="Non-Profit"/>
    <x v="4"/>
    <x v="4"/>
    <x v="10"/>
    <x v="4"/>
    <s v="High"/>
    <x v="113"/>
    <n v="1253.22"/>
    <n v="3104.71"/>
    <n v="3104.71"/>
    <x v="3"/>
    <s v="OK"/>
    <n v="0"/>
    <n v="17"/>
    <n v="52780.07"/>
    <n v="21304.74"/>
    <n v="31475.329999999998"/>
    <n v="0.59634877331538205"/>
    <d v="1899-12-30T00:00:00"/>
    <s v="Jan-1900"/>
    <n v="0"/>
    <n v="0"/>
    <n v="0"/>
  </r>
  <r>
    <x v="114"/>
    <d v="2024-09-14T00:00:00"/>
    <x v="17"/>
    <s v="2024-Q3"/>
    <d v="2024-10-05T00:00:00"/>
    <x v="24"/>
    <x v="2"/>
    <x v="3"/>
    <s v="Shanghai"/>
    <s v="Asia &gt; China &gt; Shanghai"/>
    <s v="Small Business"/>
    <x v="1"/>
    <x v="1"/>
    <x v="15"/>
    <x v="3"/>
    <s v="High"/>
    <x v="114"/>
    <n v="1405.56"/>
    <n v="2968.87"/>
    <n v="2968.87"/>
    <x v="68"/>
    <s v="OK"/>
    <n v="0.16900000000000001"/>
    <n v="5"/>
    <n v="12335.654849999999"/>
    <n v="7027.7999999999993"/>
    <n v="5307.8548499999997"/>
    <n v="0.4302856163327235"/>
    <d v="1899-12-30T00:00:00"/>
    <s v="Jan-1900"/>
    <n v="0"/>
    <n v="0"/>
    <n v="0"/>
  </r>
  <r>
    <x v="115"/>
    <d v="2024-06-09T00:00:00"/>
    <x v="6"/>
    <s v="2024-Q2"/>
    <d v="2024-07-07T00:00:00"/>
    <x v="11"/>
    <x v="2"/>
    <x v="3"/>
    <s v="Shenzhen"/>
    <s v="Asia &gt; China &gt; Shenzhen"/>
    <s v="Corporate"/>
    <x v="1"/>
    <x v="1"/>
    <x v="2"/>
    <x v="0"/>
    <s v="Medium"/>
    <x v="115"/>
    <n v="550.22"/>
    <n v="1025.05"/>
    <n v="1025.05"/>
    <x v="3"/>
    <s v="OK"/>
    <n v="0"/>
    <n v="27"/>
    <n v="27676.35"/>
    <n v="14855.94"/>
    <n v="12820.409999999998"/>
    <n v="0.46322618408858102"/>
    <d v="1899-12-30T00:00:00"/>
    <s v="Jan-1900"/>
    <n v="0"/>
    <n v="0"/>
    <n v="0"/>
  </r>
  <r>
    <x v="116"/>
    <d v="2023-06-09T00:00:00"/>
    <x v="11"/>
    <s v="2023-Q2"/>
    <d v="2023-06-19T00:00:00"/>
    <x v="30"/>
    <x v="2"/>
    <x v="3"/>
    <s v="Beijing"/>
    <s v="Asia &gt; China &gt; Beijing"/>
    <s v="Enterprise"/>
    <x v="0"/>
    <x v="0"/>
    <x v="8"/>
    <x v="2"/>
    <s v="Low"/>
    <x v="116"/>
    <n v="339.61"/>
    <n v="621.02"/>
    <n v="621.02"/>
    <x v="88"/>
    <s v="OK"/>
    <n v="7.0999999999999994E-2"/>
    <n v="10"/>
    <n v="5769.2758000000003"/>
    <n v="3396.1000000000004"/>
    <n v="2373.1758"/>
    <n v="0.41134726129750981"/>
    <d v="1899-12-30T00:00:00"/>
    <s v="Jan-1900"/>
    <n v="0"/>
    <n v="0"/>
    <n v="0"/>
  </r>
  <r>
    <x v="117"/>
    <d v="2023-08-12T00:00:00"/>
    <x v="21"/>
    <s v="2023-Q3"/>
    <d v="2023-09-06T00:00:00"/>
    <x v="2"/>
    <x v="2"/>
    <x v="3"/>
    <s v="Shanghai"/>
    <s v="Asia &gt; China &gt; Shanghai"/>
    <s v="Small Business"/>
    <x v="0"/>
    <x v="0"/>
    <x v="6"/>
    <x v="0"/>
    <s v="Low"/>
    <x v="117"/>
    <n v="950.77"/>
    <n v="694.78"/>
    <n v="694.78"/>
    <x v="89"/>
    <s v="OK"/>
    <n v="8.4000000000000005E-2"/>
    <n v="14"/>
    <n v="8909.8587200000002"/>
    <n v="13310.779999999999"/>
    <n v="-4400.9212799999987"/>
    <n v="-0.49393839097821279"/>
    <d v="1899-12-30T00:00:00"/>
    <s v="Jan-1900"/>
    <n v="0"/>
    <n v="0"/>
    <n v="0"/>
  </r>
  <r>
    <x v="118"/>
    <d v="2025-01-09T00:00:00"/>
    <x v="25"/>
    <s v="2025-Q1"/>
    <d v="2025-01-15T00:00:00"/>
    <x v="29"/>
    <x v="2"/>
    <x v="3"/>
    <s v="Beijing"/>
    <s v="Asia &gt; China &gt; Beijing"/>
    <s v="Education"/>
    <x v="1"/>
    <x v="1"/>
    <x v="0"/>
    <x v="4"/>
    <s v="Low"/>
    <x v="118"/>
    <n v="304.77999999999997"/>
    <n v="537.27"/>
    <n v="537.27"/>
    <x v="90"/>
    <s v="OK"/>
    <n v="0.187"/>
    <n v="8"/>
    <n v="3494.4040799999998"/>
    <n v="2438.2399999999998"/>
    <n v="1056.16408"/>
    <n v="0.3022444044307549"/>
    <d v="1899-12-30T00:00:00"/>
    <s v="Jan-1900"/>
    <n v="0"/>
    <n v="0"/>
    <n v="0"/>
  </r>
  <r>
    <x v="119"/>
    <d v="2024-12-14T00:00:00"/>
    <x v="30"/>
    <s v="2024-Q4"/>
    <d v="2025-01-12T00:00:00"/>
    <x v="3"/>
    <x v="2"/>
    <x v="3"/>
    <s v="Shenzhen"/>
    <s v="Asia &gt; China &gt; Shenzhen"/>
    <s v="Education"/>
    <x v="1"/>
    <x v="1"/>
    <x v="2"/>
    <x v="0"/>
    <s v="High"/>
    <x v="119"/>
    <n v="1412.15"/>
    <n v="1631.04"/>
    <n v="1631.04"/>
    <x v="91"/>
    <s v="OK"/>
    <n v="8.9999999999999993E-3"/>
    <n v="6"/>
    <n v="9698.1638399999993"/>
    <n v="8472.9000000000015"/>
    <n v="1225.2638399999978"/>
    <n v="0.12633977526203535"/>
    <d v="1899-12-30T00:00:00"/>
    <s v="Jan-1900"/>
    <n v="0"/>
    <n v="0"/>
    <n v="0"/>
  </r>
  <r>
    <x v="120"/>
    <d v="2024-02-14T00:00:00"/>
    <x v="23"/>
    <s v="2024-Q1"/>
    <d v="2024-02-14T00:00:00"/>
    <x v="25"/>
    <x v="2"/>
    <x v="3"/>
    <s v="Beijing"/>
    <s v="Asia &gt; China &gt; Beijing"/>
    <s v="Corporate"/>
    <x v="3"/>
    <x v="3"/>
    <x v="10"/>
    <x v="1"/>
    <s v="Low"/>
    <x v="120"/>
    <n v="65.930000000000007"/>
    <n v="84.9"/>
    <n v="84.9"/>
    <x v="92"/>
    <s v="OK"/>
    <n v="0.25900000000000001"/>
    <n v="23"/>
    <n v="1446.9507000000001"/>
    <n v="1516.39"/>
    <n v="-69.439300000000003"/>
    <n v="-4.7990093926489688E-2"/>
    <d v="1899-12-30T00:00:00"/>
    <s v="Jan-1900"/>
    <n v="0"/>
    <n v="0"/>
    <n v="0"/>
  </r>
  <r>
    <x v="121"/>
    <d v="2025-08-01T00:00:00"/>
    <x v="24"/>
    <s v="2025-Q3"/>
    <d v="2025-08-21T00:00:00"/>
    <x v="8"/>
    <x v="2"/>
    <x v="3"/>
    <s v="Shanghai"/>
    <s v="Asia &gt; China &gt; Shanghai"/>
    <s v="Corporate"/>
    <x v="4"/>
    <x v="4"/>
    <x v="12"/>
    <x v="4"/>
    <s v="High"/>
    <x v="121"/>
    <n v="1220.4100000000001"/>
    <n v="2552.2199999999998"/>
    <n v="2552.2199999999998"/>
    <x v="93"/>
    <s v="OK"/>
    <n v="0.18099999999999999"/>
    <n v="14"/>
    <n v="29263.754519999995"/>
    <n v="17085.740000000002"/>
    <n v="12178.014519999993"/>
    <n v="0.41614668793360271"/>
    <d v="1899-12-30T00:00:00"/>
    <s v="Jan-1900"/>
    <n v="0"/>
    <n v="0"/>
    <n v="0"/>
  </r>
  <r>
    <x v="122"/>
    <d v="2024-10-30T00:00:00"/>
    <x v="32"/>
    <s v="2024-Q4"/>
    <d v="2024-11-24T00:00:00"/>
    <x v="2"/>
    <x v="2"/>
    <x v="3"/>
    <s v="Shenzhen"/>
    <s v="Asia &gt; China &gt; Shenzhen"/>
    <s v="Small Business"/>
    <x v="1"/>
    <x v="1"/>
    <x v="11"/>
    <x v="0"/>
    <s v="Medium"/>
    <x v="122"/>
    <n v="811.05"/>
    <n v="1217.71"/>
    <n v="1217.71"/>
    <x v="12"/>
    <s v="OK"/>
    <n v="7.1999999999999995E-2"/>
    <n v="5"/>
    <n v="5650.1744000000008"/>
    <n v="4055.25"/>
    <n v="1594.9244000000008"/>
    <n v="0.28227879125288602"/>
    <d v="1899-12-30T00:00:00"/>
    <s v="Jan-1900"/>
    <n v="0"/>
    <n v="0"/>
    <n v="0"/>
  </r>
  <r>
    <x v="123"/>
    <d v="2024-06-04T00:00:00"/>
    <x v="6"/>
    <s v="2024-Q2"/>
    <d v="2024-06-16T00:00:00"/>
    <x v="15"/>
    <x v="2"/>
    <x v="3"/>
    <s v="Shanghai"/>
    <s v="Asia &gt; China &gt; Shanghai"/>
    <s v="Corporate"/>
    <x v="0"/>
    <x v="0"/>
    <x v="2"/>
    <x v="5"/>
    <s v="Medium"/>
    <x v="123"/>
    <n v="918.42"/>
    <n v="1511.71"/>
    <n v="1511.71"/>
    <x v="94"/>
    <s v="OK"/>
    <n v="0.02"/>
    <n v="8"/>
    <n v="11851.806399999999"/>
    <n v="7347.36"/>
    <n v="4504.4463999999998"/>
    <n v="0.38006412254590999"/>
    <d v="1899-12-30T00:00:00"/>
    <s v="Jan-1900"/>
    <n v="0"/>
    <n v="0"/>
    <n v="0"/>
  </r>
  <r>
    <x v="124"/>
    <d v="2023-04-18T00:00:00"/>
    <x v="19"/>
    <s v="2023-Q2"/>
    <d v="2023-05-18T00:00:00"/>
    <x v="27"/>
    <x v="2"/>
    <x v="3"/>
    <s v="Shenzhen"/>
    <s v="Asia &gt; China &gt; Shenzhen"/>
    <s v="Non-Profit"/>
    <x v="0"/>
    <x v="0"/>
    <x v="15"/>
    <x v="3"/>
    <s v="Low"/>
    <x v="124"/>
    <n v="329.03"/>
    <n v="391.15"/>
    <n v="391.15"/>
    <x v="95"/>
    <s v="OK"/>
    <n v="0.19700000000000001"/>
    <n v="46"/>
    <n v="14448.298699999998"/>
    <n v="15135.38"/>
    <n v="-687.08130000000165"/>
    <n v="-4.7554477815440081E-2"/>
    <d v="1899-12-30T00:00:00"/>
    <s v="Jan-1900"/>
    <n v="0"/>
    <n v="0"/>
    <n v="0"/>
  </r>
  <r>
    <x v="125"/>
    <d v="2025-08-21T00:00:00"/>
    <x v="24"/>
    <s v="2025-Q3"/>
    <d v="2025-09-12T00:00:00"/>
    <x v="21"/>
    <x v="2"/>
    <x v="3"/>
    <s v="Shenzhen"/>
    <s v="Asia &gt; China &gt; Shenzhen"/>
    <s v="Education"/>
    <x v="0"/>
    <x v="0"/>
    <x v="6"/>
    <x v="5"/>
    <s v="Low"/>
    <x v="125"/>
    <n v="352.66"/>
    <n v="411.18"/>
    <n v="411.18"/>
    <x v="96"/>
    <s v="OK"/>
    <n v="0.17299999999999999"/>
    <n v="13"/>
    <n v="4420.5961799999995"/>
    <n v="4584.58"/>
    <n v="-163.98382000000038"/>
    <n v="-3.7095408248758066E-2"/>
    <d v="1899-12-30T00:00:00"/>
    <s v="Jan-1900"/>
    <n v="0"/>
    <n v="0"/>
    <n v="0"/>
  </r>
  <r>
    <x v="126"/>
    <d v="2024-10-03T00:00:00"/>
    <x v="32"/>
    <s v="2024-Q4"/>
    <d v="2024-10-11T00:00:00"/>
    <x v="19"/>
    <x v="2"/>
    <x v="3"/>
    <s v="Beijing"/>
    <s v="Asia &gt; China &gt; Beijing"/>
    <s v="Enterprise"/>
    <x v="4"/>
    <x v="4"/>
    <x v="6"/>
    <x v="4"/>
    <s v="High"/>
    <x v="126"/>
    <n v="1132.6099999999999"/>
    <n v="2206.63"/>
    <n v="2206.63"/>
    <x v="16"/>
    <s v="OK"/>
    <n v="6.3E-2"/>
    <n v="20"/>
    <n v="41352.246200000009"/>
    <n v="22652.199999999997"/>
    <n v="18700.046200000012"/>
    <n v="0.45221355351671338"/>
    <d v="1899-12-30T00:00:00"/>
    <s v="Jan-1900"/>
    <n v="0"/>
    <n v="0"/>
    <n v="0"/>
  </r>
  <r>
    <x v="127"/>
    <d v="2024-02-03T00:00:00"/>
    <x v="23"/>
    <s v="2024-Q1"/>
    <d v="2024-02-19T00:00:00"/>
    <x v="4"/>
    <x v="2"/>
    <x v="3"/>
    <s v="Shenzhen"/>
    <s v="Asia &gt; China &gt; Shenzhen"/>
    <s v="Small Business"/>
    <x v="1"/>
    <x v="1"/>
    <x v="15"/>
    <x v="3"/>
    <s v="Medium"/>
    <x v="127"/>
    <n v="993.75"/>
    <n v="1310.29"/>
    <n v="1310.29"/>
    <x v="97"/>
    <s v="OK"/>
    <n v="0.215"/>
    <n v="19"/>
    <n v="19542.975350000001"/>
    <n v="18881.25"/>
    <n v="661.72535000000062"/>
    <n v="3.3860010471742245E-2"/>
    <d v="1899-12-30T00:00:00"/>
    <s v="Jan-1900"/>
    <n v="0"/>
    <n v="0"/>
    <n v="0"/>
  </r>
  <r>
    <x v="128"/>
    <d v="2023-10-15T00:00:00"/>
    <x v="20"/>
    <s v="2023-Q4"/>
    <d v="2023-11-13T00:00:00"/>
    <x v="3"/>
    <x v="2"/>
    <x v="3"/>
    <s v="Shenzhen"/>
    <s v="Asia &gt; China &gt; Shenzhen"/>
    <s v="Non-Profit"/>
    <x v="3"/>
    <x v="3"/>
    <x v="2"/>
    <x v="5"/>
    <s v="Low"/>
    <x v="128"/>
    <n v="986.44"/>
    <n v="790.61"/>
    <n v="790.61"/>
    <x v="12"/>
    <s v="OK"/>
    <n v="7.1999999999999995E-2"/>
    <n v="6"/>
    <n v="4402.1164799999997"/>
    <n v="5918.64"/>
    <n v="-1516.5235200000006"/>
    <n v="-0.34449872621271499"/>
    <d v="1899-12-30T00:00:00"/>
    <s v="Jan-1900"/>
    <n v="0"/>
    <n v="0"/>
    <n v="0"/>
  </r>
  <r>
    <x v="129"/>
    <d v="2024-09-09T00:00:00"/>
    <x v="17"/>
    <s v="2024-Q3"/>
    <d v="2024-10-01T00:00:00"/>
    <x v="21"/>
    <x v="2"/>
    <x v="3"/>
    <s v="Shenzhen"/>
    <s v="Asia &gt; China &gt; Shenzhen"/>
    <s v="Consumer"/>
    <x v="4"/>
    <x v="4"/>
    <x v="10"/>
    <x v="5"/>
    <s v="Medium"/>
    <x v="129"/>
    <n v="1166.18"/>
    <n v="1335.02"/>
    <n v="1335.02"/>
    <x v="37"/>
    <s v="OK"/>
    <n v="0.128"/>
    <n v="6"/>
    <n v="6984.8246399999998"/>
    <n v="6997.08"/>
    <n v="-12.25536000000011"/>
    <n v="-1.7545694604582242E-3"/>
    <d v="1899-12-30T00:00:00"/>
    <s v="Jan-1900"/>
    <n v="0"/>
    <n v="0"/>
    <n v="0"/>
  </r>
  <r>
    <x v="130"/>
    <d v="2024-10-11T00:00:00"/>
    <x v="32"/>
    <s v="2024-Q4"/>
    <d v="2024-11-09T00:00:00"/>
    <x v="3"/>
    <x v="2"/>
    <x v="3"/>
    <s v="Shanghai"/>
    <s v="Asia &gt; China &gt; Shanghai"/>
    <s v="Non-Profit"/>
    <x v="1"/>
    <x v="1"/>
    <x v="8"/>
    <x v="5"/>
    <s v="Low"/>
    <x v="130"/>
    <n v="391.64"/>
    <n v="504.76"/>
    <n v="504.76"/>
    <x v="98"/>
    <s v="OK"/>
    <n v="4.0000000000000001E-3"/>
    <n v="13"/>
    <n v="6535.6324800000002"/>
    <n v="5091.32"/>
    <n v="1444.3124800000005"/>
    <n v="0.22099046793402319"/>
    <d v="1899-12-30T00:00:00"/>
    <s v="Jan-1900"/>
    <n v="0"/>
    <n v="0"/>
    <n v="0"/>
  </r>
  <r>
    <x v="131"/>
    <d v="2023-05-23T00:00:00"/>
    <x v="26"/>
    <s v="2023-Q2"/>
    <d v="2023-06-10T00:00:00"/>
    <x v="16"/>
    <x v="2"/>
    <x v="3"/>
    <s v="Shanghai"/>
    <s v="Asia &gt; China &gt; Shanghai"/>
    <s v="Corporate"/>
    <x v="3"/>
    <x v="3"/>
    <x v="11"/>
    <x v="0"/>
    <s v="Low"/>
    <x v="131"/>
    <n v="54.62"/>
    <n v="48.94"/>
    <n v="48.94"/>
    <x v="99"/>
    <s v="OK"/>
    <n v="0.14799999999999999"/>
    <n v="16"/>
    <n v="667.15008"/>
    <n v="873.92"/>
    <n v="-206.76991999999996"/>
    <n v="-0.3099301434543783"/>
    <d v="1899-12-30T00:00:00"/>
    <s v="Jan-1900"/>
    <n v="0"/>
    <n v="0"/>
    <n v="0"/>
  </r>
  <r>
    <x v="132"/>
    <d v="2025-05-16T00:00:00"/>
    <x v="1"/>
    <s v="2025-Q2"/>
    <d v="2025-05-27T00:00:00"/>
    <x v="20"/>
    <x v="2"/>
    <x v="3"/>
    <s v="Beijing"/>
    <s v="Asia &gt; China &gt; Beijing"/>
    <s v="Enterprise"/>
    <x v="1"/>
    <x v="1"/>
    <x v="8"/>
    <x v="4"/>
    <s v="Medium"/>
    <x v="132"/>
    <n v="918.12"/>
    <n v="1337.69"/>
    <n v="1337.69"/>
    <x v="100"/>
    <s v="OK"/>
    <n v="9.5000000000000001E-2"/>
    <n v="8"/>
    <n v="9684.8756000000012"/>
    <n v="7344.96"/>
    <n v="2339.9156000000012"/>
    <n v="0.24160512707050164"/>
    <d v="1899-12-30T00:00:00"/>
    <s v="Jan-1900"/>
    <n v="0"/>
    <n v="0"/>
    <n v="0"/>
  </r>
  <r>
    <x v="133"/>
    <d v="2023-10-05T00:00:00"/>
    <x v="20"/>
    <s v="2023-Q4"/>
    <d v="2023-10-31T00:00:00"/>
    <x v="0"/>
    <x v="2"/>
    <x v="3"/>
    <s v="Shanghai"/>
    <s v="Asia &gt; China &gt; Shanghai"/>
    <s v="Consumer"/>
    <x v="5"/>
    <x v="5"/>
    <x v="2"/>
    <x v="5"/>
    <s v="Medium"/>
    <x v="133"/>
    <n v="649.91"/>
    <n v="1360.12"/>
    <n v="1360.12"/>
    <x v="101"/>
    <s v="OK"/>
    <n v="0.19400000000000001"/>
    <n v="9"/>
    <n v="9866.3104799999983"/>
    <n v="5849.19"/>
    <n v="4017.1204799999987"/>
    <n v="0.40715528749506769"/>
    <d v="1899-12-30T00:00:00"/>
    <s v="Jan-1900"/>
    <n v="0"/>
    <n v="0"/>
    <n v="0"/>
  </r>
  <r>
    <x v="134"/>
    <d v="2024-07-11T00:00:00"/>
    <x v="27"/>
    <s v="2024-Q3"/>
    <d v="2024-07-31T00:00:00"/>
    <x v="8"/>
    <x v="2"/>
    <x v="3"/>
    <s v="Shenzhen"/>
    <s v="Asia &gt; China &gt; Shenzhen"/>
    <s v="Consumer"/>
    <x v="1"/>
    <x v="1"/>
    <x v="4"/>
    <x v="4"/>
    <s v="Medium"/>
    <x v="134"/>
    <n v="647.26"/>
    <n v="1374.72"/>
    <n v="1374.72"/>
    <x v="102"/>
    <s v="OK"/>
    <n v="6.6000000000000003E-2"/>
    <n v="22"/>
    <n v="28247.74656"/>
    <n v="14239.72"/>
    <n v="14008.02656"/>
    <n v="0.49589890401508901"/>
    <d v="1899-12-30T00:00:00"/>
    <s v="Jan-1900"/>
    <n v="0"/>
    <n v="0"/>
    <n v="0"/>
  </r>
  <r>
    <x v="135"/>
    <d v="2024-11-25T00:00:00"/>
    <x v="13"/>
    <s v="2024-Q4"/>
    <d v="2024-12-07T00:00:00"/>
    <x v="15"/>
    <x v="2"/>
    <x v="3"/>
    <s v="Shanghai"/>
    <s v="Asia &gt; China &gt; Shanghai"/>
    <s v="Corporate"/>
    <x v="3"/>
    <x v="3"/>
    <x v="1"/>
    <x v="1"/>
    <s v="Low"/>
    <x v="135"/>
    <n v="769.9"/>
    <n v="814.36"/>
    <n v="814.36"/>
    <x v="3"/>
    <s v="OK"/>
    <n v="0"/>
    <n v="5"/>
    <n v="4071.8"/>
    <n v="3849.5"/>
    <n v="222.30000000000018"/>
    <n v="5.4595019401738831E-2"/>
    <d v="1899-12-30T00:00:00"/>
    <s v="Jan-1900"/>
    <n v="0"/>
    <n v="0"/>
    <n v="0"/>
  </r>
  <r>
    <x v="136"/>
    <d v="2024-03-09T00:00:00"/>
    <x v="0"/>
    <s v="2024-Q1"/>
    <d v="2024-03-26T00:00:00"/>
    <x v="23"/>
    <x v="2"/>
    <x v="3"/>
    <s v="Shenzhen"/>
    <s v="Asia &gt; China &gt; Shenzhen"/>
    <s v="Enterprise"/>
    <x v="1"/>
    <x v="1"/>
    <x v="3"/>
    <x v="2"/>
    <s v="Medium"/>
    <x v="136"/>
    <n v="1029.67"/>
    <n v="1118.43"/>
    <n v="1118.43"/>
    <x v="103"/>
    <s v="OK"/>
    <n v="0.27200000000000002"/>
    <n v="9"/>
    <n v="7327.9533600000004"/>
    <n v="9267.0300000000007"/>
    <n v="-1939.0766400000002"/>
    <n v="-0.26461367106736061"/>
    <d v="1899-12-30T00:00:00"/>
    <s v="Jan-1900"/>
    <n v="0"/>
    <n v="0"/>
    <n v="0"/>
  </r>
  <r>
    <x v="137"/>
    <d v="2024-03-03T00:00:00"/>
    <x v="0"/>
    <s v="2024-Q1"/>
    <d v="2024-03-19T00:00:00"/>
    <x v="4"/>
    <x v="2"/>
    <x v="3"/>
    <s v="Beijing"/>
    <s v="Asia &gt; China &gt; Beijing"/>
    <s v="Consumer"/>
    <x v="3"/>
    <x v="3"/>
    <x v="4"/>
    <x v="4"/>
    <s v="Medium"/>
    <x v="137"/>
    <n v="988.83"/>
    <n v="1206.04"/>
    <n v="1206.04"/>
    <x v="16"/>
    <s v="OK"/>
    <n v="6.3E-2"/>
    <n v="34"/>
    <n v="38422.022320000004"/>
    <n v="33620.22"/>
    <n v="4801.8023200000025"/>
    <n v="0.12497526236406606"/>
    <d v="1899-12-30T00:00:00"/>
    <s v="Jan-1900"/>
    <n v="0"/>
    <n v="0"/>
    <n v="0"/>
  </r>
  <r>
    <x v="138"/>
    <d v="2025-06-27T00:00:00"/>
    <x v="31"/>
    <s v="2025-Q2"/>
    <d v="2025-07-11T00:00:00"/>
    <x v="6"/>
    <x v="2"/>
    <x v="3"/>
    <s v="Shanghai"/>
    <s v="Asia &gt; China &gt; Shanghai"/>
    <s v="Small Business"/>
    <x v="2"/>
    <x v="2"/>
    <x v="10"/>
    <x v="6"/>
    <s v="High"/>
    <x v="138"/>
    <n v="1227.7"/>
    <n v="2197.23"/>
    <n v="2197.23"/>
    <x v="104"/>
    <s v="OK"/>
    <n v="9.9000000000000005E-2"/>
    <n v="22"/>
    <n v="43553.493060000001"/>
    <n v="27009.4"/>
    <n v="16544.093059999999"/>
    <n v="0.37985685871873898"/>
    <d v="1899-12-30T00:00:00"/>
    <s v="Jan-1900"/>
    <n v="0"/>
    <n v="0"/>
    <n v="0"/>
  </r>
  <r>
    <x v="139"/>
    <d v="2023-09-30T00:00:00"/>
    <x v="29"/>
    <s v="2023-Q3"/>
    <d v="2023-10-03T00:00:00"/>
    <x v="12"/>
    <x v="2"/>
    <x v="3"/>
    <s v="Beijing"/>
    <s v="Asia &gt; China &gt; Beijing"/>
    <s v="Non-Profit"/>
    <x v="0"/>
    <x v="0"/>
    <x v="2"/>
    <x v="3"/>
    <s v="Medium"/>
    <x v="139"/>
    <n v="1019.36"/>
    <n v="972.91"/>
    <n v="972.91"/>
    <x v="7"/>
    <s v="OK"/>
    <n v="0.14699999999999999"/>
    <n v="17"/>
    <n v="14108.16791"/>
    <n v="17329.12"/>
    <n v="-3220.9520899999989"/>
    <n v="-0.22830406545678819"/>
    <d v="1899-12-30T00:00:00"/>
    <s v="Jan-1900"/>
    <n v="0"/>
    <n v="0"/>
    <n v="0"/>
  </r>
  <r>
    <x v="140"/>
    <d v="2023-10-09T00:00:00"/>
    <x v="20"/>
    <s v="2023-Q4"/>
    <d v="2023-10-26T00:00:00"/>
    <x v="23"/>
    <x v="2"/>
    <x v="3"/>
    <s v="Shanghai"/>
    <s v="Asia &gt; China &gt; Shanghai"/>
    <s v="Consumer"/>
    <x v="2"/>
    <x v="2"/>
    <x v="0"/>
    <x v="0"/>
    <s v="High"/>
    <x v="140"/>
    <n v="1132.03"/>
    <n v="2137.21"/>
    <n v="2137.21"/>
    <x v="35"/>
    <s v="OK"/>
    <n v="0.3"/>
    <n v="35"/>
    <n v="52361.645000000004"/>
    <n v="39621.049999999996"/>
    <n v="12740.595000000008"/>
    <n v="0.24331922727026639"/>
    <d v="1899-12-30T00:00:00"/>
    <s v="Jan-1900"/>
    <n v="0"/>
    <n v="0"/>
    <n v="0"/>
  </r>
  <r>
    <x v="141"/>
    <d v="2023-03-06T00:00:00"/>
    <x v="12"/>
    <s v="2023-Q1"/>
    <d v="2023-04-04T00:00:00"/>
    <x v="3"/>
    <x v="2"/>
    <x v="3"/>
    <s v="Beijing"/>
    <s v="Asia &gt; China &gt; Beijing"/>
    <s v="Small Business"/>
    <x v="4"/>
    <x v="4"/>
    <x v="0"/>
    <x v="2"/>
    <s v="High"/>
    <x v="141"/>
    <n v="1126.29"/>
    <n v="2050.87"/>
    <n v="2050.87"/>
    <x v="105"/>
    <s v="OK"/>
    <n v="6.4000000000000001E-2"/>
    <n v="7"/>
    <n v="13437.300239999999"/>
    <n v="7884.03"/>
    <n v="5553.2702399999989"/>
    <n v="0.41327276616690373"/>
    <d v="1899-12-30T00:00:00"/>
    <s v="Jan-1900"/>
    <n v="0"/>
    <n v="0"/>
    <n v="0"/>
  </r>
  <r>
    <x v="142"/>
    <d v="2023-12-16T00:00:00"/>
    <x v="9"/>
    <s v="2023-Q4"/>
    <d v="2023-12-19T00:00:00"/>
    <x v="12"/>
    <x v="2"/>
    <x v="3"/>
    <s v="Beijing"/>
    <s v="Asia &gt; China &gt; Beijing"/>
    <s v="Education"/>
    <x v="0"/>
    <x v="0"/>
    <x v="1"/>
    <x v="1"/>
    <s v="High"/>
    <x v="142"/>
    <n v="1415.05"/>
    <n v="1972.38"/>
    <n v="1972.38"/>
    <x v="3"/>
    <s v="OK"/>
    <n v="0"/>
    <n v="12"/>
    <n v="23668.560000000001"/>
    <n v="16980.599999999999"/>
    <n v="6687.9600000000028"/>
    <n v="0.28256725377462771"/>
    <d v="1899-12-30T00:00:00"/>
    <s v="Jan-1900"/>
    <n v="0"/>
    <n v="0"/>
    <n v="0"/>
  </r>
  <r>
    <x v="143"/>
    <d v="2025-03-14T00:00:00"/>
    <x v="2"/>
    <s v="2025-Q1"/>
    <d v="2025-04-08T00:00:00"/>
    <x v="2"/>
    <x v="2"/>
    <x v="3"/>
    <s v="Unkown"/>
    <s v="Asia &gt; China &gt; Unkown"/>
    <s v="Corporate"/>
    <x v="3"/>
    <x v="3"/>
    <x v="14"/>
    <x v="5"/>
    <s v="Low"/>
    <x v="143"/>
    <n v="80.59"/>
    <n v="157.82"/>
    <n v="157.82"/>
    <x v="106"/>
    <s v="OK"/>
    <n v="0.217"/>
    <n v="6"/>
    <n v="741.43835999999999"/>
    <n v="483.54"/>
    <n v="257.89835999999997"/>
    <n v="0.34783519967863541"/>
    <d v="1899-12-30T00:00:00"/>
    <s v="Jan-1900"/>
    <n v="0"/>
    <n v="0"/>
    <n v="0"/>
  </r>
  <r>
    <x v="144"/>
    <d v="2024-02-19T00:00:00"/>
    <x v="23"/>
    <s v="2024-Q1"/>
    <d v="2024-03-06T00:00:00"/>
    <x v="4"/>
    <x v="2"/>
    <x v="3"/>
    <s v="Beijing"/>
    <s v="Asia &gt; China &gt; Beijing"/>
    <s v="Education"/>
    <x v="2"/>
    <x v="2"/>
    <x v="7"/>
    <x v="5"/>
    <s v="High"/>
    <x v="144"/>
    <n v="1477.84"/>
    <n v="3197.47"/>
    <n v="3197.47"/>
    <x v="107"/>
    <s v="OK"/>
    <n v="0.24299999999999999"/>
    <n v="24"/>
    <n v="58091.634960000003"/>
    <n v="35468.159999999996"/>
    <n v="22623.474960000007"/>
    <n v="0.38944462443823091"/>
    <d v="1899-12-30T00:00:00"/>
    <s v="Jan-1900"/>
    <n v="0"/>
    <n v="0"/>
    <n v="0"/>
  </r>
  <r>
    <x v="145"/>
    <d v="2024-12-28T00:00:00"/>
    <x v="30"/>
    <s v="2024-Q4"/>
    <d v="2025-01-08T00:00:00"/>
    <x v="20"/>
    <x v="2"/>
    <x v="3"/>
    <s v="Shenzhen"/>
    <s v="Asia &gt; China &gt; Shenzhen"/>
    <s v="Enterprise"/>
    <x v="1"/>
    <x v="1"/>
    <x v="3"/>
    <x v="3"/>
    <s v="High"/>
    <x v="145"/>
    <n v="1201.31"/>
    <n v="2764.65"/>
    <n v="2764.65"/>
    <x v="3"/>
    <s v="OK"/>
    <n v="0"/>
    <n v="21"/>
    <n v="58057.65"/>
    <n v="25227.51"/>
    <n v="32830.14"/>
    <n v="0.56547483406579491"/>
    <d v="1899-12-30T00:00:00"/>
    <s v="Jan-1900"/>
    <n v="0"/>
    <n v="0"/>
    <n v="0"/>
  </r>
  <r>
    <x v="146"/>
    <d v="2024-09-07T00:00:00"/>
    <x v="17"/>
    <s v="2024-Q3"/>
    <d v="2024-09-18T00:00:00"/>
    <x v="20"/>
    <x v="2"/>
    <x v="3"/>
    <s v="Beijing"/>
    <s v="Asia &gt; China &gt; Beijing"/>
    <s v="Consumer"/>
    <x v="3"/>
    <x v="3"/>
    <x v="7"/>
    <x v="6"/>
    <s v="Low"/>
    <x v="146"/>
    <n v="181.74"/>
    <n v="190.84"/>
    <n v="190.84"/>
    <x v="108"/>
    <s v="OK"/>
    <n v="0.214"/>
    <n v="13"/>
    <n v="1950.0031200000001"/>
    <n v="2362.62"/>
    <n v="-412.61687999999981"/>
    <n v="-0.21159806144310159"/>
    <d v="1899-12-30T00:00:00"/>
    <s v="Jan-1900"/>
    <n v="0"/>
    <n v="0"/>
    <n v="0"/>
  </r>
  <r>
    <x v="147"/>
    <d v="2023-05-17T00:00:00"/>
    <x v="26"/>
    <s v="2023-Q2"/>
    <d v="2023-06-03T00:00:00"/>
    <x v="23"/>
    <x v="2"/>
    <x v="3"/>
    <s v="Beijing"/>
    <s v="Asia &gt; China &gt; Beijing"/>
    <s v="Non-Profit"/>
    <x v="3"/>
    <x v="3"/>
    <x v="13"/>
    <x v="5"/>
    <s v="High"/>
    <x v="147"/>
    <n v="979.59"/>
    <n v="2210.94"/>
    <n v="2210.94"/>
    <x v="109"/>
    <s v="OK"/>
    <n v="0.15"/>
    <n v="11"/>
    <n v="20672.289000000001"/>
    <n v="10775.49"/>
    <n v="9896.7990000000009"/>
    <n v="0.47874712858358359"/>
    <d v="1899-12-30T00:00:00"/>
    <s v="Jan-1900"/>
    <n v="0"/>
    <n v="0"/>
    <n v="0"/>
  </r>
  <r>
    <x v="148"/>
    <d v="2023-05-02T00:00:00"/>
    <x v="26"/>
    <s v="2023-Q2"/>
    <d v="2023-05-19T00:00:00"/>
    <x v="23"/>
    <x v="2"/>
    <x v="3"/>
    <s v="Shanghai"/>
    <s v="Asia &gt; China &gt; Shanghai"/>
    <s v="Non-Profit"/>
    <x v="4"/>
    <x v="4"/>
    <x v="2"/>
    <x v="2"/>
    <s v="Low"/>
    <x v="148"/>
    <n v="714.28"/>
    <n v="757.59"/>
    <n v="757.59"/>
    <x v="83"/>
    <s v="OK"/>
    <n v="0.13600000000000001"/>
    <n v="12"/>
    <n v="7854.6931199999999"/>
    <n v="8571.36"/>
    <n v="-716.66688000000067"/>
    <n v="-9.1240595787910383E-2"/>
    <d v="1899-12-30T00:00:00"/>
    <s v="Jan-1900"/>
    <n v="0"/>
    <n v="0"/>
    <n v="0"/>
  </r>
  <r>
    <x v="149"/>
    <d v="2025-07-03T00:00:00"/>
    <x v="4"/>
    <s v="2025-Q3"/>
    <d v="2025-07-23T00:00:00"/>
    <x v="8"/>
    <x v="2"/>
    <x v="3"/>
    <s v="Beijing"/>
    <s v="Asia &gt; China &gt; Beijing"/>
    <s v="Small Business"/>
    <x v="1"/>
    <x v="1"/>
    <x v="13"/>
    <x v="0"/>
    <s v="Medium"/>
    <x v="149"/>
    <n v="647.36"/>
    <n v="1383.6"/>
    <n v="1383.6"/>
    <x v="76"/>
    <s v="OK"/>
    <n v="7.3999999999999996E-2"/>
    <n v="12"/>
    <n v="15374.563199999999"/>
    <n v="7768.32"/>
    <n v="7606.243199999999"/>
    <n v="0.49472906000997802"/>
    <d v="1899-12-30T00:00:00"/>
    <s v="Jan-1900"/>
    <n v="0"/>
    <n v="0"/>
    <n v="0"/>
  </r>
  <r>
    <x v="150"/>
    <d v="2023-02-23T00:00:00"/>
    <x v="5"/>
    <s v="2023-Q1"/>
    <d v="2023-03-18T00:00:00"/>
    <x v="9"/>
    <x v="2"/>
    <x v="3"/>
    <s v="Beijing"/>
    <s v="Asia &gt; China &gt; Beijing"/>
    <s v="Education"/>
    <x v="3"/>
    <x v="3"/>
    <x v="3"/>
    <x v="5"/>
    <s v="High"/>
    <x v="150"/>
    <n v="770.11"/>
    <n v="1667.82"/>
    <n v="1667.82"/>
    <x v="110"/>
    <s v="OK"/>
    <n v="6.9000000000000006E-2"/>
    <n v="7"/>
    <n v="10869.182940000001"/>
    <n v="5390.77"/>
    <n v="5478.4129400000002"/>
    <n v="0.50403171703355287"/>
    <d v="1899-12-30T00:00:00"/>
    <s v="Jan-1900"/>
    <n v="0"/>
    <n v="0"/>
    <n v="0"/>
  </r>
  <r>
    <x v="151"/>
    <d v="2025-03-24T00:00:00"/>
    <x v="2"/>
    <s v="2025-Q1"/>
    <d v="2025-03-25T00:00:00"/>
    <x v="17"/>
    <x v="2"/>
    <x v="3"/>
    <s v="Beijing"/>
    <s v="Asia &gt; China &gt; Beijing"/>
    <s v="Non-Profit"/>
    <x v="1"/>
    <x v="1"/>
    <x v="4"/>
    <x v="6"/>
    <s v="High"/>
    <x v="151"/>
    <n v="1133.03"/>
    <n v="1921.51"/>
    <n v="1921.51"/>
    <x v="111"/>
    <s v="OK"/>
    <n v="0.10100000000000001"/>
    <n v="5"/>
    <n v="8637.1874499999994"/>
    <n v="5665.15"/>
    <n v="2972.0374499999998"/>
    <n v="0.3440978289755654"/>
    <d v="1899-12-30T00:00:00"/>
    <s v="Jan-1900"/>
    <n v="0"/>
    <n v="0"/>
    <n v="0"/>
  </r>
  <r>
    <x v="152"/>
    <d v="2024-10-24T00:00:00"/>
    <x v="32"/>
    <s v="2024-Q4"/>
    <d v="2024-10-28T00:00:00"/>
    <x v="14"/>
    <x v="2"/>
    <x v="3"/>
    <s v="Shanghai"/>
    <s v="Asia &gt; China &gt; Shanghai"/>
    <s v="Small Business"/>
    <x v="3"/>
    <x v="3"/>
    <x v="12"/>
    <x v="6"/>
    <s v="High"/>
    <x v="152"/>
    <n v="1331.77"/>
    <n v="2606.11"/>
    <n v="2606.11"/>
    <x v="94"/>
    <s v="OK"/>
    <n v="0.02"/>
    <n v="6"/>
    <n v="15323.926799999999"/>
    <n v="7990.62"/>
    <n v="7333.3067999999994"/>
    <n v="0.47855271665745619"/>
    <d v="1899-12-30T00:00:00"/>
    <s v="Jan-1900"/>
    <n v="0"/>
    <n v="0"/>
    <n v="0"/>
  </r>
  <r>
    <x v="153"/>
    <d v="2024-07-09T00:00:00"/>
    <x v="27"/>
    <s v="2024-Q3"/>
    <d v="2024-07-12T00:00:00"/>
    <x v="12"/>
    <x v="2"/>
    <x v="3"/>
    <s v="Shanghai"/>
    <s v="Asia &gt; China &gt; Shanghai"/>
    <s v="Small Business"/>
    <x v="0"/>
    <x v="0"/>
    <x v="14"/>
    <x v="1"/>
    <s v="Medium"/>
    <x v="153"/>
    <n v="748.39"/>
    <n v="979.42"/>
    <n v="979.42"/>
    <x v="3"/>
    <s v="OK"/>
    <n v="0"/>
    <n v="23"/>
    <n v="22526.66"/>
    <n v="17212.97"/>
    <n v="5313.6899999999987"/>
    <n v="0.23588450307324738"/>
    <d v="1899-12-30T00:00:00"/>
    <s v="Jan-1900"/>
    <n v="0"/>
    <n v="0"/>
    <n v="0"/>
  </r>
  <r>
    <x v="154"/>
    <d v="2023-01-12T00:00:00"/>
    <x v="28"/>
    <s v="2023-Q1"/>
    <d v="2023-01-26T00:00:00"/>
    <x v="6"/>
    <x v="2"/>
    <x v="3"/>
    <s v="Shenzhen"/>
    <s v="Asia &gt; China &gt; Shenzhen"/>
    <s v="Non-Profit"/>
    <x v="0"/>
    <x v="0"/>
    <x v="13"/>
    <x v="5"/>
    <s v="Medium"/>
    <x v="154"/>
    <n v="1083.0899999999999"/>
    <n v="1425.87"/>
    <n v="1425.87"/>
    <x v="3"/>
    <s v="OK"/>
    <n v="0"/>
    <n v="8"/>
    <n v="11406.96"/>
    <n v="8664.7199999999993"/>
    <n v="2742.24"/>
    <n v="0.24040059752992909"/>
    <d v="1899-12-30T00:00:00"/>
    <s v="Jan-1900"/>
    <n v="0"/>
    <n v="0"/>
    <n v="0"/>
  </r>
  <r>
    <x v="155"/>
    <d v="2024-06-07T00:00:00"/>
    <x v="6"/>
    <s v="2024-Q2"/>
    <d v="2024-06-09T00:00:00"/>
    <x v="18"/>
    <x v="2"/>
    <x v="3"/>
    <s v="Shanghai"/>
    <s v="Asia &gt; China &gt; Shanghai"/>
    <s v="Corporate"/>
    <x v="0"/>
    <x v="0"/>
    <x v="7"/>
    <x v="2"/>
    <s v="High"/>
    <x v="155"/>
    <n v="1370.28"/>
    <n v="2209.66"/>
    <n v="2209.66"/>
    <x v="18"/>
    <s v="OK"/>
    <n v="0.13300000000000001"/>
    <n v="16"/>
    <n v="30652.403519999996"/>
    <n v="21924.48"/>
    <n v="8727.9235199999966"/>
    <n v="0.28473863442079589"/>
    <d v="1899-12-30T00:00:00"/>
    <s v="Jan-1900"/>
    <n v="0"/>
    <n v="0"/>
    <n v="0"/>
  </r>
  <r>
    <x v="156"/>
    <d v="2023-08-03T00:00:00"/>
    <x v="21"/>
    <s v="2023-Q3"/>
    <d v="2023-08-08T00:00:00"/>
    <x v="5"/>
    <x v="2"/>
    <x v="3"/>
    <s v="Shanghai"/>
    <s v="Asia &gt; China &gt; Shanghai"/>
    <s v="Non-Profit"/>
    <x v="4"/>
    <x v="4"/>
    <x v="2"/>
    <x v="6"/>
    <s v="High"/>
    <x v="156"/>
    <n v="1021.97"/>
    <n v="2296.25"/>
    <n v="2296.25"/>
    <x v="112"/>
    <s v="OK"/>
    <n v="0.161"/>
    <n v="26"/>
    <n v="50090.397499999999"/>
    <n v="26571.22"/>
    <n v="23519.177499999998"/>
    <n v="0.46953465482081669"/>
    <d v="1899-12-30T00:00:00"/>
    <s v="Jan-1900"/>
    <n v="0"/>
    <n v="0"/>
    <n v="0"/>
  </r>
  <r>
    <x v="157"/>
    <d v="2023-08-03T00:00:00"/>
    <x v="21"/>
    <s v="2023-Q3"/>
    <d v="2023-08-30T00:00:00"/>
    <x v="10"/>
    <x v="2"/>
    <x v="3"/>
    <s v="Shanghai"/>
    <s v="Asia &gt; China &gt; Shanghai"/>
    <s v="Consumer"/>
    <x v="3"/>
    <x v="3"/>
    <x v="5"/>
    <x v="2"/>
    <s v="Low"/>
    <x v="157"/>
    <n v="226.04"/>
    <n v="545.72"/>
    <n v="545.72"/>
    <x v="113"/>
    <s v="OK"/>
    <n v="0.151"/>
    <n v="11"/>
    <n v="5096.4790800000001"/>
    <n v="2486.44"/>
    <n v="2610.03908"/>
    <n v="0.51212592831834014"/>
    <d v="1899-12-30T00:00:00"/>
    <s v="Jan-1900"/>
    <n v="0"/>
    <n v="0"/>
    <n v="0"/>
  </r>
  <r>
    <x v="158"/>
    <d v="2024-01-20T00:00:00"/>
    <x v="22"/>
    <s v="2024-Q1"/>
    <d v="2024-02-13T00:00:00"/>
    <x v="7"/>
    <x v="3"/>
    <x v="4"/>
    <s v="Marseille"/>
    <s v="Europe &gt; France &gt; Marseille"/>
    <s v="Corporate"/>
    <x v="0"/>
    <x v="0"/>
    <x v="15"/>
    <x v="5"/>
    <s v="Medium"/>
    <x v="158"/>
    <n v="643.53"/>
    <n v="1439.01"/>
    <n v="1439.01"/>
    <x v="3"/>
    <s v="OK"/>
    <n v="0"/>
    <n v="15"/>
    <n v="21585.15"/>
    <n v="9652.9499999999989"/>
    <n v="11932.200000000003"/>
    <n v="0.55279671440782208"/>
    <d v="1899-12-30T00:00:00"/>
    <s v="Jan-1900"/>
    <n v="0"/>
    <n v="0"/>
    <n v="0"/>
  </r>
  <r>
    <x v="159"/>
    <d v="2024-12-10T00:00:00"/>
    <x v="30"/>
    <s v="2024-Q4"/>
    <d v="2025-01-08T00:00:00"/>
    <x v="3"/>
    <x v="3"/>
    <x v="4"/>
    <s v="Marseille"/>
    <s v="Europe &gt; France &gt; Marseille"/>
    <s v="Small Business"/>
    <x v="0"/>
    <x v="0"/>
    <x v="3"/>
    <x v="5"/>
    <s v="Medium"/>
    <x v="159"/>
    <n v="891.08"/>
    <n v="1040.0999999999999"/>
    <n v="1040.0999999999999"/>
    <x v="4"/>
    <s v="OK"/>
    <n v="0.109"/>
    <n v="28"/>
    <n v="25948.414799999995"/>
    <n v="24950.240000000002"/>
    <n v="998.17479999999341"/>
    <n v="3.8467660074556598E-2"/>
    <d v="1899-12-30T00:00:00"/>
    <s v="Jan-1900"/>
    <n v="0"/>
    <n v="0"/>
    <n v="0"/>
  </r>
  <r>
    <x v="160"/>
    <d v="2024-11-30T00:00:00"/>
    <x v="13"/>
    <s v="2024-Q4"/>
    <d v="2024-12-30T00:00:00"/>
    <x v="27"/>
    <x v="3"/>
    <x v="4"/>
    <s v="Marseille"/>
    <s v="Europe &gt; France &gt; Marseille"/>
    <s v="Consumer"/>
    <x v="2"/>
    <x v="2"/>
    <x v="8"/>
    <x v="5"/>
    <s v="Low"/>
    <x v="160"/>
    <n v="117.64"/>
    <n v="175.67"/>
    <n v="175.67"/>
    <x v="3"/>
    <s v="OK"/>
    <n v="0"/>
    <n v="10"/>
    <n v="1756.6999999999998"/>
    <n v="1176.4000000000001"/>
    <n v="580.29999999999973"/>
    <n v="0.33033528775545046"/>
    <d v="1899-12-30T00:00:00"/>
    <s v="Jan-1900"/>
    <n v="0"/>
    <n v="0"/>
    <n v="0"/>
  </r>
  <r>
    <x v="161"/>
    <d v="2025-04-07T00:00:00"/>
    <x v="7"/>
    <s v="2025-Q2"/>
    <d v="2025-04-11T00:00:00"/>
    <x v="14"/>
    <x v="3"/>
    <x v="4"/>
    <s v="Lyon"/>
    <s v="Europe &gt; France &gt; Lyon"/>
    <s v="Education"/>
    <x v="0"/>
    <x v="0"/>
    <x v="11"/>
    <x v="6"/>
    <s v="High"/>
    <x v="161"/>
    <n v="754.77"/>
    <n v="1666.18"/>
    <n v="1666.18"/>
    <x v="114"/>
    <s v="OK"/>
    <n v="0.13900000000000001"/>
    <n v="14"/>
    <n v="20084.133720000002"/>
    <n v="10566.779999999999"/>
    <n v="9517.3537200000028"/>
    <n v="0.47387424584424653"/>
    <d v="1899-12-30T00:00:00"/>
    <s v="Jan-1900"/>
    <n v="0"/>
    <n v="0"/>
    <n v="0"/>
  </r>
  <r>
    <x v="162"/>
    <d v="2023-07-10T00:00:00"/>
    <x v="14"/>
    <s v="2023-Q3"/>
    <d v="2023-08-01T00:00:00"/>
    <x v="21"/>
    <x v="3"/>
    <x v="4"/>
    <s v="Marseille"/>
    <s v="Europe &gt; France &gt; Marseille"/>
    <s v="Consumer"/>
    <x v="2"/>
    <x v="2"/>
    <x v="6"/>
    <x v="5"/>
    <s v="High"/>
    <x v="162"/>
    <n v="1303.56"/>
    <n v="1791.37"/>
    <n v="1791.37"/>
    <x v="115"/>
    <s v="OK"/>
    <n v="0.126"/>
    <n v="22"/>
    <n v="34444.462359999998"/>
    <n v="28678.32"/>
    <n v="5766.142359999998"/>
    <n v="0.16740404596055358"/>
    <d v="1899-12-30T00:00:00"/>
    <s v="Jan-1900"/>
    <n v="0"/>
    <n v="0"/>
    <n v="0"/>
  </r>
  <r>
    <x v="163"/>
    <d v="2025-01-21T00:00:00"/>
    <x v="25"/>
    <s v="2025-Q1"/>
    <d v="2025-02-16T00:00:00"/>
    <x v="0"/>
    <x v="3"/>
    <x v="4"/>
    <s v="Lyon"/>
    <s v="Europe &gt; France &gt; Lyon"/>
    <s v="Corporate"/>
    <x v="3"/>
    <x v="3"/>
    <x v="7"/>
    <x v="3"/>
    <s v="Low"/>
    <x v="163"/>
    <n v="204.11"/>
    <n v="236.87"/>
    <n v="236.87"/>
    <x v="52"/>
    <s v="OK"/>
    <n v="0.182"/>
    <n v="13"/>
    <n v="2518.8755800000004"/>
    <n v="2653.4300000000003"/>
    <n v="-134.55441999999994"/>
    <n v="-5.3418446337075494E-2"/>
    <d v="1899-12-30T00:00:00"/>
    <s v="Jan-1900"/>
    <n v="0"/>
    <n v="0"/>
    <n v="0"/>
  </r>
  <r>
    <x v="164"/>
    <d v="2025-06-09T00:00:00"/>
    <x v="31"/>
    <s v="2025-Q2"/>
    <d v="2025-06-18T00:00:00"/>
    <x v="13"/>
    <x v="3"/>
    <x v="4"/>
    <s v="Marseille"/>
    <s v="Europe &gt; France &gt; Marseille"/>
    <s v="Small Business"/>
    <x v="2"/>
    <x v="2"/>
    <x v="15"/>
    <x v="1"/>
    <s v="Low"/>
    <x v="164"/>
    <n v="1225.5"/>
    <n v="0"/>
    <n v="0"/>
    <x v="32"/>
    <s v="OK"/>
    <n v="7.4999999999999997E-2"/>
    <n v="56"/>
    <n v="0"/>
    <n v="68628"/>
    <n v="-68628"/>
    <n v="0"/>
    <d v="1899-12-30T00:00:00"/>
    <s v="Jan-1900"/>
    <n v="0"/>
    <n v="0"/>
    <n v="0"/>
  </r>
  <r>
    <x v="165"/>
    <d v="2024-03-10T00:00:00"/>
    <x v="0"/>
    <s v="2024-Q1"/>
    <d v="2024-04-09T00:00:00"/>
    <x v="27"/>
    <x v="3"/>
    <x v="4"/>
    <s v="Lyon"/>
    <s v="Europe &gt; France &gt; Lyon"/>
    <s v="Corporate"/>
    <x v="4"/>
    <x v="4"/>
    <x v="12"/>
    <x v="0"/>
    <s v="High"/>
    <x v="165"/>
    <n v="1176.56"/>
    <n v="1911.89"/>
    <n v="1911.89"/>
    <x v="116"/>
    <s v="OK"/>
    <n v="0.11899999999999999"/>
    <n v="20"/>
    <n v="33687.501800000005"/>
    <n v="23531.199999999997"/>
    <n v="10156.301800000008"/>
    <n v="0.30148575160892477"/>
    <d v="1899-12-30T00:00:00"/>
    <s v="Jan-1900"/>
    <n v="0"/>
    <n v="0"/>
    <n v="0"/>
  </r>
  <r>
    <x v="166"/>
    <d v="2025-04-27T00:00:00"/>
    <x v="7"/>
    <s v="2025-Q2"/>
    <d v="2025-05-25T00:00:00"/>
    <x v="11"/>
    <x v="3"/>
    <x v="4"/>
    <s v="Paris"/>
    <s v="Europe &gt; France &gt; Paris"/>
    <s v="Small Business"/>
    <x v="2"/>
    <x v="2"/>
    <x v="12"/>
    <x v="4"/>
    <s v="Medium"/>
    <x v="166"/>
    <n v="603.45000000000005"/>
    <n v="1244.08"/>
    <n v="1244.08"/>
    <x v="70"/>
    <s v="OK"/>
    <n v="0.2"/>
    <n v="11"/>
    <n v="10947.904"/>
    <n v="6637.9500000000007"/>
    <n v="4309.9539999999997"/>
    <n v="0.39367846119220623"/>
    <d v="1899-12-30T00:00:00"/>
    <s v="Jan-1900"/>
    <n v="0"/>
    <n v="0"/>
    <n v="0"/>
  </r>
  <r>
    <x v="167"/>
    <d v="2024-11-21T00:00:00"/>
    <x v="13"/>
    <s v="2024-Q4"/>
    <d v="2024-12-21T00:00:00"/>
    <x v="27"/>
    <x v="3"/>
    <x v="4"/>
    <s v="Marseille"/>
    <s v="Europe &gt; France &gt; Marseille"/>
    <s v="Small Business"/>
    <x v="4"/>
    <x v="4"/>
    <x v="12"/>
    <x v="2"/>
    <s v="High"/>
    <x v="167"/>
    <n v="1122.68"/>
    <n v="1997.19"/>
    <n v="1997.19"/>
    <x v="50"/>
    <s v="OK"/>
    <n v="0.186"/>
    <n v="3"/>
    <n v="4877.1379800000004"/>
    <n v="3368.04"/>
    <n v="1509.0979800000005"/>
    <n v="0.30942285951073306"/>
    <d v="1899-12-30T00:00:00"/>
    <s v="Jan-1900"/>
    <n v="0"/>
    <n v="0"/>
    <n v="0"/>
  </r>
  <r>
    <x v="168"/>
    <d v="2025-05-14T00:00:00"/>
    <x v="1"/>
    <s v="2025-Q2"/>
    <d v="2025-05-24T00:00:00"/>
    <x v="30"/>
    <x v="3"/>
    <x v="4"/>
    <s v="Paris"/>
    <s v="Europe &gt; France &gt; Paris"/>
    <s v="Small Business"/>
    <x v="2"/>
    <x v="2"/>
    <x v="3"/>
    <x v="0"/>
    <s v="Low"/>
    <x v="168"/>
    <n v="170.39"/>
    <n v="388.04"/>
    <n v="388.04"/>
    <x v="89"/>
    <s v="OK"/>
    <n v="8.4000000000000005E-2"/>
    <n v="15"/>
    <n v="5331.6696000000002"/>
    <n v="2555.85"/>
    <n v="2775.8196000000003"/>
    <n v="0.52062858508711796"/>
    <d v="1899-12-30T00:00:00"/>
    <s v="Jan-1900"/>
    <n v="0"/>
    <n v="0"/>
    <n v="0"/>
  </r>
  <r>
    <x v="169"/>
    <d v="2023-11-19T00:00:00"/>
    <x v="18"/>
    <s v="2023-Q4"/>
    <d v="2023-12-13T00:00:00"/>
    <x v="7"/>
    <x v="3"/>
    <x v="4"/>
    <s v="Lyon"/>
    <s v="Europe &gt; France &gt; Lyon"/>
    <s v="Non-Profit"/>
    <x v="4"/>
    <x v="4"/>
    <x v="15"/>
    <x v="2"/>
    <s v="High"/>
    <x v="169"/>
    <n v="1297.42"/>
    <n v="2742.97"/>
    <n v="2742.97"/>
    <x v="110"/>
    <s v="OK"/>
    <n v="6.9000000000000006E-2"/>
    <n v="9"/>
    <n v="22983.34563"/>
    <n v="11676.78"/>
    <n v="11306.565629999999"/>
    <n v="0.49194602961727291"/>
    <d v="1899-12-30T00:00:00"/>
    <s v="Jan-1900"/>
    <n v="0"/>
    <n v="0"/>
    <n v="0"/>
  </r>
  <r>
    <x v="170"/>
    <d v="2023-04-12T00:00:00"/>
    <x v="19"/>
    <s v="2023-Q2"/>
    <d v="2023-04-17T00:00:00"/>
    <x v="5"/>
    <x v="3"/>
    <x v="4"/>
    <s v="Lyon"/>
    <s v="Europe &gt; France &gt; Lyon"/>
    <s v="Enterprise"/>
    <x v="4"/>
    <x v="4"/>
    <x v="11"/>
    <x v="2"/>
    <s v="High"/>
    <x v="170"/>
    <n v="1087.81"/>
    <n v="2323.87"/>
    <n v="2323.87"/>
    <x v="2"/>
    <s v="OK"/>
    <n v="9.4E-2"/>
    <n v="13"/>
    <n v="27370.540859999997"/>
    <n v="14141.529999999999"/>
    <n v="13229.010859999999"/>
    <n v="0.48333026839572651"/>
    <d v="1899-12-30T00:00:00"/>
    <s v="Jan-1900"/>
    <n v="0"/>
    <n v="0"/>
    <n v="0"/>
  </r>
  <r>
    <x v="171"/>
    <d v="2024-11-20T00:00:00"/>
    <x v="13"/>
    <s v="2024-Q4"/>
    <d v="2024-12-15T00:00:00"/>
    <x v="2"/>
    <x v="3"/>
    <x v="4"/>
    <s v="Paris"/>
    <s v="Europe &gt; France &gt; Paris"/>
    <s v="Corporate"/>
    <x v="1"/>
    <x v="1"/>
    <x v="4"/>
    <x v="5"/>
    <s v="High"/>
    <x v="171"/>
    <n v="1203.58"/>
    <n v="1856.16"/>
    <n v="1856.16"/>
    <x v="30"/>
    <s v="OK"/>
    <n v="0.129"/>
    <n v="22"/>
    <n v="35567.737920000007"/>
    <n v="26478.76"/>
    <n v="9088.9779200000085"/>
    <n v="0.25553994860295032"/>
    <d v="1899-12-30T00:00:00"/>
    <s v="Jan-1900"/>
    <n v="0"/>
    <n v="0"/>
    <n v="0"/>
  </r>
  <r>
    <x v="172"/>
    <d v="2023-09-14T00:00:00"/>
    <x v="29"/>
    <s v="2023-Q3"/>
    <d v="2023-09-16T00:00:00"/>
    <x v="18"/>
    <x v="3"/>
    <x v="4"/>
    <s v="Lyon"/>
    <s v="Europe &gt; France &gt; Lyon"/>
    <s v="Non-Profit"/>
    <x v="4"/>
    <x v="4"/>
    <x v="6"/>
    <x v="5"/>
    <s v="Low"/>
    <x v="172"/>
    <n v="376.83"/>
    <n v="732.88"/>
    <n v="732.88"/>
    <x v="117"/>
    <s v="OK"/>
    <n v="0.188"/>
    <n v="25"/>
    <n v="14877.464000000002"/>
    <n v="9420.75"/>
    <n v="5456.7140000000018"/>
    <n v="0.36677716040852132"/>
    <d v="1899-12-30T00:00:00"/>
    <s v="Jan-1900"/>
    <n v="0"/>
    <n v="0"/>
    <n v="0"/>
  </r>
  <r>
    <x v="173"/>
    <d v="2024-02-01T00:00:00"/>
    <x v="23"/>
    <s v="2024-Q1"/>
    <d v="2024-02-21T00:00:00"/>
    <x v="8"/>
    <x v="3"/>
    <x v="4"/>
    <s v="Paris"/>
    <s v="Europe &gt; France &gt; Paris"/>
    <s v="Small Business"/>
    <x v="2"/>
    <x v="2"/>
    <x v="1"/>
    <x v="6"/>
    <s v="Medium"/>
    <x v="173"/>
    <n v="656.2"/>
    <n v="1467.17"/>
    <n v="1467.17"/>
    <x v="118"/>
    <s v="OK"/>
    <n v="1.7999999999999999E-2"/>
    <n v="5"/>
    <n v="7203.8047000000006"/>
    <n v="3281"/>
    <n v="3922.8047000000006"/>
    <n v="0.54454623124360946"/>
    <d v="1899-12-30T00:00:00"/>
    <s v="Jan-1900"/>
    <n v="0"/>
    <n v="0"/>
    <n v="0"/>
  </r>
  <r>
    <x v="174"/>
    <d v="2024-05-23T00:00:00"/>
    <x v="16"/>
    <s v="2024-Q2"/>
    <d v="2024-06-14T00:00:00"/>
    <x v="21"/>
    <x v="3"/>
    <x v="4"/>
    <s v="Marseille"/>
    <s v="Europe &gt; France &gt; Marseille"/>
    <s v="Small Business"/>
    <x v="1"/>
    <x v="1"/>
    <x v="5"/>
    <x v="2"/>
    <s v="High"/>
    <x v="174"/>
    <n v="1481.74"/>
    <n v="1848.97"/>
    <n v="1848.97"/>
    <x v="119"/>
    <s v="OK"/>
    <n v="0.254"/>
    <n v="9"/>
    <n v="12413.98458"/>
    <n v="13335.66"/>
    <n v="-921.67541999999958"/>
    <n v="-7.4244930309072407E-2"/>
    <d v="1899-12-30T00:00:00"/>
    <s v="Jan-1900"/>
    <n v="0"/>
    <n v="0"/>
    <n v="0"/>
  </r>
  <r>
    <x v="175"/>
    <d v="2023-06-22T00:00:00"/>
    <x v="11"/>
    <s v="2023-Q2"/>
    <d v="2023-07-21T00:00:00"/>
    <x v="3"/>
    <x v="3"/>
    <x v="4"/>
    <s v="Lyon"/>
    <s v="Europe &gt; France &gt; Lyon"/>
    <s v="Corporate"/>
    <x v="0"/>
    <x v="0"/>
    <x v="2"/>
    <x v="1"/>
    <s v="Medium"/>
    <x v="175"/>
    <n v="734.34"/>
    <n v="887.9"/>
    <n v="887.9"/>
    <x v="120"/>
    <s v="OK"/>
    <n v="2.5000000000000001E-2"/>
    <n v="12"/>
    <n v="10388.429999999998"/>
    <n v="8812.08"/>
    <n v="1576.3499999999985"/>
    <n v="0.15174092716608753"/>
    <d v="1899-12-30T00:00:00"/>
    <s v="Jan-1900"/>
    <n v="0"/>
    <n v="0"/>
    <n v="0"/>
  </r>
  <r>
    <x v="176"/>
    <d v="2025-01-13T00:00:00"/>
    <x v="25"/>
    <s v="2025-Q1"/>
    <d v="2025-02-08T00:00:00"/>
    <x v="0"/>
    <x v="3"/>
    <x v="4"/>
    <s v="Paris"/>
    <s v="Europe &gt; France &gt; Paris"/>
    <s v="Non-Profit"/>
    <x v="5"/>
    <x v="5"/>
    <x v="11"/>
    <x v="2"/>
    <s v="Medium"/>
    <x v="176"/>
    <n v="594.74"/>
    <n v="1020.69"/>
    <n v="1020.69"/>
    <x v="121"/>
    <s v="OK"/>
    <n v="0.21099999999999999"/>
    <n v="6"/>
    <n v="4831.9464600000001"/>
    <n v="3568.44"/>
    <n v="1263.5064600000001"/>
    <n v="0.26149016146176424"/>
    <d v="1899-12-30T00:00:00"/>
    <s v="Jan-1900"/>
    <n v="0"/>
    <n v="0"/>
    <n v="0"/>
  </r>
  <r>
    <x v="177"/>
    <d v="2024-01-10T00:00:00"/>
    <x v="22"/>
    <s v="2024-Q1"/>
    <d v="2024-01-23T00:00:00"/>
    <x v="28"/>
    <x v="3"/>
    <x v="4"/>
    <s v="Marseille"/>
    <s v="Europe &gt; France &gt; Marseille"/>
    <s v="Corporate"/>
    <x v="4"/>
    <x v="4"/>
    <x v="1"/>
    <x v="5"/>
    <s v="Medium"/>
    <x v="177"/>
    <n v="720"/>
    <n v="907.59"/>
    <n v="907.59"/>
    <x v="86"/>
    <s v="OK"/>
    <n v="0.154"/>
    <n v="10"/>
    <n v="7678.2113999999992"/>
    <n v="7200"/>
    <n v="478.21139999999923"/>
    <n v="6.2281614179052078E-2"/>
    <d v="1899-12-30T00:00:00"/>
    <s v="Jan-1900"/>
    <n v="0"/>
    <n v="0"/>
    <n v="0"/>
  </r>
  <r>
    <x v="178"/>
    <d v="2024-03-16T00:00:00"/>
    <x v="0"/>
    <s v="2024-Q1"/>
    <d v="2024-04-13T00:00:00"/>
    <x v="11"/>
    <x v="3"/>
    <x v="4"/>
    <s v="Paris"/>
    <s v="Europe &gt; France &gt; Paris"/>
    <s v="Small Business"/>
    <x v="1"/>
    <x v="1"/>
    <x v="3"/>
    <x v="5"/>
    <s v="Low"/>
    <x v="178"/>
    <n v="287.61"/>
    <n v="628.54"/>
    <n v="628.54"/>
    <x v="28"/>
    <s v="OK"/>
    <n v="0.13500000000000001"/>
    <n v="21"/>
    <n v="11417.429099999999"/>
    <n v="6039.81"/>
    <n v="5377.619099999999"/>
    <n v="0.47100087531964613"/>
    <d v="1899-12-30T00:00:00"/>
    <s v="Jan-1900"/>
    <n v="0"/>
    <n v="0"/>
    <n v="0"/>
  </r>
  <r>
    <x v="179"/>
    <d v="2025-01-22T00:00:00"/>
    <x v="25"/>
    <s v="2025-Q1"/>
    <d v="2025-01-22T00:00:00"/>
    <x v="25"/>
    <x v="3"/>
    <x v="4"/>
    <s v="Lyon"/>
    <s v="Europe &gt; France &gt; Lyon"/>
    <s v="Small Business"/>
    <x v="1"/>
    <x v="1"/>
    <x v="6"/>
    <x v="1"/>
    <s v="Low"/>
    <x v="179"/>
    <n v="591.72"/>
    <n v="577.24"/>
    <n v="577.24"/>
    <x v="3"/>
    <s v="OK"/>
    <n v="0"/>
    <n v="22"/>
    <n v="12699.28"/>
    <n v="13017.84"/>
    <n v="-318.55999999999949"/>
    <n v="-2.5084886702238195E-2"/>
    <d v="1899-12-30T00:00:00"/>
    <s v="Jan-1900"/>
    <n v="0"/>
    <n v="0"/>
    <n v="0"/>
  </r>
  <r>
    <x v="180"/>
    <d v="2025-04-09T00:00:00"/>
    <x v="7"/>
    <s v="2025-Q2"/>
    <d v="2025-04-12T00:00:00"/>
    <x v="12"/>
    <x v="3"/>
    <x v="4"/>
    <s v="Lyon"/>
    <s v="Europe &gt; France &gt; Lyon"/>
    <s v="Small Business"/>
    <x v="3"/>
    <x v="3"/>
    <x v="15"/>
    <x v="2"/>
    <s v="Low"/>
    <x v="180"/>
    <n v="86.68"/>
    <n v="213.32"/>
    <n v="213.32"/>
    <x v="122"/>
    <s v="OK"/>
    <n v="3.7999999999999999E-2"/>
    <n v="8"/>
    <n v="1641.7107199999998"/>
    <n v="693.44"/>
    <n v="948.27071999999976"/>
    <n v="0.57761133459614611"/>
    <d v="1899-12-30T00:00:00"/>
    <s v="Jan-1900"/>
    <n v="0"/>
    <n v="0"/>
    <n v="0"/>
  </r>
  <r>
    <x v="181"/>
    <d v="2023-01-10T00:00:00"/>
    <x v="28"/>
    <s v="2023-Q1"/>
    <d v="2023-01-29T00:00:00"/>
    <x v="1"/>
    <x v="3"/>
    <x v="4"/>
    <s v="Lyon"/>
    <s v="Europe &gt; France &gt; Lyon"/>
    <s v="Non-Profit"/>
    <x v="4"/>
    <x v="4"/>
    <x v="14"/>
    <x v="3"/>
    <s v="Low"/>
    <x v="181"/>
    <n v="401.66"/>
    <n v="772.09"/>
    <n v="772.09"/>
    <x v="51"/>
    <s v="OK"/>
    <n v="8.8999999999999996E-2"/>
    <n v="14"/>
    <n v="9847.2358600000007"/>
    <n v="5623.2400000000007"/>
    <n v="4223.99586"/>
    <n v="0.42895244107619046"/>
    <d v="1899-12-30T00:00:00"/>
    <s v="Jan-1900"/>
    <n v="0"/>
    <n v="0"/>
    <n v="0"/>
  </r>
  <r>
    <x v="182"/>
    <d v="2025-06-01T00:00:00"/>
    <x v="31"/>
    <s v="2025-Q2"/>
    <d v="2025-06-06T00:00:00"/>
    <x v="5"/>
    <x v="3"/>
    <x v="4"/>
    <s v="Paris"/>
    <s v="Europe &gt; France &gt; Paris"/>
    <s v="Consumer"/>
    <x v="3"/>
    <x v="3"/>
    <x v="4"/>
    <x v="0"/>
    <s v="Low"/>
    <x v="182"/>
    <n v="379.45"/>
    <n v="742.23"/>
    <n v="742.23"/>
    <x v="123"/>
    <s v="OK"/>
    <n v="0.09"/>
    <n v="13"/>
    <n v="8780.5809000000008"/>
    <n v="4932.8499999999995"/>
    <n v="3847.7309000000014"/>
    <n v="0.43820915083192286"/>
    <d v="1899-12-30T00:00:00"/>
    <s v="Jan-1900"/>
    <n v="0"/>
    <n v="0"/>
    <n v="0"/>
  </r>
  <r>
    <x v="183"/>
    <d v="2023-02-28T00:00:00"/>
    <x v="5"/>
    <s v="2023-Q1"/>
    <d v="2023-03-05T00:00:00"/>
    <x v="5"/>
    <x v="3"/>
    <x v="4"/>
    <s v="Marseille"/>
    <s v="Europe &gt; France &gt; Marseille"/>
    <s v="Corporate"/>
    <x v="0"/>
    <x v="0"/>
    <x v="3"/>
    <x v="6"/>
    <s v="High"/>
    <x v="183"/>
    <n v="1299.81"/>
    <n v="3149.13"/>
    <n v="3149.13"/>
    <x v="71"/>
    <s v="OK"/>
    <n v="0.10299999999999999"/>
    <n v="14"/>
    <n v="39546.774539999999"/>
    <n v="18197.34"/>
    <n v="21349.434539999998"/>
    <n v="0.53985273864511729"/>
    <d v="1899-12-30T00:00:00"/>
    <s v="Jan-1900"/>
    <n v="0"/>
    <n v="0"/>
    <n v="0"/>
  </r>
  <r>
    <x v="184"/>
    <d v="2024-04-09T00:00:00"/>
    <x v="15"/>
    <s v="2024-Q2"/>
    <d v="2024-04-18T00:00:00"/>
    <x v="13"/>
    <x v="3"/>
    <x v="4"/>
    <s v="Lyon"/>
    <s v="Europe &gt; France &gt; Lyon"/>
    <s v="Consumer"/>
    <x v="1"/>
    <x v="1"/>
    <x v="11"/>
    <x v="5"/>
    <s v="High"/>
    <x v="184"/>
    <n v="1288.8499999999999"/>
    <n v="2751.84"/>
    <n v="2751.84"/>
    <x v="124"/>
    <s v="OK"/>
    <n v="0.158"/>
    <n v="7"/>
    <n v="16219.34496"/>
    <n v="9021.9499999999989"/>
    <n v="7197.3949600000014"/>
    <n v="0.44375373837538756"/>
    <d v="1899-12-30T00:00:00"/>
    <s v="Jan-1900"/>
    <n v="0"/>
    <n v="0"/>
    <n v="0"/>
  </r>
  <r>
    <x v="185"/>
    <d v="2023-12-26T00:00:00"/>
    <x v="9"/>
    <s v="2023-Q4"/>
    <d v="2024-01-03T00:00:00"/>
    <x v="19"/>
    <x v="3"/>
    <x v="4"/>
    <s v="Lyon"/>
    <s v="Europe &gt; France &gt; Lyon"/>
    <s v="Small Business"/>
    <x v="0"/>
    <x v="0"/>
    <x v="13"/>
    <x v="3"/>
    <s v="Low"/>
    <x v="185"/>
    <n v="492.75"/>
    <n v="731.29"/>
    <n v="731.29"/>
    <x v="125"/>
    <s v="OK"/>
    <n v="5.8000000000000003E-2"/>
    <n v="6"/>
    <n v="4133.25108"/>
    <n v="2956.5"/>
    <n v="1176.75108"/>
    <n v="0.28470350753528384"/>
    <d v="1899-12-30T00:00:00"/>
    <s v="Jan-1900"/>
    <n v="0"/>
    <n v="0"/>
    <n v="0"/>
  </r>
  <r>
    <x v="186"/>
    <d v="2024-07-18T00:00:00"/>
    <x v="27"/>
    <s v="2024-Q3"/>
    <d v="2024-08-07T00:00:00"/>
    <x v="8"/>
    <x v="3"/>
    <x v="4"/>
    <s v="Marseille"/>
    <s v="Europe &gt; France &gt; Marseille"/>
    <s v="Corporate"/>
    <x v="0"/>
    <x v="0"/>
    <x v="8"/>
    <x v="2"/>
    <s v="Medium"/>
    <x v="186"/>
    <n v="941.35"/>
    <n v="899.83"/>
    <n v="899.83"/>
    <x v="125"/>
    <s v="OK"/>
    <n v="5.8000000000000003E-2"/>
    <n v="18"/>
    <n v="15257.51748"/>
    <n v="16944.3"/>
    <n v="-1686.7825199999988"/>
    <n v="-0.11055419220139073"/>
    <d v="1899-12-30T00:00:00"/>
    <s v="Jan-1900"/>
    <n v="0"/>
    <n v="0"/>
    <n v="0"/>
  </r>
  <r>
    <x v="187"/>
    <d v="2024-08-10T00:00:00"/>
    <x v="10"/>
    <s v="2024-Q3"/>
    <d v="2024-09-07T00:00:00"/>
    <x v="11"/>
    <x v="3"/>
    <x v="4"/>
    <s v="Marseille"/>
    <s v="Europe &gt; France &gt; Marseille"/>
    <s v="Non-Profit"/>
    <x v="4"/>
    <x v="4"/>
    <x v="8"/>
    <x v="5"/>
    <s v="Low"/>
    <x v="187"/>
    <n v="229.96"/>
    <n v="564.26"/>
    <n v="564.26"/>
    <x v="126"/>
    <s v="OK"/>
    <n v="0.105"/>
    <n v="5"/>
    <n v="2525.0635000000002"/>
    <n v="1149.8"/>
    <n v="1375.2635000000002"/>
    <n v="0.54464511486542821"/>
    <d v="1899-12-30T00:00:00"/>
    <s v="Jan-1900"/>
    <n v="0"/>
    <n v="0"/>
    <n v="0"/>
  </r>
  <r>
    <x v="188"/>
    <d v="2024-07-24T00:00:00"/>
    <x v="27"/>
    <s v="2024-Q3"/>
    <d v="2024-08-08T00:00:00"/>
    <x v="26"/>
    <x v="3"/>
    <x v="4"/>
    <s v="Marseille"/>
    <s v="Europe &gt; France &gt; Marseille"/>
    <s v="Enterprise"/>
    <x v="2"/>
    <x v="2"/>
    <x v="15"/>
    <x v="3"/>
    <s v="Medium"/>
    <x v="188"/>
    <n v="501.5"/>
    <n v="1201.47"/>
    <n v="1201.47"/>
    <x v="115"/>
    <s v="OK"/>
    <n v="0.126"/>
    <n v="5"/>
    <n v="5250.4239000000007"/>
    <n v="2507.5"/>
    <n v="2742.9239000000007"/>
    <n v="0.52241951359394057"/>
    <d v="1899-12-30T00:00:00"/>
    <s v="Jan-1900"/>
    <n v="0"/>
    <n v="0"/>
    <n v="0"/>
  </r>
  <r>
    <x v="189"/>
    <d v="2024-05-18T00:00:00"/>
    <x v="16"/>
    <s v="2024-Q2"/>
    <d v="2024-05-21T00:00:00"/>
    <x v="12"/>
    <x v="3"/>
    <x v="4"/>
    <s v="Marseille"/>
    <s v="Europe &gt; France &gt; Marseille"/>
    <s v="Non-Profit"/>
    <x v="2"/>
    <x v="2"/>
    <x v="14"/>
    <x v="5"/>
    <s v="Medium"/>
    <x v="189"/>
    <n v="663.66"/>
    <n v="824.26"/>
    <n v="824.26"/>
    <x v="127"/>
    <s v="OK"/>
    <n v="0.23899999999999999"/>
    <n v="11"/>
    <n v="6899.8804600000003"/>
    <n v="7300.2599999999993"/>
    <n v="-400.379539999999"/>
    <n v="-5.8027025587048933E-2"/>
    <d v="1899-12-30T00:00:00"/>
    <s v="Jan-1900"/>
    <n v="0"/>
    <n v="0"/>
    <n v="0"/>
  </r>
  <r>
    <x v="190"/>
    <d v="2024-02-25T00:00:00"/>
    <x v="23"/>
    <s v="2024-Q1"/>
    <d v="2024-03-09T00:00:00"/>
    <x v="28"/>
    <x v="3"/>
    <x v="4"/>
    <s v="Marseille"/>
    <s v="Europe &gt; France &gt; Marseille"/>
    <s v="Small Business"/>
    <x v="3"/>
    <x v="3"/>
    <x v="11"/>
    <x v="2"/>
    <s v="Low"/>
    <x v="190"/>
    <n v="322.44"/>
    <n v="395.61"/>
    <n v="395.61"/>
    <x v="3"/>
    <s v="OK"/>
    <n v="0"/>
    <n v="34"/>
    <n v="13450.74"/>
    <n v="10962.96"/>
    <n v="2487.7800000000007"/>
    <n v="0.18495487980586947"/>
    <d v="1899-12-30T00:00:00"/>
    <s v="Jan-1900"/>
    <n v="0"/>
    <n v="0"/>
    <n v="0"/>
  </r>
  <r>
    <x v="191"/>
    <d v="2023-12-30T00:00:00"/>
    <x v="9"/>
    <s v="2023-Q4"/>
    <d v="2024-01-08T00:00:00"/>
    <x v="13"/>
    <x v="3"/>
    <x v="4"/>
    <s v="Marseille"/>
    <s v="Europe &gt; France &gt; Marseille"/>
    <s v="Consumer"/>
    <x v="2"/>
    <x v="2"/>
    <x v="10"/>
    <x v="1"/>
    <s v="Medium"/>
    <x v="191"/>
    <n v="861.1"/>
    <n v="1224.72"/>
    <n v="1224.72"/>
    <x v="128"/>
    <s v="OK"/>
    <n v="0.17399999999999999"/>
    <n v="24"/>
    <n v="24278.849280000002"/>
    <n v="20666.400000000001"/>
    <n v="3612.4492800000007"/>
    <n v="0.14878997098827909"/>
    <d v="1899-12-30T00:00:00"/>
    <s v="Jan-1900"/>
    <n v="0"/>
    <n v="0"/>
    <n v="0"/>
  </r>
  <r>
    <x v="192"/>
    <d v="2024-05-05T00:00:00"/>
    <x v="16"/>
    <s v="2024-Q2"/>
    <d v="2024-05-18T00:00:00"/>
    <x v="28"/>
    <x v="3"/>
    <x v="4"/>
    <s v="Marseille"/>
    <s v="Europe &gt; France &gt; Marseille"/>
    <s v="Corporate"/>
    <x v="2"/>
    <x v="2"/>
    <x v="1"/>
    <x v="0"/>
    <s v="High"/>
    <x v="192"/>
    <n v="1264.04"/>
    <n v="1870.89"/>
    <n v="1870.89"/>
    <x v="3"/>
    <s v="OK"/>
    <n v="0"/>
    <n v="13"/>
    <n v="24321.57"/>
    <n v="16432.52"/>
    <n v="7889.0499999999993"/>
    <n v="0.32436433996653996"/>
    <d v="1899-12-30T00:00:00"/>
    <s v="Jan-1900"/>
    <n v="0"/>
    <n v="0"/>
    <n v="0"/>
  </r>
  <r>
    <x v="193"/>
    <d v="2023-08-29T00:00:00"/>
    <x v="21"/>
    <s v="2023-Q3"/>
    <d v="2023-09-19T00:00:00"/>
    <x v="24"/>
    <x v="3"/>
    <x v="4"/>
    <s v="Lyon"/>
    <s v="Europe &gt; France &gt; Lyon"/>
    <s v="Small Business"/>
    <x v="4"/>
    <x v="4"/>
    <x v="6"/>
    <x v="5"/>
    <s v="High"/>
    <x v="193"/>
    <n v="784.46"/>
    <n v="1843.51"/>
    <n v="1843.51"/>
    <x v="129"/>
    <s v="OK"/>
    <n v="0.13800000000000001"/>
    <n v="23"/>
    <n v="36549.429260000004"/>
    <n v="18042.580000000002"/>
    <n v="18506.849260000003"/>
    <n v="0.50635125184441798"/>
    <d v="1899-12-30T00:00:00"/>
    <s v="Jan-1900"/>
    <n v="0"/>
    <n v="0"/>
    <n v="0"/>
  </r>
  <r>
    <x v="194"/>
    <d v="2025-08-13T00:00:00"/>
    <x v="24"/>
    <s v="2025-Q3"/>
    <d v="2025-09-03T00:00:00"/>
    <x v="24"/>
    <x v="3"/>
    <x v="4"/>
    <s v="Paris"/>
    <s v="Europe &gt; France &gt; Paris"/>
    <s v="Education"/>
    <x v="0"/>
    <x v="0"/>
    <x v="12"/>
    <x v="4"/>
    <s v="Medium"/>
    <x v="194"/>
    <n v="603.47"/>
    <n v="1344.05"/>
    <n v="1344.05"/>
    <x v="130"/>
    <s v="OK"/>
    <n v="0.20499999999999999"/>
    <n v="18"/>
    <n v="19233.355499999998"/>
    <n v="10862.460000000001"/>
    <n v="8370.8954999999969"/>
    <n v="0.43522803392262976"/>
    <d v="1899-12-30T00:00:00"/>
    <s v="Jan-1900"/>
    <n v="0"/>
    <n v="0"/>
    <n v="0"/>
  </r>
  <r>
    <x v="195"/>
    <d v="2025-08-30T00:00:00"/>
    <x v="24"/>
    <s v="2025-Q3"/>
    <d v="2025-09-03T00:00:00"/>
    <x v="14"/>
    <x v="3"/>
    <x v="4"/>
    <s v="Marseille"/>
    <s v="Europe &gt; France &gt; Marseille"/>
    <s v="Small Business"/>
    <x v="2"/>
    <x v="2"/>
    <x v="2"/>
    <x v="3"/>
    <s v="High"/>
    <x v="195"/>
    <n v="1286.56"/>
    <n v="2777.35"/>
    <n v="2777.35"/>
    <x v="43"/>
    <s v="OK"/>
    <n v="0.13200000000000001"/>
    <n v="15"/>
    <n v="36161.097000000002"/>
    <n v="19298.399999999998"/>
    <n v="16862.697000000004"/>
    <n v="0.46632150014696744"/>
    <d v="1899-12-30T00:00:00"/>
    <s v="Jan-1900"/>
    <n v="0"/>
    <n v="0"/>
    <n v="0"/>
  </r>
  <r>
    <x v="196"/>
    <d v="2024-12-08T00:00:00"/>
    <x v="30"/>
    <s v="2024-Q4"/>
    <d v="2024-12-08T00:00:00"/>
    <x v="25"/>
    <x v="3"/>
    <x v="4"/>
    <s v="Lyon"/>
    <s v="Europe &gt; France &gt; Lyon"/>
    <s v="Enterprise"/>
    <x v="0"/>
    <x v="0"/>
    <x v="15"/>
    <x v="0"/>
    <s v="Low"/>
    <x v="196"/>
    <n v="257.44"/>
    <n v="290.33"/>
    <n v="290.33"/>
    <x v="87"/>
    <s v="OK"/>
    <n v="9.1999999999999998E-2"/>
    <n v="23"/>
    <n v="6063.2517199999993"/>
    <n v="5921.12"/>
    <n v="142.1317199999994"/>
    <n v="2.3441500792581216E-2"/>
    <d v="1899-12-30T00:00:00"/>
    <s v="Jan-1900"/>
    <n v="0"/>
    <n v="0"/>
    <n v="0"/>
  </r>
  <r>
    <x v="197"/>
    <d v="2023-10-25T00:00:00"/>
    <x v="20"/>
    <s v="2023-Q4"/>
    <d v="2023-11-24T00:00:00"/>
    <x v="27"/>
    <x v="3"/>
    <x v="4"/>
    <s v="Paris"/>
    <s v="Europe &gt; France &gt; Paris"/>
    <s v="Enterprise"/>
    <x v="3"/>
    <x v="3"/>
    <x v="0"/>
    <x v="4"/>
    <s v="Low"/>
    <x v="197"/>
    <n v="287.85000000000002"/>
    <n v="602.91999999999996"/>
    <n v="602.91999999999996"/>
    <x v="131"/>
    <s v="OK"/>
    <n v="0.222"/>
    <n v="11"/>
    <n v="5159.7893599999998"/>
    <n v="3166.3500000000004"/>
    <n v="1993.4393599999994"/>
    <n v="0.38634122847216373"/>
    <d v="1899-12-30T00:00:00"/>
    <s v="Jan-1900"/>
    <n v="0"/>
    <n v="0"/>
    <n v="0"/>
  </r>
  <r>
    <x v="198"/>
    <d v="2024-08-19T00:00:00"/>
    <x v="10"/>
    <s v="2024-Q3"/>
    <d v="2024-09-07T00:00:00"/>
    <x v="1"/>
    <x v="3"/>
    <x v="4"/>
    <s v="Lyon"/>
    <s v="Europe &gt; France &gt; Lyon"/>
    <s v="Corporate"/>
    <x v="4"/>
    <x v="4"/>
    <x v="2"/>
    <x v="0"/>
    <s v="Low"/>
    <x v="198"/>
    <n v="297.58999999999997"/>
    <n v="666.41"/>
    <n v="666.41"/>
    <x v="3"/>
    <s v="OK"/>
    <n v="0"/>
    <n v="10"/>
    <n v="6664.0999999999995"/>
    <n v="2975.8999999999996"/>
    <n v="3688.2"/>
    <n v="0.55344307558409989"/>
    <d v="1899-12-30T00:00:00"/>
    <s v="Jan-1900"/>
    <n v="0"/>
    <n v="0"/>
    <n v="0"/>
  </r>
  <r>
    <x v="199"/>
    <d v="2023-04-13T00:00:00"/>
    <x v="19"/>
    <s v="2023-Q2"/>
    <d v="2023-04-20T00:00:00"/>
    <x v="22"/>
    <x v="3"/>
    <x v="4"/>
    <s v="Lyon"/>
    <s v="Europe &gt; France &gt; Lyon"/>
    <s v="Small Business"/>
    <x v="1"/>
    <x v="1"/>
    <x v="1"/>
    <x v="3"/>
    <s v="Low"/>
    <x v="199"/>
    <n v="227.02"/>
    <n v="434.72"/>
    <n v="434.72"/>
    <x v="132"/>
    <s v="OK"/>
    <n v="9.8000000000000004E-2"/>
    <n v="10"/>
    <n v="3921.1744000000008"/>
    <n v="2270.2000000000003"/>
    <n v="1650.9744000000005"/>
    <n v="0.42104079838938052"/>
    <d v="1899-12-30T00:00:00"/>
    <s v="Jan-1900"/>
    <n v="0"/>
    <n v="0"/>
    <n v="0"/>
  </r>
  <r>
    <x v="200"/>
    <d v="2024-07-09T00:00:00"/>
    <x v="27"/>
    <s v="2024-Q3"/>
    <d v="2024-08-08T00:00:00"/>
    <x v="27"/>
    <x v="3"/>
    <x v="4"/>
    <s v="Marseille"/>
    <s v="Europe &gt; France &gt; Marseille"/>
    <s v="Corporate"/>
    <x v="4"/>
    <x v="4"/>
    <x v="2"/>
    <x v="0"/>
    <s v="Medium"/>
    <x v="200"/>
    <n v="1062.3800000000001"/>
    <n v="1503.96"/>
    <n v="1503.96"/>
    <x v="55"/>
    <s v="OK"/>
    <n v="0.18"/>
    <n v="6"/>
    <n v="7399.4832000000006"/>
    <n v="6374.2800000000007"/>
    <n v="1025.2031999999999"/>
    <n v="0.13855064905073369"/>
    <d v="1899-12-30T00:00:00"/>
    <s v="Jan-1900"/>
    <n v="0"/>
    <n v="0"/>
    <n v="0"/>
  </r>
  <r>
    <x v="201"/>
    <d v="2025-04-22T00:00:00"/>
    <x v="7"/>
    <s v="2025-Q2"/>
    <d v="2025-05-12T00:00:00"/>
    <x v="8"/>
    <x v="3"/>
    <x v="4"/>
    <s v="Lyon"/>
    <s v="Europe &gt; France &gt; Lyon"/>
    <s v="Enterprise"/>
    <x v="2"/>
    <x v="2"/>
    <x v="3"/>
    <x v="2"/>
    <s v="Low"/>
    <x v="201"/>
    <n v="59.51"/>
    <n v="67.040000000000006"/>
    <n v="67.040000000000006"/>
    <x v="133"/>
    <s v="OK"/>
    <n v="0.114"/>
    <n v="9"/>
    <n v="534.57695999999999"/>
    <n v="535.59"/>
    <n v="-1.0130400000000463"/>
    <n v="-1.8950311663264469E-3"/>
    <d v="1899-12-30T00:00:00"/>
    <s v="Jan-1900"/>
    <n v="0"/>
    <n v="0"/>
    <n v="0"/>
  </r>
  <r>
    <x v="202"/>
    <d v="2023-07-01T00:00:00"/>
    <x v="14"/>
    <s v="2023-Q3"/>
    <d v="2023-07-11T00:00:00"/>
    <x v="30"/>
    <x v="3"/>
    <x v="4"/>
    <s v="Paris"/>
    <s v="Europe &gt; France &gt; Paris"/>
    <s v="Corporate"/>
    <x v="4"/>
    <x v="4"/>
    <x v="8"/>
    <x v="6"/>
    <s v="Low"/>
    <x v="202"/>
    <n v="479.5"/>
    <n v="656.66"/>
    <n v="656.66"/>
    <x v="1"/>
    <s v="OK"/>
    <n v="0.14899999999999999"/>
    <n v="14"/>
    <n v="7823.4472399999995"/>
    <n v="6713"/>
    <n v="1110.4472399999995"/>
    <n v="0.14193835606412289"/>
    <d v="1899-12-30T00:00:00"/>
    <s v="Jan-1900"/>
    <n v="0"/>
    <n v="0"/>
    <n v="0"/>
  </r>
  <r>
    <x v="203"/>
    <d v="2024-11-04T00:00:00"/>
    <x v="13"/>
    <s v="2024-Q4"/>
    <d v="2024-11-07T00:00:00"/>
    <x v="12"/>
    <x v="3"/>
    <x v="4"/>
    <s v="Lyon"/>
    <s v="Europe &gt; France &gt; Lyon"/>
    <s v="Corporate"/>
    <x v="1"/>
    <x v="1"/>
    <x v="7"/>
    <x v="2"/>
    <s v="High"/>
    <x v="203"/>
    <n v="740.68"/>
    <n v="1837.19"/>
    <n v="1837.19"/>
    <x v="95"/>
    <s v="OK"/>
    <n v="0.19700000000000001"/>
    <n v="17"/>
    <n v="25079.480689999997"/>
    <n v="12591.56"/>
    <n v="12487.920689999997"/>
    <n v="0.4979337827748298"/>
    <d v="1899-12-30T00:00:00"/>
    <s v="Jan-1900"/>
    <n v="0"/>
    <n v="0"/>
    <n v="0"/>
  </r>
  <r>
    <x v="204"/>
    <d v="2023-04-26T00:00:00"/>
    <x v="19"/>
    <s v="2023-Q2"/>
    <d v="2023-04-26T00:00:00"/>
    <x v="25"/>
    <x v="3"/>
    <x v="4"/>
    <s v="Marseille"/>
    <s v="Europe &gt; France &gt; Marseille"/>
    <s v="Consumer"/>
    <x v="4"/>
    <x v="4"/>
    <x v="13"/>
    <x v="0"/>
    <s v="Low"/>
    <x v="204"/>
    <n v="81.489999999999995"/>
    <n v="113.08"/>
    <n v="113.08"/>
    <x v="134"/>
    <s v="OK"/>
    <n v="0.121"/>
    <n v="5"/>
    <n v="496.98660000000001"/>
    <n v="407.45"/>
    <n v="89.536600000000021"/>
    <n v="0.18015898215364362"/>
    <d v="1899-12-30T00:00:00"/>
    <s v="Jan-1900"/>
    <n v="0"/>
    <n v="0"/>
    <n v="0"/>
  </r>
  <r>
    <x v="205"/>
    <d v="2025-02-15T00:00:00"/>
    <x v="8"/>
    <s v="2025-Q1"/>
    <d v="2025-02-27T00:00:00"/>
    <x v="15"/>
    <x v="3"/>
    <x v="4"/>
    <s v="Lyon"/>
    <s v="Europe &gt; France &gt; Lyon"/>
    <s v="Non-Profit"/>
    <x v="4"/>
    <x v="4"/>
    <x v="3"/>
    <x v="1"/>
    <s v="High"/>
    <x v="205"/>
    <n v="1027.26"/>
    <n v="2200.41"/>
    <n v="2200.41"/>
    <x v="69"/>
    <s v="OK"/>
    <n v="8.7999999999999995E-2"/>
    <n v="6"/>
    <n v="12040.64352"/>
    <n v="6163.5599999999995"/>
    <n v="5877.0835200000001"/>
    <n v="0.48810377204822358"/>
    <d v="1899-12-30T00:00:00"/>
    <s v="Jan-1900"/>
    <n v="0"/>
    <n v="0"/>
    <n v="0"/>
  </r>
  <r>
    <x v="206"/>
    <d v="2023-04-03T00:00:00"/>
    <x v="19"/>
    <s v="2023-Q2"/>
    <d v="2023-04-16T00:00:00"/>
    <x v="28"/>
    <x v="3"/>
    <x v="4"/>
    <s v="Marseille"/>
    <s v="Europe &gt; France &gt; Marseille"/>
    <s v="Non-Profit"/>
    <x v="2"/>
    <x v="2"/>
    <x v="13"/>
    <x v="1"/>
    <s v="Low"/>
    <x v="206"/>
    <n v="790.54"/>
    <n v="601.49"/>
    <n v="601.49"/>
    <x v="3"/>
    <s v="OK"/>
    <n v="0"/>
    <n v="15"/>
    <n v="9022.35"/>
    <n v="11858.099999999999"/>
    <n v="-2835.7499999999982"/>
    <n v="-0.31430281467688553"/>
    <d v="1899-12-30T00:00:00"/>
    <s v="Jan-1900"/>
    <n v="0"/>
    <n v="0"/>
    <n v="0"/>
  </r>
  <r>
    <x v="207"/>
    <d v="2025-08-30T00:00:00"/>
    <x v="24"/>
    <s v="2025-Q3"/>
    <d v="2025-09-22T00:00:00"/>
    <x v="9"/>
    <x v="3"/>
    <x v="4"/>
    <s v="Marseille"/>
    <s v="Europe &gt; France &gt; Marseille"/>
    <s v="Corporate"/>
    <x v="4"/>
    <x v="4"/>
    <x v="11"/>
    <x v="0"/>
    <s v="Medium"/>
    <x v="207"/>
    <n v="663.9"/>
    <n v="947.77"/>
    <n v="947.77"/>
    <x v="128"/>
    <s v="OK"/>
    <n v="0.17399999999999999"/>
    <n v="15"/>
    <n v="11742.8703"/>
    <n v="9958.5"/>
    <n v="1784.3703000000005"/>
    <n v="0.1519535049280073"/>
    <d v="1899-12-30T00:00:00"/>
    <s v="Jan-1900"/>
    <n v="0"/>
    <n v="0"/>
    <n v="0"/>
  </r>
  <r>
    <x v="208"/>
    <d v="2025-06-15T00:00:00"/>
    <x v="31"/>
    <s v="2025-Q2"/>
    <d v="2025-07-12T00:00:00"/>
    <x v="10"/>
    <x v="3"/>
    <x v="4"/>
    <s v="Marseille"/>
    <s v="Europe &gt; France &gt; Marseille"/>
    <s v="Consumer"/>
    <x v="4"/>
    <x v="4"/>
    <x v="0"/>
    <x v="1"/>
    <s v="Low"/>
    <x v="208"/>
    <n v="318.83"/>
    <n v="699.5"/>
    <n v="699.5"/>
    <x v="135"/>
    <s v="OK"/>
    <n v="0.08"/>
    <n v="13"/>
    <n v="8366.02"/>
    <n v="4144.79"/>
    <n v="4221.2300000000005"/>
    <n v="0.50456848059172699"/>
    <d v="1899-12-30T00:00:00"/>
    <s v="Jan-1900"/>
    <n v="0"/>
    <n v="0"/>
    <n v="0"/>
  </r>
  <r>
    <x v="209"/>
    <d v="2025-08-11T00:00:00"/>
    <x v="24"/>
    <s v="2025-Q3"/>
    <d v="2025-08-28T00:00:00"/>
    <x v="23"/>
    <x v="3"/>
    <x v="4"/>
    <s v="Paris"/>
    <s v="Europe &gt; France &gt; Paris"/>
    <s v="Education"/>
    <x v="1"/>
    <x v="1"/>
    <x v="8"/>
    <x v="6"/>
    <s v="Low"/>
    <x v="209"/>
    <n v="416.16"/>
    <n v="571.9"/>
    <n v="571.9"/>
    <x v="88"/>
    <s v="OK"/>
    <n v="7.0999999999999994E-2"/>
    <n v="2"/>
    <n v="1062.5902000000001"/>
    <n v="832.32"/>
    <n v="230.27020000000005"/>
    <n v="0.21670649701079497"/>
    <d v="1899-12-30T00:00:00"/>
    <s v="Jan-1900"/>
    <n v="0"/>
    <n v="0"/>
    <n v="0"/>
  </r>
  <r>
    <x v="210"/>
    <d v="2023-07-30T00:00:00"/>
    <x v="14"/>
    <s v="2023-Q3"/>
    <d v="2023-08-19T00:00:00"/>
    <x v="8"/>
    <x v="3"/>
    <x v="4"/>
    <s v="Paris"/>
    <s v="Europe &gt; France &gt; Paris"/>
    <s v="Enterprise"/>
    <x v="2"/>
    <x v="2"/>
    <x v="4"/>
    <x v="6"/>
    <s v="High"/>
    <x v="210"/>
    <n v="1418.51"/>
    <n v="2789.61"/>
    <n v="2789.61"/>
    <x v="136"/>
    <s v="OK"/>
    <n v="0.17100000000000001"/>
    <n v="8"/>
    <n v="18500.693520000001"/>
    <n v="11348.08"/>
    <n v="7152.6135200000008"/>
    <n v="0.38661326464695689"/>
    <d v="1899-12-30T00:00:00"/>
    <s v="Jan-1900"/>
    <n v="0"/>
    <n v="0"/>
    <n v="0"/>
  </r>
  <r>
    <x v="211"/>
    <d v="2024-10-13T00:00:00"/>
    <x v="32"/>
    <s v="2024-Q4"/>
    <d v="2024-10-24T00:00:00"/>
    <x v="20"/>
    <x v="3"/>
    <x v="4"/>
    <s v="Paris"/>
    <s v="Europe &gt; France &gt; Paris"/>
    <s v="Education"/>
    <x v="3"/>
    <x v="3"/>
    <x v="8"/>
    <x v="0"/>
    <s v="Medium"/>
    <x v="211"/>
    <n v="816.7"/>
    <n v="1010.75"/>
    <n v="1010.75"/>
    <x v="85"/>
    <s v="OK"/>
    <n v="4.7E-2"/>
    <n v="43"/>
    <n v="41419.524249999995"/>
    <n v="35118.1"/>
    <n v="6301.4242499999964"/>
    <n v="0.15213656757537472"/>
    <d v="1899-12-30T00:00:00"/>
    <s v="Jan-1900"/>
    <n v="0"/>
    <n v="0"/>
    <n v="0"/>
  </r>
  <r>
    <x v="212"/>
    <d v="2024-01-28T00:00:00"/>
    <x v="22"/>
    <s v="2024-Q1"/>
    <d v="2024-02-09T00:00:00"/>
    <x v="15"/>
    <x v="3"/>
    <x v="5"/>
    <s v="Berlin"/>
    <s v="Europe &gt; Germany &gt; Berlin"/>
    <s v="Corporate"/>
    <x v="1"/>
    <x v="1"/>
    <x v="4"/>
    <x v="1"/>
    <s v="Low"/>
    <x v="212"/>
    <n v="644.16999999999996"/>
    <n v="700.12"/>
    <n v="700.12"/>
    <x v="137"/>
    <s v="OK"/>
    <n v="6.0000000000000001E-3"/>
    <n v="23"/>
    <n v="16006.14344"/>
    <n v="14815.91"/>
    <n v="1190.23344"/>
    <n v="7.436103796405813E-2"/>
    <d v="1899-12-30T00:00:00"/>
    <s v="Jan-1900"/>
    <n v="0"/>
    <n v="0"/>
    <n v="0"/>
  </r>
  <r>
    <x v="213"/>
    <d v="2024-03-07T00:00:00"/>
    <x v="0"/>
    <s v="2024-Q1"/>
    <d v="2024-03-25T00:00:00"/>
    <x v="16"/>
    <x v="3"/>
    <x v="5"/>
    <s v="Munich"/>
    <s v="Europe &gt; Germany &gt; Munich"/>
    <s v="Corporate"/>
    <x v="1"/>
    <x v="1"/>
    <x v="6"/>
    <x v="0"/>
    <s v="Medium"/>
    <x v="213"/>
    <n v="712.84"/>
    <n v="927.51"/>
    <n v="927.51"/>
    <x v="107"/>
    <s v="OK"/>
    <n v="0.24299999999999999"/>
    <n v="27"/>
    <n v="18957.37689"/>
    <n v="19246.68"/>
    <n v="-289.30311000000074"/>
    <n v="-1.5260714163076427E-2"/>
    <d v="1899-12-30T00:00:00"/>
    <s v="Jan-1900"/>
    <n v="0"/>
    <n v="0"/>
    <n v="0"/>
  </r>
  <r>
    <x v="214"/>
    <d v="2024-08-27T00:00:00"/>
    <x v="10"/>
    <s v="2024-Q3"/>
    <d v="2024-09-19T00:00:00"/>
    <x v="9"/>
    <x v="3"/>
    <x v="5"/>
    <s v="Berlin"/>
    <s v="Europe &gt; Germany &gt; Berlin"/>
    <s v="Small Business"/>
    <x v="4"/>
    <x v="4"/>
    <x v="14"/>
    <x v="2"/>
    <s v="Medium"/>
    <x v="214"/>
    <n v="1024.01"/>
    <n v="1580.97"/>
    <n v="1580.97"/>
    <x v="138"/>
    <s v="OK"/>
    <n v="3.6999999999999998E-2"/>
    <n v="27"/>
    <n v="41106.800970000004"/>
    <n v="27648.27"/>
    <n v="13458.530970000003"/>
    <n v="0.3274039976942531"/>
    <d v="1899-12-30T00:00:00"/>
    <s v="Jan-1900"/>
    <n v="0"/>
    <n v="0"/>
    <n v="0"/>
  </r>
  <r>
    <x v="215"/>
    <d v="2025-05-29T00:00:00"/>
    <x v="1"/>
    <s v="2025-Q2"/>
    <d v="2025-06-20T00:00:00"/>
    <x v="21"/>
    <x v="3"/>
    <x v="5"/>
    <s v="Berlin"/>
    <s v="Europe &gt; Germany &gt; Berlin"/>
    <s v="Corporate"/>
    <x v="4"/>
    <x v="4"/>
    <x v="1"/>
    <x v="5"/>
    <s v="Medium"/>
    <x v="215"/>
    <n v="483.47"/>
    <n v="1135.43"/>
    <n v="1135.43"/>
    <x v="139"/>
    <s v="OK"/>
    <n v="0.14599999999999999"/>
    <n v="11"/>
    <n v="10666.229420000001"/>
    <n v="5318.17"/>
    <n v="5348.0594200000014"/>
    <n v="0.50140112399719983"/>
    <d v="1899-12-30T00:00:00"/>
    <s v="Jan-1900"/>
    <n v="0"/>
    <n v="0"/>
    <n v="0"/>
  </r>
  <r>
    <x v="216"/>
    <d v="2023-08-30T00:00:00"/>
    <x v="21"/>
    <s v="2023-Q3"/>
    <d v="2023-09-01T00:00:00"/>
    <x v="18"/>
    <x v="3"/>
    <x v="5"/>
    <s v="Munich"/>
    <s v="Europe &gt; Germany &gt; Munich"/>
    <s v="Corporate"/>
    <x v="4"/>
    <x v="4"/>
    <x v="5"/>
    <x v="6"/>
    <s v="Low"/>
    <x v="216"/>
    <n v="44.42"/>
    <n v="41.9"/>
    <n v="41.9"/>
    <x v="140"/>
    <s v="OK"/>
    <n v="0.14399999999999999"/>
    <n v="6"/>
    <n v="215.19839999999996"/>
    <n v="266.52"/>
    <n v="-51.321600000000018"/>
    <n v="-0.23848504449847224"/>
    <d v="1899-12-30T00:00:00"/>
    <s v="Jan-1900"/>
    <n v="0"/>
    <n v="0"/>
    <n v="0"/>
  </r>
  <r>
    <x v="217"/>
    <d v="2024-12-17T00:00:00"/>
    <x v="30"/>
    <s v="2024-Q4"/>
    <d v="2024-12-18T00:00:00"/>
    <x v="17"/>
    <x v="3"/>
    <x v="5"/>
    <s v="Munich"/>
    <s v="Europe &gt; Germany &gt; Munich"/>
    <s v="Education"/>
    <x v="0"/>
    <x v="0"/>
    <x v="10"/>
    <x v="1"/>
    <s v="Low"/>
    <x v="217"/>
    <n v="346.82"/>
    <n v="701.95"/>
    <n v="701.95"/>
    <x v="7"/>
    <s v="OK"/>
    <n v="0.14699999999999999"/>
    <n v="8"/>
    <n v="4790.1068000000005"/>
    <n v="2774.56"/>
    <n v="2015.5468000000005"/>
    <n v="0.42077283120284509"/>
    <d v="1899-12-30T00:00:00"/>
    <s v="Jan-1900"/>
    <n v="0"/>
    <n v="0"/>
    <n v="0"/>
  </r>
  <r>
    <x v="218"/>
    <d v="2024-03-18T00:00:00"/>
    <x v="0"/>
    <s v="2024-Q1"/>
    <d v="2024-03-21T00:00:00"/>
    <x v="12"/>
    <x v="3"/>
    <x v="5"/>
    <s v="Munich"/>
    <s v="Europe &gt; Germany &gt; Munich"/>
    <s v="Small Business"/>
    <x v="1"/>
    <x v="1"/>
    <x v="13"/>
    <x v="1"/>
    <s v="Medium"/>
    <x v="218"/>
    <n v="910.63"/>
    <n v="1269.4000000000001"/>
    <n v="1269.4000000000001"/>
    <x v="141"/>
    <s v="OK"/>
    <n v="6.8000000000000005E-2"/>
    <n v="9"/>
    <n v="10647.727199999999"/>
    <n v="8195.67"/>
    <n v="2452.0571999999993"/>
    <n v="0.23028925834989455"/>
    <d v="1899-12-30T00:00:00"/>
    <s v="Jan-1900"/>
    <n v="0"/>
    <n v="0"/>
    <n v="0"/>
  </r>
  <r>
    <x v="219"/>
    <d v="2023-02-28T00:00:00"/>
    <x v="5"/>
    <s v="2023-Q1"/>
    <d v="2023-03-20T00:00:00"/>
    <x v="8"/>
    <x v="3"/>
    <x v="5"/>
    <s v="Berlin"/>
    <s v="Europe &gt; Germany &gt; Berlin"/>
    <s v="Small Business"/>
    <x v="4"/>
    <x v="4"/>
    <x v="15"/>
    <x v="3"/>
    <s v="High"/>
    <x v="219"/>
    <n v="1200.78"/>
    <n v="2001.17"/>
    <n v="2001.17"/>
    <x v="53"/>
    <s v="OK"/>
    <n v="0.29199999999999998"/>
    <n v="18"/>
    <n v="25502.910479999999"/>
    <n v="21614.04"/>
    <n v="3888.8704799999978"/>
    <n v="0.15248732034132906"/>
    <d v="1899-12-30T00:00:00"/>
    <s v="Jan-1900"/>
    <n v="0"/>
    <n v="0"/>
    <n v="0"/>
  </r>
  <r>
    <x v="220"/>
    <d v="2024-12-27T00:00:00"/>
    <x v="30"/>
    <s v="2024-Q4"/>
    <d v="2025-01-02T00:00:00"/>
    <x v="29"/>
    <x v="3"/>
    <x v="5"/>
    <s v="Frankfurt"/>
    <s v="Europe &gt; Germany &gt; Frankfurt"/>
    <s v="Education"/>
    <x v="4"/>
    <x v="4"/>
    <x v="8"/>
    <x v="3"/>
    <s v="High"/>
    <x v="220"/>
    <n v="1391.99"/>
    <n v="3469.7"/>
    <n v="3469.7"/>
    <x v="9"/>
    <s v="OK"/>
    <n v="0.184"/>
    <n v="23"/>
    <n v="65119.329599999997"/>
    <n v="32015.77"/>
    <n v="33103.559599999993"/>
    <n v="0.50835227886006973"/>
    <d v="1899-12-30T00:00:00"/>
    <s v="Jan-1900"/>
    <n v="0"/>
    <n v="0"/>
    <n v="0"/>
  </r>
  <r>
    <x v="221"/>
    <d v="2024-06-07T00:00:00"/>
    <x v="6"/>
    <s v="2024-Q2"/>
    <d v="2024-06-26T00:00:00"/>
    <x v="1"/>
    <x v="3"/>
    <x v="5"/>
    <s v="Berlin"/>
    <s v="Europe &gt; Germany &gt; Berlin"/>
    <s v="Non-Profit"/>
    <x v="2"/>
    <x v="2"/>
    <x v="13"/>
    <x v="0"/>
    <s v="High"/>
    <x v="221"/>
    <n v="1064.32"/>
    <n v="1848.39"/>
    <n v="1848.39"/>
    <x v="142"/>
    <s v="OK"/>
    <n v="7.2999999999999995E-2"/>
    <n v="38"/>
    <n v="65111.38614000001"/>
    <n v="40444.159999999996"/>
    <n v="24667.226140000013"/>
    <n v="0.3788465827921631"/>
    <d v="1899-12-30T00:00:00"/>
    <s v="Jan-1900"/>
    <n v="0"/>
    <n v="0"/>
    <n v="0"/>
  </r>
  <r>
    <x v="222"/>
    <d v="2024-12-23T00:00:00"/>
    <x v="30"/>
    <s v="2024-Q4"/>
    <d v="2025-01-11T00:00:00"/>
    <x v="1"/>
    <x v="3"/>
    <x v="5"/>
    <s v="Berlin"/>
    <s v="Europe &gt; Germany &gt; Berlin"/>
    <s v="Education"/>
    <x v="0"/>
    <x v="0"/>
    <x v="3"/>
    <x v="4"/>
    <s v="Medium"/>
    <x v="222"/>
    <n v="501.81"/>
    <n v="921.62"/>
    <n v="921.62"/>
    <x v="47"/>
    <s v="OK"/>
    <n v="0.01"/>
    <n v="9"/>
    <n v="8211.6342000000004"/>
    <n v="4516.29"/>
    <n v="3695.3442000000005"/>
    <n v="0.45001325071202031"/>
    <d v="1899-12-30T00:00:00"/>
    <s v="Jan-1900"/>
    <n v="0"/>
    <n v="0"/>
    <n v="0"/>
  </r>
  <r>
    <x v="223"/>
    <d v="2024-04-04T00:00:00"/>
    <x v="15"/>
    <s v="2024-Q2"/>
    <d v="2024-04-24T00:00:00"/>
    <x v="8"/>
    <x v="3"/>
    <x v="5"/>
    <s v="Frankfurt"/>
    <s v="Europe &gt; Germany &gt; Frankfurt"/>
    <s v="Non-Profit"/>
    <x v="4"/>
    <x v="4"/>
    <x v="7"/>
    <x v="1"/>
    <s v="Medium"/>
    <x v="223"/>
    <n v="683.42"/>
    <n v="951.51"/>
    <n v="951.51"/>
    <x v="3"/>
    <s v="OK"/>
    <n v="0"/>
    <n v="14"/>
    <n v="13321.14"/>
    <n v="9567.8799999999992"/>
    <n v="3753.26"/>
    <n v="0.28175216235247136"/>
    <d v="1899-12-30T00:00:00"/>
    <s v="Jan-1900"/>
    <n v="0"/>
    <n v="0"/>
    <n v="0"/>
  </r>
  <r>
    <x v="224"/>
    <d v="2025-02-15T00:00:00"/>
    <x v="8"/>
    <s v="2025-Q1"/>
    <d v="2025-02-15T00:00:00"/>
    <x v="25"/>
    <x v="3"/>
    <x v="5"/>
    <s v="Frankfurt"/>
    <s v="Europe &gt; Germany &gt; Frankfurt"/>
    <s v="Small Business"/>
    <x v="2"/>
    <x v="2"/>
    <x v="10"/>
    <x v="1"/>
    <s v="High"/>
    <x v="224"/>
    <n v="815.83"/>
    <n v="1982.18"/>
    <n v="1982.18"/>
    <x v="143"/>
    <s v="OK"/>
    <n v="0.127"/>
    <n v="6"/>
    <n v="10382.65884"/>
    <n v="4894.9800000000005"/>
    <n v="5487.6788399999996"/>
    <n v="0.52854272923408507"/>
    <d v="1899-12-30T00:00:00"/>
    <s v="Jan-1900"/>
    <n v="0"/>
    <n v="0"/>
    <n v="0"/>
  </r>
  <r>
    <x v="225"/>
    <d v="2023-02-19T00:00:00"/>
    <x v="5"/>
    <s v="2023-Q1"/>
    <d v="2023-03-12T00:00:00"/>
    <x v="24"/>
    <x v="3"/>
    <x v="5"/>
    <s v="Berlin"/>
    <s v="Europe &gt; Germany &gt; Berlin"/>
    <s v="Small Business"/>
    <x v="4"/>
    <x v="4"/>
    <x v="10"/>
    <x v="2"/>
    <s v="High"/>
    <x v="225"/>
    <n v="1234.81"/>
    <n v="2055.2399999999998"/>
    <n v="2055.2399999999998"/>
    <x v="144"/>
    <s v="OK"/>
    <n v="5.2999999999999999E-2"/>
    <n v="44"/>
    <n v="85637.740319999997"/>
    <n v="54331.64"/>
    <n v="31306.100319999998"/>
    <n v="0.36556429680441616"/>
    <d v="1899-12-30T00:00:00"/>
    <s v="Jan-1900"/>
    <n v="0"/>
    <n v="0"/>
    <n v="0"/>
  </r>
  <r>
    <x v="226"/>
    <d v="2024-02-03T00:00:00"/>
    <x v="23"/>
    <s v="2024-Q1"/>
    <d v="2024-02-21T00:00:00"/>
    <x v="16"/>
    <x v="3"/>
    <x v="5"/>
    <s v="Frankfurt"/>
    <s v="Europe &gt; Germany &gt; Frankfurt"/>
    <s v="Corporate"/>
    <x v="0"/>
    <x v="0"/>
    <x v="15"/>
    <x v="0"/>
    <s v="Low"/>
    <x v="226"/>
    <n v="39.229999999999997"/>
    <n v="30.09"/>
    <n v="30.09"/>
    <x v="145"/>
    <s v="OK"/>
    <n v="0.17699999999999999"/>
    <n v="13"/>
    <n v="321.93290999999999"/>
    <n v="509.98999999999995"/>
    <n v="-188.05708999999996"/>
    <n v="-0.58414993981199359"/>
    <d v="1899-12-30T00:00:00"/>
    <s v="Jan-1900"/>
    <n v="0"/>
    <n v="0"/>
    <n v="0"/>
  </r>
  <r>
    <x v="227"/>
    <d v="2023-01-30T00:00:00"/>
    <x v="28"/>
    <s v="2023-Q1"/>
    <d v="2023-02-21T00:00:00"/>
    <x v="21"/>
    <x v="3"/>
    <x v="5"/>
    <s v="Munich"/>
    <s v="Europe &gt; Germany &gt; Munich"/>
    <s v="Small Business"/>
    <x v="2"/>
    <x v="2"/>
    <x v="4"/>
    <x v="6"/>
    <s v="Medium"/>
    <x v="227"/>
    <n v="1142.8800000000001"/>
    <n v="1465.29"/>
    <n v="1465.29"/>
    <x v="50"/>
    <s v="OK"/>
    <n v="0.186"/>
    <n v="7"/>
    <n v="8349.2224200000001"/>
    <n v="8000.1600000000008"/>
    <n v="349.06241999999929"/>
    <n v="4.1807775915017401E-2"/>
    <d v="1899-12-30T00:00:00"/>
    <s v="Jan-1900"/>
    <n v="0"/>
    <n v="0"/>
    <n v="0"/>
  </r>
  <r>
    <x v="228"/>
    <d v="2023-04-14T00:00:00"/>
    <x v="19"/>
    <s v="2023-Q2"/>
    <d v="2023-05-13T00:00:00"/>
    <x v="3"/>
    <x v="3"/>
    <x v="5"/>
    <s v="Frankfurt"/>
    <s v="Europe &gt; Germany &gt; Frankfurt"/>
    <s v="Consumer"/>
    <x v="4"/>
    <x v="4"/>
    <x v="2"/>
    <x v="5"/>
    <s v="High"/>
    <x v="228"/>
    <n v="1320.33"/>
    <n v="2645.23"/>
    <n v="2645.23"/>
    <x v="146"/>
    <s v="OK"/>
    <n v="0.155"/>
    <n v="25"/>
    <n v="55880.483749999999"/>
    <n v="33008.25"/>
    <n v="22872.233749999999"/>
    <n v="0.40930629470436536"/>
    <d v="1899-12-30T00:00:00"/>
    <s v="Jan-1900"/>
    <n v="0"/>
    <n v="0"/>
    <n v="0"/>
  </r>
  <r>
    <x v="229"/>
    <d v="2023-04-19T00:00:00"/>
    <x v="19"/>
    <s v="2023-Q2"/>
    <d v="2023-04-28T00:00:00"/>
    <x v="13"/>
    <x v="3"/>
    <x v="5"/>
    <s v="Berlin"/>
    <s v="Europe &gt; Germany &gt; Berlin"/>
    <s v="Education"/>
    <x v="1"/>
    <x v="1"/>
    <x v="11"/>
    <x v="2"/>
    <s v="High"/>
    <x v="229"/>
    <n v="1178.42"/>
    <n v="2446.56"/>
    <n v="2446.56"/>
    <x v="147"/>
    <s v="OK"/>
    <n v="2.9000000000000001E-2"/>
    <n v="11"/>
    <n v="26131.70736"/>
    <n v="12962.62"/>
    <n v="13169.08736"/>
    <n v="0.5039505141618883"/>
    <d v="1899-12-30T00:00:00"/>
    <s v="Jan-1900"/>
    <n v="0"/>
    <n v="0"/>
    <n v="0"/>
  </r>
  <r>
    <x v="230"/>
    <d v="2023-01-22T00:00:00"/>
    <x v="28"/>
    <s v="2023-Q1"/>
    <d v="2023-01-27T00:00:00"/>
    <x v="5"/>
    <x v="3"/>
    <x v="5"/>
    <s v="Munich"/>
    <s v="Europe &gt; Germany &gt; Munich"/>
    <s v="Corporate"/>
    <x v="4"/>
    <x v="4"/>
    <x v="8"/>
    <x v="2"/>
    <s v="Low"/>
    <x v="230"/>
    <n v="150.86000000000001"/>
    <n v="346.96"/>
    <n v="346.96"/>
    <x v="66"/>
    <s v="OK"/>
    <n v="0.19600000000000001"/>
    <n v="8"/>
    <n v="2231.6467200000002"/>
    <n v="1206.8800000000001"/>
    <n v="1024.7667200000001"/>
    <n v="0.45919755614365343"/>
    <d v="1899-12-30T00:00:00"/>
    <s v="Jan-1900"/>
    <n v="0"/>
    <n v="0"/>
    <n v="0"/>
  </r>
  <r>
    <x v="231"/>
    <d v="2024-12-04T00:00:00"/>
    <x v="30"/>
    <s v="2024-Q4"/>
    <d v="2024-12-12T00:00:00"/>
    <x v="19"/>
    <x v="3"/>
    <x v="5"/>
    <s v="Frankfurt"/>
    <s v="Europe &gt; Germany &gt; Frankfurt"/>
    <s v="Enterprise"/>
    <x v="2"/>
    <x v="2"/>
    <x v="6"/>
    <x v="5"/>
    <s v="Low"/>
    <x v="231"/>
    <n v="72.06"/>
    <n v="122.74"/>
    <n v="122.74"/>
    <x v="148"/>
    <s v="OK"/>
    <n v="0.23799999999999999"/>
    <n v="8"/>
    <n v="748.22303999999997"/>
    <n v="576.48"/>
    <n v="171.74303999999995"/>
    <n v="0.22953455162246802"/>
    <d v="1899-12-30T00:00:00"/>
    <s v="Jan-1900"/>
    <n v="0"/>
    <n v="0"/>
    <n v="0"/>
  </r>
  <r>
    <x v="232"/>
    <d v="2025-04-22T00:00:00"/>
    <x v="7"/>
    <s v="2025-Q2"/>
    <d v="2025-05-02T00:00:00"/>
    <x v="30"/>
    <x v="3"/>
    <x v="5"/>
    <s v="Berlin"/>
    <s v="Europe &gt; Germany &gt; Berlin"/>
    <s v="Corporate"/>
    <x v="2"/>
    <x v="2"/>
    <x v="0"/>
    <x v="2"/>
    <s v="Low"/>
    <x v="232"/>
    <n v="20.149999999999999"/>
    <n v="39.74"/>
    <n v="39.74"/>
    <x v="113"/>
    <s v="OK"/>
    <n v="0.151"/>
    <n v="18"/>
    <n v="607.30668000000003"/>
    <n v="362.7"/>
    <n v="244.60668000000004"/>
    <n v="0.4027729120318585"/>
    <d v="1899-12-30T00:00:00"/>
    <s v="Jan-1900"/>
    <n v="0"/>
    <n v="0"/>
    <n v="0"/>
  </r>
  <r>
    <x v="233"/>
    <d v="2024-04-29T00:00:00"/>
    <x v="15"/>
    <s v="2024-Q2"/>
    <d v="2024-05-19T00:00:00"/>
    <x v="8"/>
    <x v="3"/>
    <x v="5"/>
    <s v="Frankfurt"/>
    <s v="Europe &gt; Germany &gt; Frankfurt"/>
    <s v="Enterprise"/>
    <x v="2"/>
    <x v="2"/>
    <x v="0"/>
    <x v="3"/>
    <s v="High"/>
    <x v="233"/>
    <n v="668.97"/>
    <n v="1667.44"/>
    <n v="1667.44"/>
    <x v="149"/>
    <s v="OK"/>
    <n v="3.4000000000000002E-2"/>
    <n v="15"/>
    <n v="24161.205600000001"/>
    <n v="10034.550000000001"/>
    <n v="14126.6556"/>
    <n v="0.58468339013679016"/>
    <d v="1899-12-30T00:00:00"/>
    <s v="Jan-1900"/>
    <n v="0"/>
    <n v="0"/>
    <n v="0"/>
  </r>
  <r>
    <x v="234"/>
    <d v="2025-06-27T00:00:00"/>
    <x v="31"/>
    <s v="2025-Q2"/>
    <d v="2025-07-05T00:00:00"/>
    <x v="19"/>
    <x v="3"/>
    <x v="5"/>
    <s v="Munich"/>
    <s v="Europe &gt; Germany &gt; Munich"/>
    <s v="Small Business"/>
    <x v="4"/>
    <x v="4"/>
    <x v="4"/>
    <x v="2"/>
    <s v="Low"/>
    <x v="234"/>
    <n v="314.93"/>
    <n v="687.95"/>
    <n v="687.95"/>
    <x v="130"/>
    <s v="OK"/>
    <n v="0.20499999999999999"/>
    <n v="8"/>
    <n v="4375.3620000000001"/>
    <n v="2519.44"/>
    <n v="1855.922"/>
    <n v="0.424175645352316"/>
    <d v="1899-12-30T00:00:00"/>
    <s v="Jan-1900"/>
    <n v="0"/>
    <n v="0"/>
    <n v="0"/>
  </r>
  <r>
    <x v="235"/>
    <d v="2023-05-27T00:00:00"/>
    <x v="26"/>
    <s v="2023-Q2"/>
    <d v="2023-06-19T00:00:00"/>
    <x v="9"/>
    <x v="3"/>
    <x v="5"/>
    <s v="Berlin"/>
    <s v="Europe &gt; Germany &gt; Berlin"/>
    <s v="Education"/>
    <x v="0"/>
    <x v="0"/>
    <x v="7"/>
    <x v="1"/>
    <s v="High"/>
    <x v="235"/>
    <n v="1471.58"/>
    <n v="2576.65"/>
    <n v="2576.65"/>
    <x v="98"/>
    <s v="OK"/>
    <n v="4.0000000000000001E-3"/>
    <n v="7"/>
    <n v="17964.4038"/>
    <n v="10301.06"/>
    <n v="7663.3438000000006"/>
    <n v="0.4265849223451546"/>
    <d v="1899-12-30T00:00:00"/>
    <s v="Jan-1900"/>
    <n v="0"/>
    <n v="0"/>
    <n v="0"/>
  </r>
  <r>
    <x v="236"/>
    <d v="2024-03-31T00:00:00"/>
    <x v="0"/>
    <s v="2024-Q1"/>
    <d v="2024-04-17T00:00:00"/>
    <x v="23"/>
    <x v="3"/>
    <x v="5"/>
    <s v="Frankfurt"/>
    <s v="Europe &gt; Germany &gt; Frankfurt"/>
    <s v="Education"/>
    <x v="4"/>
    <x v="4"/>
    <x v="15"/>
    <x v="2"/>
    <s v="Medium"/>
    <x v="236"/>
    <n v="1025.51"/>
    <n v="1436.54"/>
    <n v="1436.54"/>
    <x v="114"/>
    <s v="OK"/>
    <n v="0.13900000000000001"/>
    <n v="28"/>
    <n v="34632.106319999999"/>
    <n v="28714.28"/>
    <n v="5917.8263200000001"/>
    <n v="0.17087688127656453"/>
    <d v="1899-12-30T00:00:00"/>
    <s v="Jan-1900"/>
    <n v="0"/>
    <n v="0"/>
    <n v="0"/>
  </r>
  <r>
    <x v="237"/>
    <d v="2025-06-24T00:00:00"/>
    <x v="31"/>
    <s v="2025-Q2"/>
    <d v="2025-07-14T00:00:00"/>
    <x v="8"/>
    <x v="3"/>
    <x v="5"/>
    <s v="Berlin"/>
    <s v="Europe &gt; Germany &gt; Berlin"/>
    <s v="Corporate"/>
    <x v="4"/>
    <x v="4"/>
    <x v="7"/>
    <x v="1"/>
    <s v="Medium"/>
    <x v="237"/>
    <n v="385.08"/>
    <n v="893.19"/>
    <n v="893.19"/>
    <x v="113"/>
    <s v="OK"/>
    <n v="0.151"/>
    <n v="8"/>
    <n v="6066.54648"/>
    <n v="3080.64"/>
    <n v="2985.9064800000001"/>
    <n v="0.49219213762621666"/>
    <d v="1899-12-30T00:00:00"/>
    <s v="Jan-1900"/>
    <n v="0"/>
    <n v="0"/>
    <n v="0"/>
  </r>
  <r>
    <x v="238"/>
    <d v="2024-01-13T00:00:00"/>
    <x v="22"/>
    <s v="2024-Q1"/>
    <d v="2024-02-05T00:00:00"/>
    <x v="9"/>
    <x v="3"/>
    <x v="5"/>
    <s v="Frankfurt"/>
    <s v="Europe &gt; Germany &gt; Frankfurt"/>
    <s v="Education"/>
    <x v="4"/>
    <x v="4"/>
    <x v="6"/>
    <x v="3"/>
    <s v="Medium"/>
    <x v="238"/>
    <n v="1017.93"/>
    <n v="1529.14"/>
    <n v="1529.14"/>
    <x v="146"/>
    <s v="OK"/>
    <n v="0.155"/>
    <n v="12"/>
    <n v="15505.479600000001"/>
    <n v="12215.16"/>
    <n v="3290.3196000000007"/>
    <n v="0.21220366508366503"/>
    <d v="1899-12-30T00:00:00"/>
    <s v="Jan-1900"/>
    <n v="0"/>
    <n v="0"/>
    <n v="0"/>
  </r>
  <r>
    <x v="239"/>
    <d v="2025-04-04T00:00:00"/>
    <x v="7"/>
    <s v="2025-Q2"/>
    <d v="2025-04-13T00:00:00"/>
    <x v="13"/>
    <x v="3"/>
    <x v="5"/>
    <s v="Munich"/>
    <s v="Europe &gt; Germany &gt; Munich"/>
    <s v="Consumer"/>
    <x v="2"/>
    <x v="2"/>
    <x v="8"/>
    <x v="4"/>
    <s v="Low"/>
    <x v="239"/>
    <n v="7.02"/>
    <n v="6.28"/>
    <n v="6.28"/>
    <x v="11"/>
    <s v="OK"/>
    <n v="0.13400000000000001"/>
    <n v="14"/>
    <n v="76.138720000000006"/>
    <n v="98.28"/>
    <n v="-22.141279999999995"/>
    <n v="-0.29080184169106066"/>
    <d v="1899-12-30T00:00:00"/>
    <s v="Jan-1900"/>
    <n v="0"/>
    <n v="0"/>
    <n v="0"/>
  </r>
  <r>
    <x v="240"/>
    <d v="2025-06-01T00:00:00"/>
    <x v="31"/>
    <s v="2025-Q2"/>
    <d v="2025-06-27T00:00:00"/>
    <x v="0"/>
    <x v="3"/>
    <x v="5"/>
    <s v="Munich"/>
    <s v="Europe &gt; Germany &gt; Munich"/>
    <s v="Consumer"/>
    <x v="3"/>
    <x v="3"/>
    <x v="11"/>
    <x v="3"/>
    <s v="High"/>
    <x v="240"/>
    <n v="1362.31"/>
    <n v="3294.57"/>
    <n v="3294.57"/>
    <x v="150"/>
    <s v="OK"/>
    <n v="0.113"/>
    <n v="7"/>
    <n v="20455.985130000001"/>
    <n v="9536.17"/>
    <n v="10919.815130000001"/>
    <n v="0.5338200561157721"/>
    <d v="1899-12-30T00:00:00"/>
    <s v="Jan-1900"/>
    <n v="0"/>
    <n v="0"/>
    <n v="0"/>
  </r>
  <r>
    <x v="241"/>
    <d v="2024-05-28T00:00:00"/>
    <x v="16"/>
    <s v="2024-Q2"/>
    <d v="2024-06-18T00:00:00"/>
    <x v="24"/>
    <x v="3"/>
    <x v="5"/>
    <s v="Frankfurt"/>
    <s v="Europe &gt; Germany &gt; Frankfurt"/>
    <s v="Small Business"/>
    <x v="1"/>
    <x v="1"/>
    <x v="11"/>
    <x v="4"/>
    <s v="High"/>
    <x v="241"/>
    <n v="986.85"/>
    <n v="2422.1"/>
    <n v="2422.1"/>
    <x v="151"/>
    <s v="OK"/>
    <n v="7.5999999999999998E-2"/>
    <n v="10"/>
    <n v="22380.204000000002"/>
    <n v="9868.5"/>
    <n v="12511.704000000002"/>
    <n v="0.55905227673527913"/>
    <d v="1899-12-30T00:00:00"/>
    <s v="Jan-1900"/>
    <n v="0"/>
    <n v="0"/>
    <n v="0"/>
  </r>
  <r>
    <x v="242"/>
    <d v="2023-12-02T00:00:00"/>
    <x v="9"/>
    <s v="2023-Q4"/>
    <d v="2023-12-16T00:00:00"/>
    <x v="6"/>
    <x v="3"/>
    <x v="5"/>
    <s v="Frankfurt"/>
    <s v="Europe &gt; Germany &gt; Frankfurt"/>
    <s v="Education"/>
    <x v="4"/>
    <x v="4"/>
    <x v="5"/>
    <x v="2"/>
    <s v="Medium"/>
    <x v="242"/>
    <n v="879.08"/>
    <n v="1093.3900000000001"/>
    <n v="1093.3900000000001"/>
    <x v="150"/>
    <s v="OK"/>
    <n v="0.113"/>
    <n v="17"/>
    <n v="16487.22781"/>
    <n v="14944.36"/>
    <n v="1542.8678099999997"/>
    <n v="9.3579577341935186E-2"/>
    <d v="1899-12-30T00:00:00"/>
    <s v="Jan-1900"/>
    <n v="0"/>
    <n v="0"/>
    <n v="0"/>
  </r>
  <r>
    <x v="243"/>
    <d v="2025-08-21T00:00:00"/>
    <x v="24"/>
    <s v="2025-Q3"/>
    <d v="2025-09-14T00:00:00"/>
    <x v="7"/>
    <x v="3"/>
    <x v="5"/>
    <s v="Berlin"/>
    <s v="Europe &gt; Germany &gt; Berlin"/>
    <s v="Non-Profit"/>
    <x v="1"/>
    <x v="1"/>
    <x v="1"/>
    <x v="2"/>
    <s v="High"/>
    <x v="243"/>
    <n v="1397.67"/>
    <n v="3131.37"/>
    <n v="3131.37"/>
    <x v="71"/>
    <s v="OK"/>
    <n v="0.10299999999999999"/>
    <n v="20"/>
    <n v="56176.777799999996"/>
    <n v="27953.4"/>
    <n v="28223.377799999995"/>
    <n v="0.50240293062874808"/>
    <d v="1899-12-30T00:00:00"/>
    <s v="Jan-1900"/>
    <n v="0"/>
    <n v="0"/>
    <n v="0"/>
  </r>
  <r>
    <x v="244"/>
    <d v="2023-03-17T00:00:00"/>
    <x v="12"/>
    <s v="2023-Q1"/>
    <d v="2023-04-06T00:00:00"/>
    <x v="8"/>
    <x v="3"/>
    <x v="5"/>
    <s v="Munich"/>
    <s v="Europe &gt; Germany &gt; Munich"/>
    <s v="Consumer"/>
    <x v="0"/>
    <x v="0"/>
    <x v="7"/>
    <x v="4"/>
    <s v="Medium"/>
    <x v="244"/>
    <n v="692.18"/>
    <n v="1159.3499999999999"/>
    <n v="1159.3499999999999"/>
    <x v="0"/>
    <s v="OK"/>
    <n v="0.112"/>
    <n v="2"/>
    <n v="2059.0056"/>
    <n v="1384.36"/>
    <n v="674.64560000000006"/>
    <n v="0.32765602968734037"/>
    <d v="1899-12-30T00:00:00"/>
    <s v="Jan-1900"/>
    <n v="0"/>
    <n v="0"/>
    <n v="0"/>
  </r>
  <r>
    <x v="245"/>
    <d v="2024-01-16T00:00:00"/>
    <x v="22"/>
    <s v="2024-Q1"/>
    <d v="2024-02-11T00:00:00"/>
    <x v="0"/>
    <x v="3"/>
    <x v="5"/>
    <s v="Frankfurt"/>
    <s v="Europe &gt; Germany &gt; Frankfurt"/>
    <s v="Non-Profit"/>
    <x v="3"/>
    <x v="3"/>
    <x v="11"/>
    <x v="2"/>
    <s v="Medium"/>
    <x v="245"/>
    <n v="504.93"/>
    <n v="819.06"/>
    <n v="819.06"/>
    <x v="48"/>
    <s v="OK"/>
    <n v="0.22600000000000001"/>
    <n v="15"/>
    <n v="9509.2865999999995"/>
    <n v="7573.95"/>
    <n v="1935.3365999999996"/>
    <n v="0.20352069312959814"/>
    <d v="1899-12-30T00:00:00"/>
    <s v="Jan-1900"/>
    <n v="0"/>
    <n v="0"/>
    <n v="0"/>
  </r>
  <r>
    <x v="246"/>
    <d v="2024-11-01T00:00:00"/>
    <x v="13"/>
    <s v="2024-Q4"/>
    <d v="2024-11-12T00:00:00"/>
    <x v="20"/>
    <x v="3"/>
    <x v="5"/>
    <s v="Frankfurt"/>
    <s v="Europe &gt; Germany &gt; Frankfurt"/>
    <s v="Consumer"/>
    <x v="1"/>
    <x v="1"/>
    <x v="6"/>
    <x v="5"/>
    <s v="Medium"/>
    <x v="246"/>
    <n v="599.84"/>
    <n v="1330.85"/>
    <n v="1330.85"/>
    <x v="72"/>
    <s v="OK"/>
    <n v="0.115"/>
    <n v="11"/>
    <n v="12955.824749999998"/>
    <n v="6598.2400000000007"/>
    <n v="6357.5847499999973"/>
    <n v="0.49071246892252063"/>
    <d v="1899-12-30T00:00:00"/>
    <s v="Jan-1900"/>
    <n v="0"/>
    <n v="0"/>
    <n v="0"/>
  </r>
  <r>
    <x v="247"/>
    <d v="2024-08-22T00:00:00"/>
    <x v="10"/>
    <s v="2024-Q3"/>
    <d v="2024-09-04T00:00:00"/>
    <x v="28"/>
    <x v="3"/>
    <x v="5"/>
    <s v="Frankfurt"/>
    <s v="Europe &gt; Germany &gt; Frankfurt"/>
    <s v="Non-Profit"/>
    <x v="0"/>
    <x v="0"/>
    <x v="10"/>
    <x v="5"/>
    <s v="Low"/>
    <x v="247"/>
    <n v="90.04"/>
    <n v="194.62"/>
    <n v="194.62"/>
    <x v="56"/>
    <s v="OK"/>
    <n v="4.2999999999999997E-2"/>
    <n v="32"/>
    <n v="5960.04288"/>
    <n v="2881.28"/>
    <n v="3078.7628799999998"/>
    <n v="0.51656723650954672"/>
    <d v="1899-12-30T00:00:00"/>
    <s v="Jan-1900"/>
    <n v="0"/>
    <n v="0"/>
    <n v="0"/>
  </r>
  <r>
    <x v="248"/>
    <d v="2023-11-30T00:00:00"/>
    <x v="18"/>
    <s v="2023-Q4"/>
    <d v="2023-12-10T00:00:00"/>
    <x v="30"/>
    <x v="3"/>
    <x v="5"/>
    <s v="Munich"/>
    <s v="Europe &gt; Germany &gt; Munich"/>
    <s v="Small Business"/>
    <x v="4"/>
    <x v="4"/>
    <x v="8"/>
    <x v="3"/>
    <s v="Low"/>
    <x v="248"/>
    <n v="174.74"/>
    <n v="415.96"/>
    <n v="415.96"/>
    <x v="152"/>
    <s v="OK"/>
    <n v="0.125"/>
    <n v="21"/>
    <n v="7643.2649999999994"/>
    <n v="3669.54"/>
    <n v="3973.7249999999995"/>
    <n v="0.51989889137691803"/>
    <d v="1899-12-30T00:00:00"/>
    <s v="Jan-1900"/>
    <n v="0"/>
    <n v="0"/>
    <n v="0"/>
  </r>
  <r>
    <x v="249"/>
    <d v="2024-03-07T00:00:00"/>
    <x v="0"/>
    <s v="2024-Q1"/>
    <d v="2024-04-03T00:00:00"/>
    <x v="10"/>
    <x v="3"/>
    <x v="5"/>
    <s v="Frankfurt"/>
    <s v="Europe &gt; Germany &gt; Frankfurt"/>
    <s v="Corporate"/>
    <x v="4"/>
    <x v="4"/>
    <x v="13"/>
    <x v="5"/>
    <s v="Medium"/>
    <x v="249"/>
    <n v="738.16"/>
    <n v="956.49"/>
    <n v="956.49"/>
    <x v="153"/>
    <s v="OK"/>
    <n v="0.152"/>
    <n v="5"/>
    <n v="4055.5175999999997"/>
    <n v="3690.7999999999997"/>
    <n v="364.71759999999995"/>
    <n v="8.9931208780847108E-2"/>
    <d v="1899-12-30T00:00:00"/>
    <s v="Jan-1900"/>
    <n v="0"/>
    <n v="0"/>
    <n v="0"/>
  </r>
  <r>
    <x v="250"/>
    <d v="2025-06-01T00:00:00"/>
    <x v="31"/>
    <s v="2025-Q2"/>
    <d v="2025-06-05T00:00:00"/>
    <x v="14"/>
    <x v="3"/>
    <x v="5"/>
    <s v="Munich"/>
    <s v="Europe &gt; Germany &gt; Munich"/>
    <s v="Enterprise"/>
    <x v="4"/>
    <x v="4"/>
    <x v="13"/>
    <x v="0"/>
    <s v="High"/>
    <x v="250"/>
    <n v="1171.42"/>
    <n v="2187.8000000000002"/>
    <n v="2187.8000000000002"/>
    <x v="154"/>
    <s v="OK"/>
    <n v="0.23"/>
    <n v="15"/>
    <n v="25269.09"/>
    <n v="17571.300000000003"/>
    <n v="7697.7899999999972"/>
    <n v="0.30463265594447592"/>
    <d v="1899-12-30T00:00:00"/>
    <s v="Jan-1900"/>
    <n v="0"/>
    <n v="0"/>
    <n v="0"/>
  </r>
  <r>
    <x v="251"/>
    <d v="2025-03-23T00:00:00"/>
    <x v="2"/>
    <s v="2025-Q1"/>
    <d v="2025-04-02T00:00:00"/>
    <x v="30"/>
    <x v="3"/>
    <x v="5"/>
    <s v="Berlin"/>
    <s v="Europe &gt; Germany &gt; Berlin"/>
    <s v="Enterprise"/>
    <x v="1"/>
    <x v="1"/>
    <x v="11"/>
    <x v="5"/>
    <s v="Medium"/>
    <x v="251"/>
    <n v="663.61"/>
    <n v="1002.11"/>
    <n v="1002.11"/>
    <x v="155"/>
    <s v="OK"/>
    <n v="4.5999999999999999E-2"/>
    <n v="17"/>
    <n v="16252.219979999998"/>
    <n v="11281.37"/>
    <n v="4970.8499799999972"/>
    <n v="0.30585667595670812"/>
    <d v="1899-12-30T00:00:00"/>
    <s v="Jan-1900"/>
    <n v="0"/>
    <n v="0"/>
    <n v="0"/>
  </r>
  <r>
    <x v="252"/>
    <d v="2023-03-14T00:00:00"/>
    <x v="12"/>
    <s v="2023-Q1"/>
    <d v="2023-03-18T00:00:00"/>
    <x v="14"/>
    <x v="3"/>
    <x v="5"/>
    <s v="Frankfurt"/>
    <s v="Europe &gt; Germany &gt; Frankfurt"/>
    <s v="Enterprise"/>
    <x v="4"/>
    <x v="4"/>
    <x v="1"/>
    <x v="0"/>
    <s v="Low"/>
    <x v="252"/>
    <n v="472.33"/>
    <n v="360.34"/>
    <n v="360.34"/>
    <x v="156"/>
    <s v="OK"/>
    <n v="0.16500000000000001"/>
    <n v="14"/>
    <n v="4212.3745999999992"/>
    <n v="6612.62"/>
    <n v="-2400.2454000000007"/>
    <n v="-0.56980815523861561"/>
    <d v="1899-12-30T00:00:00"/>
    <s v="Jan-1900"/>
    <n v="0"/>
    <n v="0"/>
    <n v="0"/>
  </r>
  <r>
    <x v="253"/>
    <d v="2023-04-16T00:00:00"/>
    <x v="19"/>
    <s v="2023-Q2"/>
    <d v="2023-04-19T00:00:00"/>
    <x v="12"/>
    <x v="3"/>
    <x v="5"/>
    <s v="Munich"/>
    <s v="Europe &gt; Germany &gt; Munich"/>
    <s v="Corporate"/>
    <x v="4"/>
    <x v="4"/>
    <x v="6"/>
    <x v="1"/>
    <s v="Low"/>
    <x v="253"/>
    <n v="553.61"/>
    <n v="699.47"/>
    <n v="699.47"/>
    <x v="94"/>
    <s v="OK"/>
    <n v="0.02"/>
    <n v="33"/>
    <n v="22620.859800000002"/>
    <n v="18269.13"/>
    <n v="4351.729800000001"/>
    <n v="0.19237685209472014"/>
    <d v="1899-12-30T00:00:00"/>
    <s v="Jan-1900"/>
    <n v="0"/>
    <n v="0"/>
    <n v="0"/>
  </r>
  <r>
    <x v="254"/>
    <d v="2025-04-28T00:00:00"/>
    <x v="7"/>
    <s v="2025-Q2"/>
    <d v="2025-05-19T00:00:00"/>
    <x v="24"/>
    <x v="3"/>
    <x v="5"/>
    <s v="Berlin"/>
    <s v="Europe &gt; Germany &gt; Berlin"/>
    <s v="Corporate"/>
    <x v="3"/>
    <x v="3"/>
    <x v="6"/>
    <x v="4"/>
    <s v="Low"/>
    <x v="254"/>
    <n v="350.76"/>
    <n v="492.18"/>
    <n v="492.18"/>
    <x v="144"/>
    <s v="OK"/>
    <n v="5.2999999999999999E-2"/>
    <n v="11"/>
    <n v="5127.0390600000001"/>
    <n v="3858.3599999999997"/>
    <n v="1268.6790600000004"/>
    <n v="0.24744868239798437"/>
    <d v="1899-12-30T00:00:00"/>
    <s v="Jan-1900"/>
    <n v="0"/>
    <n v="0"/>
    <n v="0"/>
  </r>
  <r>
    <x v="255"/>
    <d v="2023-06-01T00:00:00"/>
    <x v="11"/>
    <s v="2023-Q2"/>
    <d v="2023-06-08T00:00:00"/>
    <x v="22"/>
    <x v="3"/>
    <x v="5"/>
    <s v="Frankfurt"/>
    <s v="Europe &gt; Germany &gt; Frankfurt"/>
    <s v="Consumer"/>
    <x v="1"/>
    <x v="1"/>
    <x v="1"/>
    <x v="4"/>
    <s v="Medium"/>
    <x v="255"/>
    <n v="804.17"/>
    <n v="1072.29"/>
    <n v="1072.29"/>
    <x v="39"/>
    <s v="OK"/>
    <n v="3.2000000000000001E-2"/>
    <n v="5"/>
    <n v="5189.8836000000001"/>
    <n v="4020.85"/>
    <n v="1169.0336000000002"/>
    <n v="0.2252523736755869"/>
    <d v="1899-12-30T00:00:00"/>
    <s v="Jan-1900"/>
    <n v="0"/>
    <n v="0"/>
    <n v="0"/>
  </r>
  <r>
    <x v="256"/>
    <d v="2024-05-01T00:00:00"/>
    <x v="16"/>
    <s v="2024-Q2"/>
    <d v="2024-05-26T00:00:00"/>
    <x v="2"/>
    <x v="3"/>
    <x v="5"/>
    <s v="Berlin"/>
    <s v="Europe &gt; Germany &gt; Berlin"/>
    <s v="Non-Profit"/>
    <x v="0"/>
    <x v="0"/>
    <x v="6"/>
    <x v="6"/>
    <s v="High"/>
    <x v="256"/>
    <n v="930.71"/>
    <n v="1625.42"/>
    <n v="1625.42"/>
    <x v="129"/>
    <s v="OK"/>
    <n v="0.13800000000000001"/>
    <n v="7"/>
    <n v="9807.7842799999999"/>
    <n v="6514.97"/>
    <n v="3292.8142799999996"/>
    <n v="0.33573477821231196"/>
    <d v="1899-12-30T00:00:00"/>
    <s v="Jan-1900"/>
    <n v="0"/>
    <n v="0"/>
    <n v="0"/>
  </r>
  <r>
    <x v="257"/>
    <d v="2025-03-11T00:00:00"/>
    <x v="2"/>
    <s v="2025-Q1"/>
    <d v="2025-03-26T00:00:00"/>
    <x v="26"/>
    <x v="3"/>
    <x v="5"/>
    <s v="Berlin"/>
    <s v="Europe &gt; Germany &gt; Berlin"/>
    <s v="Small Business"/>
    <x v="1"/>
    <x v="1"/>
    <x v="12"/>
    <x v="4"/>
    <s v="Low"/>
    <x v="257"/>
    <n v="116.97"/>
    <n v="140.82"/>
    <n v="140.82"/>
    <x v="157"/>
    <s v="OK"/>
    <n v="0.122"/>
    <n v="5"/>
    <n v="618.19979999999987"/>
    <n v="584.85"/>
    <n v="33.349799999999846"/>
    <n v="5.3946636669891926E-2"/>
    <d v="1899-12-30T00:00:00"/>
    <s v="Jan-1900"/>
    <n v="0"/>
    <n v="0"/>
    <n v="0"/>
  </r>
  <r>
    <x v="258"/>
    <d v="2023-01-26T00:00:00"/>
    <x v="28"/>
    <s v="2023-Q1"/>
    <d v="2023-02-15T00:00:00"/>
    <x v="8"/>
    <x v="3"/>
    <x v="5"/>
    <s v="Berlin"/>
    <s v="Europe &gt; Germany &gt; Berlin"/>
    <s v="Small Business"/>
    <x v="1"/>
    <x v="1"/>
    <x v="7"/>
    <x v="6"/>
    <s v="Low"/>
    <x v="258"/>
    <n v="492.62"/>
    <n v="366.7"/>
    <n v="366.7"/>
    <x v="51"/>
    <s v="OK"/>
    <n v="8.8999999999999996E-2"/>
    <n v="10"/>
    <n v="3340.6370000000002"/>
    <n v="4926.2"/>
    <n v="-1585.5629999999996"/>
    <n v="-0.47462894052840809"/>
    <d v="1899-12-30T00:00:00"/>
    <s v="Jan-1900"/>
    <n v="0"/>
    <n v="0"/>
    <n v="0"/>
  </r>
  <r>
    <x v="259"/>
    <d v="2023-07-01T00:00:00"/>
    <x v="14"/>
    <s v="2023-Q3"/>
    <d v="2023-07-08T00:00:00"/>
    <x v="22"/>
    <x v="3"/>
    <x v="5"/>
    <s v="Frankfurt"/>
    <s v="Europe &gt; Germany &gt; Frankfurt"/>
    <s v="Small Business"/>
    <x v="3"/>
    <x v="3"/>
    <x v="5"/>
    <x v="3"/>
    <s v="Medium"/>
    <x v="259"/>
    <n v="460.21"/>
    <n v="1139.1500000000001"/>
    <n v="1139.1500000000001"/>
    <x v="72"/>
    <s v="OK"/>
    <n v="0.115"/>
    <n v="14"/>
    <n v="14114.068500000001"/>
    <n v="6442.94"/>
    <n v="7671.1285000000016"/>
    <n v="0.54350937151821255"/>
    <d v="1899-12-30T00:00:00"/>
    <s v="Jan-1900"/>
    <n v="0"/>
    <n v="0"/>
    <n v="0"/>
  </r>
  <r>
    <x v="260"/>
    <d v="2023-02-28T00:00:00"/>
    <x v="5"/>
    <s v="2023-Q1"/>
    <d v="2023-03-06T00:00:00"/>
    <x v="29"/>
    <x v="3"/>
    <x v="5"/>
    <s v="Frankfurt"/>
    <s v="Europe &gt; Germany &gt; Frankfurt"/>
    <s v="Small Business"/>
    <x v="2"/>
    <x v="2"/>
    <x v="14"/>
    <x v="5"/>
    <s v="Medium"/>
    <x v="260"/>
    <n v="880.02"/>
    <n v="1251.21"/>
    <n v="1251.21"/>
    <x v="42"/>
    <s v="OK"/>
    <n v="0.123"/>
    <n v="29"/>
    <n v="31822.023930000003"/>
    <n v="25520.579999999998"/>
    <n v="6301.4439300000049"/>
    <n v="0.19802146915172672"/>
    <d v="1899-12-30T00:00:00"/>
    <s v="Jan-1900"/>
    <n v="0"/>
    <n v="0"/>
    <n v="0"/>
  </r>
  <r>
    <x v="261"/>
    <d v="2025-02-16T00:00:00"/>
    <x v="8"/>
    <s v="2025-Q1"/>
    <d v="2025-03-17T00:00:00"/>
    <x v="3"/>
    <x v="3"/>
    <x v="5"/>
    <s v="Munich"/>
    <s v="Europe &gt; Germany &gt; Munich"/>
    <s v="Consumer"/>
    <x v="0"/>
    <x v="0"/>
    <x v="10"/>
    <x v="1"/>
    <s v="Medium"/>
    <x v="261"/>
    <n v="730.42"/>
    <n v="956.7"/>
    <n v="956.7"/>
    <x v="41"/>
    <s v="OK"/>
    <n v="4.2000000000000003E-2"/>
    <n v="22"/>
    <n v="20163.409200000002"/>
    <n v="16069.24"/>
    <n v="4094.1692000000021"/>
    <n v="0.20304945256975698"/>
    <d v="1899-12-30T00:00:00"/>
    <s v="Jan-1900"/>
    <n v="0"/>
    <n v="0"/>
    <n v="0"/>
  </r>
  <r>
    <x v="262"/>
    <d v="2023-12-07T00:00:00"/>
    <x v="9"/>
    <s v="2023-Q4"/>
    <d v="2024-01-02T00:00:00"/>
    <x v="0"/>
    <x v="3"/>
    <x v="5"/>
    <s v="Frankfurt"/>
    <s v="Europe &gt; Germany &gt; Frankfurt"/>
    <s v="Enterprise"/>
    <x v="3"/>
    <x v="3"/>
    <x v="11"/>
    <x v="0"/>
    <s v="High"/>
    <x v="262"/>
    <n v="1071.99"/>
    <n v="2397.3000000000002"/>
    <n v="2397.3000000000002"/>
    <x v="158"/>
    <s v="OK"/>
    <n v="6.2E-2"/>
    <n v="18"/>
    <n v="40476.013200000001"/>
    <n v="19295.82"/>
    <n v="21180.193200000002"/>
    <n v="0.52327765324476183"/>
    <d v="1899-12-30T00:00:00"/>
    <s v="Jan-1900"/>
    <n v="0"/>
    <n v="0"/>
    <n v="0"/>
  </r>
  <r>
    <x v="263"/>
    <d v="2024-12-27T00:00:00"/>
    <x v="30"/>
    <s v="2024-Q4"/>
    <d v="2025-01-14T00:00:00"/>
    <x v="16"/>
    <x v="2"/>
    <x v="6"/>
    <s v="Bengaluru"/>
    <s v="Asia &gt; India &gt; Bengaluru"/>
    <s v="Small Business"/>
    <x v="2"/>
    <x v="2"/>
    <x v="11"/>
    <x v="2"/>
    <s v="Medium"/>
    <x v="263"/>
    <n v="586.07000000000005"/>
    <n v="845.97"/>
    <n v="845.97"/>
    <x v="7"/>
    <s v="OK"/>
    <n v="0.14699999999999999"/>
    <n v="4"/>
    <n v="2886.4496399999998"/>
    <n v="2344.2800000000002"/>
    <n v="542.16963999999962"/>
    <n v="0.18783270370862928"/>
    <d v="1899-12-30T00:00:00"/>
    <s v="Jan-1900"/>
    <n v="0"/>
    <n v="0"/>
    <n v="0"/>
  </r>
  <r>
    <x v="264"/>
    <d v="2024-12-27T00:00:00"/>
    <x v="30"/>
    <s v="2024-Q4"/>
    <d v="2025-01-15T00:00:00"/>
    <x v="1"/>
    <x v="2"/>
    <x v="6"/>
    <s v="Delhi"/>
    <s v="Asia &gt; India &gt; Delhi"/>
    <s v="Non-Profit"/>
    <x v="3"/>
    <x v="3"/>
    <x v="4"/>
    <x v="0"/>
    <s v="Low"/>
    <x v="264"/>
    <n v="495.59"/>
    <n v="631.78"/>
    <n v="631.78"/>
    <x v="159"/>
    <s v="OK"/>
    <n v="8.6999999999999994E-2"/>
    <n v="17"/>
    <n v="9805.8573800000013"/>
    <n v="8425.0299999999988"/>
    <n v="1380.8273800000024"/>
    <n v="0.14081658813601899"/>
    <d v="1899-12-30T00:00:00"/>
    <s v="Jan-1900"/>
    <n v="0"/>
    <n v="0"/>
    <n v="0"/>
  </r>
  <r>
    <x v="265"/>
    <d v="2023-03-27T00:00:00"/>
    <x v="12"/>
    <s v="2023-Q1"/>
    <d v="2023-04-22T00:00:00"/>
    <x v="0"/>
    <x v="2"/>
    <x v="6"/>
    <s v="Delhi"/>
    <s v="Asia &gt; India &gt; Delhi"/>
    <s v="Non-Profit"/>
    <x v="2"/>
    <x v="2"/>
    <x v="2"/>
    <x v="5"/>
    <s v="Low"/>
    <x v="265"/>
    <n v="178.53"/>
    <n v="199.37"/>
    <n v="199.37"/>
    <x v="111"/>
    <s v="OK"/>
    <n v="0.10100000000000001"/>
    <n v="37"/>
    <n v="6631.6443100000006"/>
    <n v="6605.61"/>
    <n v="26.034310000000914"/>
    <n v="3.9257699573457538E-3"/>
    <d v="1899-12-30T00:00:00"/>
    <s v="Jan-1900"/>
    <n v="0"/>
    <n v="0"/>
    <n v="0"/>
  </r>
  <r>
    <x v="266"/>
    <d v="2023-04-19T00:00:00"/>
    <x v="19"/>
    <s v="2023-Q2"/>
    <d v="2023-04-30T00:00:00"/>
    <x v="20"/>
    <x v="2"/>
    <x v="6"/>
    <s v="Delhi"/>
    <s v="Asia &gt; India &gt; Delhi"/>
    <s v="Small Business"/>
    <x v="0"/>
    <x v="0"/>
    <x v="1"/>
    <x v="6"/>
    <s v="Medium"/>
    <x v="266"/>
    <n v="826.55"/>
    <n v="1397.05"/>
    <n v="1397.05"/>
    <x v="68"/>
    <s v="OK"/>
    <n v="0.16900000000000001"/>
    <n v="28"/>
    <n v="32506.559399999998"/>
    <n v="23143.399999999998"/>
    <n v="9363.1594000000005"/>
    <n v="0.28803907804527601"/>
    <d v="1899-12-30T00:00:00"/>
    <s v="Jan-1900"/>
    <n v="0"/>
    <n v="0"/>
    <n v="0"/>
  </r>
  <r>
    <x v="267"/>
    <d v="2024-10-17T00:00:00"/>
    <x v="32"/>
    <s v="2024-Q4"/>
    <d v="2024-11-06T00:00:00"/>
    <x v="8"/>
    <x v="2"/>
    <x v="6"/>
    <s v="Bengaluru"/>
    <s v="Asia &gt; India &gt; Bengaluru"/>
    <s v="Enterprise"/>
    <x v="3"/>
    <x v="3"/>
    <x v="7"/>
    <x v="2"/>
    <s v="Low"/>
    <x v="267"/>
    <n v="72.94"/>
    <n v="106.3"/>
    <n v="106.3"/>
    <x v="160"/>
    <s v="OK"/>
    <n v="0.29499999999999998"/>
    <n v="8"/>
    <n v="599.53200000000004"/>
    <n v="583.52"/>
    <n v="16.012000000000057"/>
    <n v="2.6707498515508857E-2"/>
    <d v="1899-12-30T00:00:00"/>
    <s v="Jan-1900"/>
    <n v="0"/>
    <n v="0"/>
    <n v="0"/>
  </r>
  <r>
    <x v="268"/>
    <d v="2024-11-02T00:00:00"/>
    <x v="13"/>
    <s v="2024-Q4"/>
    <d v="2024-11-18T00:00:00"/>
    <x v="4"/>
    <x v="2"/>
    <x v="6"/>
    <s v="Mumbai"/>
    <s v="Asia &gt; India &gt; Mumbai"/>
    <s v="Small Business"/>
    <x v="3"/>
    <x v="3"/>
    <x v="7"/>
    <x v="2"/>
    <s v="High"/>
    <x v="268"/>
    <n v="1233.58"/>
    <n v="1912.51"/>
    <n v="1912.51"/>
    <x v="161"/>
    <s v="OK"/>
    <n v="0.255"/>
    <n v="51"/>
    <n v="72665.817450000002"/>
    <n v="62912.579999999994"/>
    <n v="9753.2374500000078"/>
    <n v="0.134220432553601"/>
    <d v="1899-12-30T00:00:00"/>
    <s v="Jan-1900"/>
    <n v="0"/>
    <n v="0"/>
    <n v="0"/>
  </r>
  <r>
    <x v="269"/>
    <d v="2023-09-18T00:00:00"/>
    <x v="29"/>
    <s v="2023-Q3"/>
    <d v="2023-10-08T00:00:00"/>
    <x v="8"/>
    <x v="2"/>
    <x v="6"/>
    <s v="Delhi"/>
    <s v="Asia &gt; India &gt; Delhi"/>
    <s v="Small Business"/>
    <x v="4"/>
    <x v="4"/>
    <x v="6"/>
    <x v="0"/>
    <s v="Medium"/>
    <x v="269"/>
    <n v="825.64"/>
    <n v="1108.43"/>
    <n v="1108.43"/>
    <x v="133"/>
    <s v="OK"/>
    <n v="0.114"/>
    <n v="7"/>
    <n v="6874.4828600000001"/>
    <n v="5779.48"/>
    <n v="1095.0028600000005"/>
    <n v="0.15928512475773349"/>
    <d v="1899-12-30T00:00:00"/>
    <s v="Jan-1900"/>
    <n v="0"/>
    <n v="0"/>
    <n v="0"/>
  </r>
  <r>
    <x v="270"/>
    <d v="2024-01-21T00:00:00"/>
    <x v="22"/>
    <s v="2024-Q1"/>
    <d v="2024-01-25T00:00:00"/>
    <x v="14"/>
    <x v="2"/>
    <x v="6"/>
    <s v="Delhi"/>
    <s v="Asia &gt; India &gt; Delhi"/>
    <s v="Consumer"/>
    <x v="4"/>
    <x v="4"/>
    <x v="0"/>
    <x v="2"/>
    <s v="Medium"/>
    <x v="270"/>
    <n v="523.70000000000005"/>
    <n v="1109.92"/>
    <n v="1109.92"/>
    <x v="162"/>
    <s v="OK"/>
    <n v="0.03"/>
    <n v="11"/>
    <n v="11842.8464"/>
    <n v="5760.7000000000007"/>
    <n v="6082.1463999999996"/>
    <n v="0.51357133197302973"/>
    <d v="1899-12-30T00:00:00"/>
    <s v="Jan-1900"/>
    <n v="0"/>
    <n v="0"/>
    <n v="0"/>
  </r>
  <r>
    <x v="271"/>
    <d v="2025-06-09T00:00:00"/>
    <x v="31"/>
    <s v="2025-Q2"/>
    <d v="2025-06-25T00:00:00"/>
    <x v="4"/>
    <x v="2"/>
    <x v="6"/>
    <s v="Hyderabad"/>
    <s v="Asia &gt; India &gt; Hyderabad"/>
    <s v="Enterprise"/>
    <x v="3"/>
    <x v="3"/>
    <x v="13"/>
    <x v="4"/>
    <s v="Medium"/>
    <x v="271"/>
    <n v="527.33000000000004"/>
    <n v="911.72"/>
    <n v="911.72"/>
    <x v="140"/>
    <s v="OK"/>
    <n v="0.14399999999999999"/>
    <n v="25"/>
    <n v="19510.808000000001"/>
    <n v="13183.250000000002"/>
    <n v="6327.5579999999991"/>
    <n v="0.32431040272652978"/>
    <d v="1899-12-30T00:00:00"/>
    <s v="Jan-1900"/>
    <n v="0"/>
    <n v="0"/>
    <n v="0"/>
  </r>
  <r>
    <x v="272"/>
    <d v="2025-08-01T00:00:00"/>
    <x v="24"/>
    <s v="2025-Q3"/>
    <d v="2025-08-16T00:00:00"/>
    <x v="26"/>
    <x v="2"/>
    <x v="6"/>
    <s v="Unkown"/>
    <s v="Asia &gt; India &gt; Unkown"/>
    <s v="Enterprise"/>
    <x v="4"/>
    <x v="4"/>
    <x v="7"/>
    <x v="2"/>
    <s v="Low"/>
    <x v="272"/>
    <n v="24.44"/>
    <n v="28.69"/>
    <n v="28.69"/>
    <x v="139"/>
    <s v="OK"/>
    <n v="0.14599999999999999"/>
    <n v="6"/>
    <n v="147.00756000000001"/>
    <n v="146.64000000000001"/>
    <n v="0.36755999999999744"/>
    <n v="2.5002795774584476E-3"/>
    <d v="1899-12-30T00:00:00"/>
    <s v="Jan-1900"/>
    <n v="0"/>
    <n v="0"/>
    <n v="0"/>
  </r>
  <r>
    <x v="273"/>
    <d v="2024-01-13T00:00:00"/>
    <x v="22"/>
    <s v="2024-Q1"/>
    <d v="2024-01-22T00:00:00"/>
    <x v="13"/>
    <x v="2"/>
    <x v="6"/>
    <s v="Mumbai"/>
    <s v="Asia &gt; India &gt; Mumbai"/>
    <s v="Enterprise"/>
    <x v="2"/>
    <x v="2"/>
    <x v="2"/>
    <x v="0"/>
    <s v="Low"/>
    <x v="273"/>
    <n v="313.60000000000002"/>
    <n v="334.28"/>
    <n v="334.28"/>
    <x v="26"/>
    <s v="OK"/>
    <n v="0.14000000000000001"/>
    <n v="22"/>
    <n v="6324.5775999999996"/>
    <n v="6899.2000000000007"/>
    <n v="-574.62240000000111"/>
    <n v="-9.0855458868905517E-2"/>
    <d v="1899-12-30T00:00:00"/>
    <s v="Jan-1900"/>
    <n v="0"/>
    <n v="0"/>
    <n v="0"/>
  </r>
  <r>
    <x v="274"/>
    <d v="2023-05-02T00:00:00"/>
    <x v="26"/>
    <s v="2023-Q2"/>
    <d v="2023-05-18T00:00:00"/>
    <x v="4"/>
    <x v="2"/>
    <x v="6"/>
    <s v="Delhi"/>
    <s v="Asia &gt; India &gt; Delhi"/>
    <s v="Small Business"/>
    <x v="2"/>
    <x v="2"/>
    <x v="3"/>
    <x v="2"/>
    <s v="High"/>
    <x v="274"/>
    <n v="1463.92"/>
    <n v="2252.2399999999998"/>
    <n v="2252.2399999999998"/>
    <x v="20"/>
    <s v="OK"/>
    <n v="0.11799999999999999"/>
    <n v="44"/>
    <n v="87404.929919999995"/>
    <n v="64412.480000000003"/>
    <n v="22992.449919999992"/>
    <n v="0.26305667130040061"/>
    <d v="1899-12-30T00:00:00"/>
    <s v="Jan-1900"/>
    <n v="0"/>
    <n v="0"/>
    <n v="0"/>
  </r>
  <r>
    <x v="275"/>
    <d v="2024-08-27T00:00:00"/>
    <x v="10"/>
    <s v="2024-Q3"/>
    <d v="2024-09-18T00:00:00"/>
    <x v="21"/>
    <x v="2"/>
    <x v="6"/>
    <s v="Delhi"/>
    <s v="Asia &gt; India &gt; Delhi"/>
    <s v="Consumer"/>
    <x v="4"/>
    <x v="4"/>
    <x v="6"/>
    <x v="0"/>
    <s v="High"/>
    <x v="275"/>
    <n v="896.75"/>
    <n v="1651.14"/>
    <n v="1651.14"/>
    <x v="120"/>
    <s v="OK"/>
    <n v="2.5000000000000001E-2"/>
    <n v="15"/>
    <n v="24147.922500000001"/>
    <n v="13451.25"/>
    <n v="10696.672500000001"/>
    <n v="0.44296450346815552"/>
    <d v="1899-12-30T00:00:00"/>
    <s v="Jan-1900"/>
    <n v="0"/>
    <n v="0"/>
    <n v="0"/>
  </r>
  <r>
    <x v="276"/>
    <d v="2023-02-20T00:00:00"/>
    <x v="5"/>
    <s v="2023-Q1"/>
    <d v="2023-03-04T00:00:00"/>
    <x v="15"/>
    <x v="2"/>
    <x v="6"/>
    <s v="Delhi"/>
    <s v="Asia &gt; India &gt; Delhi"/>
    <s v="Consumer"/>
    <x v="3"/>
    <x v="3"/>
    <x v="13"/>
    <x v="2"/>
    <s v="Low"/>
    <x v="276"/>
    <n v="299.75"/>
    <n v="523.01"/>
    <n v="523.01"/>
    <x v="23"/>
    <s v="OK"/>
    <n v="0.157"/>
    <n v="50"/>
    <n v="22044.871499999997"/>
    <n v="14987.5"/>
    <n v="7057.3714999999975"/>
    <n v="0.32013665854210122"/>
    <d v="1899-12-30T00:00:00"/>
    <s v="Jan-1900"/>
    <n v="0"/>
    <n v="0"/>
    <n v="0"/>
  </r>
  <r>
    <x v="277"/>
    <d v="2023-10-07T00:00:00"/>
    <x v="20"/>
    <s v="2023-Q4"/>
    <d v="2023-10-23T00:00:00"/>
    <x v="4"/>
    <x v="2"/>
    <x v="6"/>
    <s v="Hyderabad"/>
    <s v="Asia &gt; India &gt; Hyderabad"/>
    <s v="Consumer"/>
    <x v="0"/>
    <x v="0"/>
    <x v="4"/>
    <x v="2"/>
    <s v="Medium"/>
    <x v="277"/>
    <n v="906.81"/>
    <n v="1395.56"/>
    <n v="1395.56"/>
    <x v="163"/>
    <s v="OK"/>
    <n v="0.185"/>
    <n v="6"/>
    <n v="6824.2884000000004"/>
    <n v="5440.86"/>
    <n v="1383.4284000000007"/>
    <n v="0.20272126834498974"/>
    <d v="1899-12-30T00:00:00"/>
    <s v="Jan-1900"/>
    <n v="0"/>
    <n v="0"/>
    <n v="0"/>
  </r>
  <r>
    <x v="278"/>
    <d v="2023-12-20T00:00:00"/>
    <x v="9"/>
    <s v="2023-Q4"/>
    <d v="2024-01-14T00:00:00"/>
    <x v="2"/>
    <x v="2"/>
    <x v="6"/>
    <s v="Mumbai"/>
    <s v="Asia &gt; India &gt; Mumbai"/>
    <s v="Non-Profit"/>
    <x v="2"/>
    <x v="2"/>
    <x v="10"/>
    <x v="2"/>
    <s v="Medium"/>
    <x v="278"/>
    <n v="1085.6099999999999"/>
    <n v="1246.4100000000001"/>
    <n v="1246.4100000000001"/>
    <x v="150"/>
    <s v="OK"/>
    <n v="0.113"/>
    <n v="7"/>
    <n v="7738.9596900000006"/>
    <n v="7599.2699999999995"/>
    <n v="139.68969000000106"/>
    <n v="1.8050189637310417E-2"/>
    <d v="1899-12-30T00:00:00"/>
    <s v="Jan-1900"/>
    <n v="0"/>
    <n v="0"/>
    <n v="0"/>
  </r>
  <r>
    <x v="279"/>
    <d v="2023-11-28T00:00:00"/>
    <x v="18"/>
    <s v="2023-Q4"/>
    <d v="2023-12-07T00:00:00"/>
    <x v="13"/>
    <x v="2"/>
    <x v="6"/>
    <s v="Delhi"/>
    <s v="Asia &gt; India &gt; Delhi"/>
    <s v="Enterprise"/>
    <x v="2"/>
    <x v="2"/>
    <x v="10"/>
    <x v="4"/>
    <s v="Medium"/>
    <x v="279"/>
    <n v="699.33"/>
    <n v="873.75"/>
    <n v="873.75"/>
    <x v="164"/>
    <s v="OK"/>
    <n v="0.23499999999999999"/>
    <n v="10"/>
    <n v="6684.1875"/>
    <n v="6993.3"/>
    <n v="-309.11250000000018"/>
    <n v="-4.6245336475076469E-2"/>
    <d v="1899-12-30T00:00:00"/>
    <s v="Jan-1900"/>
    <n v="0"/>
    <n v="0"/>
    <n v="0"/>
  </r>
  <r>
    <x v="280"/>
    <d v="2023-09-19T00:00:00"/>
    <x v="29"/>
    <s v="2023-Q3"/>
    <d v="2023-10-08T00:00:00"/>
    <x v="1"/>
    <x v="2"/>
    <x v="6"/>
    <s v="Bengaluru"/>
    <s v="Asia &gt; India &gt; Bengaluru"/>
    <s v="Education"/>
    <x v="4"/>
    <x v="4"/>
    <x v="2"/>
    <x v="5"/>
    <s v="Low"/>
    <x v="280"/>
    <n v="385.32"/>
    <n v="606.76"/>
    <n v="606.76"/>
    <x v="165"/>
    <s v="OK"/>
    <n v="8.5999999999999993E-2"/>
    <n v="8"/>
    <n v="4436.6291200000005"/>
    <n v="3082.56"/>
    <n v="1354.0691200000006"/>
    <n v="0.30520223425842735"/>
    <d v="1899-12-30T00:00:00"/>
    <s v="Jan-1900"/>
    <n v="0"/>
    <n v="0"/>
    <n v="0"/>
  </r>
  <r>
    <x v="281"/>
    <d v="2023-10-05T00:00:00"/>
    <x v="20"/>
    <s v="2023-Q4"/>
    <d v="2023-10-06T00:00:00"/>
    <x v="17"/>
    <x v="2"/>
    <x v="6"/>
    <s v="Bengaluru"/>
    <s v="Asia &gt; India &gt; Bengaluru"/>
    <s v="Non-Profit"/>
    <x v="1"/>
    <x v="1"/>
    <x v="12"/>
    <x v="0"/>
    <s v="High"/>
    <x v="281"/>
    <n v="1470.26"/>
    <n v="2562.5500000000002"/>
    <n v="2562.5500000000002"/>
    <x v="96"/>
    <s v="OK"/>
    <n v="0.17299999999999999"/>
    <n v="9"/>
    <n v="19073.059649999999"/>
    <n v="13232.34"/>
    <n v="5840.7196499999991"/>
    <n v="0.30622877279157462"/>
    <d v="1899-12-30T00:00:00"/>
    <s v="Jan-1900"/>
    <n v="0"/>
    <n v="0"/>
    <n v="0"/>
  </r>
  <r>
    <x v="282"/>
    <d v="2025-02-19T00:00:00"/>
    <x v="8"/>
    <s v="2025-Q1"/>
    <d v="2025-03-09T00:00:00"/>
    <x v="16"/>
    <x v="2"/>
    <x v="6"/>
    <s v="Delhi"/>
    <s v="Asia &gt; India &gt; Delhi"/>
    <s v="Small Business"/>
    <x v="4"/>
    <x v="4"/>
    <x v="7"/>
    <x v="2"/>
    <s v="Low"/>
    <x v="282"/>
    <n v="325.87"/>
    <n v="538.79"/>
    <n v="538.79"/>
    <x v="128"/>
    <s v="OK"/>
    <n v="0.17399999999999999"/>
    <n v="16"/>
    <n v="7120.6486400000003"/>
    <n v="5213.92"/>
    <n v="1906.7286400000003"/>
    <n v="0.26777457172778013"/>
    <d v="1899-12-30T00:00:00"/>
    <s v="Jan-1900"/>
    <n v="0"/>
    <n v="0"/>
    <n v="0"/>
  </r>
  <r>
    <x v="283"/>
    <d v="2023-10-30T00:00:00"/>
    <x v="20"/>
    <s v="2023-Q4"/>
    <d v="2023-11-14T00:00:00"/>
    <x v="26"/>
    <x v="2"/>
    <x v="6"/>
    <s v="Bengaluru"/>
    <s v="Asia &gt; India &gt; Bengaluru"/>
    <s v="Corporate"/>
    <x v="1"/>
    <x v="1"/>
    <x v="8"/>
    <x v="3"/>
    <s v="High"/>
    <x v="283"/>
    <n v="953.46"/>
    <n v="2066.75"/>
    <n v="2066.75"/>
    <x v="129"/>
    <s v="OK"/>
    <n v="0.13800000000000001"/>
    <n v="5"/>
    <n v="8907.6924999999992"/>
    <n v="4767.3"/>
    <n v="4140.392499999999"/>
    <n v="0.46481089238318446"/>
    <d v="1899-12-30T00:00:00"/>
    <s v="Jan-1900"/>
    <n v="0"/>
    <n v="0"/>
    <n v="0"/>
  </r>
  <r>
    <x v="284"/>
    <d v="2025-05-17T00:00:00"/>
    <x v="1"/>
    <s v="2025-Q2"/>
    <d v="2025-05-28T00:00:00"/>
    <x v="20"/>
    <x v="2"/>
    <x v="6"/>
    <s v="Bengaluru"/>
    <s v="Asia &gt; India &gt; Bengaluru"/>
    <s v="Corporate"/>
    <x v="3"/>
    <x v="3"/>
    <x v="6"/>
    <x v="3"/>
    <s v="Medium"/>
    <x v="284"/>
    <n v="623.4"/>
    <n v="1100.0899999999999"/>
    <n v="1100.0899999999999"/>
    <x v="133"/>
    <s v="OK"/>
    <n v="0.114"/>
    <n v="12"/>
    <n v="11696.156879999999"/>
    <n v="7480.7999999999993"/>
    <n v="4215.3568799999994"/>
    <n v="0.36040529579490388"/>
    <d v="1899-12-30T00:00:00"/>
    <s v="Jan-1900"/>
    <n v="0"/>
    <n v="0"/>
    <n v="0"/>
  </r>
  <r>
    <x v="285"/>
    <d v="2024-09-07T00:00:00"/>
    <x v="17"/>
    <s v="2024-Q3"/>
    <d v="2024-09-07T00:00:00"/>
    <x v="25"/>
    <x v="2"/>
    <x v="6"/>
    <s v="Mumbai"/>
    <s v="Asia &gt; India &gt; Mumbai"/>
    <s v="Education"/>
    <x v="3"/>
    <x v="3"/>
    <x v="6"/>
    <x v="6"/>
    <s v="High"/>
    <x v="285"/>
    <n v="1066.6500000000001"/>
    <n v="2569.77"/>
    <n v="2569.77"/>
    <x v="11"/>
    <s v="OK"/>
    <n v="0.13400000000000001"/>
    <n v="9"/>
    <n v="20028.787380000002"/>
    <n v="9599.85"/>
    <n v="10428.937380000001"/>
    <n v="0.52069739331368348"/>
    <d v="1899-12-30T00:00:00"/>
    <s v="Jan-1900"/>
    <n v="0"/>
    <n v="0"/>
    <n v="0"/>
  </r>
  <r>
    <x v="286"/>
    <d v="2024-01-12T00:00:00"/>
    <x v="22"/>
    <s v="2024-Q1"/>
    <d v="2024-01-29T00:00:00"/>
    <x v="23"/>
    <x v="2"/>
    <x v="6"/>
    <s v="Hyderabad"/>
    <s v="Asia &gt; India &gt; Hyderabad"/>
    <s v="Small Business"/>
    <x v="4"/>
    <x v="4"/>
    <x v="6"/>
    <x v="0"/>
    <s v="Low"/>
    <x v="286"/>
    <n v="310.02"/>
    <n v="619.51"/>
    <n v="619.51"/>
    <x v="41"/>
    <s v="OK"/>
    <n v="4.2000000000000003E-2"/>
    <n v="4"/>
    <n v="2373.9623200000001"/>
    <n v="1240.08"/>
    <n v="1133.8823200000002"/>
    <n v="0.47763282106347843"/>
    <d v="1899-12-30T00:00:00"/>
    <s v="Jan-1900"/>
    <n v="0"/>
    <n v="0"/>
    <n v="0"/>
  </r>
  <r>
    <x v="287"/>
    <d v="2023-08-30T00:00:00"/>
    <x v="21"/>
    <s v="2023-Q3"/>
    <d v="2023-09-03T00:00:00"/>
    <x v="14"/>
    <x v="2"/>
    <x v="6"/>
    <s v="Delhi"/>
    <s v="Asia &gt; India &gt; Delhi"/>
    <s v="Small Business"/>
    <x v="2"/>
    <x v="2"/>
    <x v="10"/>
    <x v="1"/>
    <s v="High"/>
    <x v="287"/>
    <n v="1082.25"/>
    <n v="2433.34"/>
    <n v="2433.34"/>
    <x v="166"/>
    <s v="OK"/>
    <n v="0.27"/>
    <n v="4"/>
    <n v="7105.3528000000006"/>
    <n v="4329"/>
    <n v="2776.3528000000006"/>
    <n v="0.3907410199251472"/>
    <d v="1899-12-30T00:00:00"/>
    <s v="Jan-1900"/>
    <n v="0"/>
    <n v="0"/>
    <n v="0"/>
  </r>
  <r>
    <x v="288"/>
    <d v="2025-04-27T00:00:00"/>
    <x v="7"/>
    <s v="2025-Q2"/>
    <d v="2025-05-27T00:00:00"/>
    <x v="27"/>
    <x v="2"/>
    <x v="6"/>
    <s v="Unkown"/>
    <s v="Asia &gt; India &gt; Unkown"/>
    <s v="Enterprise"/>
    <x v="2"/>
    <x v="2"/>
    <x v="15"/>
    <x v="4"/>
    <s v="Medium"/>
    <x v="288"/>
    <n v="481.32"/>
    <n v="1135.99"/>
    <n v="1135.99"/>
    <x v="167"/>
    <s v="OK"/>
    <n v="0.14499999999999999"/>
    <n v="5"/>
    <n v="4856.35725"/>
    <n v="2406.6"/>
    <n v="2449.7572500000001"/>
    <n v="0.50444337677175621"/>
    <d v="1899-12-30T00:00:00"/>
    <s v="Jan-1900"/>
    <n v="0"/>
    <n v="0"/>
    <n v="0"/>
  </r>
  <r>
    <x v="289"/>
    <d v="2024-02-17T00:00:00"/>
    <x v="23"/>
    <s v="2024-Q1"/>
    <d v="2024-03-04T00:00:00"/>
    <x v="4"/>
    <x v="2"/>
    <x v="6"/>
    <s v="Delhi"/>
    <s v="Asia &gt; India &gt; Delhi"/>
    <s v="Small Business"/>
    <x v="2"/>
    <x v="2"/>
    <x v="8"/>
    <x v="4"/>
    <s v="High"/>
    <x v="289"/>
    <n v="1231.8"/>
    <n v="2015.99"/>
    <n v="2015.99"/>
    <x v="168"/>
    <s v="OK"/>
    <n v="0.26100000000000001"/>
    <n v="6"/>
    <n v="8938.8996600000009"/>
    <n v="7390.7999999999993"/>
    <n v="1548.0996600000017"/>
    <n v="0.17318682599464391"/>
    <d v="1899-12-30T00:00:00"/>
    <s v="Jan-1900"/>
    <n v="0"/>
    <n v="0"/>
    <n v="0"/>
  </r>
  <r>
    <x v="290"/>
    <d v="2025-06-17T00:00:00"/>
    <x v="31"/>
    <s v="2025-Q2"/>
    <d v="2025-07-05T00:00:00"/>
    <x v="16"/>
    <x v="2"/>
    <x v="6"/>
    <s v="Delhi"/>
    <s v="Asia &gt; India &gt; Delhi"/>
    <s v="Consumer"/>
    <x v="2"/>
    <x v="2"/>
    <x v="10"/>
    <x v="3"/>
    <s v="High"/>
    <x v="290"/>
    <n v="982.93"/>
    <n v="2299.3000000000002"/>
    <n v="2299.3000000000002"/>
    <x v="150"/>
    <s v="OK"/>
    <n v="0.113"/>
    <n v="6"/>
    <n v="12236.874600000001"/>
    <n v="5897.58"/>
    <n v="6339.2946000000011"/>
    <n v="0.51804850562087157"/>
    <d v="1899-12-30T00:00:00"/>
    <s v="Jan-1900"/>
    <n v="0"/>
    <n v="0"/>
    <n v="0"/>
  </r>
  <r>
    <x v="291"/>
    <d v="2025-03-15T00:00:00"/>
    <x v="2"/>
    <s v="2025-Q1"/>
    <d v="2025-03-29T00:00:00"/>
    <x v="6"/>
    <x v="2"/>
    <x v="6"/>
    <s v="Mumbai"/>
    <s v="Asia &gt; India &gt; Mumbai"/>
    <s v="Enterprise"/>
    <x v="4"/>
    <x v="4"/>
    <x v="0"/>
    <x v="0"/>
    <s v="High"/>
    <x v="291"/>
    <n v="935.83"/>
    <n v="2303.46"/>
    <n v="2303.46"/>
    <x v="126"/>
    <s v="OK"/>
    <n v="0.105"/>
    <n v="9"/>
    <n v="18554.370299999999"/>
    <n v="8422.4700000000012"/>
    <n v="10131.900299999998"/>
    <n v="0.54606543559174292"/>
    <d v="1899-12-30T00:00:00"/>
    <s v="Jan-1900"/>
    <n v="0"/>
    <n v="0"/>
    <n v="0"/>
  </r>
  <r>
    <x v="292"/>
    <d v="2023-05-20T00:00:00"/>
    <x v="26"/>
    <s v="2023-Q2"/>
    <d v="2023-06-19T00:00:00"/>
    <x v="27"/>
    <x v="2"/>
    <x v="6"/>
    <s v="Delhi"/>
    <s v="Asia &gt; India &gt; Delhi"/>
    <s v="Non-Profit"/>
    <x v="2"/>
    <x v="2"/>
    <x v="15"/>
    <x v="3"/>
    <s v="Medium"/>
    <x v="292"/>
    <n v="1161.2"/>
    <n v="878.73"/>
    <n v="878.73"/>
    <x v="46"/>
    <s v="OK"/>
    <n v="0.19"/>
    <n v="31"/>
    <n v="22064.910300000003"/>
    <n v="35997.200000000004"/>
    <n v="-13932.289700000001"/>
    <n v="-0.63142290227212028"/>
    <d v="1899-12-30T00:00:00"/>
    <s v="Jan-1900"/>
    <n v="0"/>
    <n v="0"/>
    <n v="0"/>
  </r>
  <r>
    <x v="293"/>
    <d v="2025-05-12T00:00:00"/>
    <x v="1"/>
    <s v="2025-Q2"/>
    <d v="2025-05-26T00:00:00"/>
    <x v="6"/>
    <x v="2"/>
    <x v="6"/>
    <s v="Hyderabad"/>
    <s v="Asia &gt; India &gt; Hyderabad"/>
    <s v="Corporate"/>
    <x v="2"/>
    <x v="2"/>
    <x v="4"/>
    <x v="5"/>
    <s v="Low"/>
    <x v="293"/>
    <n v="320.12"/>
    <n v="594.41999999999996"/>
    <n v="594.41999999999996"/>
    <x v="75"/>
    <s v="OK"/>
    <n v="0.104"/>
    <n v="18"/>
    <n v="9586.8057599999993"/>
    <n v="5762.16"/>
    <n v="3824.6457599999994"/>
    <n v="0.39894891538931104"/>
    <d v="1899-12-30T00:00:00"/>
    <s v="Jan-1900"/>
    <n v="0"/>
    <n v="0"/>
    <n v="0"/>
  </r>
  <r>
    <x v="294"/>
    <d v="2024-12-20T00:00:00"/>
    <x v="30"/>
    <s v="2024-Q4"/>
    <d v="2025-01-14T00:00:00"/>
    <x v="2"/>
    <x v="2"/>
    <x v="6"/>
    <s v="Delhi"/>
    <s v="Asia &gt; India &gt; Delhi"/>
    <s v="Small Business"/>
    <x v="0"/>
    <x v="0"/>
    <x v="13"/>
    <x v="5"/>
    <s v="High"/>
    <x v="294"/>
    <n v="1361.34"/>
    <n v="1737.9"/>
    <n v="1737.9"/>
    <x v="169"/>
    <s v="OK"/>
    <n v="7.6999999999999999E-2"/>
    <n v="14"/>
    <n v="22457.143800000002"/>
    <n v="19058.759999999998"/>
    <n v="3398.3838000000032"/>
    <n v="0.15132751654731813"/>
    <d v="1899-12-30T00:00:00"/>
    <s v="Jan-1900"/>
    <n v="0"/>
    <n v="0"/>
    <n v="0"/>
  </r>
  <r>
    <x v="295"/>
    <d v="2025-03-08T00:00:00"/>
    <x v="2"/>
    <s v="2025-Q1"/>
    <d v="2025-03-15T00:00:00"/>
    <x v="22"/>
    <x v="2"/>
    <x v="6"/>
    <s v="Bengaluru"/>
    <s v="Asia &gt; India &gt; Bengaluru"/>
    <s v="Corporate"/>
    <x v="3"/>
    <x v="3"/>
    <x v="3"/>
    <x v="3"/>
    <s v="Low"/>
    <x v="295"/>
    <n v="475.66"/>
    <n v="529.14"/>
    <n v="529.14"/>
    <x v="66"/>
    <s v="OK"/>
    <n v="0.19600000000000001"/>
    <n v="11"/>
    <n v="4679.7141600000004"/>
    <n v="5232.26"/>
    <n v="-552.54583999999977"/>
    <n v="-0.11807256193613323"/>
    <d v="1899-12-30T00:00:00"/>
    <s v="Jan-1900"/>
    <n v="0"/>
    <n v="0"/>
    <n v="0"/>
  </r>
  <r>
    <x v="296"/>
    <d v="2024-06-06T00:00:00"/>
    <x v="6"/>
    <s v="2024-Q2"/>
    <d v="2024-06-24T00:00:00"/>
    <x v="16"/>
    <x v="2"/>
    <x v="6"/>
    <s v="Bengaluru"/>
    <s v="Asia &gt; India &gt; Bengaluru"/>
    <s v="Small Business"/>
    <x v="4"/>
    <x v="4"/>
    <x v="15"/>
    <x v="6"/>
    <s v="High"/>
    <x v="296"/>
    <n v="1253.25"/>
    <n v="3087.13"/>
    <n v="3087.13"/>
    <x v="12"/>
    <s v="OK"/>
    <n v="7.1999999999999995E-2"/>
    <n v="11"/>
    <n v="31513.423040000001"/>
    <n v="13785.75"/>
    <n v="17727.673040000001"/>
    <n v="0.562543555408064"/>
    <d v="1899-12-30T00:00:00"/>
    <s v="Jan-1900"/>
    <n v="0"/>
    <n v="0"/>
    <n v="0"/>
  </r>
  <r>
    <x v="297"/>
    <d v="2024-11-30T00:00:00"/>
    <x v="13"/>
    <s v="2024-Q4"/>
    <d v="2024-12-10T00:00:00"/>
    <x v="30"/>
    <x v="2"/>
    <x v="6"/>
    <s v="Hyderabad"/>
    <s v="Asia &gt; India &gt; Hyderabad"/>
    <s v="Small Business"/>
    <x v="0"/>
    <x v="0"/>
    <x v="8"/>
    <x v="1"/>
    <s v="Medium"/>
    <x v="297"/>
    <n v="851.49"/>
    <n v="901.79"/>
    <n v="901.79"/>
    <x v="57"/>
    <s v="OK"/>
    <n v="0.245"/>
    <n v="16"/>
    <n v="10893.6232"/>
    <n v="13623.84"/>
    <n v="-2730.2168000000001"/>
    <n v="-0.25062522816100341"/>
    <d v="1899-12-30T00:00:00"/>
    <s v="Jan-1900"/>
    <n v="0"/>
    <n v="0"/>
    <n v="0"/>
  </r>
  <r>
    <x v="298"/>
    <d v="2025-06-05T00:00:00"/>
    <x v="31"/>
    <s v="2025-Q2"/>
    <d v="2025-06-14T00:00:00"/>
    <x v="13"/>
    <x v="2"/>
    <x v="6"/>
    <s v="Delhi"/>
    <s v="Asia &gt; India &gt; Delhi"/>
    <s v="Non-Profit"/>
    <x v="0"/>
    <x v="0"/>
    <x v="1"/>
    <x v="1"/>
    <s v="Low"/>
    <x v="298"/>
    <n v="618.69000000000005"/>
    <n v="796.15"/>
    <n v="796.15"/>
    <x v="123"/>
    <s v="OK"/>
    <n v="0.09"/>
    <n v="11"/>
    <n v="7969.4615000000003"/>
    <n v="6805.59"/>
    <n v="1163.8715000000002"/>
    <n v="0.14604142325049191"/>
    <d v="1899-12-30T00:00:00"/>
    <s v="Jan-1900"/>
    <n v="0"/>
    <n v="0"/>
    <n v="0"/>
  </r>
  <r>
    <x v="299"/>
    <d v="2025-09-15T00:00:00"/>
    <x v="3"/>
    <s v="2025-Q3"/>
    <d v="2025-09-25T00:00:00"/>
    <x v="30"/>
    <x v="2"/>
    <x v="6"/>
    <s v="Delhi"/>
    <s v="Asia &gt; India &gt; Delhi"/>
    <s v="Consumer"/>
    <x v="0"/>
    <x v="0"/>
    <x v="1"/>
    <x v="4"/>
    <s v="Medium"/>
    <x v="299"/>
    <n v="1488.91"/>
    <n v="1483.74"/>
    <n v="1483.74"/>
    <x v="6"/>
    <s v="OK"/>
    <n v="0.16800000000000001"/>
    <n v="24"/>
    <n v="29627.320319999999"/>
    <n v="35733.840000000004"/>
    <n v="-6106.5196800000049"/>
    <n v="-0.20611110333450519"/>
    <d v="1899-12-30T00:00:00"/>
    <s v="Jan-1900"/>
    <n v="0"/>
    <n v="0"/>
    <n v="0"/>
  </r>
  <r>
    <x v="300"/>
    <d v="2024-02-27T00:00:00"/>
    <x v="23"/>
    <s v="2024-Q1"/>
    <d v="2024-03-26T00:00:00"/>
    <x v="11"/>
    <x v="2"/>
    <x v="6"/>
    <s v="Mumbai"/>
    <s v="Asia &gt; India &gt; Mumbai"/>
    <s v="Education"/>
    <x v="2"/>
    <x v="2"/>
    <x v="4"/>
    <x v="3"/>
    <s v="High"/>
    <x v="300"/>
    <n v="1035.19"/>
    <n v="2322.6999999999998"/>
    <n v="2322.6999999999998"/>
    <x v="96"/>
    <s v="OK"/>
    <n v="0.17299999999999999"/>
    <n v="8"/>
    <n v="15366.983199999999"/>
    <n v="8281.52"/>
    <n v="7085.4631999999983"/>
    <n v="0.46108355217047409"/>
    <d v="1899-12-30T00:00:00"/>
    <s v="Jan-1900"/>
    <n v="0"/>
    <n v="0"/>
    <n v="0"/>
  </r>
  <r>
    <x v="301"/>
    <d v="2024-08-18T00:00:00"/>
    <x v="10"/>
    <s v="2024-Q3"/>
    <d v="2024-09-12T00:00:00"/>
    <x v="2"/>
    <x v="2"/>
    <x v="6"/>
    <s v="Mumbai"/>
    <s v="Asia &gt; India &gt; Mumbai"/>
    <s v="Consumer"/>
    <x v="2"/>
    <x v="2"/>
    <x v="0"/>
    <x v="4"/>
    <s v="Medium"/>
    <x v="301"/>
    <n v="1154.03"/>
    <n v="1590.36"/>
    <n v="1590.36"/>
    <x v="35"/>
    <s v="OK"/>
    <n v="0.3"/>
    <n v="18"/>
    <n v="20038.536"/>
    <n v="20772.54"/>
    <n v="-734.00400000000081"/>
    <n v="-3.6629622044245191E-2"/>
    <d v="1899-12-30T00:00:00"/>
    <s v="Jan-1900"/>
    <n v="0"/>
    <n v="0"/>
    <n v="0"/>
  </r>
  <r>
    <x v="302"/>
    <d v="2025-05-07T00:00:00"/>
    <x v="1"/>
    <s v="2025-Q2"/>
    <d v="2025-05-13T00:00:00"/>
    <x v="29"/>
    <x v="2"/>
    <x v="6"/>
    <s v="Bengaluru"/>
    <s v="Asia &gt; India &gt; Bengaluru"/>
    <s v="Enterprise"/>
    <x v="4"/>
    <x v="4"/>
    <x v="2"/>
    <x v="4"/>
    <s v="High"/>
    <x v="302"/>
    <n v="935.98"/>
    <n v="2077.69"/>
    <n v="2077.69"/>
    <x v="25"/>
    <s v="OK"/>
    <n v="0.17499999999999999"/>
    <n v="24"/>
    <n v="41138.261999999995"/>
    <n v="22463.52"/>
    <n v="18674.741999999995"/>
    <n v="0.45395067978321491"/>
    <d v="1899-12-30T00:00:00"/>
    <s v="Jan-1900"/>
    <n v="0"/>
    <n v="0"/>
    <n v="0"/>
  </r>
  <r>
    <x v="303"/>
    <d v="2024-12-24T00:00:00"/>
    <x v="30"/>
    <s v="2024-Q4"/>
    <d v="2025-01-13T00:00:00"/>
    <x v="8"/>
    <x v="2"/>
    <x v="6"/>
    <s v="Bengaluru"/>
    <s v="Asia &gt; India &gt; Bengaluru"/>
    <s v="Corporate"/>
    <x v="2"/>
    <x v="2"/>
    <x v="14"/>
    <x v="6"/>
    <s v="Low"/>
    <x v="303"/>
    <n v="126.15"/>
    <n v="284.23"/>
    <n v="284.23"/>
    <x v="150"/>
    <s v="OK"/>
    <n v="0.113"/>
    <n v="22"/>
    <n v="5546.4642200000008"/>
    <n v="2775.3"/>
    <n v="2771.1642200000006"/>
    <n v="0.49962716968541088"/>
    <d v="1899-12-30T00:00:00"/>
    <s v="Jan-1900"/>
    <n v="0"/>
    <n v="0"/>
    <n v="0"/>
  </r>
  <r>
    <x v="304"/>
    <d v="2024-03-23T00:00:00"/>
    <x v="0"/>
    <s v="2024-Q1"/>
    <d v="2024-03-26T00:00:00"/>
    <x v="12"/>
    <x v="2"/>
    <x v="6"/>
    <s v="Bengaluru"/>
    <s v="Asia &gt; India &gt; Bengaluru"/>
    <s v="Education"/>
    <x v="4"/>
    <x v="4"/>
    <x v="4"/>
    <x v="4"/>
    <s v="Low"/>
    <x v="304"/>
    <n v="382.21"/>
    <n v="571.89"/>
    <n v="571.89"/>
    <x v="99"/>
    <s v="OK"/>
    <n v="0.14799999999999999"/>
    <n v="26"/>
    <n v="12668.50728"/>
    <n v="9937.4599999999991"/>
    <n v="2731.0472800000007"/>
    <n v="0.2155776698578809"/>
    <d v="1899-12-30T00:00:00"/>
    <s v="Jan-1900"/>
    <n v="0"/>
    <n v="0"/>
    <n v="0"/>
  </r>
  <r>
    <x v="305"/>
    <d v="2023-09-20T00:00:00"/>
    <x v="29"/>
    <s v="2023-Q3"/>
    <d v="2023-09-28T00:00:00"/>
    <x v="19"/>
    <x v="2"/>
    <x v="6"/>
    <s v="Unkown"/>
    <s v="Asia &gt; India &gt; Unkown"/>
    <s v="Corporate"/>
    <x v="5"/>
    <x v="5"/>
    <x v="6"/>
    <x v="1"/>
    <s v="High"/>
    <x v="305"/>
    <n v="1362.06"/>
    <n v="3398.37"/>
    <n v="3398.37"/>
    <x v="23"/>
    <s v="OK"/>
    <n v="0.157"/>
    <n v="11"/>
    <n v="31513.085009999999"/>
    <n v="14982.66"/>
    <n v="16530.425009999999"/>
    <n v="0.52455749745714919"/>
    <d v="1899-12-30T00:00:00"/>
    <s v="Jan-1900"/>
    <n v="0"/>
    <n v="0"/>
    <n v="0"/>
  </r>
  <r>
    <x v="306"/>
    <d v="2023-07-22T00:00:00"/>
    <x v="14"/>
    <s v="2023-Q3"/>
    <d v="2023-07-27T00:00:00"/>
    <x v="5"/>
    <x v="2"/>
    <x v="6"/>
    <s v="Delhi"/>
    <s v="Asia &gt; India &gt; Delhi"/>
    <s v="Small Business"/>
    <x v="3"/>
    <x v="3"/>
    <x v="11"/>
    <x v="5"/>
    <s v="High"/>
    <x v="306"/>
    <n v="946.99"/>
    <n v="2132.19"/>
    <n v="2132.19"/>
    <x v="156"/>
    <s v="OK"/>
    <n v="0.16500000000000001"/>
    <n v="7"/>
    <n v="12462.65055"/>
    <n v="6628.93"/>
    <n v="5833.72055"/>
    <n v="0.46809629513362228"/>
    <d v="1899-12-30T00:00:00"/>
    <s v="Jan-1900"/>
    <n v="0"/>
    <n v="0"/>
    <n v="0"/>
  </r>
  <r>
    <x v="307"/>
    <d v="2024-05-01T00:00:00"/>
    <x v="16"/>
    <s v="2024-Q2"/>
    <d v="2024-05-16T00:00:00"/>
    <x v="26"/>
    <x v="2"/>
    <x v="6"/>
    <s v="Bengaluru"/>
    <s v="Asia &gt; India &gt; Bengaluru"/>
    <s v="Small Business"/>
    <x v="0"/>
    <x v="0"/>
    <x v="10"/>
    <x v="0"/>
    <s v="High"/>
    <x v="307"/>
    <n v="901.19"/>
    <n v="2125.44"/>
    <n v="2125.44"/>
    <x v="88"/>
    <s v="OK"/>
    <n v="7.0999999999999994E-2"/>
    <n v="12"/>
    <n v="23694.405119999999"/>
    <n v="10814.28"/>
    <n v="12880.125119999999"/>
    <n v="0.54359352154100415"/>
    <d v="1899-12-30T00:00:00"/>
    <s v="Jan-1900"/>
    <n v="0"/>
    <n v="0"/>
    <n v="0"/>
  </r>
  <r>
    <x v="308"/>
    <d v="2023-12-18T00:00:00"/>
    <x v="9"/>
    <s v="2023-Q4"/>
    <d v="2024-01-14T00:00:00"/>
    <x v="10"/>
    <x v="2"/>
    <x v="6"/>
    <s v="Mumbai"/>
    <s v="Asia &gt; India &gt; Mumbai"/>
    <s v="Consumer"/>
    <x v="3"/>
    <x v="3"/>
    <x v="14"/>
    <x v="6"/>
    <s v="High"/>
    <x v="308"/>
    <n v="1408.3"/>
    <n v="2193.13"/>
    <n v="2193.13"/>
    <x v="88"/>
    <s v="OK"/>
    <n v="7.0999999999999994E-2"/>
    <n v="7"/>
    <n v="14261.92439"/>
    <n v="9858.1"/>
    <n v="4403.8243899999998"/>
    <n v="0.30878191957656281"/>
    <d v="1899-12-30T00:00:00"/>
    <s v="Jan-1900"/>
    <n v="0"/>
    <n v="0"/>
    <n v="0"/>
  </r>
  <r>
    <x v="309"/>
    <d v="2024-05-27T00:00:00"/>
    <x v="16"/>
    <s v="2024-Q2"/>
    <d v="2024-06-17T00:00:00"/>
    <x v="24"/>
    <x v="2"/>
    <x v="6"/>
    <s v="Delhi"/>
    <s v="Asia &gt; India &gt; Delhi"/>
    <s v="Small Business"/>
    <x v="1"/>
    <x v="1"/>
    <x v="15"/>
    <x v="1"/>
    <s v="Low"/>
    <x v="309"/>
    <n v="465.02"/>
    <n v="651.55999999999995"/>
    <n v="651.55999999999995"/>
    <x v="41"/>
    <s v="OK"/>
    <n v="4.2000000000000003E-2"/>
    <n v="19"/>
    <n v="11859.695119999998"/>
    <n v="8835.3799999999992"/>
    <n v="3024.3151199999993"/>
    <n v="0.25500783025187918"/>
    <d v="1899-12-30T00:00:00"/>
    <s v="Jan-1900"/>
    <n v="0"/>
    <n v="0"/>
    <n v="0"/>
  </r>
  <r>
    <x v="310"/>
    <d v="2023-05-02T00:00:00"/>
    <x v="26"/>
    <s v="2023-Q2"/>
    <d v="2023-05-16T00:00:00"/>
    <x v="6"/>
    <x v="2"/>
    <x v="6"/>
    <s v="Bengaluru"/>
    <s v="Asia &gt; India &gt; Bengaluru"/>
    <s v="Non-Profit"/>
    <x v="0"/>
    <x v="0"/>
    <x v="10"/>
    <x v="2"/>
    <s v="Medium"/>
    <x v="310"/>
    <n v="475.37"/>
    <n v="963.73"/>
    <n v="963.73"/>
    <x v="49"/>
    <s v="OK"/>
    <n v="4.1000000000000002E-2"/>
    <n v="22"/>
    <n v="20332.775539999999"/>
    <n v="10458.14"/>
    <n v="9874.6355399999993"/>
    <n v="0.48565113604750881"/>
    <d v="1899-12-30T00:00:00"/>
    <s v="Jan-1900"/>
    <n v="0"/>
    <n v="0"/>
    <n v="0"/>
  </r>
  <r>
    <x v="311"/>
    <d v="2024-11-12T00:00:00"/>
    <x v="13"/>
    <s v="2024-Q4"/>
    <d v="2024-11-21T00:00:00"/>
    <x v="13"/>
    <x v="2"/>
    <x v="6"/>
    <s v="Mumbai"/>
    <s v="Asia &gt; India &gt; Mumbai"/>
    <s v="Corporate"/>
    <x v="4"/>
    <x v="4"/>
    <x v="15"/>
    <x v="3"/>
    <s v="High"/>
    <x v="311"/>
    <n v="903.41"/>
    <n v="1860.41"/>
    <n v="1860.41"/>
    <x v="14"/>
    <s v="OK"/>
    <n v="0.108"/>
    <n v="5"/>
    <n v="8297.4286000000011"/>
    <n v="4517.05"/>
    <n v="3780.3786000000009"/>
    <n v="0.455608451996803"/>
    <d v="1899-12-30T00:00:00"/>
    <s v="Jan-1900"/>
    <n v="0"/>
    <n v="0"/>
    <n v="0"/>
  </r>
  <r>
    <x v="312"/>
    <d v="2023-05-10T00:00:00"/>
    <x v="26"/>
    <s v="2023-Q2"/>
    <d v="2023-05-14T00:00:00"/>
    <x v="14"/>
    <x v="2"/>
    <x v="6"/>
    <s v="Delhi"/>
    <s v="Asia &gt; India &gt; Delhi"/>
    <s v="Non-Profit"/>
    <x v="3"/>
    <x v="3"/>
    <x v="0"/>
    <x v="2"/>
    <s v="Medium"/>
    <x v="312"/>
    <n v="622.6"/>
    <n v="833.69"/>
    <n v="833.69"/>
    <x v="170"/>
    <s v="OK"/>
    <n v="0.20899999999999999"/>
    <n v="14"/>
    <n v="9232.2830599999998"/>
    <n v="8716.4"/>
    <n v="515.88306000000011"/>
    <n v="5.5878167582959715E-2"/>
    <d v="1899-12-30T00:00:00"/>
    <s v="Jan-1900"/>
    <n v="0"/>
    <n v="0"/>
    <n v="0"/>
  </r>
  <r>
    <x v="313"/>
    <d v="2025-01-04T00:00:00"/>
    <x v="25"/>
    <s v="2025-Q1"/>
    <d v="2025-01-05T00:00:00"/>
    <x v="17"/>
    <x v="2"/>
    <x v="6"/>
    <s v="Delhi"/>
    <s v="Asia &gt; India &gt; Delhi"/>
    <s v="Education"/>
    <x v="0"/>
    <x v="0"/>
    <x v="12"/>
    <x v="0"/>
    <s v="High"/>
    <x v="313"/>
    <n v="1428.33"/>
    <n v="3028.05"/>
    <n v="3028.05"/>
    <x v="3"/>
    <s v="OK"/>
    <n v="0"/>
    <n v="11"/>
    <n v="33308.550000000003"/>
    <n v="15711.63"/>
    <n v="17596.920000000006"/>
    <n v="0.52830039134096207"/>
    <d v="1899-12-30T00:00:00"/>
    <s v="Jan-1900"/>
    <n v="0"/>
    <n v="0"/>
    <n v="0"/>
  </r>
  <r>
    <x v="314"/>
    <d v="2025-08-05T00:00:00"/>
    <x v="24"/>
    <s v="2025-Q3"/>
    <d v="2025-08-28T00:00:00"/>
    <x v="9"/>
    <x v="2"/>
    <x v="6"/>
    <s v="Mumbai"/>
    <s v="Asia &gt; India &gt; Mumbai"/>
    <s v="Non-Profit"/>
    <x v="3"/>
    <x v="3"/>
    <x v="5"/>
    <x v="3"/>
    <s v="Medium"/>
    <x v="314"/>
    <n v="638.54"/>
    <n v="987.24"/>
    <n v="987.24"/>
    <x v="3"/>
    <s v="OK"/>
    <n v="0"/>
    <n v="11"/>
    <n v="10859.64"/>
    <n v="7023.94"/>
    <n v="3835.7"/>
    <n v="0.35320692030306716"/>
    <d v="1899-12-30T00:00:00"/>
    <s v="Jan-1900"/>
    <n v="0"/>
    <n v="0"/>
    <n v="0"/>
  </r>
  <r>
    <x v="315"/>
    <d v="2023-05-10T00:00:00"/>
    <x v="26"/>
    <s v="2023-Q2"/>
    <d v="2023-05-27T00:00:00"/>
    <x v="23"/>
    <x v="2"/>
    <x v="6"/>
    <s v="Mumbai"/>
    <s v="Asia &gt; India &gt; Mumbai"/>
    <s v="Consumer"/>
    <x v="0"/>
    <x v="0"/>
    <x v="13"/>
    <x v="3"/>
    <s v="High"/>
    <x v="315"/>
    <n v="1286.1600000000001"/>
    <n v="3101.11"/>
    <n v="3101.11"/>
    <x v="171"/>
    <s v="OK"/>
    <n v="0.1"/>
    <n v="23"/>
    <n v="64192.976999999999"/>
    <n v="29581.68"/>
    <n v="34611.296999999999"/>
    <n v="0.53917575749758417"/>
    <d v="1899-12-30T00:00:00"/>
    <s v="Jan-1900"/>
    <n v="0"/>
    <n v="0"/>
    <n v="0"/>
  </r>
  <r>
    <x v="316"/>
    <d v="2023-05-07T00:00:00"/>
    <x v="26"/>
    <s v="2023-Q2"/>
    <d v="2023-05-20T00:00:00"/>
    <x v="28"/>
    <x v="2"/>
    <x v="6"/>
    <s v="Mumbai"/>
    <s v="Asia &gt; India &gt; Mumbai"/>
    <s v="Enterprise"/>
    <x v="0"/>
    <x v="0"/>
    <x v="14"/>
    <x v="1"/>
    <s v="High"/>
    <x v="316"/>
    <n v="1443.28"/>
    <n v="2580.5700000000002"/>
    <n v="2580.5700000000002"/>
    <x v="3"/>
    <s v="OK"/>
    <n v="0"/>
    <n v="18"/>
    <n v="46450.26"/>
    <n v="25979.040000000001"/>
    <n v="20471.22"/>
    <n v="0.4407127107577008"/>
    <d v="1899-12-30T00:00:00"/>
    <s v="Jan-1900"/>
    <n v="0"/>
    <n v="0"/>
    <n v="0"/>
  </r>
  <r>
    <x v="317"/>
    <d v="2024-01-08T00:00:00"/>
    <x v="22"/>
    <s v="2024-Q1"/>
    <d v="2024-01-12T00:00:00"/>
    <x v="14"/>
    <x v="2"/>
    <x v="6"/>
    <s v="Bengaluru"/>
    <s v="Asia &gt; India &gt; Bengaluru"/>
    <s v="Corporate"/>
    <x v="4"/>
    <x v="4"/>
    <x v="11"/>
    <x v="5"/>
    <s v="Low"/>
    <x v="317"/>
    <n v="802.32"/>
    <n v="602.34"/>
    <n v="602.34"/>
    <x v="172"/>
    <s v="OK"/>
    <n v="0.12"/>
    <n v="25"/>
    <n v="13251.48"/>
    <n v="20058"/>
    <n v="-6806.52"/>
    <n v="-0.51364224977134632"/>
    <d v="1899-12-30T00:00:00"/>
    <s v="Jan-1900"/>
    <n v="0"/>
    <n v="0"/>
    <n v="0"/>
  </r>
  <r>
    <x v="318"/>
    <d v="2023-06-01T00:00:00"/>
    <x v="11"/>
    <s v="2023-Q2"/>
    <d v="2023-06-01T00:00:00"/>
    <x v="25"/>
    <x v="2"/>
    <x v="6"/>
    <s v="Bengaluru"/>
    <s v="Asia &gt; India &gt; Bengaluru"/>
    <s v="Corporate"/>
    <x v="0"/>
    <x v="0"/>
    <x v="11"/>
    <x v="1"/>
    <s v="Medium"/>
    <x v="318"/>
    <n v="669.37"/>
    <n v="997.2"/>
    <n v="997.2"/>
    <x v="17"/>
    <s v="OK"/>
    <n v="8.2000000000000003E-2"/>
    <n v="5"/>
    <n v="4577.1480000000001"/>
    <n v="3346.85"/>
    <n v="1230.2980000000002"/>
    <n v="0.26879139586484863"/>
    <d v="1899-12-30T00:00:00"/>
    <s v="Jan-1900"/>
    <n v="0"/>
    <n v="0"/>
    <n v="0"/>
  </r>
  <r>
    <x v="319"/>
    <d v="2025-03-24T00:00:00"/>
    <x v="2"/>
    <s v="2025-Q1"/>
    <d v="2025-04-04T00:00:00"/>
    <x v="20"/>
    <x v="2"/>
    <x v="6"/>
    <s v="Mumbai"/>
    <s v="Asia &gt; India &gt; Mumbai"/>
    <s v="Education"/>
    <x v="2"/>
    <x v="2"/>
    <x v="2"/>
    <x v="4"/>
    <s v="Low"/>
    <x v="319"/>
    <n v="23.83"/>
    <n v="47.29"/>
    <n v="47.29"/>
    <x v="105"/>
    <s v="OK"/>
    <n v="6.4000000000000001E-2"/>
    <n v="19"/>
    <n v="841.00536"/>
    <n v="452.77"/>
    <n v="388.23536000000001"/>
    <n v="0.46163244429262618"/>
    <d v="1899-12-30T00:00:00"/>
    <s v="Jan-1900"/>
    <n v="0"/>
    <n v="0"/>
    <n v="0"/>
  </r>
  <r>
    <x v="320"/>
    <d v="2024-07-28T00:00:00"/>
    <x v="27"/>
    <s v="2024-Q3"/>
    <d v="2024-08-23T00:00:00"/>
    <x v="0"/>
    <x v="2"/>
    <x v="6"/>
    <s v="Hyderabad"/>
    <s v="Asia &gt; India &gt; Hyderabad"/>
    <s v="Corporate"/>
    <x v="0"/>
    <x v="0"/>
    <x v="2"/>
    <x v="6"/>
    <s v="Medium"/>
    <x v="320"/>
    <n v="1339.24"/>
    <n v="1558.89"/>
    <n v="1558.89"/>
    <x v="173"/>
    <s v="OK"/>
    <n v="0.192"/>
    <n v="24"/>
    <n v="30229.994880000002"/>
    <n v="32141.760000000002"/>
    <n v="-1911.76512"/>
    <n v="-6.3240669659021781E-2"/>
    <d v="1899-12-30T00:00:00"/>
    <s v="Jan-1900"/>
    <n v="0"/>
    <n v="0"/>
    <n v="0"/>
  </r>
  <r>
    <x v="321"/>
    <d v="2023-11-19T00:00:00"/>
    <x v="18"/>
    <s v="2023-Q4"/>
    <d v="2023-12-12T00:00:00"/>
    <x v="9"/>
    <x v="2"/>
    <x v="6"/>
    <s v="Delhi"/>
    <s v="Asia &gt; India &gt; Delhi"/>
    <s v="Small Business"/>
    <x v="4"/>
    <x v="4"/>
    <x v="0"/>
    <x v="6"/>
    <s v="High"/>
    <x v="321"/>
    <n v="1349.04"/>
    <n v="2636.6"/>
    <n v="2636.6"/>
    <x v="133"/>
    <s v="OK"/>
    <n v="0.114"/>
    <n v="14"/>
    <n v="32704.386400000003"/>
    <n v="18886.559999999998"/>
    <n v="13817.826400000005"/>
    <n v="0.42250682312143928"/>
    <d v="1899-12-30T00:00:00"/>
    <s v="Jan-1900"/>
    <n v="0"/>
    <n v="0"/>
    <n v="0"/>
  </r>
  <r>
    <x v="322"/>
    <d v="2023-12-22T00:00:00"/>
    <x v="9"/>
    <s v="2023-Q4"/>
    <d v="2024-01-16T00:00:00"/>
    <x v="2"/>
    <x v="2"/>
    <x v="6"/>
    <s v="Hyderabad"/>
    <s v="Asia &gt; India &gt; Hyderabad"/>
    <s v="Small Business"/>
    <x v="0"/>
    <x v="0"/>
    <x v="1"/>
    <x v="0"/>
    <s v="Medium"/>
    <x v="322"/>
    <n v="1346.81"/>
    <n v="978.09"/>
    <n v="978.09"/>
    <x v="22"/>
    <s v="OK"/>
    <n v="0.159"/>
    <n v="17"/>
    <n v="13983.752729999998"/>
    <n v="22895.77"/>
    <n v="-8912.0172700000021"/>
    <n v="-0.6373122753293996"/>
    <d v="1899-12-30T00:00:00"/>
    <s v="Jan-1900"/>
    <n v="0"/>
    <n v="0"/>
    <n v="0"/>
  </r>
  <r>
    <x v="323"/>
    <d v="2023-12-06T00:00:00"/>
    <x v="9"/>
    <s v="2023-Q4"/>
    <d v="2023-12-31T00:00:00"/>
    <x v="2"/>
    <x v="2"/>
    <x v="7"/>
    <s v="Osaka"/>
    <s v="Asia &gt; Japan &gt; Osaka"/>
    <s v="Consumer"/>
    <x v="0"/>
    <x v="0"/>
    <x v="10"/>
    <x v="5"/>
    <s v="Low"/>
    <x v="323"/>
    <n v="663.03"/>
    <n v="813.51"/>
    <n v="813.51"/>
    <x v="61"/>
    <s v="OK"/>
    <n v="0.10199999999999999"/>
    <n v="15"/>
    <n v="10957.9797"/>
    <n v="9945.4499999999989"/>
    <n v="1012.529700000001"/>
    <n v="9.2401129379715952E-2"/>
    <d v="1899-12-30T00:00:00"/>
    <s v="Jan-1900"/>
    <n v="0"/>
    <n v="0"/>
    <n v="0"/>
  </r>
  <r>
    <x v="324"/>
    <d v="2025-01-03T00:00:00"/>
    <x v="25"/>
    <s v="2025-Q1"/>
    <d v="2025-01-23T00:00:00"/>
    <x v="8"/>
    <x v="2"/>
    <x v="7"/>
    <s v="Osaka"/>
    <s v="Asia &gt; Japan &gt; Osaka"/>
    <s v="Corporate"/>
    <x v="3"/>
    <x v="3"/>
    <x v="8"/>
    <x v="4"/>
    <s v="Low"/>
    <x v="324"/>
    <n v="908.6"/>
    <n v="691.37"/>
    <n v="691.37"/>
    <x v="174"/>
    <s v="OK"/>
    <n v="0.25"/>
    <n v="20"/>
    <n v="10370.549999999999"/>
    <n v="18172"/>
    <n v="-7801.4500000000007"/>
    <n v="-0.75226964818645115"/>
    <d v="1899-12-30T00:00:00"/>
    <s v="Jan-1900"/>
    <n v="0"/>
    <n v="0"/>
    <n v="0"/>
  </r>
  <r>
    <x v="325"/>
    <d v="2025-09-08T00:00:00"/>
    <x v="3"/>
    <s v="2025-Q3"/>
    <d v="2025-09-16T00:00:00"/>
    <x v="19"/>
    <x v="2"/>
    <x v="7"/>
    <s v="Osaka"/>
    <s v="Asia &gt; Japan &gt; Osaka"/>
    <s v="Corporate"/>
    <x v="3"/>
    <x v="3"/>
    <x v="0"/>
    <x v="4"/>
    <s v="High"/>
    <x v="325"/>
    <n v="1225.57"/>
    <n v="2705.57"/>
    <n v="2705.57"/>
    <x v="175"/>
    <s v="OK"/>
    <n v="0.183"/>
    <n v="16"/>
    <n v="35367.211040000002"/>
    <n v="19609.12"/>
    <n v="15758.091040000003"/>
    <n v="0.44555650775453404"/>
    <d v="1899-12-30T00:00:00"/>
    <s v="Jan-1900"/>
    <n v="0"/>
    <n v="0"/>
    <n v="0"/>
  </r>
  <r>
    <x v="326"/>
    <d v="2025-09-10T00:00:00"/>
    <x v="3"/>
    <s v="2025-Q3"/>
    <d v="2025-09-12T00:00:00"/>
    <x v="18"/>
    <x v="2"/>
    <x v="7"/>
    <s v="Tokyo"/>
    <s v="Asia &gt; Japan &gt; Tokyo"/>
    <s v="Consumer"/>
    <x v="1"/>
    <x v="1"/>
    <x v="7"/>
    <x v="0"/>
    <s v="High"/>
    <x v="326"/>
    <n v="1470.15"/>
    <n v="2593.7800000000002"/>
    <n v="2593.7800000000002"/>
    <x v="176"/>
    <s v="OK"/>
    <n v="0.11"/>
    <n v="12"/>
    <n v="27701.570400000001"/>
    <n v="17641.800000000003"/>
    <n v="10059.770399999998"/>
    <n v="0.36314801849645306"/>
    <d v="1899-12-30T00:00:00"/>
    <s v="Jan-1900"/>
    <n v="0"/>
    <n v="0"/>
    <n v="0"/>
  </r>
  <r>
    <x v="327"/>
    <d v="2024-05-22T00:00:00"/>
    <x v="16"/>
    <s v="2024-Q2"/>
    <d v="2024-06-06T00:00:00"/>
    <x v="26"/>
    <x v="2"/>
    <x v="7"/>
    <s v="Nagoya"/>
    <s v="Asia &gt; Japan &gt; Nagoya"/>
    <s v="Corporate"/>
    <x v="3"/>
    <x v="3"/>
    <x v="0"/>
    <x v="2"/>
    <s v="Medium"/>
    <x v="327"/>
    <n v="673.88"/>
    <n v="1228.01"/>
    <n v="1228.01"/>
    <x v="126"/>
    <s v="OK"/>
    <n v="0.105"/>
    <n v="13"/>
    <n v="14287.896349999999"/>
    <n v="8760.44"/>
    <n v="5527.4563499999986"/>
    <n v="0.38686285332689996"/>
    <d v="1899-12-30T00:00:00"/>
    <s v="Jan-1900"/>
    <n v="0"/>
    <n v="0"/>
    <n v="0"/>
  </r>
  <r>
    <x v="328"/>
    <d v="2023-06-29T00:00:00"/>
    <x v="11"/>
    <s v="2023-Q2"/>
    <d v="2023-07-02T00:00:00"/>
    <x v="12"/>
    <x v="2"/>
    <x v="7"/>
    <s v="Nagoya"/>
    <s v="Asia &gt; Japan &gt; Nagoya"/>
    <s v="Education"/>
    <x v="2"/>
    <x v="2"/>
    <x v="8"/>
    <x v="2"/>
    <s v="Low"/>
    <x v="328"/>
    <n v="55.65"/>
    <n v="83.57"/>
    <n v="83.57"/>
    <x v="102"/>
    <s v="OK"/>
    <n v="6.6000000000000003E-2"/>
    <n v="8"/>
    <n v="624.43503999999996"/>
    <n v="445.2"/>
    <n v="179.23503999999997"/>
    <n v="0.2870355257449998"/>
    <d v="1899-12-30T00:00:00"/>
    <s v="Jan-1900"/>
    <n v="0"/>
    <n v="0"/>
    <n v="0"/>
  </r>
  <r>
    <x v="329"/>
    <d v="2025-04-28T00:00:00"/>
    <x v="7"/>
    <s v="2025-Q2"/>
    <d v="2025-05-15T00:00:00"/>
    <x v="23"/>
    <x v="2"/>
    <x v="7"/>
    <s v="Nagoya"/>
    <s v="Asia &gt; Japan &gt; Nagoya"/>
    <s v="Education"/>
    <x v="4"/>
    <x v="4"/>
    <x v="5"/>
    <x v="6"/>
    <s v="Medium"/>
    <x v="329"/>
    <n v="691.19"/>
    <n v="1284.3"/>
    <n v="1284.3"/>
    <x v="76"/>
    <s v="OK"/>
    <n v="7.3999999999999996E-2"/>
    <n v="7"/>
    <n v="8324.8326000000015"/>
    <n v="4838.33"/>
    <n v="3486.5026000000016"/>
    <n v="0.41880753253825198"/>
    <d v="1899-12-30T00:00:00"/>
    <s v="Jan-1900"/>
    <n v="0"/>
    <n v="0"/>
    <n v="0"/>
  </r>
  <r>
    <x v="330"/>
    <d v="2024-10-16T00:00:00"/>
    <x v="32"/>
    <s v="2024-Q4"/>
    <d v="2024-11-08T00:00:00"/>
    <x v="9"/>
    <x v="2"/>
    <x v="7"/>
    <s v="Osaka"/>
    <s v="Asia &gt; Japan &gt; Osaka"/>
    <s v="Small Business"/>
    <x v="0"/>
    <x v="0"/>
    <x v="2"/>
    <x v="6"/>
    <s v="Low"/>
    <x v="330"/>
    <n v="82.14"/>
    <n v="166.04"/>
    <n v="166.04"/>
    <x v="3"/>
    <s v="OK"/>
    <n v="0"/>
    <n v="10"/>
    <n v="1660.3999999999999"/>
    <n v="821.4"/>
    <n v="838.99999999999989"/>
    <n v="0.50529992772825827"/>
    <d v="1899-12-30T00:00:00"/>
    <s v="Jan-1900"/>
    <n v="0"/>
    <n v="0"/>
    <n v="0"/>
  </r>
  <r>
    <x v="331"/>
    <d v="2023-11-20T00:00:00"/>
    <x v="18"/>
    <s v="2023-Q4"/>
    <d v="2023-12-05T00:00:00"/>
    <x v="26"/>
    <x v="2"/>
    <x v="7"/>
    <s v="Tokyo"/>
    <s v="Asia &gt; Japan &gt; Tokyo"/>
    <s v="Enterprise"/>
    <x v="0"/>
    <x v="0"/>
    <x v="10"/>
    <x v="6"/>
    <s v="Low"/>
    <x v="331"/>
    <n v="354.24"/>
    <n v="249.87"/>
    <n v="249.87"/>
    <x v="3"/>
    <s v="OK"/>
    <n v="0"/>
    <n v="6"/>
    <n v="1499.22"/>
    <n v="2125.44"/>
    <n v="-626.22"/>
    <n v="-0.41769720254532355"/>
    <d v="1899-12-30T00:00:00"/>
    <s v="Jan-1900"/>
    <n v="0"/>
    <n v="0"/>
    <n v="0"/>
  </r>
  <r>
    <x v="332"/>
    <d v="2023-12-07T00:00:00"/>
    <x v="9"/>
    <s v="2023-Q4"/>
    <d v="2023-12-12T00:00:00"/>
    <x v="5"/>
    <x v="2"/>
    <x v="7"/>
    <s v="Tokyo"/>
    <s v="Asia &gt; Japan &gt; Tokyo"/>
    <s v="Non-Profit"/>
    <x v="2"/>
    <x v="2"/>
    <x v="15"/>
    <x v="5"/>
    <s v="Medium"/>
    <x v="332"/>
    <n v="1097.5899999999999"/>
    <n v="845.55"/>
    <n v="845.55"/>
    <x v="9"/>
    <s v="OK"/>
    <n v="0.184"/>
    <n v="6"/>
    <n v="4139.8127999999997"/>
    <n v="6585.5399999999991"/>
    <n v="-2445.7271999999994"/>
    <n v="-0.59078207594314402"/>
    <d v="1899-12-30T00:00:00"/>
    <s v="Jan-1900"/>
    <n v="0"/>
    <n v="0"/>
    <n v="0"/>
  </r>
  <r>
    <x v="333"/>
    <d v="2024-08-07T00:00:00"/>
    <x v="10"/>
    <s v="2024-Q3"/>
    <d v="2024-08-17T00:00:00"/>
    <x v="30"/>
    <x v="2"/>
    <x v="7"/>
    <s v="Osaka"/>
    <s v="Asia &gt; Japan &gt; Osaka"/>
    <s v="Consumer"/>
    <x v="1"/>
    <x v="1"/>
    <x v="3"/>
    <x v="6"/>
    <s v="Low"/>
    <x v="333"/>
    <n v="436.58"/>
    <n v="527.48"/>
    <n v="527.48"/>
    <x v="40"/>
    <s v="OK"/>
    <n v="0.111"/>
    <n v="19"/>
    <n v="8909.6646800000017"/>
    <n v="8295.02"/>
    <n v="614.64468000000124"/>
    <n v="6.8986286473802644E-2"/>
    <d v="1899-12-30T00:00:00"/>
    <s v="Jan-1900"/>
    <n v="0"/>
    <n v="0"/>
    <n v="0"/>
  </r>
  <r>
    <x v="334"/>
    <d v="2023-03-25T00:00:00"/>
    <x v="12"/>
    <s v="2023-Q1"/>
    <d v="2023-03-26T00:00:00"/>
    <x v="17"/>
    <x v="2"/>
    <x v="7"/>
    <s v="Osaka"/>
    <s v="Asia &gt; Japan &gt; Osaka"/>
    <s v="Small Business"/>
    <x v="3"/>
    <x v="3"/>
    <x v="12"/>
    <x v="2"/>
    <s v="Low"/>
    <x v="334"/>
    <n v="135.12"/>
    <n v="301.7"/>
    <n v="301.7"/>
    <x v="26"/>
    <s v="OK"/>
    <n v="0.14000000000000001"/>
    <n v="47"/>
    <n v="12194.714"/>
    <n v="6350.64"/>
    <n v="5844.0739999999996"/>
    <n v="0.47923009920527859"/>
    <d v="1899-12-30T00:00:00"/>
    <s v="Jan-1900"/>
    <n v="0"/>
    <n v="0"/>
    <n v="0"/>
  </r>
  <r>
    <x v="335"/>
    <d v="2024-07-15T00:00:00"/>
    <x v="27"/>
    <s v="2024-Q3"/>
    <d v="2024-07-15T00:00:00"/>
    <x v="25"/>
    <x v="2"/>
    <x v="7"/>
    <s v="Tokyo"/>
    <s v="Asia &gt; Japan &gt; Tokyo"/>
    <s v="Small Business"/>
    <x v="2"/>
    <x v="2"/>
    <x v="4"/>
    <x v="1"/>
    <s v="Medium"/>
    <x v="335"/>
    <n v="801.77"/>
    <n v="1218.92"/>
    <n v="1218.92"/>
    <x v="119"/>
    <s v="OK"/>
    <n v="0.254"/>
    <n v="16"/>
    <n v="14549.029120000001"/>
    <n v="12828.32"/>
    <n v="1720.7091200000013"/>
    <n v="0.11826968698788344"/>
    <d v="1899-12-30T00:00:00"/>
    <s v="Jan-1900"/>
    <n v="0"/>
    <n v="0"/>
    <n v="0"/>
  </r>
  <r>
    <x v="336"/>
    <d v="2023-09-21T00:00:00"/>
    <x v="29"/>
    <s v="2023-Q3"/>
    <d v="2023-10-10T00:00:00"/>
    <x v="1"/>
    <x v="2"/>
    <x v="7"/>
    <s v="Tokyo"/>
    <s v="Asia &gt; Japan &gt; Tokyo"/>
    <s v="Education"/>
    <x v="1"/>
    <x v="1"/>
    <x v="14"/>
    <x v="0"/>
    <s v="High"/>
    <x v="336"/>
    <n v="845.63"/>
    <n v="2062.12"/>
    <n v="2062.12"/>
    <x v="11"/>
    <s v="OK"/>
    <n v="0.13400000000000001"/>
    <n v="5"/>
    <n v="8928.9795999999988"/>
    <n v="4228.1499999999996"/>
    <n v="4700.8295999999991"/>
    <n v="0.52646884757133949"/>
    <d v="1899-12-30T00:00:00"/>
    <s v="Jan-1900"/>
    <n v="0"/>
    <n v="0"/>
    <n v="0"/>
  </r>
  <r>
    <x v="337"/>
    <d v="2025-02-02T00:00:00"/>
    <x v="8"/>
    <s v="2025-Q1"/>
    <d v="2025-03-04T00:00:00"/>
    <x v="27"/>
    <x v="2"/>
    <x v="7"/>
    <s v="Osaka"/>
    <s v="Asia &gt; Japan &gt; Osaka"/>
    <s v="Education"/>
    <x v="3"/>
    <x v="3"/>
    <x v="10"/>
    <x v="1"/>
    <s v="High"/>
    <x v="337"/>
    <n v="766.59"/>
    <n v="1912.8"/>
    <n v="1912.8"/>
    <x v="66"/>
    <s v="OK"/>
    <n v="0.19600000000000001"/>
    <n v="5"/>
    <n v="7689.4560000000001"/>
    <n v="3832.9500000000003"/>
    <n v="3856.5059999999999"/>
    <n v="0.50153170783472845"/>
    <d v="1899-12-30T00:00:00"/>
    <s v="Jan-1900"/>
    <n v="0"/>
    <n v="0"/>
    <n v="0"/>
  </r>
  <r>
    <x v="338"/>
    <d v="2024-10-23T00:00:00"/>
    <x v="32"/>
    <s v="2024-Q4"/>
    <d v="2024-11-14T00:00:00"/>
    <x v="21"/>
    <x v="2"/>
    <x v="7"/>
    <s v="Osaka"/>
    <s v="Asia &gt; Japan &gt; Osaka"/>
    <s v="Non-Profit"/>
    <x v="4"/>
    <x v="4"/>
    <x v="6"/>
    <x v="4"/>
    <s v="Medium"/>
    <x v="338"/>
    <n v="1406.4"/>
    <n v="1564.76"/>
    <n v="1564.76"/>
    <x v="163"/>
    <s v="OK"/>
    <n v="0.185"/>
    <n v="17"/>
    <n v="21679.749799999998"/>
    <n v="23908.800000000003"/>
    <n v="-2229.0502000000051"/>
    <n v="-0.10281715520536151"/>
    <d v="1899-12-30T00:00:00"/>
    <s v="Jan-1900"/>
    <n v="0"/>
    <n v="0"/>
    <n v="0"/>
  </r>
  <r>
    <x v="339"/>
    <d v="2024-02-29T00:00:00"/>
    <x v="23"/>
    <s v="2024-Q1"/>
    <d v="2024-03-30T00:00:00"/>
    <x v="27"/>
    <x v="2"/>
    <x v="7"/>
    <s v="Nagoya"/>
    <s v="Asia &gt; Japan &gt; Nagoya"/>
    <s v="Small Business"/>
    <x v="4"/>
    <x v="4"/>
    <x v="12"/>
    <x v="6"/>
    <s v="Low"/>
    <x v="339"/>
    <n v="231.11"/>
    <n v="318.17"/>
    <n v="318.17"/>
    <x v="177"/>
    <s v="OK"/>
    <n v="0.20100000000000001"/>
    <n v="60"/>
    <n v="15253.069799999999"/>
    <n v="13866.6"/>
    <n v="1386.4697999999989"/>
    <n v="9.0897754889969692E-2"/>
    <d v="1899-12-30T00:00:00"/>
    <s v="Jan-1900"/>
    <n v="0"/>
    <n v="0"/>
    <n v="0"/>
  </r>
  <r>
    <x v="340"/>
    <d v="2023-07-30T00:00:00"/>
    <x v="14"/>
    <s v="2023-Q3"/>
    <d v="2023-08-07T00:00:00"/>
    <x v="19"/>
    <x v="2"/>
    <x v="7"/>
    <s v="Nagoya"/>
    <s v="Asia &gt; Japan &gt; Nagoya"/>
    <s v="Education"/>
    <x v="2"/>
    <x v="2"/>
    <x v="1"/>
    <x v="6"/>
    <s v="High"/>
    <x v="340"/>
    <n v="1352.44"/>
    <n v="2698.01"/>
    <n v="2698.01"/>
    <x v="59"/>
    <s v="OK"/>
    <n v="0.13100000000000001"/>
    <n v="13"/>
    <n v="30479.418970000002"/>
    <n v="17581.72"/>
    <n v="12897.698970000001"/>
    <n v="0.42316091992090887"/>
    <d v="1899-12-30T00:00:00"/>
    <s v="Jan-1900"/>
    <n v="0"/>
    <n v="0"/>
    <n v="0"/>
  </r>
  <r>
    <x v="341"/>
    <d v="2024-09-05T00:00:00"/>
    <x v="17"/>
    <s v="2024-Q3"/>
    <d v="2024-09-25T00:00:00"/>
    <x v="8"/>
    <x v="2"/>
    <x v="7"/>
    <s v="Osaka"/>
    <s v="Asia &gt; Japan &gt; Osaka"/>
    <s v="Enterprise"/>
    <x v="3"/>
    <x v="3"/>
    <x v="14"/>
    <x v="2"/>
    <s v="Low"/>
    <x v="341"/>
    <n v="195.54"/>
    <n v="405.97"/>
    <n v="405.97"/>
    <x v="90"/>
    <s v="OK"/>
    <n v="0.187"/>
    <n v="16"/>
    <n v="5280.8577599999999"/>
    <n v="3128.64"/>
    <n v="2152.21776"/>
    <n v="0.40755079152141377"/>
    <d v="1899-12-30T00:00:00"/>
    <s v="Jan-1900"/>
    <n v="0"/>
    <n v="0"/>
    <n v="0"/>
  </r>
  <r>
    <x v="342"/>
    <d v="2024-01-11T00:00:00"/>
    <x v="22"/>
    <s v="2024-Q1"/>
    <d v="2024-02-02T00:00:00"/>
    <x v="21"/>
    <x v="2"/>
    <x v="7"/>
    <s v="Nagoya"/>
    <s v="Asia &gt; Japan &gt; Nagoya"/>
    <s v="Small Business"/>
    <x v="1"/>
    <x v="1"/>
    <x v="9"/>
    <x v="5"/>
    <s v="Medium"/>
    <x v="342"/>
    <n v="1237.68"/>
    <n v="1432.8"/>
    <n v="1432.8"/>
    <x v="141"/>
    <s v="OK"/>
    <n v="6.8000000000000005E-2"/>
    <n v="13"/>
    <n v="17359.804799999998"/>
    <n v="16089.84"/>
    <n v="1269.9647999999979"/>
    <n v="7.315547695559331E-2"/>
    <d v="1899-12-30T00:00:00"/>
    <s v="Jan-1900"/>
    <n v="0"/>
    <n v="0"/>
    <n v="0"/>
  </r>
  <r>
    <x v="343"/>
    <d v="2025-08-02T00:00:00"/>
    <x v="24"/>
    <s v="2025-Q3"/>
    <d v="2025-08-08T00:00:00"/>
    <x v="29"/>
    <x v="2"/>
    <x v="7"/>
    <s v="Osaka"/>
    <s v="Asia &gt; Japan &gt; Osaka"/>
    <s v="Consumer"/>
    <x v="4"/>
    <x v="4"/>
    <x v="5"/>
    <x v="3"/>
    <s v="High"/>
    <x v="343"/>
    <n v="1225.94"/>
    <n v="1793.08"/>
    <n v="1793.08"/>
    <x v="83"/>
    <s v="OK"/>
    <n v="0.13600000000000001"/>
    <n v="22"/>
    <n v="34082.864639999993"/>
    <n v="26970.68"/>
    <n v="7112.1846399999922"/>
    <n v="0.20867332353434462"/>
    <d v="1899-12-30T00:00:00"/>
    <s v="Jan-1900"/>
    <n v="0"/>
    <n v="0"/>
    <n v="0"/>
  </r>
  <r>
    <x v="344"/>
    <d v="2025-09-12T00:00:00"/>
    <x v="3"/>
    <s v="2025-Q3"/>
    <d v="2025-09-30T00:00:00"/>
    <x v="16"/>
    <x v="2"/>
    <x v="7"/>
    <s v="Nagoya"/>
    <s v="Asia &gt; Japan &gt; Nagoya"/>
    <s v="Non-Profit"/>
    <x v="2"/>
    <x v="2"/>
    <x v="8"/>
    <x v="2"/>
    <s v="High"/>
    <x v="344"/>
    <n v="1212.99"/>
    <n v="1653.64"/>
    <n v="1653.64"/>
    <x v="178"/>
    <s v="OK"/>
    <n v="0.107"/>
    <n v="8"/>
    <n v="11813.604160000001"/>
    <n v="9703.92"/>
    <n v="2109.6841600000007"/>
    <n v="0.17858090819931455"/>
    <d v="1899-12-30T00:00:00"/>
    <s v="Jan-1900"/>
    <n v="0"/>
    <n v="0"/>
    <n v="0"/>
  </r>
  <r>
    <x v="345"/>
    <d v="2024-10-27T00:00:00"/>
    <x v="32"/>
    <s v="2024-Q4"/>
    <d v="2024-11-20T00:00:00"/>
    <x v="7"/>
    <x v="2"/>
    <x v="7"/>
    <s v="Nagoya"/>
    <s v="Asia &gt; Japan &gt; Nagoya"/>
    <s v="Non-Profit"/>
    <x v="1"/>
    <x v="1"/>
    <x v="15"/>
    <x v="2"/>
    <s v="Low"/>
    <x v="345"/>
    <n v="317.25"/>
    <n v="758.92"/>
    <n v="758.92"/>
    <x v="144"/>
    <s v="OK"/>
    <n v="5.2999999999999999E-2"/>
    <n v="9"/>
    <n v="6468.2751599999992"/>
    <n v="2855.25"/>
    <n v="3613.0251599999992"/>
    <n v="0.5585762928489888"/>
    <d v="1899-12-30T00:00:00"/>
    <s v="Jan-1900"/>
    <n v="0"/>
    <n v="0"/>
    <n v="0"/>
  </r>
  <r>
    <x v="346"/>
    <d v="2025-03-14T00:00:00"/>
    <x v="2"/>
    <s v="2025-Q1"/>
    <d v="2025-03-29T00:00:00"/>
    <x v="26"/>
    <x v="2"/>
    <x v="7"/>
    <s v="Tokyo"/>
    <s v="Asia &gt; Japan &gt; Tokyo"/>
    <s v="Non-Profit"/>
    <x v="4"/>
    <x v="4"/>
    <x v="15"/>
    <x v="6"/>
    <s v="High"/>
    <x v="346"/>
    <n v="1106.96"/>
    <n v="2726.62"/>
    <n v="2726.62"/>
    <x v="35"/>
    <s v="OK"/>
    <n v="0.3"/>
    <n v="7"/>
    <n v="13360.438"/>
    <n v="7748.72"/>
    <n v="5611.7179999999998"/>
    <n v="0.42002500217432992"/>
    <d v="1899-12-30T00:00:00"/>
    <s v="Jan-1900"/>
    <n v="0"/>
    <n v="0"/>
    <n v="0"/>
  </r>
  <r>
    <x v="347"/>
    <d v="2023-06-24T00:00:00"/>
    <x v="11"/>
    <s v="2023-Q2"/>
    <d v="2023-07-21T00:00:00"/>
    <x v="10"/>
    <x v="2"/>
    <x v="7"/>
    <s v="Nagoya"/>
    <s v="Asia &gt; Japan &gt; Nagoya"/>
    <s v="Consumer"/>
    <x v="2"/>
    <x v="2"/>
    <x v="2"/>
    <x v="4"/>
    <s v="Low"/>
    <x v="347"/>
    <n v="554.76"/>
    <n v="728.69"/>
    <n v="728.69"/>
    <x v="179"/>
    <s v="OK"/>
    <n v="0.22"/>
    <n v="7"/>
    <n v="3978.6474000000003"/>
    <n v="3883.3199999999997"/>
    <n v="95.32740000000058"/>
    <n v="2.395975074343119E-2"/>
    <d v="1899-12-30T00:00:00"/>
    <s v="Jan-1900"/>
    <n v="0"/>
    <n v="0"/>
    <n v="0"/>
  </r>
  <r>
    <x v="348"/>
    <d v="2025-04-11T00:00:00"/>
    <x v="7"/>
    <s v="2025-Q2"/>
    <d v="2025-05-04T00:00:00"/>
    <x v="9"/>
    <x v="2"/>
    <x v="7"/>
    <s v="Osaka"/>
    <s v="Asia &gt; Japan &gt; Osaka"/>
    <s v="Small Business"/>
    <x v="1"/>
    <x v="1"/>
    <x v="13"/>
    <x v="0"/>
    <s v="Medium"/>
    <x v="348"/>
    <n v="786.2"/>
    <n v="1075.3"/>
    <n v="1075.3"/>
    <x v="135"/>
    <s v="OK"/>
    <n v="0.08"/>
    <n v="9"/>
    <n v="8903.4839999999986"/>
    <n v="7075.8"/>
    <n v="1827.6839999999984"/>
    <n v="0.20527739478163815"/>
    <d v="1899-12-30T00:00:00"/>
    <s v="Jan-1900"/>
    <n v="0"/>
    <n v="0"/>
    <n v="0"/>
  </r>
  <r>
    <x v="349"/>
    <d v="2025-01-22T00:00:00"/>
    <x v="25"/>
    <s v="2025-Q1"/>
    <d v="2025-02-04T00:00:00"/>
    <x v="28"/>
    <x v="2"/>
    <x v="7"/>
    <s v="Tokyo"/>
    <s v="Asia &gt; Japan &gt; Tokyo"/>
    <s v="Small Business"/>
    <x v="3"/>
    <x v="3"/>
    <x v="10"/>
    <x v="5"/>
    <s v="Low"/>
    <x v="349"/>
    <n v="122.29"/>
    <n v="224.95"/>
    <n v="224.95"/>
    <x v="180"/>
    <s v="OK"/>
    <n v="0.153"/>
    <n v="28"/>
    <n v="5334.9141999999993"/>
    <n v="3424.1200000000003"/>
    <n v="1910.7941999999989"/>
    <n v="0.3581677471026618"/>
    <d v="1899-12-30T00:00:00"/>
    <s v="Jan-1900"/>
    <n v="0"/>
    <n v="0"/>
    <n v="0"/>
  </r>
  <r>
    <x v="350"/>
    <d v="2023-05-06T00:00:00"/>
    <x v="26"/>
    <s v="2023-Q2"/>
    <d v="2023-05-14T00:00:00"/>
    <x v="19"/>
    <x v="2"/>
    <x v="7"/>
    <s v="Osaka"/>
    <s v="Asia &gt; Japan &gt; Osaka"/>
    <s v="Enterprise"/>
    <x v="2"/>
    <x v="2"/>
    <x v="6"/>
    <x v="4"/>
    <s v="Low"/>
    <x v="350"/>
    <n v="291.18"/>
    <n v="479.54"/>
    <n v="479.54"/>
    <x v="181"/>
    <s v="OK"/>
    <n v="0.14099999999999999"/>
    <n v="22"/>
    <n v="9062.34692"/>
    <n v="6405.96"/>
    <n v="2656.3869199999999"/>
    <n v="0.29312350801066001"/>
    <d v="1899-12-30T00:00:00"/>
    <s v="Jan-1900"/>
    <n v="0"/>
    <n v="0"/>
    <n v="0"/>
  </r>
  <r>
    <x v="351"/>
    <d v="2024-07-13T00:00:00"/>
    <x v="27"/>
    <s v="2024-Q3"/>
    <d v="2024-07-18T00:00:00"/>
    <x v="5"/>
    <x v="2"/>
    <x v="7"/>
    <s v="Nagoya"/>
    <s v="Asia &gt; Japan &gt; Nagoya"/>
    <s v="Small Business"/>
    <x v="2"/>
    <x v="2"/>
    <x v="8"/>
    <x v="6"/>
    <s v="Low"/>
    <x v="351"/>
    <n v="105.13"/>
    <n v="244.13"/>
    <n v="244.13"/>
    <x v="88"/>
    <s v="OK"/>
    <n v="7.0999999999999994E-2"/>
    <n v="14"/>
    <n v="3175.1547799999998"/>
    <n v="1471.82"/>
    <n v="1703.3347799999999"/>
    <n v="0.53645724319618837"/>
    <d v="1899-12-30T00:00:00"/>
    <s v="Jan-1900"/>
    <n v="0"/>
    <n v="0"/>
    <n v="0"/>
  </r>
  <r>
    <x v="352"/>
    <d v="2023-12-01T00:00:00"/>
    <x v="9"/>
    <s v="2023-Q4"/>
    <d v="2023-12-18T00:00:00"/>
    <x v="23"/>
    <x v="2"/>
    <x v="7"/>
    <s v="Nagoya"/>
    <s v="Asia &gt; Japan &gt; Nagoya"/>
    <s v="Small Business"/>
    <x v="4"/>
    <x v="4"/>
    <x v="5"/>
    <x v="3"/>
    <s v="High"/>
    <x v="352"/>
    <n v="1495.79"/>
    <n v="2783.12"/>
    <n v="2783.12"/>
    <x v="94"/>
    <s v="OK"/>
    <n v="0.02"/>
    <n v="5"/>
    <n v="13637.287999999999"/>
    <n v="7478.95"/>
    <n v="6158.3379999999988"/>
    <n v="0.45158084217331185"/>
    <d v="1899-12-30T00:00:00"/>
    <s v="Jan-1900"/>
    <n v="0"/>
    <n v="0"/>
    <n v="0"/>
  </r>
  <r>
    <x v="353"/>
    <d v="2024-08-08T00:00:00"/>
    <x v="10"/>
    <s v="2024-Q3"/>
    <d v="2024-08-20T00:00:00"/>
    <x v="15"/>
    <x v="2"/>
    <x v="7"/>
    <s v="Osaka"/>
    <s v="Asia &gt; Japan &gt; Osaka"/>
    <s v="Small Business"/>
    <x v="0"/>
    <x v="0"/>
    <x v="15"/>
    <x v="6"/>
    <s v="High"/>
    <x v="353"/>
    <n v="1233.3599999999999"/>
    <n v="2120.4"/>
    <n v="2120.4"/>
    <x v="182"/>
    <s v="OK"/>
    <n v="0.17899999999999999"/>
    <n v="20"/>
    <n v="34816.968000000001"/>
    <n v="24667.199999999997"/>
    <n v="10149.768000000004"/>
    <n v="0.29151785991244278"/>
    <d v="1899-12-30T00:00:00"/>
    <s v="Jan-1900"/>
    <n v="0"/>
    <n v="0"/>
    <n v="0"/>
  </r>
  <r>
    <x v="354"/>
    <d v="2025-03-21T00:00:00"/>
    <x v="2"/>
    <s v="2025-Q1"/>
    <d v="2025-04-09T00:00:00"/>
    <x v="1"/>
    <x v="2"/>
    <x v="7"/>
    <s v="Tokyo"/>
    <s v="Asia &gt; Japan &gt; Tokyo"/>
    <s v="Small Business"/>
    <x v="3"/>
    <x v="3"/>
    <x v="11"/>
    <x v="0"/>
    <s v="Medium"/>
    <x v="354"/>
    <n v="1055.45"/>
    <n v="1210.04"/>
    <n v="1210.04"/>
    <x v="91"/>
    <s v="OK"/>
    <n v="8.9999999999999993E-3"/>
    <n v="18"/>
    <n v="21584.693520000001"/>
    <n v="18998.100000000002"/>
    <n v="2586.5935199999985"/>
    <n v="0.1198346188053727"/>
    <d v="1899-12-30T00:00:00"/>
    <s v="Jan-1900"/>
    <n v="0"/>
    <n v="0"/>
    <n v="0"/>
  </r>
  <r>
    <x v="355"/>
    <d v="2025-05-27T00:00:00"/>
    <x v="1"/>
    <s v="2025-Q2"/>
    <d v="2025-06-08T00:00:00"/>
    <x v="15"/>
    <x v="2"/>
    <x v="7"/>
    <s v="Osaka"/>
    <s v="Asia &gt; Japan &gt; Osaka"/>
    <s v="Corporate"/>
    <x v="0"/>
    <x v="0"/>
    <x v="15"/>
    <x v="1"/>
    <s v="Medium"/>
    <x v="355"/>
    <n v="653.6"/>
    <n v="842.09"/>
    <n v="842.09"/>
    <x v="132"/>
    <s v="OK"/>
    <n v="9.8000000000000004E-2"/>
    <n v="19"/>
    <n v="14431.738420000001"/>
    <n v="12418.4"/>
    <n v="2013.3384200000019"/>
    <n v="0.13950768517324622"/>
    <d v="1899-12-30T00:00:00"/>
    <s v="Jan-1900"/>
    <n v="0"/>
    <n v="0"/>
    <n v="0"/>
  </r>
  <r>
    <x v="356"/>
    <d v="2024-12-12T00:00:00"/>
    <x v="30"/>
    <s v="2024-Q4"/>
    <d v="2024-12-20T00:00:00"/>
    <x v="19"/>
    <x v="2"/>
    <x v="7"/>
    <s v="Tokyo"/>
    <s v="Asia &gt; Japan &gt; Tokyo"/>
    <s v="Corporate"/>
    <x v="0"/>
    <x v="0"/>
    <x v="6"/>
    <x v="3"/>
    <s v="Medium"/>
    <x v="356"/>
    <n v="1202.47"/>
    <n v="1444.72"/>
    <n v="1444.72"/>
    <x v="54"/>
    <s v="OK"/>
    <n v="0.24099999999999999"/>
    <n v="17"/>
    <n v="18641.222160000001"/>
    <n v="20441.990000000002"/>
    <n v="-1800.7678400000004"/>
    <n v="-9.6601382921343834E-2"/>
    <d v="1899-12-30T00:00:00"/>
    <s v="Jan-1900"/>
    <n v="0"/>
    <n v="0"/>
    <n v="0"/>
  </r>
  <r>
    <x v="357"/>
    <d v="2024-08-30T00:00:00"/>
    <x v="10"/>
    <s v="2024-Q3"/>
    <d v="2024-09-05T00:00:00"/>
    <x v="29"/>
    <x v="2"/>
    <x v="7"/>
    <s v="Nagoya"/>
    <s v="Asia &gt; Japan &gt; Nagoya"/>
    <s v="Education"/>
    <x v="1"/>
    <x v="1"/>
    <x v="5"/>
    <x v="3"/>
    <s v="Medium"/>
    <x v="357"/>
    <n v="466.16"/>
    <n v="876.81"/>
    <n v="876.81"/>
    <x v="54"/>
    <s v="OK"/>
    <n v="0.24099999999999999"/>
    <n v="8"/>
    <n v="5323.9903199999999"/>
    <n v="3729.28"/>
    <n v="1594.7103199999997"/>
    <n v="0.29953291124691594"/>
    <d v="1899-12-30T00:00:00"/>
    <s v="Jan-1900"/>
    <n v="0"/>
    <n v="0"/>
    <n v="0"/>
  </r>
  <r>
    <x v="358"/>
    <d v="2023-10-12T00:00:00"/>
    <x v="20"/>
    <s v="2023-Q4"/>
    <d v="2023-10-29T00:00:00"/>
    <x v="23"/>
    <x v="2"/>
    <x v="7"/>
    <s v="Nagoya"/>
    <s v="Asia &gt; Japan &gt; Nagoya"/>
    <s v="Non-Profit"/>
    <x v="4"/>
    <x v="4"/>
    <x v="15"/>
    <x v="4"/>
    <s v="High"/>
    <x v="358"/>
    <n v="1102.19"/>
    <n v="1711.16"/>
    <n v="1711.16"/>
    <x v="113"/>
    <s v="OK"/>
    <n v="0.151"/>
    <n v="10"/>
    <n v="14527.748400000002"/>
    <n v="11021.900000000001"/>
    <n v="3505.8484000000008"/>
    <n v="0.24132083675127525"/>
    <d v="1899-12-30T00:00:00"/>
    <s v="Jan-1900"/>
    <n v="0"/>
    <n v="0"/>
    <n v="0"/>
  </r>
  <r>
    <x v="359"/>
    <d v="2023-04-21T00:00:00"/>
    <x v="19"/>
    <s v="2023-Q2"/>
    <d v="2023-04-26T00:00:00"/>
    <x v="5"/>
    <x v="2"/>
    <x v="7"/>
    <s v="Nagoya"/>
    <s v="Asia &gt; Japan &gt; Nagoya"/>
    <s v="Small Business"/>
    <x v="4"/>
    <x v="4"/>
    <x v="13"/>
    <x v="0"/>
    <s v="Medium"/>
    <x v="359"/>
    <n v="607.04"/>
    <n v="1229.3399999999999"/>
    <n v="1229.3399999999999"/>
    <x v="7"/>
    <s v="OK"/>
    <n v="0.14699999999999999"/>
    <n v="7"/>
    <n v="7340.3891399999993"/>
    <n v="4249.28"/>
    <n v="3091.1091399999996"/>
    <n v="0.42110970972310058"/>
    <d v="1899-12-30T00:00:00"/>
    <s v="Jan-1900"/>
    <n v="0"/>
    <n v="0"/>
    <n v="0"/>
  </r>
  <r>
    <x v="360"/>
    <d v="2023-12-24T00:00:00"/>
    <x v="9"/>
    <s v="2023-Q4"/>
    <d v="2024-01-13T00:00:00"/>
    <x v="8"/>
    <x v="2"/>
    <x v="7"/>
    <s v="Nagoya"/>
    <s v="Asia &gt; Japan &gt; Nagoya"/>
    <s v="Education"/>
    <x v="4"/>
    <x v="4"/>
    <x v="6"/>
    <x v="3"/>
    <s v="Medium"/>
    <x v="360"/>
    <n v="625.37"/>
    <n v="1319.04"/>
    <n v="1319.04"/>
    <x v="76"/>
    <s v="OK"/>
    <n v="7.3999999999999996E-2"/>
    <n v="8"/>
    <n v="9771.4483199999995"/>
    <n v="5002.96"/>
    <n v="4768.4883199999995"/>
    <n v="0.48800220436513547"/>
    <d v="1899-12-30T00:00:00"/>
    <s v="Jan-1900"/>
    <n v="0"/>
    <n v="0"/>
    <n v="0"/>
  </r>
  <r>
    <x v="361"/>
    <d v="2025-06-09T00:00:00"/>
    <x v="31"/>
    <s v="2025-Q2"/>
    <d v="2025-06-24T00:00:00"/>
    <x v="26"/>
    <x v="2"/>
    <x v="7"/>
    <s v="Nagoya"/>
    <s v="Asia &gt; Japan &gt; Nagoya"/>
    <s v="Corporate"/>
    <x v="4"/>
    <x v="4"/>
    <x v="6"/>
    <x v="4"/>
    <s v="Low"/>
    <x v="361"/>
    <n v="400.39"/>
    <n v="712.75"/>
    <n v="712.75"/>
    <x v="72"/>
    <s v="OK"/>
    <n v="0.115"/>
    <n v="19"/>
    <n v="11984.891250000001"/>
    <n v="7607.41"/>
    <n v="4377.4812500000007"/>
    <n v="0.36524997671547504"/>
    <d v="1899-12-30T00:00:00"/>
    <s v="Jan-1900"/>
    <n v="0"/>
    <n v="0"/>
    <n v="0"/>
  </r>
  <r>
    <x v="362"/>
    <d v="2023-07-09T00:00:00"/>
    <x v="14"/>
    <s v="2023-Q3"/>
    <d v="2023-07-19T00:00:00"/>
    <x v="30"/>
    <x v="2"/>
    <x v="7"/>
    <s v="Tokyo"/>
    <s v="Asia &gt; Japan &gt; Tokyo"/>
    <s v="Enterprise"/>
    <x v="3"/>
    <x v="3"/>
    <x v="5"/>
    <x v="0"/>
    <s v="Low"/>
    <x v="362"/>
    <n v="141.26"/>
    <n v="206.88"/>
    <n v="206.88"/>
    <x v="178"/>
    <s v="OK"/>
    <n v="0.107"/>
    <n v="9"/>
    <n v="1662.6945600000001"/>
    <n v="1271.3399999999999"/>
    <n v="391.35456000000022"/>
    <n v="0.23537369365062469"/>
    <d v="1899-12-30T00:00:00"/>
    <s v="Jan-1900"/>
    <n v="0"/>
    <n v="0"/>
    <n v="0"/>
  </r>
  <r>
    <x v="363"/>
    <d v="2025-07-27T00:00:00"/>
    <x v="4"/>
    <s v="2025-Q3"/>
    <d v="2025-08-15T00:00:00"/>
    <x v="1"/>
    <x v="2"/>
    <x v="7"/>
    <s v="Tokyo"/>
    <s v="Asia &gt; Japan &gt; Tokyo"/>
    <s v="Small Business"/>
    <x v="2"/>
    <x v="2"/>
    <x v="2"/>
    <x v="0"/>
    <s v="Low"/>
    <x v="363"/>
    <n v="275.43"/>
    <n v="608.36"/>
    <n v="608.36"/>
    <x v="183"/>
    <s v="OK"/>
    <n v="0.25700000000000001"/>
    <n v="4"/>
    <n v="1808.04592"/>
    <n v="1101.72"/>
    <n v="706.32592"/>
    <n v="0.39065706915231446"/>
    <d v="1899-12-30T00:00:00"/>
    <s v="Jan-1900"/>
    <n v="0"/>
    <n v="0"/>
    <n v="0"/>
  </r>
  <r>
    <x v="364"/>
    <d v="2024-01-02T00:00:00"/>
    <x v="22"/>
    <s v="2024-Q1"/>
    <d v="2024-01-15T00:00:00"/>
    <x v="28"/>
    <x v="2"/>
    <x v="7"/>
    <s v="Nagoya"/>
    <s v="Asia &gt; Japan &gt; Nagoya"/>
    <s v="Small Business"/>
    <x v="2"/>
    <x v="2"/>
    <x v="4"/>
    <x v="6"/>
    <s v="High"/>
    <x v="364"/>
    <n v="1219.06"/>
    <n v="2738.69"/>
    <n v="2738.69"/>
    <x v="151"/>
    <s v="OK"/>
    <n v="7.5999999999999998E-2"/>
    <n v="16"/>
    <n v="40488.792960000006"/>
    <n v="19504.96"/>
    <n v="20983.832960000007"/>
    <n v="0.51826274447673737"/>
    <d v="1899-12-30T00:00:00"/>
    <s v="Jan-1900"/>
    <n v="0"/>
    <n v="0"/>
    <n v="0"/>
  </r>
  <r>
    <x v="365"/>
    <d v="2024-09-03T00:00:00"/>
    <x v="17"/>
    <s v="2024-Q3"/>
    <d v="2024-09-07T00:00:00"/>
    <x v="14"/>
    <x v="2"/>
    <x v="7"/>
    <s v="Tokyo"/>
    <s v="Asia &gt; Japan &gt; Tokyo"/>
    <s v="Small Business"/>
    <x v="3"/>
    <x v="3"/>
    <x v="5"/>
    <x v="5"/>
    <s v="Low"/>
    <x v="365"/>
    <n v="43.23"/>
    <n v="94.78"/>
    <n v="94.78"/>
    <x v="184"/>
    <s v="OK"/>
    <n v="9.0999999999999998E-2"/>
    <n v="55"/>
    <n v="4738.5261"/>
    <n v="2377.6499999999996"/>
    <n v="2360.8761000000004"/>
    <n v="0.49823005090127082"/>
    <d v="1899-12-30T00:00:00"/>
    <s v="Jan-1900"/>
    <n v="0"/>
    <n v="0"/>
    <n v="0"/>
  </r>
  <r>
    <x v="366"/>
    <d v="2025-05-15T00:00:00"/>
    <x v="1"/>
    <s v="2025-Q2"/>
    <d v="2025-06-05T00:00:00"/>
    <x v="24"/>
    <x v="2"/>
    <x v="7"/>
    <s v="Osaka"/>
    <s v="Asia &gt; Japan &gt; Osaka"/>
    <s v="Enterprise"/>
    <x v="4"/>
    <x v="4"/>
    <x v="15"/>
    <x v="4"/>
    <s v="High"/>
    <x v="366"/>
    <n v="1466.5"/>
    <n v="2778.74"/>
    <n v="2778.74"/>
    <x v="28"/>
    <s v="OK"/>
    <n v="0.13500000000000001"/>
    <n v="4"/>
    <n v="9614.4403999999995"/>
    <n v="5866"/>
    <n v="3748.4403999999995"/>
    <n v="0.38987608680792279"/>
    <d v="1899-12-30T00:00:00"/>
    <s v="Jan-1900"/>
    <n v="0"/>
    <n v="0"/>
    <n v="0"/>
  </r>
  <r>
    <x v="367"/>
    <d v="2025-07-23T00:00:00"/>
    <x v="4"/>
    <s v="2025-Q3"/>
    <d v="2025-08-19T00:00:00"/>
    <x v="10"/>
    <x v="2"/>
    <x v="7"/>
    <s v="Nagoya"/>
    <s v="Asia &gt; Japan &gt; Nagoya"/>
    <s v="Consumer"/>
    <x v="2"/>
    <x v="2"/>
    <x v="6"/>
    <x v="1"/>
    <s v="Low"/>
    <x v="367"/>
    <n v="896.09"/>
    <n v="744.27"/>
    <n v="744.27"/>
    <x v="185"/>
    <s v="OK"/>
    <n v="8.3000000000000004E-2"/>
    <n v="11"/>
    <n v="7507.4514899999995"/>
    <n v="9856.99"/>
    <n v="-2349.5385100000003"/>
    <n v="-0.31296086469950679"/>
    <d v="1899-12-30T00:00:00"/>
    <s v="Jan-1900"/>
    <n v="0"/>
    <n v="0"/>
    <n v="0"/>
  </r>
  <r>
    <x v="368"/>
    <d v="2023-09-30T00:00:00"/>
    <x v="29"/>
    <s v="2023-Q3"/>
    <d v="2023-10-30T00:00:00"/>
    <x v="27"/>
    <x v="2"/>
    <x v="7"/>
    <s v="Tokyo"/>
    <s v="Asia &gt; Japan &gt; Tokyo"/>
    <s v="Enterprise"/>
    <x v="1"/>
    <x v="1"/>
    <x v="14"/>
    <x v="5"/>
    <s v="Medium"/>
    <x v="368"/>
    <n v="649.13"/>
    <n v="975.43"/>
    <n v="975.43"/>
    <x v="23"/>
    <s v="OK"/>
    <n v="0.157"/>
    <n v="27"/>
    <n v="22201.762229999997"/>
    <n v="17526.509999999998"/>
    <n v="4675.2522299999982"/>
    <n v="0.21058023149543473"/>
    <d v="1899-12-30T00:00:00"/>
    <s v="Jan-1900"/>
    <n v="0"/>
    <n v="0"/>
    <n v="0"/>
  </r>
  <r>
    <x v="369"/>
    <d v="2024-01-25T00:00:00"/>
    <x v="22"/>
    <s v="2024-Q1"/>
    <d v="2024-02-08T00:00:00"/>
    <x v="6"/>
    <x v="2"/>
    <x v="7"/>
    <s v="Osaka"/>
    <s v="Asia &gt; Japan &gt; Osaka"/>
    <s v="Consumer"/>
    <x v="2"/>
    <x v="2"/>
    <x v="12"/>
    <x v="6"/>
    <s v="Medium"/>
    <x v="369"/>
    <n v="937.16"/>
    <n v="1069.77"/>
    <n v="1069.77"/>
    <x v="122"/>
    <s v="OK"/>
    <n v="3.7999999999999999E-2"/>
    <n v="9"/>
    <n v="9262.0686600000008"/>
    <n v="8434.44"/>
    <n v="827.62866000000031"/>
    <n v="8.9356783066645962E-2"/>
    <d v="1899-12-30T00:00:00"/>
    <s v="Jan-1900"/>
    <n v="0"/>
    <n v="0"/>
    <n v="0"/>
  </r>
  <r>
    <x v="370"/>
    <d v="2023-03-03T00:00:00"/>
    <x v="12"/>
    <s v="2023-Q1"/>
    <d v="2023-03-20T00:00:00"/>
    <x v="23"/>
    <x v="2"/>
    <x v="7"/>
    <s v="Nagoya"/>
    <s v="Asia &gt; Japan &gt; Nagoya"/>
    <s v="Small Business"/>
    <x v="1"/>
    <x v="1"/>
    <x v="14"/>
    <x v="6"/>
    <s v="High"/>
    <x v="370"/>
    <n v="1171.17"/>
    <n v="2030.64"/>
    <n v="2030.64"/>
    <x v="23"/>
    <s v="OK"/>
    <n v="0.157"/>
    <n v="11"/>
    <n v="18830.12472"/>
    <n v="12882.87"/>
    <n v="5947.254719999999"/>
    <n v="0.31583724528830415"/>
    <d v="1899-12-30T00:00:00"/>
    <s v="Jan-1900"/>
    <n v="0"/>
    <n v="0"/>
    <n v="0"/>
  </r>
  <r>
    <x v="371"/>
    <d v="2024-08-31T00:00:00"/>
    <x v="10"/>
    <s v="2024-Q3"/>
    <d v="2024-09-26T00:00:00"/>
    <x v="0"/>
    <x v="2"/>
    <x v="7"/>
    <s v="Tokyo"/>
    <s v="Asia &gt; Japan &gt; Tokyo"/>
    <s v="Education"/>
    <x v="1"/>
    <x v="1"/>
    <x v="12"/>
    <x v="4"/>
    <s v="High"/>
    <x v="371"/>
    <n v="1189.03"/>
    <n v="2949.62"/>
    <n v="2949.62"/>
    <x v="152"/>
    <s v="OK"/>
    <n v="0.125"/>
    <n v="13"/>
    <n v="33551.927499999998"/>
    <n v="15457.39"/>
    <n v="18094.537499999999"/>
    <n v="0.53929949330034765"/>
    <d v="1899-12-30T00:00:00"/>
    <s v="Jan-1900"/>
    <n v="0"/>
    <n v="0"/>
    <n v="0"/>
  </r>
  <r>
    <x v="372"/>
    <d v="2025-04-13T00:00:00"/>
    <x v="7"/>
    <s v="2025-Q2"/>
    <d v="2025-04-14T00:00:00"/>
    <x v="17"/>
    <x v="2"/>
    <x v="7"/>
    <s v="Osaka"/>
    <s v="Asia &gt; Japan &gt; Osaka"/>
    <s v="Enterprise"/>
    <x v="1"/>
    <x v="1"/>
    <x v="4"/>
    <x v="0"/>
    <s v="Low"/>
    <x v="372"/>
    <n v="138.9"/>
    <n v="289.92"/>
    <n v="289.92"/>
    <x v="147"/>
    <s v="OK"/>
    <n v="2.9000000000000001E-2"/>
    <n v="12"/>
    <n v="3378.1478400000001"/>
    <n v="1666.8000000000002"/>
    <n v="1711.3478399999999"/>
    <n v="0.50659353025828491"/>
    <d v="1899-12-30T00:00:00"/>
    <s v="Jan-1900"/>
    <n v="0"/>
    <n v="0"/>
    <n v="0"/>
  </r>
  <r>
    <x v="373"/>
    <d v="2024-09-06T00:00:00"/>
    <x v="17"/>
    <s v="2024-Q3"/>
    <d v="2024-09-11T00:00:00"/>
    <x v="5"/>
    <x v="2"/>
    <x v="7"/>
    <s v="Osaka"/>
    <s v="Asia &gt; Japan &gt; Osaka"/>
    <s v="Corporate"/>
    <x v="4"/>
    <x v="4"/>
    <x v="1"/>
    <x v="3"/>
    <s v="High"/>
    <x v="373"/>
    <n v="1368.17"/>
    <n v="2307.75"/>
    <n v="2307.75"/>
    <x v="186"/>
    <s v="OK"/>
    <n v="0.16300000000000001"/>
    <n v="21"/>
    <n v="40563.321749999996"/>
    <n v="28731.57"/>
    <n v="11831.751749999996"/>
    <n v="0.29168596750831921"/>
    <d v="1899-12-30T00:00:00"/>
    <s v="Jan-1900"/>
    <n v="0"/>
    <n v="0"/>
    <n v="0"/>
  </r>
  <r>
    <x v="374"/>
    <d v="2024-06-16T00:00:00"/>
    <x v="6"/>
    <s v="2024-Q2"/>
    <d v="2024-06-21T00:00:00"/>
    <x v="5"/>
    <x v="2"/>
    <x v="7"/>
    <s v="Tokyo"/>
    <s v="Asia &gt; Japan &gt; Tokyo"/>
    <s v="Small Business"/>
    <x v="3"/>
    <x v="3"/>
    <x v="8"/>
    <x v="4"/>
    <s v="High"/>
    <x v="374"/>
    <n v="1367.13"/>
    <n v="3062.01"/>
    <n v="3062.01"/>
    <x v="71"/>
    <s v="OK"/>
    <n v="0.10299999999999999"/>
    <n v="25"/>
    <n v="68665.574250000005"/>
    <n v="34178.25"/>
    <n v="34487.324250000005"/>
    <n v="0.50225057645971705"/>
    <d v="1899-12-30T00:00:00"/>
    <s v="Jan-1900"/>
    <n v="0"/>
    <n v="0"/>
    <n v="0"/>
  </r>
  <r>
    <x v="375"/>
    <d v="2024-07-31T00:00:00"/>
    <x v="27"/>
    <s v="2024-Q3"/>
    <d v="2024-08-15T00:00:00"/>
    <x v="26"/>
    <x v="2"/>
    <x v="7"/>
    <s v="Tokyo"/>
    <s v="Asia &gt; Japan &gt; Tokyo"/>
    <s v="Corporate"/>
    <x v="2"/>
    <x v="2"/>
    <x v="8"/>
    <x v="2"/>
    <s v="Medium"/>
    <x v="375"/>
    <n v="1252.52"/>
    <n v="1417.24"/>
    <n v="1417.24"/>
    <x v="173"/>
    <s v="OK"/>
    <n v="0.192"/>
    <n v="5"/>
    <n v="5725.6496000000006"/>
    <n v="6262.6"/>
    <n v="-536.95039999999972"/>
    <n v="-9.3779821943696953E-2"/>
    <d v="1899-12-30T00:00:00"/>
    <s v="Jan-1900"/>
    <n v="0"/>
    <n v="0"/>
    <n v="0"/>
  </r>
  <r>
    <x v="376"/>
    <d v="2025-03-10T00:00:00"/>
    <x v="2"/>
    <s v="2025-Q1"/>
    <d v="2025-04-04T00:00:00"/>
    <x v="2"/>
    <x v="2"/>
    <x v="7"/>
    <s v="Osaka"/>
    <s v="Asia &gt; Japan &gt; Osaka"/>
    <s v="Corporate"/>
    <x v="4"/>
    <x v="4"/>
    <x v="15"/>
    <x v="5"/>
    <s v="Medium"/>
    <x v="376"/>
    <n v="783.72"/>
    <n v="1355.94"/>
    <n v="1355.94"/>
    <x v="90"/>
    <s v="OK"/>
    <n v="0.187"/>
    <n v="4"/>
    <n v="4409.5168800000001"/>
    <n v="3134.88"/>
    <n v="1274.63688"/>
    <n v="0.28906497348525856"/>
    <d v="1899-12-30T00:00:00"/>
    <s v="Jan-1900"/>
    <n v="0"/>
    <n v="0"/>
    <n v="0"/>
  </r>
  <r>
    <x v="377"/>
    <d v="2025-05-16T00:00:00"/>
    <x v="1"/>
    <s v="2025-Q2"/>
    <d v="2025-05-18T00:00:00"/>
    <x v="18"/>
    <x v="2"/>
    <x v="7"/>
    <s v="Tokyo"/>
    <s v="Asia &gt; Japan &gt; Tokyo"/>
    <s v="Enterprise"/>
    <x v="0"/>
    <x v="0"/>
    <x v="2"/>
    <x v="5"/>
    <s v="High"/>
    <x v="377"/>
    <n v="1144.3800000000001"/>
    <n v="2755.04"/>
    <n v="2755.04"/>
    <x v="109"/>
    <s v="OK"/>
    <n v="0.15"/>
    <n v="17"/>
    <n v="39810.328000000001"/>
    <n v="19454.460000000003"/>
    <n v="20355.867999999999"/>
    <n v="0.51132128326096682"/>
    <d v="1899-12-30T00:00:00"/>
    <s v="Jan-1900"/>
    <n v="0"/>
    <n v="0"/>
    <n v="0"/>
  </r>
  <r>
    <x v="378"/>
    <d v="2023-04-22T00:00:00"/>
    <x v="19"/>
    <s v="2023-Q2"/>
    <d v="2023-05-14T00:00:00"/>
    <x v="21"/>
    <x v="2"/>
    <x v="7"/>
    <s v="Nagoya"/>
    <s v="Asia &gt; Japan &gt; Nagoya"/>
    <s v="Enterprise"/>
    <x v="0"/>
    <x v="0"/>
    <x v="1"/>
    <x v="1"/>
    <s v="Medium"/>
    <x v="378"/>
    <n v="1209.22"/>
    <n v="1404.33"/>
    <n v="1404.33"/>
    <x v="71"/>
    <s v="OK"/>
    <n v="0.10299999999999999"/>
    <n v="11"/>
    <n v="13856.52411"/>
    <n v="13301.42"/>
    <n v="555.10411000000022"/>
    <n v="4.0060848275751328E-2"/>
    <d v="1899-12-30T00:00:00"/>
    <s v="Jan-1900"/>
    <n v="0"/>
    <n v="0"/>
    <n v="0"/>
  </r>
  <r>
    <x v="379"/>
    <d v="2025-03-11T00:00:00"/>
    <x v="2"/>
    <s v="2025-Q1"/>
    <d v="2025-03-27T00:00:00"/>
    <x v="4"/>
    <x v="2"/>
    <x v="7"/>
    <s v="Tokyo"/>
    <s v="Asia &gt; Japan &gt; Tokyo"/>
    <s v="Enterprise"/>
    <x v="3"/>
    <x v="3"/>
    <x v="6"/>
    <x v="5"/>
    <s v="High"/>
    <x v="379"/>
    <n v="1317.58"/>
    <n v="1897.74"/>
    <n v="1897.74"/>
    <x v="187"/>
    <s v="OK"/>
    <n v="8.1000000000000003E-2"/>
    <n v="6"/>
    <n v="10464.138360000001"/>
    <n v="7905.48"/>
    <n v="2558.6583600000013"/>
    <n v="0.24451687009230266"/>
    <d v="1899-12-30T00:00:00"/>
    <s v="Jan-1900"/>
    <n v="0"/>
    <n v="0"/>
    <n v="0"/>
  </r>
  <r>
    <x v="380"/>
    <d v="2023-11-19T00:00:00"/>
    <x v="18"/>
    <s v="2023-Q4"/>
    <d v="2023-12-19T00:00:00"/>
    <x v="27"/>
    <x v="2"/>
    <x v="7"/>
    <s v="Nagoya"/>
    <s v="Asia &gt; Japan &gt; Nagoya"/>
    <s v="Consumer"/>
    <x v="0"/>
    <x v="0"/>
    <x v="9"/>
    <x v="4"/>
    <s v="High"/>
    <x v="380"/>
    <n v="807.11"/>
    <n v="1853.86"/>
    <n v="1853.86"/>
    <x v="114"/>
    <s v="OK"/>
    <n v="0.13900000000000001"/>
    <n v="8"/>
    <n v="12769.38768"/>
    <n v="6456.88"/>
    <n v="6312.5076799999997"/>
    <n v="0.49434693645388639"/>
    <d v="1899-12-30T00:00:00"/>
    <s v="Jan-1900"/>
    <n v="0"/>
    <n v="0"/>
    <n v="0"/>
  </r>
  <r>
    <x v="381"/>
    <d v="2025-02-28T00:00:00"/>
    <x v="8"/>
    <s v="2025-Q1"/>
    <d v="2025-03-10T00:00:00"/>
    <x v="30"/>
    <x v="2"/>
    <x v="7"/>
    <s v="Osaka"/>
    <s v="Asia &gt; Japan &gt; Osaka"/>
    <s v="Education"/>
    <x v="3"/>
    <x v="3"/>
    <x v="5"/>
    <x v="3"/>
    <s v="Low"/>
    <x v="381"/>
    <n v="51.86"/>
    <n v="45.98"/>
    <n v="45.98"/>
    <x v="96"/>
    <s v="OK"/>
    <n v="0.17299999999999999"/>
    <n v="7"/>
    <n v="266.17821999999995"/>
    <n v="363.02"/>
    <n v="-96.841780000000028"/>
    <n v="-0.3638230806412337"/>
    <d v="1899-12-30T00:00:00"/>
    <s v="Jan-1900"/>
    <n v="0"/>
    <n v="0"/>
    <n v="0"/>
  </r>
  <r>
    <x v="382"/>
    <d v="2023-02-28T00:00:00"/>
    <x v="5"/>
    <s v="2023-Q1"/>
    <d v="2023-03-25T00:00:00"/>
    <x v="2"/>
    <x v="0"/>
    <x v="0"/>
    <s v="Nairobi"/>
    <s v="Africa &gt; Kenya &gt; Nairobi"/>
    <s v="Corporate"/>
    <x v="0"/>
    <x v="0"/>
    <x v="12"/>
    <x v="6"/>
    <s v="Low"/>
    <x v="382"/>
    <n v="1460.76"/>
    <n v="0"/>
    <n v="0"/>
    <x v="59"/>
    <s v="OK"/>
    <n v="0.13100000000000001"/>
    <n v="12"/>
    <n v="0"/>
    <n v="17529.12"/>
    <n v="-17529.12"/>
    <n v="0"/>
    <d v="1899-12-30T00:00:00"/>
    <s v="Jan-1900"/>
    <n v="0"/>
    <n v="0"/>
    <n v="0"/>
  </r>
  <r>
    <x v="383"/>
    <d v="2023-04-23T00:00:00"/>
    <x v="19"/>
    <s v="2023-Q2"/>
    <d v="2023-04-28T00:00:00"/>
    <x v="5"/>
    <x v="0"/>
    <x v="0"/>
    <s v="Nairobi"/>
    <s v="Africa &gt; Kenya &gt; Nairobi"/>
    <s v="Small Business"/>
    <x v="4"/>
    <x v="4"/>
    <x v="11"/>
    <x v="3"/>
    <s v="Medium"/>
    <x v="383"/>
    <n v="756.51"/>
    <n v="850.8"/>
    <n v="850.8"/>
    <x v="76"/>
    <s v="OK"/>
    <n v="7.3999999999999996E-2"/>
    <n v="9"/>
    <n v="7090.5672000000004"/>
    <n v="6808.59"/>
    <n v="281.97720000000027"/>
    <n v="3.9767932810791252E-2"/>
    <d v="1899-12-30T00:00:00"/>
    <s v="Jan-1900"/>
    <n v="0"/>
    <n v="0"/>
    <n v="0"/>
  </r>
  <r>
    <x v="384"/>
    <d v="2024-07-25T00:00:00"/>
    <x v="27"/>
    <s v="2024-Q3"/>
    <d v="2024-07-30T00:00:00"/>
    <x v="5"/>
    <x v="0"/>
    <x v="0"/>
    <s v="Mombasa"/>
    <s v="Africa &gt; Kenya &gt; Mombasa"/>
    <s v="Non-Profit"/>
    <x v="4"/>
    <x v="4"/>
    <x v="2"/>
    <x v="3"/>
    <s v="High"/>
    <x v="384"/>
    <n v="1494.4"/>
    <n v="3661.07"/>
    <n v="3661.07"/>
    <x v="12"/>
    <s v="OK"/>
    <n v="7.1999999999999995E-2"/>
    <n v="7"/>
    <n v="23782.310720000001"/>
    <n v="10460.800000000001"/>
    <n v="13321.51072"/>
    <n v="0.56014366630897339"/>
    <d v="1899-12-30T00:00:00"/>
    <s v="Jan-1900"/>
    <n v="0"/>
    <n v="0"/>
    <n v="0"/>
  </r>
  <r>
    <x v="385"/>
    <d v="2024-07-19T00:00:00"/>
    <x v="27"/>
    <s v="2024-Q3"/>
    <d v="2024-07-19T00:00:00"/>
    <x v="25"/>
    <x v="0"/>
    <x v="0"/>
    <s v="Kisumu"/>
    <s v="Africa &gt; Kenya &gt; Kisumu"/>
    <s v="Small Business"/>
    <x v="0"/>
    <x v="0"/>
    <x v="1"/>
    <x v="4"/>
    <s v="Low"/>
    <x v="385"/>
    <n v="857.24"/>
    <n v="758.23"/>
    <n v="758.23"/>
    <x v="152"/>
    <s v="OK"/>
    <n v="0.125"/>
    <n v="6"/>
    <n v="3980.7075"/>
    <n v="5143.4400000000005"/>
    <n v="-1162.7325000000005"/>
    <n v="-0.29209192084572921"/>
    <d v="1899-12-30T00:00:00"/>
    <s v="Jan-1900"/>
    <n v="0"/>
    <n v="0"/>
    <n v="0"/>
  </r>
  <r>
    <x v="386"/>
    <d v="2023-04-14T00:00:00"/>
    <x v="19"/>
    <s v="2023-Q2"/>
    <d v="2023-05-14T00:00:00"/>
    <x v="27"/>
    <x v="0"/>
    <x v="0"/>
    <s v="Nakuru"/>
    <s v="Africa &gt; Kenya &gt; Nakuru"/>
    <s v="Consumer"/>
    <x v="2"/>
    <x v="2"/>
    <x v="13"/>
    <x v="4"/>
    <s v="Low"/>
    <x v="386"/>
    <n v="209.25"/>
    <n v="434.8"/>
    <n v="434.8"/>
    <x v="3"/>
    <s v="OK"/>
    <n v="0"/>
    <n v="9"/>
    <n v="3913.2000000000003"/>
    <n v="1883.25"/>
    <n v="2029.9500000000003"/>
    <n v="0.51874425022999082"/>
    <d v="1899-12-30T00:00:00"/>
    <s v="Jan-1900"/>
    <n v="0"/>
    <n v="0"/>
    <n v="0"/>
  </r>
  <r>
    <x v="387"/>
    <d v="2024-10-25T00:00:00"/>
    <x v="32"/>
    <s v="2024-Q4"/>
    <d v="2024-11-14T00:00:00"/>
    <x v="8"/>
    <x v="0"/>
    <x v="0"/>
    <s v="Mombasa"/>
    <s v="Africa &gt; Kenya &gt; Mombasa"/>
    <s v="Corporate"/>
    <x v="4"/>
    <x v="4"/>
    <x v="15"/>
    <x v="5"/>
    <s v="High"/>
    <x v="387"/>
    <n v="1396.48"/>
    <n v="3204.5"/>
    <n v="3204.5"/>
    <x v="35"/>
    <s v="OK"/>
    <n v="0.3"/>
    <n v="14"/>
    <n v="31404.1"/>
    <n v="19550.72"/>
    <n v="11853.379999999997"/>
    <n v="0.3774468938769141"/>
    <d v="1899-12-30T00:00:00"/>
    <s v="Jan-1900"/>
    <n v="0"/>
    <n v="0"/>
    <n v="0"/>
  </r>
  <r>
    <x v="388"/>
    <d v="2023-03-31T00:00:00"/>
    <x v="12"/>
    <s v="2023-Q1"/>
    <d v="2023-04-05T00:00:00"/>
    <x v="5"/>
    <x v="0"/>
    <x v="0"/>
    <s v="Nakuru"/>
    <s v="Africa &gt; Kenya &gt; Nakuru"/>
    <s v="Education"/>
    <x v="2"/>
    <x v="2"/>
    <x v="6"/>
    <x v="3"/>
    <s v="Low"/>
    <x v="388"/>
    <n v="533.26"/>
    <n v="385.72"/>
    <n v="385.72"/>
    <x v="3"/>
    <s v="OK"/>
    <n v="0"/>
    <n v="15"/>
    <n v="5785.8"/>
    <n v="7998.9"/>
    <n v="-2213.0999999999995"/>
    <n v="-0.38250544436378708"/>
    <d v="1899-12-30T00:00:00"/>
    <s v="Jan-1900"/>
    <n v="0"/>
    <n v="0"/>
    <n v="0"/>
  </r>
  <r>
    <x v="389"/>
    <d v="2025-05-02T00:00:00"/>
    <x v="1"/>
    <s v="2025-Q2"/>
    <d v="2025-05-13T00:00:00"/>
    <x v="20"/>
    <x v="0"/>
    <x v="0"/>
    <s v="Nakuru"/>
    <s v="Africa &gt; Kenya &gt; Nakuru"/>
    <s v="Small Business"/>
    <x v="1"/>
    <x v="1"/>
    <x v="1"/>
    <x v="1"/>
    <s v="Medium"/>
    <x v="389"/>
    <n v="1057.5999999999999"/>
    <n v="1437.06"/>
    <n v="1437.06"/>
    <x v="130"/>
    <s v="OK"/>
    <n v="0.20499999999999999"/>
    <n v="4"/>
    <n v="4569.8508000000002"/>
    <n v="4230.3999999999996"/>
    <n v="339.45080000000053"/>
    <n v="7.4280499485891424E-2"/>
    <d v="1899-12-30T00:00:00"/>
    <s v="Jan-1900"/>
    <n v="0"/>
    <n v="0"/>
    <n v="0"/>
  </r>
  <r>
    <x v="390"/>
    <d v="2025-08-07T00:00:00"/>
    <x v="24"/>
    <s v="2025-Q3"/>
    <d v="2025-08-19T00:00:00"/>
    <x v="15"/>
    <x v="0"/>
    <x v="0"/>
    <s v="Nakuru"/>
    <s v="Africa &gt; Kenya &gt; Nakuru"/>
    <s v="Corporate"/>
    <x v="5"/>
    <x v="5"/>
    <x v="13"/>
    <x v="0"/>
    <s v="Low"/>
    <x v="390"/>
    <n v="601.51"/>
    <n v="679.35"/>
    <n v="679.35"/>
    <x v="117"/>
    <s v="OK"/>
    <n v="0.188"/>
    <n v="3"/>
    <n v="1654.8966000000003"/>
    <n v="1804.53"/>
    <n v="-149.63339999999971"/>
    <n v="-9.0418579626062243E-2"/>
    <d v="1899-12-30T00:00:00"/>
    <s v="Jan-1900"/>
    <n v="0"/>
    <n v="0"/>
    <n v="0"/>
  </r>
  <r>
    <x v="391"/>
    <d v="2025-09-10T00:00:00"/>
    <x v="3"/>
    <s v="2025-Q3"/>
    <d v="2025-09-30T00:00:00"/>
    <x v="8"/>
    <x v="0"/>
    <x v="0"/>
    <s v="Mombasa"/>
    <s v="Africa &gt; Kenya &gt; Mombasa"/>
    <s v="Corporate"/>
    <x v="4"/>
    <x v="4"/>
    <x v="10"/>
    <x v="4"/>
    <s v="Medium"/>
    <x v="391"/>
    <n v="1009.48"/>
    <n v="1088.81"/>
    <n v="1088.81"/>
    <x v="81"/>
    <s v="OK"/>
    <n v="0.16"/>
    <n v="6"/>
    <n v="5487.6023999999998"/>
    <n v="6056.88"/>
    <n v="-569.27760000000035"/>
    <n v="-0.10373885688219693"/>
    <d v="1899-12-30T00:00:00"/>
    <s v="Jan-1900"/>
    <n v="0"/>
    <n v="0"/>
    <n v="0"/>
  </r>
  <r>
    <x v="392"/>
    <d v="2025-03-31T00:00:00"/>
    <x v="2"/>
    <s v="2025-Q1"/>
    <d v="2025-04-04T00:00:00"/>
    <x v="14"/>
    <x v="0"/>
    <x v="0"/>
    <s v="Nakuru"/>
    <s v="Africa &gt; Kenya &gt; Nakuru"/>
    <s v="Corporate"/>
    <x v="4"/>
    <x v="4"/>
    <x v="0"/>
    <x v="3"/>
    <s v="High"/>
    <x v="392"/>
    <n v="862.08"/>
    <n v="1952.83"/>
    <n v="1952.83"/>
    <x v="3"/>
    <s v="OK"/>
    <n v="0"/>
    <n v="7"/>
    <n v="13669.81"/>
    <n v="6034.56"/>
    <n v="7635.2499999999991"/>
    <n v="0.5585483631447693"/>
    <d v="1899-12-30T00:00:00"/>
    <s v="Jan-1900"/>
    <n v="0"/>
    <n v="0"/>
    <n v="0"/>
  </r>
  <r>
    <x v="393"/>
    <d v="2023-05-11T00:00:00"/>
    <x v="26"/>
    <s v="2023-Q2"/>
    <d v="2023-06-07T00:00:00"/>
    <x v="10"/>
    <x v="0"/>
    <x v="0"/>
    <s v="Mombasa"/>
    <s v="Africa &gt; Kenya &gt; Mombasa"/>
    <s v="Corporate"/>
    <x v="1"/>
    <x v="1"/>
    <x v="2"/>
    <x v="4"/>
    <s v="Low"/>
    <x v="393"/>
    <n v="12.85"/>
    <n v="15.41"/>
    <n v="15.41"/>
    <x v="79"/>
    <s v="OK"/>
    <n v="0.13700000000000001"/>
    <n v="39"/>
    <n v="518.65436999999997"/>
    <n v="501.15"/>
    <n v="17.504369999999994"/>
    <n v="3.3749585489851353E-2"/>
    <d v="1899-12-30T00:00:00"/>
    <s v="Jan-1900"/>
    <n v="0"/>
    <n v="0"/>
    <n v="0"/>
  </r>
  <r>
    <x v="394"/>
    <d v="2024-06-02T00:00:00"/>
    <x v="6"/>
    <s v="2024-Q2"/>
    <d v="2024-06-08T00:00:00"/>
    <x v="29"/>
    <x v="0"/>
    <x v="0"/>
    <s v="Kisumu"/>
    <s v="Africa &gt; Kenya &gt; Kisumu"/>
    <s v="Consumer"/>
    <x v="2"/>
    <x v="2"/>
    <x v="1"/>
    <x v="1"/>
    <s v="Low"/>
    <x v="394"/>
    <n v="292.94"/>
    <n v="356.55"/>
    <n v="356.55"/>
    <x v="188"/>
    <s v="OK"/>
    <n v="0.22900000000000001"/>
    <n v="2"/>
    <n v="549.80010000000004"/>
    <n v="585.88"/>
    <n v="-36.079899999999952"/>
    <n v="-6.5623669402751925E-2"/>
    <d v="1899-12-30T00:00:00"/>
    <s v="Jan-1900"/>
    <n v="0"/>
    <n v="0"/>
    <n v="0"/>
  </r>
  <r>
    <x v="395"/>
    <d v="2023-12-29T00:00:00"/>
    <x v="9"/>
    <s v="2023-Q4"/>
    <d v="2024-01-20T00:00:00"/>
    <x v="21"/>
    <x v="0"/>
    <x v="0"/>
    <s v="Kisumu"/>
    <s v="Africa &gt; Kenya &gt; Kisumu"/>
    <s v="Corporate"/>
    <x v="4"/>
    <x v="4"/>
    <x v="10"/>
    <x v="4"/>
    <s v="High"/>
    <x v="395"/>
    <n v="1395.49"/>
    <n v="1679.42"/>
    <n v="1679.42"/>
    <x v="64"/>
    <s v="OK"/>
    <n v="0.20300000000000001"/>
    <n v="12"/>
    <n v="16061.972879999999"/>
    <n v="16745.88"/>
    <n v="-683.90712000000167"/>
    <n v="-4.2579272490964493E-2"/>
    <d v="1899-12-30T00:00:00"/>
    <s v="Jan-1900"/>
    <n v="0"/>
    <n v="0"/>
    <n v="0"/>
  </r>
  <r>
    <x v="396"/>
    <d v="2023-03-31T00:00:00"/>
    <x v="12"/>
    <s v="2023-Q1"/>
    <d v="2023-04-12T00:00:00"/>
    <x v="15"/>
    <x v="0"/>
    <x v="0"/>
    <s v="Mombasa"/>
    <s v="Africa &gt; Kenya &gt; Mombasa"/>
    <s v="Small Business"/>
    <x v="1"/>
    <x v="1"/>
    <x v="0"/>
    <x v="4"/>
    <s v="Low"/>
    <x v="396"/>
    <n v="304.22000000000003"/>
    <n v="393.31"/>
    <n v="393.31"/>
    <x v="189"/>
    <s v="OK"/>
    <n v="0.26500000000000001"/>
    <n v="15"/>
    <n v="4336.2427499999994"/>
    <n v="4563.3"/>
    <n v="-227.05725000000075"/>
    <n v="-5.2362670424759034E-2"/>
    <d v="1899-12-30T00:00:00"/>
    <s v="Jan-1900"/>
    <n v="0"/>
    <n v="0"/>
    <n v="0"/>
  </r>
  <r>
    <x v="397"/>
    <d v="2025-09-11T00:00:00"/>
    <x v="3"/>
    <s v="2025-Q3"/>
    <d v="2025-09-28T00:00:00"/>
    <x v="23"/>
    <x v="0"/>
    <x v="0"/>
    <s v="Nairobi"/>
    <s v="Africa &gt; Kenya &gt; Nairobi"/>
    <s v="Non-Profit"/>
    <x v="3"/>
    <x v="3"/>
    <x v="2"/>
    <x v="3"/>
    <s v="Low"/>
    <x v="397"/>
    <n v="891.46"/>
    <n v="728.61"/>
    <n v="728.61"/>
    <x v="163"/>
    <s v="OK"/>
    <n v="0.185"/>
    <n v="6"/>
    <n v="3562.9028999999996"/>
    <n v="5348.76"/>
    <n v="-1785.8571000000006"/>
    <n v="-0.50123653383874167"/>
    <d v="1899-12-30T00:00:00"/>
    <s v="Jan-1900"/>
    <n v="0"/>
    <n v="0"/>
    <n v="0"/>
  </r>
  <r>
    <x v="398"/>
    <d v="2024-02-18T00:00:00"/>
    <x v="23"/>
    <s v="2024-Q1"/>
    <d v="2024-03-04T00:00:00"/>
    <x v="26"/>
    <x v="0"/>
    <x v="0"/>
    <s v="Kisumu"/>
    <s v="Africa &gt; Kenya &gt; Kisumu"/>
    <s v="Education"/>
    <x v="4"/>
    <x v="4"/>
    <x v="3"/>
    <x v="5"/>
    <s v="High"/>
    <x v="398"/>
    <n v="928.68"/>
    <n v="2145.17"/>
    <n v="2145.17"/>
    <x v="83"/>
    <s v="OK"/>
    <n v="0.13600000000000001"/>
    <n v="16"/>
    <n v="29654.83008"/>
    <n v="14858.88"/>
    <n v="14795.950080000001"/>
    <n v="0.49893896003062177"/>
    <d v="1899-12-30T00:00:00"/>
    <s v="Jan-1900"/>
    <n v="0"/>
    <n v="0"/>
    <n v="0"/>
  </r>
  <r>
    <x v="399"/>
    <d v="2023-10-31T00:00:00"/>
    <x v="20"/>
    <s v="2023-Q4"/>
    <d v="2023-11-02T00:00:00"/>
    <x v="18"/>
    <x v="0"/>
    <x v="0"/>
    <s v="Kisumu"/>
    <s v="Africa &gt; Kenya &gt; Kisumu"/>
    <s v="Education"/>
    <x v="0"/>
    <x v="0"/>
    <x v="7"/>
    <x v="1"/>
    <s v="Medium"/>
    <x v="399"/>
    <n v="867.89"/>
    <n v="1349.94"/>
    <n v="1349.94"/>
    <x v="9"/>
    <s v="OK"/>
    <n v="0.184"/>
    <n v="10"/>
    <n v="11015.510400000003"/>
    <n v="8678.9"/>
    <n v="2336.6104000000032"/>
    <n v="0.21212003031652557"/>
    <d v="1899-12-30T00:00:00"/>
    <s v="Jan-1900"/>
    <n v="0"/>
    <n v="0"/>
    <n v="0"/>
  </r>
  <r>
    <x v="400"/>
    <d v="2024-02-11T00:00:00"/>
    <x v="23"/>
    <s v="2024-Q1"/>
    <d v="2024-03-03T00:00:00"/>
    <x v="24"/>
    <x v="0"/>
    <x v="0"/>
    <s v="Kisumu"/>
    <s v="Africa &gt; Kenya &gt; Kisumu"/>
    <s v="Enterprise"/>
    <x v="1"/>
    <x v="1"/>
    <x v="6"/>
    <x v="4"/>
    <s v="Medium"/>
    <x v="400"/>
    <n v="516.86"/>
    <n v="852.54"/>
    <n v="852.54"/>
    <x v="34"/>
    <s v="OK"/>
    <n v="5.0999999999999997E-2"/>
    <n v="14"/>
    <n v="11326.846439999999"/>
    <n v="7236.04"/>
    <n v="4090.8064399999994"/>
    <n v="0.36116022775355994"/>
    <d v="1899-12-30T00:00:00"/>
    <s v="Jan-1900"/>
    <n v="0"/>
    <n v="0"/>
    <n v="0"/>
  </r>
  <r>
    <x v="401"/>
    <d v="2023-01-20T00:00:00"/>
    <x v="28"/>
    <s v="2023-Q1"/>
    <d v="2023-02-03T00:00:00"/>
    <x v="6"/>
    <x v="0"/>
    <x v="0"/>
    <s v="Kisumu"/>
    <s v="Africa &gt; Kenya &gt; Kisumu"/>
    <s v="Corporate"/>
    <x v="0"/>
    <x v="0"/>
    <x v="13"/>
    <x v="6"/>
    <s v="Medium"/>
    <x v="401"/>
    <n v="884.36"/>
    <n v="1545.34"/>
    <n v="1545.34"/>
    <x v="107"/>
    <s v="OK"/>
    <n v="0.24299999999999999"/>
    <n v="41"/>
    <n v="47962.717579999997"/>
    <n v="36258.76"/>
    <n v="11703.957579999995"/>
    <n v="0.24402198562827965"/>
    <d v="1899-12-30T00:00:00"/>
    <s v="Jan-1900"/>
    <n v="0"/>
    <n v="0"/>
    <n v="0"/>
  </r>
  <r>
    <x v="402"/>
    <d v="2025-01-21T00:00:00"/>
    <x v="25"/>
    <s v="2025-Q1"/>
    <d v="2025-02-14T00:00:00"/>
    <x v="7"/>
    <x v="0"/>
    <x v="0"/>
    <s v="Nairobi"/>
    <s v="Africa &gt; Kenya &gt; Nairobi"/>
    <s v="Small Business"/>
    <x v="0"/>
    <x v="0"/>
    <x v="2"/>
    <x v="1"/>
    <s v="High"/>
    <x v="402"/>
    <n v="1030.44"/>
    <n v="2562.84"/>
    <n v="2562.84"/>
    <x v="99"/>
    <s v="OK"/>
    <n v="0.14799999999999999"/>
    <n v="13"/>
    <n v="28386.015839999996"/>
    <n v="13395.720000000001"/>
    <n v="14990.295839999995"/>
    <n v="0.52808734852027039"/>
    <d v="1899-12-30T00:00:00"/>
    <s v="Jan-1900"/>
    <n v="0"/>
    <n v="0"/>
    <n v="0"/>
  </r>
  <r>
    <x v="403"/>
    <d v="2024-09-10T00:00:00"/>
    <x v="17"/>
    <s v="2024-Q3"/>
    <d v="2024-10-07T00:00:00"/>
    <x v="10"/>
    <x v="0"/>
    <x v="0"/>
    <s v="Kisumu"/>
    <s v="Africa &gt; Kenya &gt; Kisumu"/>
    <s v="Consumer"/>
    <x v="0"/>
    <x v="0"/>
    <x v="10"/>
    <x v="5"/>
    <s v="High"/>
    <x v="403"/>
    <n v="1248.3900000000001"/>
    <n v="1805.11"/>
    <n v="1805.11"/>
    <x v="64"/>
    <s v="OK"/>
    <n v="0.20300000000000001"/>
    <n v="11"/>
    <n v="15825.399369999997"/>
    <n v="13732.29"/>
    <n v="2093.1093699999965"/>
    <n v="0.13226265707820786"/>
    <d v="1899-12-30T00:00:00"/>
    <s v="Jan-1900"/>
    <n v="0"/>
    <n v="0"/>
    <n v="0"/>
  </r>
  <r>
    <x v="404"/>
    <d v="2025-01-29T00:00:00"/>
    <x v="25"/>
    <s v="2025-Q1"/>
    <d v="2025-02-06T00:00:00"/>
    <x v="19"/>
    <x v="0"/>
    <x v="0"/>
    <s v="Kisumu"/>
    <s v="Africa &gt; Kenya &gt; Kisumu"/>
    <s v="Education"/>
    <x v="0"/>
    <x v="0"/>
    <x v="6"/>
    <x v="4"/>
    <s v="High"/>
    <x v="404"/>
    <n v="1445.27"/>
    <n v="2691.45"/>
    <n v="2691.45"/>
    <x v="3"/>
    <s v="OK"/>
    <n v="0"/>
    <n v="9"/>
    <n v="24223.05"/>
    <n v="13007.43"/>
    <n v="11215.619999999999"/>
    <n v="0.46301436028906351"/>
    <d v="1899-12-30T00:00:00"/>
    <s v="Jan-1900"/>
    <n v="0"/>
    <n v="0"/>
    <n v="0"/>
  </r>
  <r>
    <x v="405"/>
    <d v="2025-08-25T00:00:00"/>
    <x v="24"/>
    <s v="2025-Q3"/>
    <d v="2025-09-24T00:00:00"/>
    <x v="27"/>
    <x v="0"/>
    <x v="0"/>
    <s v="Nairobi"/>
    <s v="Africa &gt; Kenya &gt; Nairobi"/>
    <s v="Consumer"/>
    <x v="4"/>
    <x v="4"/>
    <x v="6"/>
    <x v="0"/>
    <s v="Medium"/>
    <x v="405"/>
    <n v="589.14"/>
    <n v="1300.58"/>
    <n v="1300.58"/>
    <x v="190"/>
    <s v="OK"/>
    <n v="5.5E-2"/>
    <n v="11"/>
    <n v="13519.529099999998"/>
    <n v="6480.54"/>
    <n v="7038.989099999998"/>
    <n v="0.52065342275863724"/>
    <d v="1899-12-30T00:00:00"/>
    <s v="Jan-1900"/>
    <n v="0"/>
    <n v="0"/>
    <n v="0"/>
  </r>
  <r>
    <x v="406"/>
    <d v="2023-03-07T00:00:00"/>
    <x v="12"/>
    <s v="2023-Q1"/>
    <d v="2023-04-01T00:00:00"/>
    <x v="2"/>
    <x v="0"/>
    <x v="0"/>
    <s v="Nairobi"/>
    <s v="Africa &gt; Kenya &gt; Nairobi"/>
    <s v="Consumer"/>
    <x v="2"/>
    <x v="2"/>
    <x v="14"/>
    <x v="5"/>
    <s v="Medium"/>
    <x v="406"/>
    <n v="1024.0999999999999"/>
    <n v="918.19"/>
    <n v="918.19"/>
    <x v="191"/>
    <s v="OK"/>
    <n v="0.189"/>
    <n v="10"/>
    <n v="7446.5209000000004"/>
    <n v="10241"/>
    <n v="-2794.4790999999996"/>
    <n v="-0.37527311579827827"/>
    <d v="1899-12-30T00:00:00"/>
    <s v="Jan-1900"/>
    <n v="0"/>
    <n v="0"/>
    <n v="0"/>
  </r>
  <r>
    <x v="407"/>
    <d v="2024-09-13T00:00:00"/>
    <x v="17"/>
    <s v="2024-Q3"/>
    <d v="2024-10-02T00:00:00"/>
    <x v="1"/>
    <x v="0"/>
    <x v="0"/>
    <s v="Mombasa"/>
    <s v="Africa &gt; Kenya &gt; Mombasa"/>
    <s v="Small Business"/>
    <x v="0"/>
    <x v="0"/>
    <x v="13"/>
    <x v="4"/>
    <s v="High"/>
    <x v="407"/>
    <n v="1338.99"/>
    <n v="1765.76"/>
    <n v="1765.76"/>
    <x v="115"/>
    <s v="OK"/>
    <n v="0.126"/>
    <n v="24"/>
    <n v="37038.581760000001"/>
    <n v="32135.760000000002"/>
    <n v="4902.8217599999989"/>
    <n v="0.1323706666677725"/>
    <d v="1899-12-30T00:00:00"/>
    <s v="Jan-1900"/>
    <n v="0"/>
    <n v="0"/>
    <n v="0"/>
  </r>
  <r>
    <x v="408"/>
    <d v="2024-11-08T00:00:00"/>
    <x v="13"/>
    <s v="2024-Q4"/>
    <d v="2024-11-08T00:00:00"/>
    <x v="25"/>
    <x v="0"/>
    <x v="0"/>
    <s v="Nakuru"/>
    <s v="Africa &gt; Kenya &gt; Nakuru"/>
    <s v="Enterprise"/>
    <x v="2"/>
    <x v="2"/>
    <x v="13"/>
    <x v="6"/>
    <s v="Medium"/>
    <x v="408"/>
    <n v="803.28"/>
    <n v="1009"/>
    <n v="1009"/>
    <x v="176"/>
    <s v="OK"/>
    <n v="0.11"/>
    <n v="4"/>
    <n v="3592.04"/>
    <n v="3213.12"/>
    <n v="378.92000000000007"/>
    <n v="0.10548880302001093"/>
    <d v="1899-12-30T00:00:00"/>
    <s v="Jan-1900"/>
    <n v="0"/>
    <n v="0"/>
    <n v="0"/>
  </r>
  <r>
    <x v="409"/>
    <d v="2023-08-15T00:00:00"/>
    <x v="21"/>
    <s v="2023-Q3"/>
    <d v="2023-08-25T00:00:00"/>
    <x v="30"/>
    <x v="0"/>
    <x v="0"/>
    <s v="Nairobi"/>
    <s v="Africa &gt; Kenya &gt; Nairobi"/>
    <s v="Small Business"/>
    <x v="0"/>
    <x v="0"/>
    <x v="5"/>
    <x v="4"/>
    <s v="Low"/>
    <x v="409"/>
    <n v="91.85"/>
    <n v="111.29"/>
    <n v="111.29"/>
    <x v="3"/>
    <s v="OK"/>
    <n v="0"/>
    <n v="6"/>
    <n v="667.74"/>
    <n v="551.09999999999991"/>
    <n v="116.6400000000001"/>
    <n v="0.17467876718483258"/>
    <d v="1899-12-30T00:00:00"/>
    <s v="Jan-1900"/>
    <n v="0"/>
    <n v="0"/>
    <n v="0"/>
  </r>
  <r>
    <x v="410"/>
    <d v="2024-06-19T00:00:00"/>
    <x v="6"/>
    <s v="2024-Q2"/>
    <d v="2024-06-20T00:00:00"/>
    <x v="17"/>
    <x v="0"/>
    <x v="0"/>
    <s v="Kisumu"/>
    <s v="Africa &gt; Kenya &gt; Kisumu"/>
    <s v="Small Business"/>
    <x v="4"/>
    <x v="4"/>
    <x v="2"/>
    <x v="3"/>
    <s v="Low"/>
    <x v="410"/>
    <n v="231.63"/>
    <n v="537.39"/>
    <n v="537.39"/>
    <x v="135"/>
    <s v="OK"/>
    <n v="0.08"/>
    <n v="12"/>
    <n v="5932.7856000000002"/>
    <n v="2779.56"/>
    <n v="3153.2256000000002"/>
    <n v="0.53149158129024587"/>
    <d v="1899-12-30T00:00:00"/>
    <s v="Jan-1900"/>
    <n v="0"/>
    <n v="0"/>
    <n v="0"/>
  </r>
  <r>
    <x v="411"/>
    <d v="2023-03-23T00:00:00"/>
    <x v="12"/>
    <s v="2023-Q1"/>
    <d v="2023-04-15T00:00:00"/>
    <x v="9"/>
    <x v="0"/>
    <x v="0"/>
    <s v="Mombasa"/>
    <s v="Africa &gt; Kenya &gt; Mombasa"/>
    <s v="Small Business"/>
    <x v="0"/>
    <x v="0"/>
    <x v="0"/>
    <x v="1"/>
    <s v="Medium"/>
    <x v="411"/>
    <n v="875.36"/>
    <n v="1178.6199999999999"/>
    <n v="1178.6199999999999"/>
    <x v="113"/>
    <s v="OK"/>
    <n v="0.151"/>
    <n v="53"/>
    <n v="53034.364139999991"/>
    <n v="46394.080000000002"/>
    <n v="6640.2841399999888"/>
    <n v="0.12520719815685888"/>
    <d v="1899-12-30T00:00:00"/>
    <s v="Jan-1900"/>
    <n v="0"/>
    <n v="0"/>
    <n v="0"/>
  </r>
  <r>
    <x v="412"/>
    <d v="2023-06-10T00:00:00"/>
    <x v="11"/>
    <s v="2023-Q2"/>
    <d v="2023-06-18T00:00:00"/>
    <x v="19"/>
    <x v="0"/>
    <x v="0"/>
    <s v="Nakuru"/>
    <s v="Africa &gt; Kenya &gt; Nakuru"/>
    <s v="Enterprise"/>
    <x v="4"/>
    <x v="4"/>
    <x v="15"/>
    <x v="4"/>
    <s v="Medium"/>
    <x v="412"/>
    <n v="894.23"/>
    <n v="1421.55"/>
    <n v="1421.55"/>
    <x v="4"/>
    <s v="OK"/>
    <n v="0.109"/>
    <n v="3"/>
    <n v="3799.8031499999997"/>
    <n v="2682.69"/>
    <n v="1117.1131499999997"/>
    <n v="0.29399237431549574"/>
    <d v="1899-12-30T00:00:00"/>
    <s v="Jan-1900"/>
    <n v="0"/>
    <n v="0"/>
    <n v="0"/>
  </r>
  <r>
    <x v="413"/>
    <d v="2023-07-24T00:00:00"/>
    <x v="14"/>
    <s v="2023-Q3"/>
    <d v="2023-08-19T00:00:00"/>
    <x v="0"/>
    <x v="0"/>
    <x v="0"/>
    <s v="Nairobi"/>
    <s v="Africa &gt; Kenya &gt; Nairobi"/>
    <s v="Enterprise"/>
    <x v="3"/>
    <x v="3"/>
    <x v="13"/>
    <x v="1"/>
    <s v="High"/>
    <x v="413"/>
    <n v="661.45"/>
    <n v="1634.86"/>
    <n v="1634.86"/>
    <x v="35"/>
    <s v="OK"/>
    <n v="0.3"/>
    <n v="24"/>
    <n v="27465.647999999997"/>
    <n v="15874.800000000001"/>
    <n v="11590.847999999996"/>
    <n v="0.42201254454291404"/>
    <d v="1899-12-30T00:00:00"/>
    <s v="Jan-1900"/>
    <n v="0"/>
    <n v="0"/>
    <n v="0"/>
  </r>
  <r>
    <x v="414"/>
    <d v="2024-10-29T00:00:00"/>
    <x v="32"/>
    <s v="2024-Q4"/>
    <d v="2024-11-04T00:00:00"/>
    <x v="29"/>
    <x v="0"/>
    <x v="0"/>
    <s v="Nairobi"/>
    <s v="Africa &gt; Kenya &gt; Nairobi"/>
    <s v="Corporate"/>
    <x v="3"/>
    <x v="3"/>
    <x v="13"/>
    <x v="5"/>
    <s v="High"/>
    <x v="414"/>
    <n v="805.81"/>
    <n v="1823.04"/>
    <n v="1823.04"/>
    <x v="3"/>
    <s v="OK"/>
    <n v="0"/>
    <n v="11"/>
    <n v="20053.439999999999"/>
    <n v="8863.91"/>
    <n v="11189.529999999999"/>
    <n v="0.55798556257679477"/>
    <d v="1899-12-30T00:00:00"/>
    <s v="Jan-1900"/>
    <n v="0"/>
    <n v="0"/>
    <n v="0"/>
  </r>
  <r>
    <x v="415"/>
    <d v="2024-06-02T00:00:00"/>
    <x v="6"/>
    <s v="2024-Q2"/>
    <d v="2024-06-15T00:00:00"/>
    <x v="28"/>
    <x v="0"/>
    <x v="0"/>
    <s v="Mombasa"/>
    <s v="Africa &gt; Kenya &gt; Mombasa"/>
    <s v="Education"/>
    <x v="1"/>
    <x v="1"/>
    <x v="7"/>
    <x v="4"/>
    <s v="High"/>
    <x v="415"/>
    <n v="1295.18"/>
    <n v="3024.03"/>
    <n v="3024.03"/>
    <x v="173"/>
    <s v="OK"/>
    <n v="0.192"/>
    <n v="8"/>
    <n v="19547.329920000004"/>
    <n v="10361.44"/>
    <n v="9185.8899200000033"/>
    <n v="0.46993067378483178"/>
    <d v="1899-12-30T00:00:00"/>
    <s v="Jan-1900"/>
    <n v="0"/>
    <n v="0"/>
    <n v="0"/>
  </r>
  <r>
    <x v="416"/>
    <d v="2025-04-12T00:00:00"/>
    <x v="7"/>
    <s v="2025-Q2"/>
    <d v="2025-04-30T00:00:00"/>
    <x v="16"/>
    <x v="0"/>
    <x v="0"/>
    <s v="Kisumu"/>
    <s v="Africa &gt; Kenya &gt; Kisumu"/>
    <s v="Corporate"/>
    <x v="2"/>
    <x v="2"/>
    <x v="8"/>
    <x v="6"/>
    <s v="Medium"/>
    <x v="416"/>
    <n v="1119.04"/>
    <n v="1299.02"/>
    <n v="1299.02"/>
    <x v="120"/>
    <s v="OK"/>
    <n v="2.5000000000000001E-2"/>
    <n v="14"/>
    <n v="17731.623"/>
    <n v="15666.56"/>
    <n v="2065.0630000000001"/>
    <n v="0.11646215352085933"/>
    <d v="1899-12-30T00:00:00"/>
    <s v="Jan-1900"/>
    <n v="0"/>
    <n v="0"/>
    <n v="0"/>
  </r>
  <r>
    <x v="417"/>
    <d v="2023-10-18T00:00:00"/>
    <x v="20"/>
    <s v="2023-Q4"/>
    <d v="2023-10-20T00:00:00"/>
    <x v="18"/>
    <x v="0"/>
    <x v="0"/>
    <s v="Kisumu"/>
    <s v="Africa &gt; Kenya &gt; Kisumu"/>
    <s v="Consumer"/>
    <x v="0"/>
    <x v="0"/>
    <x v="2"/>
    <x v="4"/>
    <s v="Medium"/>
    <x v="417"/>
    <n v="774.12"/>
    <n v="908.3"/>
    <n v="908.3"/>
    <x v="3"/>
    <s v="OK"/>
    <n v="0"/>
    <n v="30"/>
    <n v="27249"/>
    <n v="23223.599999999999"/>
    <n v="4025.4000000000015"/>
    <n v="0.14772652207420461"/>
    <d v="1899-12-30T00:00:00"/>
    <s v="Jan-1900"/>
    <n v="0"/>
    <n v="0"/>
    <n v="0"/>
  </r>
  <r>
    <x v="418"/>
    <d v="2023-02-21T00:00:00"/>
    <x v="5"/>
    <s v="2023-Q1"/>
    <d v="2023-03-12T00:00:00"/>
    <x v="1"/>
    <x v="0"/>
    <x v="0"/>
    <s v="Nakuru"/>
    <s v="Africa &gt; Kenya &gt; Nakuru"/>
    <s v="Corporate"/>
    <x v="1"/>
    <x v="1"/>
    <x v="8"/>
    <x v="6"/>
    <s v="Low"/>
    <x v="418"/>
    <n v="352.65"/>
    <n v="485.86"/>
    <n v="485.86"/>
    <x v="49"/>
    <s v="OK"/>
    <n v="4.1000000000000002E-2"/>
    <n v="6"/>
    <n v="2795.6384399999997"/>
    <n v="2115.8999999999996"/>
    <n v="679.73844000000008"/>
    <n v="0.24314247159943908"/>
    <d v="1899-12-30T00:00:00"/>
    <s v="Jan-1900"/>
    <n v="0"/>
    <n v="0"/>
    <n v="0"/>
  </r>
  <r>
    <x v="419"/>
    <d v="2024-11-22T00:00:00"/>
    <x v="13"/>
    <s v="2024-Q4"/>
    <d v="2024-12-15T00:00:00"/>
    <x v="9"/>
    <x v="0"/>
    <x v="0"/>
    <s v="Mombasa"/>
    <s v="Africa &gt; Kenya &gt; Mombasa"/>
    <s v="Non-Profit"/>
    <x v="3"/>
    <x v="3"/>
    <x v="0"/>
    <x v="0"/>
    <s v="High"/>
    <x v="419"/>
    <n v="1335.76"/>
    <n v="2665.91"/>
    <n v="2665.91"/>
    <x v="121"/>
    <s v="OK"/>
    <n v="0.21099999999999999"/>
    <n v="40"/>
    <n v="84136.119600000005"/>
    <n v="53430.400000000001"/>
    <n v="30705.719600000004"/>
    <n v="0.36495288522909253"/>
    <d v="1899-12-30T00:00:00"/>
    <s v="Jan-1900"/>
    <n v="0"/>
    <n v="0"/>
    <n v="0"/>
  </r>
  <r>
    <x v="420"/>
    <d v="2023-05-14T00:00:00"/>
    <x v="26"/>
    <s v="2023-Q2"/>
    <d v="2023-05-22T00:00:00"/>
    <x v="19"/>
    <x v="0"/>
    <x v="0"/>
    <s v="Mombasa"/>
    <s v="Africa &gt; Kenya &gt; Mombasa"/>
    <s v="Small Business"/>
    <x v="3"/>
    <x v="3"/>
    <x v="8"/>
    <x v="5"/>
    <s v="Medium"/>
    <x v="420"/>
    <n v="432.01"/>
    <n v="913.78"/>
    <n v="913.78"/>
    <x v="192"/>
    <s v="OK"/>
    <n v="4.9000000000000002E-2"/>
    <n v="12"/>
    <n v="10428.057360000001"/>
    <n v="5184.12"/>
    <n v="5243.9373600000008"/>
    <n v="0.50286809699711899"/>
    <d v="1899-12-30T00:00:00"/>
    <s v="Jan-1900"/>
    <n v="0"/>
    <n v="0"/>
    <n v="0"/>
  </r>
  <r>
    <x v="421"/>
    <d v="2024-02-06T00:00:00"/>
    <x v="23"/>
    <s v="2024-Q1"/>
    <d v="2024-02-28T00:00:00"/>
    <x v="21"/>
    <x v="0"/>
    <x v="0"/>
    <s v="Kisumu"/>
    <s v="Africa &gt; Kenya &gt; Kisumu"/>
    <s v="Non-Profit"/>
    <x v="1"/>
    <x v="1"/>
    <x v="3"/>
    <x v="2"/>
    <s v="Medium"/>
    <x v="421"/>
    <n v="834.93"/>
    <n v="1588.53"/>
    <n v="1588.53"/>
    <x v="115"/>
    <s v="OK"/>
    <n v="0.126"/>
    <n v="6"/>
    <n v="8330.2513199999994"/>
    <n v="5009.58"/>
    <n v="3320.6713199999995"/>
    <n v="0.39862798761274343"/>
    <d v="1899-12-30T00:00:00"/>
    <s v="Jan-1900"/>
    <n v="0"/>
    <n v="0"/>
    <n v="0"/>
  </r>
  <r>
    <x v="422"/>
    <d v="2024-04-24T00:00:00"/>
    <x v="15"/>
    <s v="2024-Q2"/>
    <d v="2024-05-10T00:00:00"/>
    <x v="4"/>
    <x v="0"/>
    <x v="0"/>
    <s v="Kisumu"/>
    <s v="Africa &gt; Kenya &gt; Kisumu"/>
    <s v="Non-Profit"/>
    <x v="1"/>
    <x v="1"/>
    <x v="5"/>
    <x v="2"/>
    <s v="Medium"/>
    <x v="422"/>
    <n v="513.30999999999995"/>
    <n v="1186.26"/>
    <n v="1186.26"/>
    <x v="2"/>
    <s v="OK"/>
    <n v="9.4E-2"/>
    <n v="15"/>
    <n v="16121.273400000002"/>
    <n v="7699.65"/>
    <n v="8421.6234000000022"/>
    <n v="0.52239194702820446"/>
    <d v="1899-12-30T00:00:00"/>
    <s v="Jan-1900"/>
    <n v="0"/>
    <n v="0"/>
    <n v="0"/>
  </r>
  <r>
    <x v="423"/>
    <d v="2024-04-16T00:00:00"/>
    <x v="15"/>
    <s v="2024-Q2"/>
    <d v="2024-04-27T00:00:00"/>
    <x v="20"/>
    <x v="0"/>
    <x v="0"/>
    <s v="Nakuru"/>
    <s v="Africa &gt; Kenya &gt; Nakuru"/>
    <s v="Enterprise"/>
    <x v="1"/>
    <x v="1"/>
    <x v="14"/>
    <x v="5"/>
    <s v="Medium"/>
    <x v="423"/>
    <n v="401.3"/>
    <n v="826.47"/>
    <n v="826.47"/>
    <x v="65"/>
    <s v="OK"/>
    <n v="0.22500000000000001"/>
    <n v="13"/>
    <n v="8326.6852500000005"/>
    <n v="5216.9000000000005"/>
    <n v="3109.7852499999999"/>
    <n v="0.37347217489696755"/>
    <d v="1899-12-30T00:00:00"/>
    <s v="Jan-1900"/>
    <n v="0"/>
    <n v="0"/>
    <n v="0"/>
  </r>
  <r>
    <x v="424"/>
    <d v="2024-06-05T00:00:00"/>
    <x v="6"/>
    <s v="2024-Q2"/>
    <d v="2024-06-23T00:00:00"/>
    <x v="16"/>
    <x v="0"/>
    <x v="0"/>
    <s v="Nairobi"/>
    <s v="Africa &gt; Kenya &gt; Nairobi"/>
    <s v="Consumer"/>
    <x v="3"/>
    <x v="3"/>
    <x v="14"/>
    <x v="3"/>
    <s v="Medium"/>
    <x v="424"/>
    <n v="1208.74"/>
    <n v="1594.78"/>
    <n v="1594.78"/>
    <x v="193"/>
    <s v="OK"/>
    <n v="5.8999999999999997E-2"/>
    <n v="39"/>
    <n v="58526.83122"/>
    <n v="47140.86"/>
    <n v="11385.971219999999"/>
    <n v="0.1945427589817838"/>
    <d v="1899-12-30T00:00:00"/>
    <s v="Jan-1900"/>
    <n v="0"/>
    <n v="0"/>
    <n v="0"/>
  </r>
  <r>
    <x v="425"/>
    <d v="2023-07-08T00:00:00"/>
    <x v="14"/>
    <s v="2023-Q3"/>
    <d v="2023-07-09T00:00:00"/>
    <x v="17"/>
    <x v="0"/>
    <x v="0"/>
    <s v="Nairobi"/>
    <s v="Africa &gt; Kenya &gt; Nairobi"/>
    <s v="Consumer"/>
    <x v="1"/>
    <x v="1"/>
    <x v="14"/>
    <x v="3"/>
    <s v="High"/>
    <x v="425"/>
    <n v="1258.72"/>
    <n v="2797.41"/>
    <n v="2797.41"/>
    <x v="3"/>
    <s v="OK"/>
    <n v="0"/>
    <n v="7"/>
    <n v="19581.87"/>
    <n v="8811.0400000000009"/>
    <n v="10770.829999999998"/>
    <n v="0.55004093071805704"/>
    <d v="1899-12-30T00:00:00"/>
    <s v="Jan-1900"/>
    <n v="0"/>
    <n v="0"/>
    <n v="0"/>
  </r>
  <r>
    <x v="426"/>
    <d v="2025-02-15T00:00:00"/>
    <x v="8"/>
    <s v="2025-Q1"/>
    <d v="2025-03-01T00:00:00"/>
    <x v="6"/>
    <x v="0"/>
    <x v="0"/>
    <s v="Mombasa"/>
    <s v="Africa &gt; Kenya &gt; Mombasa"/>
    <s v="Education"/>
    <x v="4"/>
    <x v="4"/>
    <x v="10"/>
    <x v="1"/>
    <s v="Medium"/>
    <x v="426"/>
    <n v="1162.8599999999999"/>
    <n v="1447.68"/>
    <n v="1447.68"/>
    <x v="159"/>
    <s v="OK"/>
    <n v="8.6999999999999994E-2"/>
    <n v="12"/>
    <n v="15860.782080000001"/>
    <n v="13954.32"/>
    <n v="1906.4620800000012"/>
    <n v="0.12019975247021369"/>
    <d v="1899-12-30T00:00:00"/>
    <s v="Jan-1900"/>
    <n v="0"/>
    <n v="0"/>
    <n v="0"/>
  </r>
  <r>
    <x v="427"/>
    <d v="2024-05-18T00:00:00"/>
    <x v="16"/>
    <s v="2024-Q2"/>
    <d v="2024-05-22T00:00:00"/>
    <x v="14"/>
    <x v="0"/>
    <x v="0"/>
    <s v="Nairobi"/>
    <s v="Africa &gt; Kenya &gt; Nairobi"/>
    <s v="Corporate"/>
    <x v="4"/>
    <x v="4"/>
    <x v="15"/>
    <x v="1"/>
    <s v="High"/>
    <x v="427"/>
    <n v="857.42"/>
    <n v="1658.92"/>
    <n v="1658.92"/>
    <x v="157"/>
    <s v="OK"/>
    <n v="0.122"/>
    <n v="9"/>
    <n v="13108.78584"/>
    <n v="7716.78"/>
    <n v="5392.0058400000007"/>
    <n v="0.41132763215544305"/>
    <d v="1899-12-30T00:00:00"/>
    <s v="Jan-1900"/>
    <n v="0"/>
    <n v="0"/>
    <n v="0"/>
  </r>
  <r>
    <x v="428"/>
    <d v="2024-11-30T00:00:00"/>
    <x v="13"/>
    <s v="2024-Q4"/>
    <d v="2024-12-19T00:00:00"/>
    <x v="1"/>
    <x v="0"/>
    <x v="0"/>
    <s v="Kisumu"/>
    <s v="Africa &gt; Kenya &gt; Kisumu"/>
    <s v="Corporate"/>
    <x v="1"/>
    <x v="1"/>
    <x v="10"/>
    <x v="4"/>
    <s v="High"/>
    <x v="428"/>
    <n v="1195.98"/>
    <n v="1841.9"/>
    <n v="1841.9"/>
    <x v="190"/>
    <s v="OK"/>
    <n v="5.5E-2"/>
    <n v="19"/>
    <n v="33071.3145"/>
    <n v="22723.62"/>
    <n v="10347.694500000001"/>
    <n v="0.31289032977506842"/>
    <d v="1899-12-30T00:00:00"/>
    <s v="Jan-1900"/>
    <n v="0"/>
    <n v="0"/>
    <n v="0"/>
  </r>
  <r>
    <x v="429"/>
    <d v="2024-02-08T00:00:00"/>
    <x v="23"/>
    <s v="2024-Q1"/>
    <d v="2024-02-09T00:00:00"/>
    <x v="17"/>
    <x v="0"/>
    <x v="0"/>
    <s v="Mombasa"/>
    <s v="Africa &gt; Kenya &gt; Mombasa"/>
    <s v="Corporate"/>
    <x v="4"/>
    <x v="4"/>
    <x v="8"/>
    <x v="0"/>
    <s v="Medium"/>
    <x v="429"/>
    <n v="1233.52"/>
    <n v="1543.76"/>
    <n v="1543.76"/>
    <x v="115"/>
    <s v="OK"/>
    <n v="0.126"/>
    <n v="13"/>
    <n v="17540.201120000002"/>
    <n v="16035.76"/>
    <n v="1504.4411200000013"/>
    <n v="8.5771030201277493E-2"/>
    <d v="1899-12-30T00:00:00"/>
    <s v="Jan-1900"/>
    <n v="0"/>
    <n v="0"/>
    <n v="0"/>
  </r>
  <r>
    <x v="430"/>
    <d v="2025-07-11T00:00:00"/>
    <x v="4"/>
    <s v="2025-Q3"/>
    <d v="2025-08-03T00:00:00"/>
    <x v="9"/>
    <x v="0"/>
    <x v="0"/>
    <s v="Nakuru"/>
    <s v="Africa &gt; Kenya &gt; Nakuru"/>
    <s v="Small Business"/>
    <x v="0"/>
    <x v="0"/>
    <x v="0"/>
    <x v="4"/>
    <s v="Low"/>
    <x v="430"/>
    <n v="389.93"/>
    <n v="486.13"/>
    <n v="486.13"/>
    <x v="43"/>
    <s v="OK"/>
    <n v="0.13200000000000001"/>
    <n v="17"/>
    <n v="7173.3342799999991"/>
    <n v="6628.81"/>
    <n v="544.52427999999873"/>
    <n v="7.5909508569562828E-2"/>
    <d v="1899-12-30T00:00:00"/>
    <s v="Jan-1900"/>
    <n v="0"/>
    <n v="0"/>
    <n v="0"/>
  </r>
  <r>
    <x v="431"/>
    <d v="2024-08-03T00:00:00"/>
    <x v="10"/>
    <s v="2024-Q3"/>
    <d v="2024-08-09T00:00:00"/>
    <x v="29"/>
    <x v="0"/>
    <x v="0"/>
    <s v="Mombasa"/>
    <s v="Africa &gt; Kenya &gt; Mombasa"/>
    <s v="Consumer"/>
    <x v="2"/>
    <x v="2"/>
    <x v="15"/>
    <x v="3"/>
    <s v="Medium"/>
    <x v="431"/>
    <n v="643.21"/>
    <n v="1112.81"/>
    <n v="1112.81"/>
    <x v="181"/>
    <s v="OK"/>
    <n v="0.14099999999999999"/>
    <n v="4"/>
    <n v="3823.6151599999998"/>
    <n v="2572.84"/>
    <n v="1250.7751599999997"/>
    <n v="0.32711847496702562"/>
    <d v="1899-12-30T00:00:00"/>
    <s v="Jan-1900"/>
    <n v="0"/>
    <n v="0"/>
    <n v="0"/>
  </r>
  <r>
    <x v="432"/>
    <d v="2024-06-30T00:00:00"/>
    <x v="6"/>
    <s v="2024-Q2"/>
    <d v="2024-07-21T00:00:00"/>
    <x v="24"/>
    <x v="0"/>
    <x v="0"/>
    <s v="Kisumu"/>
    <s v="Africa &gt; Kenya &gt; Kisumu"/>
    <s v="Small Business"/>
    <x v="0"/>
    <x v="0"/>
    <x v="3"/>
    <x v="3"/>
    <s v="High"/>
    <x v="432"/>
    <n v="753.43"/>
    <n v="1787.2"/>
    <n v="1787.2"/>
    <x v="142"/>
    <s v="OK"/>
    <n v="7.2999999999999995E-2"/>
    <n v="9"/>
    <n v="14910.609600000002"/>
    <n v="6780.87"/>
    <n v="8129.7396000000017"/>
    <n v="0.54523187301476939"/>
    <d v="1899-12-30T00:00:00"/>
    <s v="Jan-1900"/>
    <n v="0"/>
    <n v="0"/>
    <n v="0"/>
  </r>
  <r>
    <x v="433"/>
    <d v="2024-11-27T00:00:00"/>
    <x v="13"/>
    <s v="2024-Q4"/>
    <d v="2024-12-24T00:00:00"/>
    <x v="10"/>
    <x v="0"/>
    <x v="0"/>
    <s v="Mombasa"/>
    <s v="Africa &gt; Kenya &gt; Mombasa"/>
    <s v="Corporate"/>
    <x v="3"/>
    <x v="3"/>
    <x v="6"/>
    <x v="5"/>
    <s v="Low"/>
    <x v="433"/>
    <n v="143.33000000000001"/>
    <n v="233.51"/>
    <n v="233.51"/>
    <x v="186"/>
    <s v="OK"/>
    <n v="0.16300000000000001"/>
    <n v="14"/>
    <n v="2736.27018"/>
    <n v="2006.6200000000001"/>
    <n v="729.65017999999986"/>
    <n v="0.26665867476580835"/>
    <d v="1899-12-30T00:00:00"/>
    <s v="Jan-1900"/>
    <n v="0"/>
    <n v="0"/>
    <n v="0"/>
  </r>
  <r>
    <x v="434"/>
    <d v="2024-06-25T00:00:00"/>
    <x v="6"/>
    <s v="2024-Q2"/>
    <d v="2024-06-30T00:00:00"/>
    <x v="5"/>
    <x v="0"/>
    <x v="0"/>
    <s v="Kisumu"/>
    <s v="Africa &gt; Kenya &gt; Kisumu"/>
    <s v="Education"/>
    <x v="4"/>
    <x v="4"/>
    <x v="13"/>
    <x v="6"/>
    <s v="High"/>
    <x v="434"/>
    <n v="1323.55"/>
    <n v="3230.35"/>
    <n v="3230.35"/>
    <x v="194"/>
    <s v="OK"/>
    <n v="2.1999999999999999E-2"/>
    <n v="26"/>
    <n v="82141.339799999987"/>
    <n v="34412.299999999996"/>
    <n v="47729.039799999991"/>
    <n v="0.58105991351263542"/>
    <d v="1899-12-30T00:00:00"/>
    <s v="Jan-1900"/>
    <n v="0"/>
    <n v="0"/>
    <n v="0"/>
  </r>
  <r>
    <x v="435"/>
    <d v="2023-09-08T00:00:00"/>
    <x v="29"/>
    <s v="2023-Q3"/>
    <d v="2023-09-14T00:00:00"/>
    <x v="29"/>
    <x v="0"/>
    <x v="0"/>
    <s v="Nakuru"/>
    <s v="Africa &gt; Kenya &gt; Nakuru"/>
    <s v="Education"/>
    <x v="4"/>
    <x v="4"/>
    <x v="12"/>
    <x v="1"/>
    <s v="Low"/>
    <x v="435"/>
    <n v="251.03"/>
    <n v="411.48"/>
    <n v="411.48"/>
    <x v="156"/>
    <s v="OK"/>
    <n v="0.16500000000000001"/>
    <n v="3"/>
    <n v="1030.7574"/>
    <n v="753.09"/>
    <n v="277.66739999999993"/>
    <n v="0.26938191275658069"/>
    <d v="1899-12-30T00:00:00"/>
    <s v="Jan-1900"/>
    <n v="0"/>
    <n v="0"/>
    <n v="0"/>
  </r>
  <r>
    <x v="436"/>
    <d v="2025-07-19T00:00:00"/>
    <x v="4"/>
    <s v="2025-Q3"/>
    <d v="2025-07-31T00:00:00"/>
    <x v="15"/>
    <x v="0"/>
    <x v="0"/>
    <s v="Nairobi"/>
    <s v="Africa &gt; Kenya &gt; Nairobi"/>
    <s v="Small Business"/>
    <x v="2"/>
    <x v="2"/>
    <x v="7"/>
    <x v="1"/>
    <s v="Medium"/>
    <x v="436"/>
    <n v="619.64"/>
    <n v="861.16"/>
    <n v="861.16"/>
    <x v="150"/>
    <s v="OK"/>
    <n v="0.113"/>
    <n v="14"/>
    <n v="10693.88488"/>
    <n v="8674.9599999999991"/>
    <n v="2018.9248800000005"/>
    <n v="0.18879246435276761"/>
    <d v="1899-12-30T00:00:00"/>
    <s v="Jan-1900"/>
    <n v="0"/>
    <n v="0"/>
    <n v="0"/>
  </r>
  <r>
    <x v="437"/>
    <d v="2024-10-23T00:00:00"/>
    <x v="32"/>
    <s v="2024-Q4"/>
    <d v="2024-10-28T00:00:00"/>
    <x v="5"/>
    <x v="0"/>
    <x v="8"/>
    <s v="Port Harcourt"/>
    <s v="Africa &gt; Nigeria &gt; Port Harcourt"/>
    <s v="Education"/>
    <x v="1"/>
    <x v="1"/>
    <x v="2"/>
    <x v="5"/>
    <s v="Low"/>
    <x v="437"/>
    <n v="1084.3900000000001"/>
    <n v="759.33"/>
    <n v="759.33"/>
    <x v="195"/>
    <s v="OK"/>
    <n v="0.23699999999999999"/>
    <n v="31"/>
    <n v="17960.432489999999"/>
    <n v="33616.090000000004"/>
    <n v="-15655.657510000005"/>
    <n v="-0.87167486187856302"/>
    <d v="1899-12-30T00:00:00"/>
    <s v="Jan-1900"/>
    <s v="Medium/High cutoff"/>
    <n v="1619.115"/>
    <n v="0"/>
  </r>
  <r>
    <x v="438"/>
    <d v="2025-03-29T00:00:00"/>
    <x v="2"/>
    <s v="2025-Q1"/>
    <d v="2025-04-02T00:00:00"/>
    <x v="14"/>
    <x v="0"/>
    <x v="8"/>
    <s v="Lagos"/>
    <s v="Africa &gt; Nigeria &gt; Lagos"/>
    <s v="Non-Profit"/>
    <x v="2"/>
    <x v="2"/>
    <x v="4"/>
    <x v="4"/>
    <s v="Low"/>
    <x v="438"/>
    <n v="259.93"/>
    <n v="255.94"/>
    <n v="255.94"/>
    <x v="12"/>
    <s v="OK"/>
    <n v="7.1999999999999995E-2"/>
    <n v="22"/>
    <n v="5225.2710400000005"/>
    <n v="5718.46"/>
    <n v="-493.1889599999995"/>
    <n v="-9.4385335463861311E-2"/>
    <d v="1899-12-30T00:00:00"/>
    <s v="Jan-1900"/>
    <n v="0"/>
    <n v="0"/>
    <n v="0"/>
  </r>
  <r>
    <x v="439"/>
    <d v="2023-01-15T00:00:00"/>
    <x v="28"/>
    <s v="2023-Q1"/>
    <d v="2023-01-20T00:00:00"/>
    <x v="5"/>
    <x v="0"/>
    <x v="8"/>
    <s v="Abuja"/>
    <s v="Africa &gt; Nigeria &gt; Abuja"/>
    <s v="Education"/>
    <x v="1"/>
    <x v="1"/>
    <x v="7"/>
    <x v="5"/>
    <s v="Low"/>
    <x v="439"/>
    <n v="28.38"/>
    <n v="47.22"/>
    <n v="47.22"/>
    <x v="101"/>
    <s v="OK"/>
    <n v="0.19400000000000001"/>
    <n v="18"/>
    <n v="685.06776000000002"/>
    <n v="510.84"/>
    <n v="174.22776000000005"/>
    <n v="0.25432193743871417"/>
    <d v="1899-12-30T00:00:00"/>
    <s v="Jan-1900"/>
    <n v="0"/>
    <n v="0"/>
    <n v="0"/>
  </r>
  <r>
    <x v="440"/>
    <d v="2024-05-04T00:00:00"/>
    <x v="16"/>
    <s v="2024-Q2"/>
    <d v="2024-05-29T00:00:00"/>
    <x v="2"/>
    <x v="0"/>
    <x v="8"/>
    <s v="Abuja"/>
    <s v="Africa &gt; Nigeria &gt; Abuja"/>
    <s v="Non-Profit"/>
    <x v="2"/>
    <x v="2"/>
    <x v="7"/>
    <x v="2"/>
    <s v="High"/>
    <x v="440"/>
    <n v="1295.3399999999999"/>
    <n v="2530.81"/>
    <n v="2530.81"/>
    <x v="196"/>
    <s v="OK"/>
    <n v="3.1E-2"/>
    <n v="6"/>
    <n v="14714.12934"/>
    <n v="7772.0399999999991"/>
    <n v="6942.0893400000004"/>
    <n v="0.4717974933880798"/>
    <d v="1899-12-30T00:00:00"/>
    <s v="Jan-1900"/>
    <n v="0"/>
    <n v="0"/>
    <n v="0"/>
  </r>
  <r>
    <x v="441"/>
    <d v="2025-06-14T00:00:00"/>
    <x v="31"/>
    <s v="2025-Q2"/>
    <d v="2025-06-29T00:00:00"/>
    <x v="26"/>
    <x v="0"/>
    <x v="8"/>
    <s v="Port Harcourt"/>
    <s v="Africa &gt; Nigeria &gt; Port Harcourt"/>
    <s v="Consumer"/>
    <x v="2"/>
    <x v="2"/>
    <x v="13"/>
    <x v="1"/>
    <s v="Medium"/>
    <x v="441"/>
    <n v="730.99"/>
    <n v="1242.8399999999999"/>
    <n v="1242.8399999999999"/>
    <x v="172"/>
    <s v="OK"/>
    <n v="0.12"/>
    <n v="10"/>
    <n v="10936.992"/>
    <n v="7309.9"/>
    <n v="3627.0920000000006"/>
    <n v="0.33163524303574515"/>
    <d v="1899-12-30T00:00:00"/>
    <s v="Jan-1900"/>
    <n v="0"/>
    <n v="0"/>
    <n v="0"/>
  </r>
  <r>
    <x v="442"/>
    <d v="2024-04-19T00:00:00"/>
    <x v="15"/>
    <s v="2024-Q2"/>
    <d v="2024-05-06T00:00:00"/>
    <x v="23"/>
    <x v="0"/>
    <x v="8"/>
    <s v="Port Harcourt"/>
    <s v="Africa &gt; Nigeria &gt; Port Harcourt"/>
    <s v="Non-Profit"/>
    <x v="1"/>
    <x v="1"/>
    <x v="1"/>
    <x v="5"/>
    <s v="Medium"/>
    <x v="442"/>
    <n v="865.33"/>
    <n v="1395.64"/>
    <n v="1395.64"/>
    <x v="25"/>
    <s v="OK"/>
    <n v="0.17499999999999999"/>
    <n v="13"/>
    <n v="14968.239"/>
    <n v="11249.29"/>
    <n v="3718.9489999999987"/>
    <n v="0.24845601409758347"/>
    <d v="1899-12-30T00:00:00"/>
    <s v="Jan-1900"/>
    <n v="0"/>
    <n v="0"/>
    <n v="0"/>
  </r>
  <r>
    <x v="443"/>
    <d v="2023-06-23T00:00:00"/>
    <x v="11"/>
    <s v="2023-Q2"/>
    <d v="2023-07-03T00:00:00"/>
    <x v="30"/>
    <x v="0"/>
    <x v="8"/>
    <s v="Abuja"/>
    <s v="Africa &gt; Nigeria &gt; Abuja"/>
    <s v="Consumer"/>
    <x v="1"/>
    <x v="1"/>
    <x v="2"/>
    <x v="5"/>
    <s v="Low"/>
    <x v="443"/>
    <n v="337.75"/>
    <n v="548.89"/>
    <n v="548.89"/>
    <x v="3"/>
    <s v="OK"/>
    <n v="0"/>
    <n v="13"/>
    <n v="7135.57"/>
    <n v="4390.75"/>
    <n v="2744.8199999999997"/>
    <n v="0.38466723751571352"/>
    <d v="1899-12-30T00:00:00"/>
    <s v="Jan-1900"/>
    <n v="0"/>
    <n v="0"/>
    <n v="0"/>
  </r>
  <r>
    <x v="444"/>
    <d v="2024-10-14T00:00:00"/>
    <x v="32"/>
    <s v="2024-Q4"/>
    <d v="2024-11-08T00:00:00"/>
    <x v="2"/>
    <x v="0"/>
    <x v="8"/>
    <s v="Lagos"/>
    <s v="Africa &gt; Nigeria &gt; Lagos"/>
    <s v="Enterprise"/>
    <x v="1"/>
    <x v="1"/>
    <x v="7"/>
    <x v="6"/>
    <s v="High"/>
    <x v="444"/>
    <n v="859.35"/>
    <n v="1825.61"/>
    <n v="1825.61"/>
    <x v="90"/>
    <s v="OK"/>
    <n v="0.187"/>
    <n v="24"/>
    <n v="35621.302319999995"/>
    <n v="20624.400000000001"/>
    <n v="14996.902319999994"/>
    <n v="0.42100937762681989"/>
    <d v="1899-12-30T00:00:00"/>
    <s v="Jan-1900"/>
    <n v="0"/>
    <n v="0"/>
    <n v="0"/>
  </r>
  <r>
    <x v="445"/>
    <d v="2024-10-04T00:00:00"/>
    <x v="32"/>
    <s v="2024-Q4"/>
    <d v="2024-11-02T00:00:00"/>
    <x v="3"/>
    <x v="0"/>
    <x v="8"/>
    <s v="Abuja"/>
    <s v="Africa &gt; Nigeria &gt; Abuja"/>
    <s v="Corporate"/>
    <x v="3"/>
    <x v="3"/>
    <x v="8"/>
    <x v="1"/>
    <s v="Medium"/>
    <x v="445"/>
    <n v="412.09"/>
    <n v="968.94"/>
    <n v="968.94"/>
    <x v="104"/>
    <s v="OK"/>
    <n v="9.9000000000000005E-2"/>
    <n v="23"/>
    <n v="20079.343620000003"/>
    <n v="9478.07"/>
    <n v="10601.273620000004"/>
    <n v="0.52796913189137418"/>
    <d v="1899-12-30T00:00:00"/>
    <s v="Jan-1900"/>
    <n v="0"/>
    <n v="0"/>
    <n v="0"/>
  </r>
  <r>
    <x v="446"/>
    <d v="2024-05-28T00:00:00"/>
    <x v="16"/>
    <s v="2024-Q2"/>
    <d v="2024-06-02T00:00:00"/>
    <x v="5"/>
    <x v="0"/>
    <x v="8"/>
    <s v="Abuja"/>
    <s v="Africa &gt; Nigeria &gt; Abuja"/>
    <s v="Enterprise"/>
    <x v="1"/>
    <x v="1"/>
    <x v="8"/>
    <x v="1"/>
    <s v="High"/>
    <x v="446"/>
    <n v="1227.08"/>
    <n v="1896.62"/>
    <n v="1896.62"/>
    <x v="3"/>
    <s v="OK"/>
    <n v="0"/>
    <n v="18"/>
    <n v="34139.159999999996"/>
    <n v="22087.439999999999"/>
    <n v="12051.719999999998"/>
    <n v="0.353017473189147"/>
    <d v="1899-12-30T00:00:00"/>
    <s v="Jan-1900"/>
    <n v="0"/>
    <n v="0"/>
    <n v="0"/>
  </r>
  <r>
    <x v="447"/>
    <d v="2025-03-03T00:00:00"/>
    <x v="2"/>
    <s v="2025-Q1"/>
    <d v="2025-03-24T00:00:00"/>
    <x v="24"/>
    <x v="0"/>
    <x v="8"/>
    <s v="Abuja"/>
    <s v="Africa &gt; Nigeria &gt; Abuja"/>
    <s v="Enterprise"/>
    <x v="4"/>
    <x v="4"/>
    <x v="15"/>
    <x v="1"/>
    <s v="Low"/>
    <x v="447"/>
    <n v="555.95000000000005"/>
    <n v="468.09"/>
    <n v="468.09"/>
    <x v="10"/>
    <s v="OK"/>
    <n v="0.14199999999999999"/>
    <n v="11"/>
    <n v="4417.8334199999999"/>
    <n v="6115.4500000000007"/>
    <n v="-1697.6165800000008"/>
    <n v="-0.38426450674095375"/>
    <d v="1899-12-30T00:00:00"/>
    <s v="Jan-1900"/>
    <n v="0"/>
    <n v="0"/>
    <n v="0"/>
  </r>
  <r>
    <x v="448"/>
    <d v="2023-08-19T00:00:00"/>
    <x v="21"/>
    <s v="2023-Q3"/>
    <d v="2023-08-23T00:00:00"/>
    <x v="14"/>
    <x v="0"/>
    <x v="8"/>
    <s v="Abuja"/>
    <s v="Africa &gt; Nigeria &gt; Abuja"/>
    <s v="Small Business"/>
    <x v="1"/>
    <x v="1"/>
    <x v="2"/>
    <x v="2"/>
    <s v="Medium"/>
    <x v="448"/>
    <n v="790.63"/>
    <n v="1382.31"/>
    <n v="1382.31"/>
    <x v="111"/>
    <s v="OK"/>
    <n v="0.10100000000000001"/>
    <n v="7"/>
    <n v="8698.8768300000011"/>
    <n v="5534.41"/>
    <n v="3164.4668300000012"/>
    <n v="0.36377878338116448"/>
    <d v="1899-12-30T00:00:00"/>
    <s v="Jan-1900"/>
    <n v="0"/>
    <n v="0"/>
    <n v="0"/>
  </r>
  <r>
    <x v="449"/>
    <d v="2024-10-22T00:00:00"/>
    <x v="32"/>
    <s v="2024-Q4"/>
    <d v="2024-10-29T00:00:00"/>
    <x v="22"/>
    <x v="0"/>
    <x v="8"/>
    <s v="Port Harcourt"/>
    <s v="Africa &gt; Nigeria &gt; Port Harcourt"/>
    <s v="Enterprise"/>
    <x v="3"/>
    <x v="3"/>
    <x v="13"/>
    <x v="2"/>
    <s v="Medium"/>
    <x v="449"/>
    <n v="1023.06"/>
    <n v="1355.61"/>
    <n v="1355.61"/>
    <x v="180"/>
    <s v="OK"/>
    <n v="0.153"/>
    <n v="23"/>
    <n v="26408.63841"/>
    <n v="23530.379999999997"/>
    <n v="2878.2584100000022"/>
    <n v="0.10898927711888809"/>
    <d v="1899-12-30T00:00:00"/>
    <s v="Jan-1900"/>
    <n v="0"/>
    <n v="0"/>
    <n v="0"/>
  </r>
  <r>
    <x v="450"/>
    <d v="2025-07-21T00:00:00"/>
    <x v="4"/>
    <s v="2025-Q3"/>
    <d v="2025-08-07T00:00:00"/>
    <x v="23"/>
    <x v="0"/>
    <x v="8"/>
    <s v="Lagos"/>
    <s v="Africa &gt; Nigeria &gt; Lagos"/>
    <s v="Enterprise"/>
    <x v="4"/>
    <x v="4"/>
    <x v="13"/>
    <x v="1"/>
    <s v="High"/>
    <x v="450"/>
    <n v="1204.95"/>
    <n v="2065.73"/>
    <n v="2065.73"/>
    <x v="83"/>
    <s v="OK"/>
    <n v="0.13600000000000001"/>
    <n v="10"/>
    <n v="17847.907199999998"/>
    <n v="12049.5"/>
    <n v="5798.4071999999978"/>
    <n v="0.32487882949100039"/>
    <d v="1899-12-30T00:00:00"/>
    <s v="Jan-1900"/>
    <n v="0"/>
    <n v="0"/>
    <n v="0"/>
  </r>
  <r>
    <x v="451"/>
    <d v="2024-09-03T00:00:00"/>
    <x v="17"/>
    <s v="2024-Q3"/>
    <d v="2024-09-08T00:00:00"/>
    <x v="5"/>
    <x v="0"/>
    <x v="8"/>
    <s v="Lagos"/>
    <s v="Africa &gt; Nigeria &gt; Lagos"/>
    <s v="Small Business"/>
    <x v="4"/>
    <x v="4"/>
    <x v="3"/>
    <x v="5"/>
    <s v="Low"/>
    <x v="451"/>
    <n v="197.63"/>
    <n v="325.79000000000002"/>
    <n v="325.79000000000002"/>
    <x v="197"/>
    <s v="OK"/>
    <n v="0.11600000000000001"/>
    <n v="10"/>
    <n v="2879.9836"/>
    <n v="1976.3"/>
    <n v="903.68360000000007"/>
    <n v="0.31378081458519419"/>
    <d v="1899-12-30T00:00:00"/>
    <s v="Jan-1900"/>
    <n v="0"/>
    <n v="0"/>
    <n v="0"/>
  </r>
  <r>
    <x v="452"/>
    <d v="2024-03-06T00:00:00"/>
    <x v="0"/>
    <s v="2024-Q1"/>
    <d v="2024-03-26T00:00:00"/>
    <x v="8"/>
    <x v="0"/>
    <x v="8"/>
    <s v="Port Harcourt"/>
    <s v="Africa &gt; Nigeria &gt; Port Harcourt"/>
    <s v="Consumer"/>
    <x v="2"/>
    <x v="2"/>
    <x v="12"/>
    <x v="4"/>
    <s v="Low"/>
    <x v="452"/>
    <n v="65.64"/>
    <n v="151.88"/>
    <n v="151.88"/>
    <x v="198"/>
    <s v="OK"/>
    <n v="0.16700000000000001"/>
    <n v="23"/>
    <n v="2909.8689199999999"/>
    <n v="1509.72"/>
    <n v="1400.1489199999999"/>
    <n v="0.48117250587356353"/>
    <d v="1899-12-30T00:00:00"/>
    <s v="Jan-1900"/>
    <n v="0"/>
    <n v="0"/>
    <n v="0"/>
  </r>
  <r>
    <x v="453"/>
    <d v="2023-05-20T00:00:00"/>
    <x v="26"/>
    <s v="2023-Q2"/>
    <d v="2023-06-07T00:00:00"/>
    <x v="16"/>
    <x v="0"/>
    <x v="8"/>
    <s v="Port Harcourt"/>
    <s v="Africa &gt; Nigeria &gt; Port Harcourt"/>
    <s v="Enterprise"/>
    <x v="3"/>
    <x v="3"/>
    <x v="11"/>
    <x v="0"/>
    <s v="High"/>
    <x v="453"/>
    <n v="1120.06"/>
    <n v="2068.21"/>
    <n v="2068.21"/>
    <x v="199"/>
    <s v="OK"/>
    <n v="7.8E-2"/>
    <n v="12"/>
    <n v="22882.675440000003"/>
    <n v="13440.72"/>
    <n v="9441.9554400000034"/>
    <n v="0.41262462795303284"/>
    <d v="1899-12-30T00:00:00"/>
    <s v="Jan-1900"/>
    <n v="0"/>
    <n v="0"/>
    <n v="0"/>
  </r>
  <r>
    <x v="454"/>
    <d v="2025-04-16T00:00:00"/>
    <x v="7"/>
    <s v="2025-Q2"/>
    <d v="2025-04-26T00:00:00"/>
    <x v="30"/>
    <x v="0"/>
    <x v="8"/>
    <s v="Port Harcourt"/>
    <s v="Africa &gt; Nigeria &gt; Port Harcourt"/>
    <s v="Enterprise"/>
    <x v="2"/>
    <x v="2"/>
    <x v="8"/>
    <x v="3"/>
    <s v="High"/>
    <x v="454"/>
    <n v="1457.44"/>
    <n v="1996.81"/>
    <n v="1996.81"/>
    <x v="115"/>
    <s v="OK"/>
    <n v="0.126"/>
    <n v="23"/>
    <n v="40139.874619999995"/>
    <n v="33521.120000000003"/>
    <n v="6618.7546199999924"/>
    <n v="0.16489225944672353"/>
    <d v="1899-12-30T00:00:00"/>
    <s v="Jan-1900"/>
    <n v="0"/>
    <n v="0"/>
    <n v="0"/>
  </r>
  <r>
    <x v="455"/>
    <d v="2023-05-07T00:00:00"/>
    <x v="26"/>
    <s v="2023-Q2"/>
    <d v="2023-05-12T00:00:00"/>
    <x v="5"/>
    <x v="0"/>
    <x v="8"/>
    <s v="Port Harcourt"/>
    <s v="Africa &gt; Nigeria &gt; Port Harcourt"/>
    <s v="Non-Profit"/>
    <x v="2"/>
    <x v="2"/>
    <x v="1"/>
    <x v="0"/>
    <s v="High"/>
    <x v="455"/>
    <n v="1269.6500000000001"/>
    <n v="2462.77"/>
    <n v="2462.77"/>
    <x v="178"/>
    <s v="OK"/>
    <n v="0.107"/>
    <n v="8"/>
    <n v="17594.028880000002"/>
    <n v="10157.200000000001"/>
    <n v="7436.8288800000009"/>
    <n v="0.42269050089225502"/>
    <d v="1899-12-30T00:00:00"/>
    <s v="Jan-1900"/>
    <n v="0"/>
    <n v="0"/>
    <n v="0"/>
  </r>
  <r>
    <x v="456"/>
    <d v="2025-08-28T00:00:00"/>
    <x v="24"/>
    <s v="2025-Q3"/>
    <d v="2025-09-02T00:00:00"/>
    <x v="5"/>
    <x v="0"/>
    <x v="8"/>
    <s v="Port Harcourt"/>
    <s v="Africa &gt; Nigeria &gt; Port Harcourt"/>
    <s v="Small Business"/>
    <x v="0"/>
    <x v="0"/>
    <x v="1"/>
    <x v="1"/>
    <s v="Medium"/>
    <x v="456"/>
    <n v="521.05999999999995"/>
    <n v="1240.31"/>
    <n v="1240.31"/>
    <x v="139"/>
    <s v="OK"/>
    <n v="0.14599999999999999"/>
    <n v="18"/>
    <n v="19066.045319999997"/>
    <n v="9379.0799999999981"/>
    <n v="9686.9653199999993"/>
    <n v="0.50807417885650974"/>
    <d v="1899-12-30T00:00:00"/>
    <s v="Jan-1900"/>
    <n v="0"/>
    <n v="0"/>
    <n v="0"/>
  </r>
  <r>
    <x v="457"/>
    <d v="2025-03-25T00:00:00"/>
    <x v="2"/>
    <s v="2025-Q1"/>
    <d v="2025-03-26T00:00:00"/>
    <x v="17"/>
    <x v="0"/>
    <x v="8"/>
    <s v="Lagos"/>
    <s v="Africa &gt; Nigeria &gt; Lagos"/>
    <s v="Education"/>
    <x v="3"/>
    <x v="3"/>
    <x v="4"/>
    <x v="1"/>
    <s v="High"/>
    <x v="457"/>
    <n v="1450.43"/>
    <n v="1994.67"/>
    <n v="1994.67"/>
    <x v="171"/>
    <s v="OK"/>
    <n v="0.1"/>
    <n v="24"/>
    <n v="43084.872000000003"/>
    <n v="34810.32"/>
    <n v="8274.5520000000033"/>
    <n v="0.19205237513529116"/>
    <d v="1899-12-30T00:00:00"/>
    <s v="Jan-1900"/>
    <n v="0"/>
    <n v="0"/>
    <n v="0"/>
  </r>
  <r>
    <x v="458"/>
    <d v="2023-07-25T00:00:00"/>
    <x v="14"/>
    <s v="2023-Q3"/>
    <d v="2023-08-10T00:00:00"/>
    <x v="4"/>
    <x v="0"/>
    <x v="8"/>
    <s v="Port Harcourt"/>
    <s v="Africa &gt; Nigeria &gt; Port Harcourt"/>
    <s v="Corporate"/>
    <x v="3"/>
    <x v="3"/>
    <x v="12"/>
    <x v="1"/>
    <s v="Low"/>
    <x v="458"/>
    <n v="506.83"/>
    <n v="441.74"/>
    <n v="441.74"/>
    <x v="200"/>
    <s v="OK"/>
    <n v="0.24"/>
    <n v="9"/>
    <n v="3021.5016000000001"/>
    <n v="4561.47"/>
    <n v="-1539.9684000000002"/>
    <n v="-0.50966989393618067"/>
    <d v="1899-12-30T00:00:00"/>
    <s v="Jan-1900"/>
    <n v="0"/>
    <n v="0"/>
    <n v="0"/>
  </r>
  <r>
    <x v="459"/>
    <d v="2023-05-04T00:00:00"/>
    <x v="26"/>
    <s v="2023-Q2"/>
    <d v="2023-05-16T00:00:00"/>
    <x v="15"/>
    <x v="0"/>
    <x v="8"/>
    <s v="Abuja"/>
    <s v="Africa &gt; Nigeria &gt; Abuja"/>
    <s v="Small Business"/>
    <x v="2"/>
    <x v="2"/>
    <x v="2"/>
    <x v="4"/>
    <s v="Low"/>
    <x v="459"/>
    <n v="77.739999999999995"/>
    <n v="147.12"/>
    <n v="147.12"/>
    <x v="3"/>
    <s v="OK"/>
    <n v="0"/>
    <n v="15"/>
    <n v="2206.8000000000002"/>
    <n v="1166.0999999999999"/>
    <n v="1040.7000000000003"/>
    <n v="0.47158781946710177"/>
    <d v="1899-12-30T00:00:00"/>
    <s v="Jan-1900"/>
    <n v="0"/>
    <n v="0"/>
    <n v="0"/>
  </r>
  <r>
    <x v="460"/>
    <d v="2023-12-21T00:00:00"/>
    <x v="9"/>
    <s v="2023-Q4"/>
    <d v="2024-01-06T00:00:00"/>
    <x v="4"/>
    <x v="0"/>
    <x v="8"/>
    <s v="Unkown"/>
    <s v="Africa &gt; Nigeria &gt; Unkown"/>
    <s v="Corporate"/>
    <x v="2"/>
    <x v="2"/>
    <x v="3"/>
    <x v="0"/>
    <s v="High"/>
    <x v="460"/>
    <n v="932.61"/>
    <n v="1982.98"/>
    <n v="1982.98"/>
    <x v="140"/>
    <s v="OK"/>
    <n v="0.14399999999999999"/>
    <n v="16"/>
    <n v="27158.894079999998"/>
    <n v="14921.76"/>
    <n v="12237.134079999998"/>
    <n v="0.45057556629345635"/>
    <d v="1899-12-30T00:00:00"/>
    <s v="Jan-1900"/>
    <n v="0"/>
    <n v="0"/>
    <n v="0"/>
  </r>
  <r>
    <x v="461"/>
    <d v="2023-07-14T00:00:00"/>
    <x v="14"/>
    <s v="2023-Q3"/>
    <d v="2023-07-14T00:00:00"/>
    <x v="25"/>
    <x v="0"/>
    <x v="8"/>
    <s v="Lagos"/>
    <s v="Africa &gt; Nigeria &gt; Lagos"/>
    <s v="Education"/>
    <x v="0"/>
    <x v="0"/>
    <x v="12"/>
    <x v="1"/>
    <s v="Medium"/>
    <x v="461"/>
    <n v="956.38"/>
    <n v="1454.22"/>
    <n v="1454.22"/>
    <x v="201"/>
    <s v="OK"/>
    <n v="3.9E-2"/>
    <n v="19"/>
    <n v="26552.60298"/>
    <n v="18171.22"/>
    <n v="8381.3829799999985"/>
    <n v="0.31565202802576603"/>
    <d v="1899-12-30T00:00:00"/>
    <s v="Jan-1900"/>
    <n v="0"/>
    <n v="0"/>
    <n v="0"/>
  </r>
  <r>
    <x v="462"/>
    <d v="2023-07-01T00:00:00"/>
    <x v="14"/>
    <s v="2023-Q3"/>
    <d v="2023-07-08T00:00:00"/>
    <x v="22"/>
    <x v="0"/>
    <x v="8"/>
    <s v="Port Harcourt"/>
    <s v="Africa &gt; Nigeria &gt; Port Harcourt"/>
    <s v="Corporate"/>
    <x v="0"/>
    <x v="0"/>
    <x v="1"/>
    <x v="3"/>
    <s v="High"/>
    <x v="462"/>
    <n v="834.26"/>
    <n v="1780.56"/>
    <n v="1780.56"/>
    <x v="202"/>
    <s v="OK"/>
    <n v="1.4E-2"/>
    <n v="47"/>
    <n v="82514.711519999997"/>
    <n v="39210.22"/>
    <n v="43304.491519999996"/>
    <n v="0.5248093427497933"/>
    <d v="1899-12-30T00:00:00"/>
    <s v="Jan-1900"/>
    <n v="0"/>
    <n v="0"/>
    <n v="0"/>
  </r>
  <r>
    <x v="463"/>
    <d v="2023-04-06T00:00:00"/>
    <x v="19"/>
    <s v="2023-Q2"/>
    <d v="2023-04-08T00:00:00"/>
    <x v="18"/>
    <x v="0"/>
    <x v="8"/>
    <s v="Abuja"/>
    <s v="Africa &gt; Nigeria &gt; Abuja"/>
    <s v="Small Business"/>
    <x v="2"/>
    <x v="2"/>
    <x v="3"/>
    <x v="2"/>
    <s v="Medium"/>
    <x v="463"/>
    <n v="720.35"/>
    <n v="1571.66"/>
    <n v="1571.66"/>
    <x v="178"/>
    <s v="OK"/>
    <n v="0.107"/>
    <n v="23"/>
    <n v="32280.32474"/>
    <n v="16568.05"/>
    <n v="15712.274740000001"/>
    <n v="0.4867446305622265"/>
    <d v="1899-12-30T00:00:00"/>
    <s v="Jan-1900"/>
    <n v="0"/>
    <n v="0"/>
    <n v="0"/>
  </r>
  <r>
    <x v="464"/>
    <d v="2024-05-07T00:00:00"/>
    <x v="16"/>
    <s v="2024-Q2"/>
    <d v="2024-05-12T00:00:00"/>
    <x v="5"/>
    <x v="0"/>
    <x v="8"/>
    <s v="Abuja"/>
    <s v="Africa &gt; Nigeria &gt; Abuja"/>
    <s v="Non-Profit"/>
    <x v="3"/>
    <x v="3"/>
    <x v="10"/>
    <x v="3"/>
    <s v="Medium"/>
    <x v="464"/>
    <n v="1163.99"/>
    <n v="1617.85"/>
    <n v="1617.85"/>
    <x v="143"/>
    <s v="OK"/>
    <n v="0.127"/>
    <n v="14"/>
    <n v="19773.362699999998"/>
    <n v="16295.86"/>
    <n v="3477.5026999999973"/>
    <n v="0.17586804797749436"/>
    <d v="1899-12-30T00:00:00"/>
    <s v="Jan-1900"/>
    <n v="0"/>
    <n v="0"/>
    <n v="0"/>
  </r>
  <r>
    <x v="465"/>
    <d v="2025-02-21T00:00:00"/>
    <x v="8"/>
    <s v="2025-Q1"/>
    <d v="2025-03-21T00:00:00"/>
    <x v="11"/>
    <x v="0"/>
    <x v="8"/>
    <s v="Abuja"/>
    <s v="Africa &gt; Nigeria &gt; Abuja"/>
    <s v="Enterprise"/>
    <x v="2"/>
    <x v="2"/>
    <x v="12"/>
    <x v="4"/>
    <s v="Medium"/>
    <x v="465"/>
    <n v="1437.39"/>
    <n v="1388.31"/>
    <n v="1388.31"/>
    <x v="129"/>
    <s v="OK"/>
    <n v="0.13800000000000001"/>
    <n v="18"/>
    <n v="21541.017959999997"/>
    <n v="25873.02"/>
    <n v="-4332.002040000003"/>
    <n v="-0.20110479681341872"/>
    <d v="1899-12-30T00:00:00"/>
    <s v="Jan-1900"/>
    <n v="0"/>
    <n v="0"/>
    <n v="0"/>
  </r>
  <r>
    <x v="466"/>
    <d v="2023-08-25T00:00:00"/>
    <x v="21"/>
    <s v="2023-Q3"/>
    <d v="2023-09-16T00:00:00"/>
    <x v="21"/>
    <x v="0"/>
    <x v="8"/>
    <s v="Abuja"/>
    <s v="Africa &gt; Nigeria &gt; Abuja"/>
    <s v="Corporate"/>
    <x v="2"/>
    <x v="2"/>
    <x v="10"/>
    <x v="4"/>
    <s v="High"/>
    <x v="466"/>
    <n v="1196.83"/>
    <n v="2513.5100000000002"/>
    <n v="2513.5100000000002"/>
    <x v="185"/>
    <s v="OK"/>
    <n v="8.3000000000000004E-2"/>
    <n v="7"/>
    <n v="16134.22069"/>
    <n v="8377.81"/>
    <n v="7756.4106900000006"/>
    <n v="0.48074281609445374"/>
    <d v="1899-12-30T00:00:00"/>
    <s v="Jan-1900"/>
    <n v="0"/>
    <n v="0"/>
    <n v="0"/>
  </r>
  <r>
    <x v="467"/>
    <d v="2025-07-03T00:00:00"/>
    <x v="4"/>
    <s v="2025-Q3"/>
    <d v="2025-07-06T00:00:00"/>
    <x v="12"/>
    <x v="0"/>
    <x v="8"/>
    <s v="Lagos"/>
    <s v="Africa &gt; Nigeria &gt; Lagos"/>
    <s v="Consumer"/>
    <x v="1"/>
    <x v="1"/>
    <x v="9"/>
    <x v="3"/>
    <s v="High"/>
    <x v="467"/>
    <n v="1313.3"/>
    <n v="2884.34"/>
    <n v="2884.34"/>
    <x v="23"/>
    <s v="OK"/>
    <n v="0.157"/>
    <n v="42"/>
    <n v="102122.94203999999"/>
    <n v="55158.6"/>
    <n v="46964.342039999996"/>
    <n v="0.45988042551305253"/>
    <d v="1899-12-30T00:00:00"/>
    <s v="Jan-1900"/>
    <n v="0"/>
    <n v="0"/>
    <n v="0"/>
  </r>
  <r>
    <x v="468"/>
    <d v="2025-08-28T00:00:00"/>
    <x v="24"/>
    <s v="2025-Q3"/>
    <d v="2025-09-05T00:00:00"/>
    <x v="19"/>
    <x v="0"/>
    <x v="8"/>
    <s v="Port Harcourt"/>
    <s v="Africa &gt; Nigeria &gt; Port Harcourt"/>
    <s v="Small Business"/>
    <x v="2"/>
    <x v="2"/>
    <x v="11"/>
    <x v="3"/>
    <s v="High"/>
    <x v="468"/>
    <n v="1271.0999999999999"/>
    <n v="1932.42"/>
    <n v="1932.42"/>
    <x v="174"/>
    <s v="OK"/>
    <n v="0.25"/>
    <n v="21"/>
    <n v="30435.614999999998"/>
    <n v="26693.1"/>
    <n v="3742.5149999999994"/>
    <n v="0.12296498690760807"/>
    <d v="1899-12-30T00:00:00"/>
    <s v="Jan-1900"/>
    <n v="0"/>
    <n v="0"/>
    <n v="0"/>
  </r>
  <r>
    <x v="469"/>
    <d v="2024-12-10T00:00:00"/>
    <x v="30"/>
    <s v="2024-Q4"/>
    <d v="2024-12-19T00:00:00"/>
    <x v="13"/>
    <x v="0"/>
    <x v="8"/>
    <s v="Lagos"/>
    <s v="Africa &gt; Nigeria &gt; Lagos"/>
    <s v="Corporate"/>
    <x v="0"/>
    <x v="0"/>
    <x v="7"/>
    <x v="2"/>
    <s v="Medium"/>
    <x v="469"/>
    <n v="488.68"/>
    <n v="984.36"/>
    <n v="984.36"/>
    <x v="193"/>
    <s v="OK"/>
    <n v="5.8999999999999997E-2"/>
    <n v="14"/>
    <n v="12967.958640000001"/>
    <n v="6841.52"/>
    <n v="6126.4386400000003"/>
    <n v="0.47242891576649876"/>
    <d v="1899-12-30T00:00:00"/>
    <s v="Jan-1900"/>
    <n v="0"/>
    <n v="0"/>
    <n v="0"/>
  </r>
  <r>
    <x v="470"/>
    <d v="2024-06-11T00:00:00"/>
    <x v="6"/>
    <s v="2024-Q2"/>
    <d v="2024-07-09T00:00:00"/>
    <x v="11"/>
    <x v="0"/>
    <x v="8"/>
    <s v="Port Harcourt"/>
    <s v="Africa &gt; Nigeria &gt; Port Harcourt"/>
    <s v="Corporate"/>
    <x v="2"/>
    <x v="2"/>
    <x v="12"/>
    <x v="4"/>
    <s v="Medium"/>
    <x v="470"/>
    <n v="895.54"/>
    <n v="1045"/>
    <n v="1045"/>
    <x v="27"/>
    <s v="OK"/>
    <n v="0.216"/>
    <n v="15"/>
    <n v="12289.2"/>
    <n v="13433.099999999999"/>
    <n v="-1143.8999999999978"/>
    <n v="-9.3081730299775234E-2"/>
    <d v="1899-12-30T00:00:00"/>
    <s v="Jan-1900"/>
    <n v="0"/>
    <n v="0"/>
    <n v="0"/>
  </r>
  <r>
    <x v="471"/>
    <d v="2024-06-23T00:00:00"/>
    <x v="6"/>
    <s v="2024-Q2"/>
    <d v="2024-06-28T00:00:00"/>
    <x v="5"/>
    <x v="0"/>
    <x v="8"/>
    <s v="Port Harcourt"/>
    <s v="Africa &gt; Nigeria &gt; Port Harcourt"/>
    <s v="Non-Profit"/>
    <x v="4"/>
    <x v="4"/>
    <x v="13"/>
    <x v="1"/>
    <s v="Low"/>
    <x v="471"/>
    <n v="242.31"/>
    <n v="587.95000000000005"/>
    <n v="587.95000000000005"/>
    <x v="188"/>
    <s v="OK"/>
    <n v="0.22900000000000001"/>
    <n v="6"/>
    <n v="2719.8567000000003"/>
    <n v="1453.8600000000001"/>
    <n v="1265.9967000000001"/>
    <n v="0.46546448568411714"/>
    <d v="1899-12-30T00:00:00"/>
    <s v="Jan-1900"/>
    <n v="0"/>
    <n v="0"/>
    <n v="0"/>
  </r>
  <r>
    <x v="472"/>
    <d v="2024-04-21T00:00:00"/>
    <x v="15"/>
    <s v="2024-Q2"/>
    <d v="2024-05-19T00:00:00"/>
    <x v="11"/>
    <x v="0"/>
    <x v="8"/>
    <s v="Lagos"/>
    <s v="Africa &gt; Nigeria &gt; Lagos"/>
    <s v="Corporate"/>
    <x v="3"/>
    <x v="3"/>
    <x v="1"/>
    <x v="1"/>
    <s v="Low"/>
    <x v="472"/>
    <n v="187.22"/>
    <n v="309.47000000000003"/>
    <n v="309.47000000000003"/>
    <x v="3"/>
    <s v="OK"/>
    <n v="0"/>
    <n v="5"/>
    <n v="1547.3500000000001"/>
    <n v="936.1"/>
    <n v="611.25000000000011"/>
    <n v="0.39503021294471197"/>
    <d v="1899-12-30T00:00:00"/>
    <s v="Jan-1900"/>
    <n v="0"/>
    <n v="0"/>
    <n v="0"/>
  </r>
  <r>
    <x v="473"/>
    <d v="2024-04-05T00:00:00"/>
    <x v="15"/>
    <s v="2024-Q2"/>
    <d v="2024-04-09T00:00:00"/>
    <x v="14"/>
    <x v="0"/>
    <x v="8"/>
    <s v="Lagos"/>
    <s v="Africa &gt; Nigeria &gt; Lagos"/>
    <s v="Non-Profit"/>
    <x v="4"/>
    <x v="4"/>
    <x v="3"/>
    <x v="0"/>
    <s v="Medium"/>
    <x v="473"/>
    <n v="395.07"/>
    <n v="970.27"/>
    <n v="970.27"/>
    <x v="42"/>
    <s v="OK"/>
    <n v="0.123"/>
    <n v="38"/>
    <n v="32335.21802"/>
    <n v="15012.66"/>
    <n v="17322.55802"/>
    <n v="0.53571799049833657"/>
    <d v="1899-12-30T00:00:00"/>
    <s v="Jan-1900"/>
    <n v="0"/>
    <n v="0"/>
    <n v="0"/>
  </r>
  <r>
    <x v="474"/>
    <d v="2025-05-17T00:00:00"/>
    <x v="1"/>
    <s v="2025-Q2"/>
    <d v="2025-05-30T00:00:00"/>
    <x v="28"/>
    <x v="0"/>
    <x v="8"/>
    <s v="Lagos"/>
    <s v="Africa &gt; Nigeria &gt; Lagos"/>
    <s v="Consumer"/>
    <x v="3"/>
    <x v="3"/>
    <x v="8"/>
    <x v="1"/>
    <s v="Low"/>
    <x v="474"/>
    <n v="66.400000000000006"/>
    <n v="141.43"/>
    <n v="141.43"/>
    <x v="178"/>
    <s v="OK"/>
    <n v="0.107"/>
    <n v="8"/>
    <n v="1010.3759200000001"/>
    <n v="531.20000000000005"/>
    <n v="479.17592000000002"/>
    <n v="0.47425508715607551"/>
    <d v="1899-12-30T00:00:00"/>
    <s v="Jan-1900"/>
    <n v="0"/>
    <n v="0"/>
    <n v="0"/>
  </r>
  <r>
    <x v="475"/>
    <d v="2023-05-01T00:00:00"/>
    <x v="26"/>
    <s v="2023-Q2"/>
    <d v="2023-05-18T00:00:00"/>
    <x v="23"/>
    <x v="0"/>
    <x v="8"/>
    <s v="Port Harcourt"/>
    <s v="Africa &gt; Nigeria &gt; Port Harcourt"/>
    <s v="Corporate"/>
    <x v="4"/>
    <x v="4"/>
    <x v="8"/>
    <x v="0"/>
    <s v="Low"/>
    <x v="475"/>
    <n v="327.97"/>
    <n v="299.94"/>
    <n v="299.94"/>
    <x v="192"/>
    <s v="OK"/>
    <n v="4.9000000000000002E-2"/>
    <n v="3"/>
    <n v="855.72881999999993"/>
    <n v="983.91000000000008"/>
    <n v="-128.18118000000015"/>
    <n v="-0.14979182306843442"/>
    <d v="1899-12-30T00:00:00"/>
    <s v="Jan-1900"/>
    <n v="0"/>
    <n v="0"/>
    <n v="0"/>
  </r>
  <r>
    <x v="476"/>
    <d v="2025-02-07T00:00:00"/>
    <x v="8"/>
    <s v="2025-Q1"/>
    <d v="2025-02-16T00:00:00"/>
    <x v="13"/>
    <x v="0"/>
    <x v="8"/>
    <s v="Lagos"/>
    <s v="Africa &gt; Nigeria &gt; Lagos"/>
    <s v="Small Business"/>
    <x v="3"/>
    <x v="3"/>
    <x v="0"/>
    <x v="5"/>
    <s v="Low"/>
    <x v="476"/>
    <n v="90.68"/>
    <n v="118.17"/>
    <n v="118.17"/>
    <x v="28"/>
    <s v="OK"/>
    <n v="0.13500000000000001"/>
    <n v="21"/>
    <n v="2146.5580500000001"/>
    <n v="1904.2800000000002"/>
    <n v="242.27804999999989"/>
    <n v="0.11286815653552899"/>
    <d v="1899-12-30T00:00:00"/>
    <s v="Jan-1900"/>
    <n v="0"/>
    <n v="0"/>
    <n v="0"/>
  </r>
  <r>
    <x v="477"/>
    <d v="2023-02-11T00:00:00"/>
    <x v="5"/>
    <s v="2023-Q1"/>
    <d v="2023-02-12T00:00:00"/>
    <x v="17"/>
    <x v="0"/>
    <x v="8"/>
    <s v="Port Harcourt"/>
    <s v="Africa &gt; Nigeria &gt; Port Harcourt"/>
    <s v="Non-Profit"/>
    <x v="4"/>
    <x v="4"/>
    <x v="14"/>
    <x v="1"/>
    <s v="Medium"/>
    <x v="477"/>
    <n v="944.61"/>
    <n v="839.04"/>
    <n v="839.04"/>
    <x v="193"/>
    <s v="OK"/>
    <n v="5.8999999999999997E-2"/>
    <n v="6"/>
    <n v="4737.2198399999997"/>
    <n v="5667.66"/>
    <n v="-930.44016000000011"/>
    <n v="-0.19641059343363726"/>
    <d v="1899-12-30T00:00:00"/>
    <s v="Jan-1900"/>
    <n v="0"/>
    <n v="0"/>
    <n v="0"/>
  </r>
  <r>
    <x v="478"/>
    <d v="2025-06-26T00:00:00"/>
    <x v="31"/>
    <s v="2025-Q2"/>
    <d v="2025-07-11T00:00:00"/>
    <x v="26"/>
    <x v="0"/>
    <x v="8"/>
    <s v="Port Harcourt"/>
    <s v="Africa &gt; Nigeria &gt; Port Harcourt"/>
    <s v="Small Business"/>
    <x v="1"/>
    <x v="1"/>
    <x v="1"/>
    <x v="3"/>
    <s v="High"/>
    <x v="478"/>
    <n v="1170.1500000000001"/>
    <n v="2115.19"/>
    <n v="2115.19"/>
    <x v="87"/>
    <s v="OK"/>
    <n v="9.1999999999999998E-2"/>
    <n v="23"/>
    <n v="44173.627960000005"/>
    <n v="26913.45"/>
    <n v="17260.177960000005"/>
    <n v="0.39073489674946776"/>
    <d v="1899-12-30T00:00:00"/>
    <s v="Jan-1900"/>
    <n v="0"/>
    <n v="0"/>
    <n v="0"/>
  </r>
  <r>
    <x v="479"/>
    <d v="2024-03-13T00:00:00"/>
    <x v="0"/>
    <s v="2024-Q1"/>
    <d v="2024-04-06T00:00:00"/>
    <x v="7"/>
    <x v="0"/>
    <x v="8"/>
    <s v="Abuja"/>
    <s v="Africa &gt; Nigeria &gt; Abuja"/>
    <s v="Consumer"/>
    <x v="3"/>
    <x v="3"/>
    <x v="10"/>
    <x v="0"/>
    <s v="High"/>
    <x v="479"/>
    <n v="1232.78"/>
    <n v="1731.75"/>
    <n v="1731.75"/>
    <x v="203"/>
    <s v="OK"/>
    <n v="9.2999999999999999E-2"/>
    <n v="16"/>
    <n v="25131.155999999999"/>
    <n v="19724.48"/>
    <n v="5406.6759999999995"/>
    <n v="0.21513837246484005"/>
    <d v="1899-12-30T00:00:00"/>
    <s v="Jan-1900"/>
    <n v="0"/>
    <n v="0"/>
    <n v="0"/>
  </r>
  <r>
    <x v="480"/>
    <d v="2023-10-09T00:00:00"/>
    <x v="20"/>
    <s v="2023-Q4"/>
    <d v="2023-10-11T00:00:00"/>
    <x v="18"/>
    <x v="0"/>
    <x v="8"/>
    <s v="Port Harcourt"/>
    <s v="Africa &gt; Nigeria &gt; Port Harcourt"/>
    <s v="Education"/>
    <x v="2"/>
    <x v="2"/>
    <x v="3"/>
    <x v="6"/>
    <s v="Medium"/>
    <x v="480"/>
    <n v="391.16"/>
    <n v="902.47"/>
    <n v="902.47"/>
    <x v="98"/>
    <s v="OK"/>
    <n v="4.0000000000000001E-3"/>
    <n v="12"/>
    <n v="10786.32144"/>
    <n v="4693.92"/>
    <n v="6092.4014399999996"/>
    <n v="0.56482661618139207"/>
    <d v="1899-12-30T00:00:00"/>
    <s v="Jan-1900"/>
    <n v="0"/>
    <n v="0"/>
    <n v="0"/>
  </r>
  <r>
    <x v="481"/>
    <d v="2025-07-24T00:00:00"/>
    <x v="4"/>
    <s v="2025-Q3"/>
    <d v="2025-08-06T00:00:00"/>
    <x v="28"/>
    <x v="0"/>
    <x v="9"/>
    <s v="Johannesburg"/>
    <s v="Africa &gt; South Africa &gt; Johannesburg"/>
    <s v="Education"/>
    <x v="2"/>
    <x v="2"/>
    <x v="14"/>
    <x v="6"/>
    <s v="High"/>
    <x v="481"/>
    <n v="1463.9"/>
    <n v="2633.02"/>
    <n v="2633.02"/>
    <x v="89"/>
    <s v="OK"/>
    <n v="8.4000000000000005E-2"/>
    <n v="4"/>
    <n v="9647.3852800000004"/>
    <n v="5855.6"/>
    <n v="3791.7852800000001"/>
    <n v="0.39303761277791527"/>
    <d v="1899-12-30T00:00:00"/>
    <s v="Jan-1900"/>
    <n v="0"/>
    <n v="0"/>
    <n v="0"/>
  </r>
  <r>
    <x v="482"/>
    <d v="2024-08-23T00:00:00"/>
    <x v="10"/>
    <s v="2024-Q3"/>
    <d v="2024-08-28T00:00:00"/>
    <x v="5"/>
    <x v="0"/>
    <x v="9"/>
    <s v="Johannesburg"/>
    <s v="Africa &gt; South Africa &gt; Johannesburg"/>
    <s v="Education"/>
    <x v="0"/>
    <x v="0"/>
    <x v="11"/>
    <x v="0"/>
    <s v="High"/>
    <x v="482"/>
    <n v="1432.52"/>
    <n v="3036.87"/>
    <n v="3036.87"/>
    <x v="3"/>
    <s v="OK"/>
    <n v="0"/>
    <n v="9"/>
    <n v="27331.829999999998"/>
    <n v="12892.68"/>
    <n v="14439.149999999998"/>
    <n v="0.52829064135112791"/>
    <d v="1899-12-30T00:00:00"/>
    <s v="Jan-1900"/>
    <n v="0"/>
    <n v="0"/>
    <n v="0"/>
  </r>
  <r>
    <x v="483"/>
    <d v="2024-01-11T00:00:00"/>
    <x v="22"/>
    <s v="2024-Q1"/>
    <d v="2024-02-02T00:00:00"/>
    <x v="21"/>
    <x v="0"/>
    <x v="9"/>
    <s v="Durban"/>
    <s v="Africa &gt; South Africa &gt; Durban"/>
    <s v="Consumer"/>
    <x v="1"/>
    <x v="1"/>
    <x v="3"/>
    <x v="6"/>
    <s v="High"/>
    <x v="483"/>
    <n v="1206.2"/>
    <n v="1759.79"/>
    <n v="1759.79"/>
    <x v="3"/>
    <s v="OK"/>
    <n v="0"/>
    <n v="6"/>
    <n v="10558.74"/>
    <n v="7237.2000000000007"/>
    <n v="3321.5399999999991"/>
    <n v="0.31457730751964713"/>
    <d v="1899-12-30T00:00:00"/>
    <s v="Jan-1900"/>
    <n v="0"/>
    <n v="0"/>
    <n v="0"/>
  </r>
  <r>
    <x v="484"/>
    <d v="2023-02-15T00:00:00"/>
    <x v="5"/>
    <s v="2023-Q1"/>
    <d v="2023-02-26T00:00:00"/>
    <x v="20"/>
    <x v="0"/>
    <x v="9"/>
    <s v="Johannesburg"/>
    <s v="Africa &gt; South Africa &gt; Johannesburg"/>
    <s v="Non-Profit"/>
    <x v="0"/>
    <x v="0"/>
    <x v="3"/>
    <x v="3"/>
    <s v="Low"/>
    <x v="484"/>
    <n v="498.5"/>
    <n v="755.87"/>
    <n v="755.87"/>
    <x v="204"/>
    <s v="OK"/>
    <n v="0.13"/>
    <n v="40"/>
    <n v="26304.275999999998"/>
    <n v="19940"/>
    <n v="6364.275999999998"/>
    <n v="0.24194834330357537"/>
    <d v="1899-12-30T00:00:00"/>
    <s v="Jan-1900"/>
    <n v="0"/>
    <n v="0"/>
    <n v="0"/>
  </r>
  <r>
    <x v="485"/>
    <d v="2023-08-19T00:00:00"/>
    <x v="21"/>
    <s v="2023-Q3"/>
    <d v="2023-09-07T00:00:00"/>
    <x v="1"/>
    <x v="0"/>
    <x v="9"/>
    <s v="Johannesburg"/>
    <s v="Africa &gt; South Africa &gt; Johannesburg"/>
    <s v="Enterprise"/>
    <x v="0"/>
    <x v="0"/>
    <x v="14"/>
    <x v="2"/>
    <s v="Low"/>
    <x v="485"/>
    <n v="494.61"/>
    <n v="605.23"/>
    <n v="605.23"/>
    <x v="205"/>
    <s v="OK"/>
    <n v="0.20399999999999999"/>
    <n v="18"/>
    <n v="8671.7354400000004"/>
    <n v="8902.98"/>
    <n v="-231.24455999999918"/>
    <n v="-2.6666468505639647E-2"/>
    <d v="1899-12-30T00:00:00"/>
    <s v="Jan-1900"/>
    <n v="0"/>
    <n v="0"/>
    <n v="0"/>
  </r>
  <r>
    <x v="486"/>
    <d v="2024-04-12T00:00:00"/>
    <x v="15"/>
    <s v="2024-Q2"/>
    <d v="2024-05-07T00:00:00"/>
    <x v="2"/>
    <x v="0"/>
    <x v="9"/>
    <s v="Johannesburg"/>
    <s v="Africa &gt; South Africa &gt; Johannesburg"/>
    <s v="Education"/>
    <x v="3"/>
    <x v="3"/>
    <x v="1"/>
    <x v="3"/>
    <s v="Medium"/>
    <x v="486"/>
    <n v="1376.51"/>
    <n v="1455.91"/>
    <n v="1455.91"/>
    <x v="163"/>
    <s v="OK"/>
    <n v="0.185"/>
    <n v="17"/>
    <n v="20171.63305"/>
    <n v="23400.67"/>
    <n v="-3229.0369499999979"/>
    <n v="-0.1600781127634085"/>
    <d v="1899-12-30T00:00:00"/>
    <s v="Jan-1900"/>
    <n v="0"/>
    <n v="0"/>
    <n v="0"/>
  </r>
  <r>
    <x v="487"/>
    <d v="2023-05-20T00:00:00"/>
    <x v="26"/>
    <s v="2023-Q2"/>
    <d v="2023-05-25T00:00:00"/>
    <x v="5"/>
    <x v="0"/>
    <x v="9"/>
    <s v="Durban"/>
    <s v="Africa &gt; South Africa &gt; Durban"/>
    <s v="Corporate"/>
    <x v="3"/>
    <x v="3"/>
    <x v="1"/>
    <x v="0"/>
    <s v="Medium"/>
    <x v="487"/>
    <n v="917.88"/>
    <n v="1347.92"/>
    <n v="1347.92"/>
    <x v="35"/>
    <s v="OK"/>
    <n v="0.3"/>
    <n v="5"/>
    <n v="4717.72"/>
    <n v="4589.3999999999996"/>
    <n v="128.32000000000062"/>
    <n v="2.7199579457873848E-2"/>
    <d v="1899-12-30T00:00:00"/>
    <s v="Jan-1900"/>
    <n v="0"/>
    <n v="0"/>
    <n v="0"/>
  </r>
  <r>
    <x v="488"/>
    <d v="2023-02-08T00:00:00"/>
    <x v="5"/>
    <s v="2023-Q1"/>
    <d v="2023-02-11T00:00:00"/>
    <x v="12"/>
    <x v="0"/>
    <x v="9"/>
    <s v="Cape Town"/>
    <s v="Africa &gt; South Africa &gt; Cape Town"/>
    <s v="Corporate"/>
    <x v="4"/>
    <x v="4"/>
    <x v="13"/>
    <x v="6"/>
    <s v="High"/>
    <x v="488"/>
    <n v="1410.05"/>
    <n v="2763.95"/>
    <n v="2763.95"/>
    <x v="112"/>
    <s v="OK"/>
    <n v="0.161"/>
    <n v="26"/>
    <n v="60292.805299999993"/>
    <n v="36661.299999999996"/>
    <n v="23631.505299999997"/>
    <n v="0.39194569206750779"/>
    <d v="1899-12-30T00:00:00"/>
    <s v="Jan-1900"/>
    <n v="0"/>
    <n v="0"/>
    <n v="0"/>
  </r>
  <r>
    <x v="489"/>
    <d v="2023-12-22T00:00:00"/>
    <x v="9"/>
    <s v="2023-Q4"/>
    <d v="2023-12-23T00:00:00"/>
    <x v="17"/>
    <x v="0"/>
    <x v="9"/>
    <s v="Cape Town"/>
    <s v="Africa &gt; South Africa &gt; Cape Town"/>
    <s v="Non-Profit"/>
    <x v="2"/>
    <x v="2"/>
    <x v="14"/>
    <x v="0"/>
    <s v="Medium"/>
    <x v="489"/>
    <n v="1186.18"/>
    <n v="1285.0899999999999"/>
    <n v="1285.0899999999999"/>
    <x v="45"/>
    <s v="OK"/>
    <n v="7.0000000000000007E-2"/>
    <n v="11"/>
    <n v="13146.470699999998"/>
    <n v="13047.980000000001"/>
    <n v="98.49069999999665"/>
    <n v="7.4917977796121861E-3"/>
    <d v="1899-12-30T00:00:00"/>
    <s v="Jan-1900"/>
    <n v="0"/>
    <n v="0"/>
    <n v="0"/>
  </r>
  <r>
    <x v="490"/>
    <d v="2024-05-21T00:00:00"/>
    <x v="16"/>
    <s v="2024-Q2"/>
    <d v="2024-05-27T00:00:00"/>
    <x v="29"/>
    <x v="0"/>
    <x v="9"/>
    <s v="Johannesburg"/>
    <s v="Africa &gt; South Africa &gt; Johannesburg"/>
    <s v="Non-Profit"/>
    <x v="1"/>
    <x v="1"/>
    <x v="13"/>
    <x v="0"/>
    <s v="Medium"/>
    <x v="490"/>
    <n v="1157.51"/>
    <n v="1394.3"/>
    <n v="1394.3"/>
    <x v="206"/>
    <s v="OK"/>
    <n v="0.27800000000000002"/>
    <n v="12"/>
    <n v="12080.215199999999"/>
    <n v="13890.119999999999"/>
    <n v="-1809.9048000000003"/>
    <n v="-0.14982388724333326"/>
    <d v="1899-12-30T00:00:00"/>
    <s v="Jan-1900"/>
    <n v="0"/>
    <n v="0"/>
    <n v="0"/>
  </r>
  <r>
    <x v="491"/>
    <d v="2024-06-29T00:00:00"/>
    <x v="6"/>
    <s v="2024-Q2"/>
    <d v="2024-07-26T00:00:00"/>
    <x v="10"/>
    <x v="0"/>
    <x v="9"/>
    <s v="Durban"/>
    <s v="Africa &gt; South Africa &gt; Durban"/>
    <s v="Enterprise"/>
    <x v="3"/>
    <x v="3"/>
    <x v="6"/>
    <x v="6"/>
    <s v="Low"/>
    <x v="491"/>
    <n v="5.36"/>
    <n v="4.37"/>
    <n v="4.37"/>
    <x v="20"/>
    <s v="OK"/>
    <n v="0.11799999999999999"/>
    <n v="9"/>
    <n v="34.689059999999998"/>
    <n v="48.24"/>
    <n v="-13.550940000000004"/>
    <n v="-0.39064016148030545"/>
    <d v="1899-12-30T00:00:00"/>
    <s v="Jan-1900"/>
    <n v="0"/>
    <n v="0"/>
    <n v="0"/>
  </r>
  <r>
    <x v="492"/>
    <d v="2023-11-30T00:00:00"/>
    <x v="18"/>
    <s v="2023-Q4"/>
    <d v="2023-12-05T00:00:00"/>
    <x v="5"/>
    <x v="0"/>
    <x v="9"/>
    <s v="Durban"/>
    <s v="Africa &gt; South Africa &gt; Durban"/>
    <s v="Small Business"/>
    <x v="2"/>
    <x v="2"/>
    <x v="11"/>
    <x v="3"/>
    <s v="Low"/>
    <x v="492"/>
    <n v="275.56"/>
    <n v="630.72"/>
    <n v="630.72"/>
    <x v="178"/>
    <s v="OK"/>
    <n v="0.107"/>
    <n v="23"/>
    <n v="12954.358080000002"/>
    <n v="6337.88"/>
    <n v="6616.4780800000017"/>
    <n v="0.5107530638831933"/>
    <d v="1899-12-30T00:00:00"/>
    <s v="Jan-1900"/>
    <n v="0"/>
    <n v="0"/>
    <n v="0"/>
  </r>
  <r>
    <x v="493"/>
    <d v="2023-07-03T00:00:00"/>
    <x v="14"/>
    <s v="2023-Q3"/>
    <d v="2023-07-23T00:00:00"/>
    <x v="8"/>
    <x v="0"/>
    <x v="9"/>
    <s v="Johannesburg"/>
    <s v="Africa &gt; South Africa &gt; Johannesburg"/>
    <s v="Small Business"/>
    <x v="3"/>
    <x v="3"/>
    <x v="8"/>
    <x v="3"/>
    <s v="Medium"/>
    <x v="493"/>
    <n v="1001.96"/>
    <n v="1254.95"/>
    <n v="1254.95"/>
    <x v="31"/>
    <s v="OK"/>
    <n v="4.4999999999999998E-2"/>
    <n v="18"/>
    <n v="21572.590500000002"/>
    <n v="18035.28"/>
    <n v="3537.3105000000032"/>
    <n v="0.16397244920585699"/>
    <d v="1899-12-30T00:00:00"/>
    <s v="Jan-1900"/>
    <n v="0"/>
    <n v="0"/>
    <n v="0"/>
  </r>
  <r>
    <x v="494"/>
    <d v="2025-05-21T00:00:00"/>
    <x v="1"/>
    <s v="2025-Q2"/>
    <d v="2025-05-26T00:00:00"/>
    <x v="5"/>
    <x v="0"/>
    <x v="9"/>
    <s v="Johannesburg"/>
    <s v="Africa &gt; South Africa &gt; Johannesburg"/>
    <s v="Non-Profit"/>
    <x v="3"/>
    <x v="3"/>
    <x v="7"/>
    <x v="3"/>
    <s v="High"/>
    <x v="494"/>
    <n v="1263.8399999999999"/>
    <n v="2281.7199999999998"/>
    <n v="2281.7199999999998"/>
    <x v="199"/>
    <s v="OK"/>
    <n v="7.8E-2"/>
    <n v="15"/>
    <n v="31556.187599999997"/>
    <n v="18957.599999999999"/>
    <n v="12598.587599999999"/>
    <n v="0.39924301882398494"/>
    <d v="1899-12-30T00:00:00"/>
    <s v="Jan-1900"/>
    <n v="0"/>
    <n v="0"/>
    <n v="0"/>
  </r>
  <r>
    <x v="495"/>
    <d v="2024-05-23T00:00:00"/>
    <x v="16"/>
    <s v="2024-Q2"/>
    <d v="2024-06-03T00:00:00"/>
    <x v="20"/>
    <x v="0"/>
    <x v="9"/>
    <s v="Johannesburg"/>
    <s v="Africa &gt; South Africa &gt; Johannesburg"/>
    <s v="Small Business"/>
    <x v="3"/>
    <x v="3"/>
    <x v="8"/>
    <x v="5"/>
    <s v="Low"/>
    <x v="495"/>
    <n v="180.89"/>
    <n v="249.57"/>
    <n v="249.57"/>
    <x v="194"/>
    <s v="OK"/>
    <n v="2.1999999999999999E-2"/>
    <n v="8"/>
    <n v="1952.6356799999999"/>
    <n v="1447.12"/>
    <n v="505.51567999999997"/>
    <n v="0.25888888806948362"/>
    <d v="1899-12-30T00:00:00"/>
    <s v="Jan-1900"/>
    <n v="0"/>
    <n v="0"/>
    <n v="0"/>
  </r>
  <r>
    <x v="496"/>
    <d v="2024-10-02T00:00:00"/>
    <x v="32"/>
    <s v="2024-Q4"/>
    <d v="2024-10-23T00:00:00"/>
    <x v="24"/>
    <x v="0"/>
    <x v="9"/>
    <s v="Durban"/>
    <s v="Africa &gt; South Africa &gt; Durban"/>
    <s v="Corporate"/>
    <x v="2"/>
    <x v="2"/>
    <x v="1"/>
    <x v="0"/>
    <s v="High"/>
    <x v="496"/>
    <n v="1095.6099999999999"/>
    <n v="2366.5100000000002"/>
    <n v="2366.5100000000002"/>
    <x v="153"/>
    <s v="OK"/>
    <n v="0.152"/>
    <n v="9"/>
    <n v="18061.204320000004"/>
    <n v="9860.49"/>
    <n v="8200.7143200000046"/>
    <n v="0.4540513564158607"/>
    <d v="1899-12-30T00:00:00"/>
    <s v="Jan-1900"/>
    <n v="0"/>
    <n v="0"/>
    <n v="0"/>
  </r>
  <r>
    <x v="497"/>
    <d v="2023-08-26T00:00:00"/>
    <x v="21"/>
    <s v="2023-Q3"/>
    <d v="2023-09-10T00:00:00"/>
    <x v="26"/>
    <x v="0"/>
    <x v="9"/>
    <s v="Cape Town"/>
    <s v="Africa &gt; South Africa &gt; Cape Town"/>
    <s v="Non-Profit"/>
    <x v="4"/>
    <x v="4"/>
    <x v="5"/>
    <x v="0"/>
    <s v="Low"/>
    <x v="497"/>
    <n v="241.14"/>
    <n v="496.52"/>
    <n v="496.52"/>
    <x v="203"/>
    <s v="OK"/>
    <n v="9.2999999999999999E-2"/>
    <n v="10"/>
    <n v="4503.4363999999996"/>
    <n v="2411.3999999999996"/>
    <n v="2092.0364"/>
    <n v="0.46454223268257994"/>
    <d v="1899-12-30T00:00:00"/>
    <s v="Jan-1900"/>
    <n v="0"/>
    <n v="0"/>
    <n v="0"/>
  </r>
  <r>
    <x v="498"/>
    <d v="2025-07-16T00:00:00"/>
    <x v="4"/>
    <s v="2025-Q3"/>
    <d v="2025-07-17T00:00:00"/>
    <x v="17"/>
    <x v="0"/>
    <x v="9"/>
    <s v="Durban"/>
    <s v="Africa &gt; South Africa &gt; Durban"/>
    <s v="Small Business"/>
    <x v="3"/>
    <x v="3"/>
    <x v="6"/>
    <x v="6"/>
    <s v="High"/>
    <x v="498"/>
    <n v="1198.9000000000001"/>
    <n v="2941.2"/>
    <n v="2941.2"/>
    <x v="34"/>
    <s v="OK"/>
    <n v="5.0999999999999997E-2"/>
    <n v="24"/>
    <n v="66988.771199999988"/>
    <n v="28773.600000000002"/>
    <n v="38215.171199999982"/>
    <n v="0.57047129713583977"/>
    <d v="1899-12-30T00:00:00"/>
    <s v="Jan-1900"/>
    <n v="0"/>
    <n v="0"/>
    <n v="0"/>
  </r>
  <r>
    <x v="499"/>
    <d v="2023-03-14T00:00:00"/>
    <x v="12"/>
    <s v="2023-Q1"/>
    <d v="2023-03-30T00:00:00"/>
    <x v="4"/>
    <x v="0"/>
    <x v="9"/>
    <s v="Cape Town"/>
    <s v="Africa &gt; South Africa &gt; Cape Town"/>
    <s v="Consumer"/>
    <x v="3"/>
    <x v="3"/>
    <x v="3"/>
    <x v="0"/>
    <s v="Medium"/>
    <x v="499"/>
    <n v="1309.77"/>
    <n v="1589.07"/>
    <n v="1589.07"/>
    <x v="61"/>
    <s v="OK"/>
    <n v="0.10199999999999999"/>
    <n v="10"/>
    <n v="14269.848599999999"/>
    <n v="13097.7"/>
    <n v="1172.1485999999986"/>
    <n v="8.2141628328137886E-2"/>
    <d v="1899-12-30T00:00:00"/>
    <s v="Jan-1900"/>
    <n v="0"/>
    <n v="0"/>
    <n v="0"/>
  </r>
  <r>
    <x v="500"/>
    <d v="2025-06-21T00:00:00"/>
    <x v="31"/>
    <s v="2025-Q2"/>
    <d v="2025-06-27T00:00:00"/>
    <x v="29"/>
    <x v="0"/>
    <x v="9"/>
    <s v="Durban"/>
    <s v="Africa &gt; South Africa &gt; Durban"/>
    <s v="Enterprise"/>
    <x v="3"/>
    <x v="3"/>
    <x v="5"/>
    <x v="4"/>
    <s v="Low"/>
    <x v="500"/>
    <n v="93.91"/>
    <n v="99.04"/>
    <n v="99.04"/>
    <x v="15"/>
    <s v="OK"/>
    <n v="5.7000000000000002E-2"/>
    <n v="6"/>
    <n v="560.36831999999993"/>
    <n v="563.46"/>
    <n v="-3.0916800000001103"/>
    <n v="-5.5172283829323376E-3"/>
    <d v="1899-12-30T00:00:00"/>
    <s v="Jan-1900"/>
    <n v="0"/>
    <n v="0"/>
    <n v="0"/>
  </r>
  <r>
    <x v="501"/>
    <d v="2024-06-16T00:00:00"/>
    <x v="6"/>
    <s v="2024-Q2"/>
    <d v="2024-07-03T00:00:00"/>
    <x v="23"/>
    <x v="0"/>
    <x v="9"/>
    <s v="Johannesburg"/>
    <s v="Africa &gt; South Africa &gt; Johannesburg"/>
    <s v="Enterprise"/>
    <x v="2"/>
    <x v="2"/>
    <x v="8"/>
    <x v="4"/>
    <s v="High"/>
    <x v="501"/>
    <n v="1173.83"/>
    <n v="2328.9"/>
    <n v="2328.9"/>
    <x v="172"/>
    <s v="OK"/>
    <n v="0.12"/>
    <n v="17"/>
    <n v="34840.344000000005"/>
    <n v="19955.11"/>
    <n v="14885.234000000004"/>
    <n v="0.42724130393201637"/>
    <d v="1899-12-30T00:00:00"/>
    <s v="Jan-1900"/>
    <n v="0"/>
    <n v="0"/>
    <n v="0"/>
  </r>
  <r>
    <x v="502"/>
    <d v="2024-01-28T00:00:00"/>
    <x v="22"/>
    <s v="2024-Q1"/>
    <d v="2024-01-30T00:00:00"/>
    <x v="18"/>
    <x v="0"/>
    <x v="9"/>
    <s v="Cape Town"/>
    <s v="Africa &gt; South Africa &gt; Cape Town"/>
    <s v="Consumer"/>
    <x v="4"/>
    <x v="4"/>
    <x v="8"/>
    <x v="1"/>
    <s v="Medium"/>
    <x v="502"/>
    <n v="798.45"/>
    <n v="1592.02"/>
    <n v="1592.02"/>
    <x v="102"/>
    <s v="OK"/>
    <n v="6.6000000000000003E-2"/>
    <n v="18"/>
    <n v="26765.040239999998"/>
    <n v="14372.1"/>
    <n v="12392.940239999998"/>
    <n v="0.46302714768494585"/>
    <d v="1899-12-30T00:00:00"/>
    <s v="Jan-1900"/>
    <n v="0"/>
    <n v="0"/>
    <n v="0"/>
  </r>
  <r>
    <x v="503"/>
    <d v="2023-07-18T00:00:00"/>
    <x v="14"/>
    <s v="2023-Q3"/>
    <d v="2023-08-10T00:00:00"/>
    <x v="9"/>
    <x v="0"/>
    <x v="9"/>
    <s v="Johannesburg"/>
    <s v="Africa &gt; South Africa &gt; Johannesburg"/>
    <s v="Small Business"/>
    <x v="0"/>
    <x v="0"/>
    <x v="10"/>
    <x v="0"/>
    <s v="Medium"/>
    <x v="503"/>
    <n v="1271.56"/>
    <n v="995.47"/>
    <n v="995.47"/>
    <x v="173"/>
    <s v="OK"/>
    <n v="0.192"/>
    <n v="13"/>
    <n v="10456.416880000001"/>
    <n v="16530.28"/>
    <n v="-6073.8631199999982"/>
    <n v="-0.58087423155607754"/>
    <d v="1899-12-30T00:00:00"/>
    <s v="Jan-1900"/>
    <n v="0"/>
    <n v="0"/>
    <n v="0"/>
  </r>
  <r>
    <x v="504"/>
    <d v="2024-06-08T00:00:00"/>
    <x v="6"/>
    <s v="2024-Q2"/>
    <d v="2024-06-24T00:00:00"/>
    <x v="4"/>
    <x v="0"/>
    <x v="9"/>
    <s v="Durban"/>
    <s v="Africa &gt; South Africa &gt; Durban"/>
    <s v="Education"/>
    <x v="3"/>
    <x v="3"/>
    <x v="15"/>
    <x v="2"/>
    <s v="Low"/>
    <x v="504"/>
    <n v="597.85"/>
    <n v="741.92"/>
    <n v="741.92"/>
    <x v="196"/>
    <s v="OK"/>
    <n v="3.1E-2"/>
    <n v="7"/>
    <n v="5032.4433599999993"/>
    <n v="4184.95"/>
    <n v="847.49335999999948"/>
    <n v="0.16840594108544515"/>
    <d v="1899-12-30T00:00:00"/>
    <s v="Jan-1900"/>
    <n v="0"/>
    <n v="0"/>
    <n v="0"/>
  </r>
  <r>
    <x v="505"/>
    <d v="2023-05-07T00:00:00"/>
    <x v="26"/>
    <s v="2023-Q2"/>
    <d v="2023-05-29T00:00:00"/>
    <x v="21"/>
    <x v="0"/>
    <x v="9"/>
    <s v="Durban"/>
    <s v="Africa &gt; South Africa &gt; Durban"/>
    <s v="Education"/>
    <x v="3"/>
    <x v="3"/>
    <x v="3"/>
    <x v="1"/>
    <s v="Medium"/>
    <x v="505"/>
    <n v="653.86"/>
    <n v="931.84"/>
    <n v="931.84"/>
    <x v="134"/>
    <s v="OK"/>
    <n v="0.121"/>
    <n v="12"/>
    <n v="9829.0483199999999"/>
    <n v="7846.32"/>
    <n v="1982.7283200000002"/>
    <n v="0.20172129136506273"/>
    <d v="1899-12-30T00:00:00"/>
    <s v="Jan-1900"/>
    <n v="0"/>
    <n v="0"/>
    <n v="0"/>
  </r>
  <r>
    <x v="506"/>
    <d v="2023-07-14T00:00:00"/>
    <x v="14"/>
    <s v="2023-Q3"/>
    <d v="2023-07-21T00:00:00"/>
    <x v="22"/>
    <x v="0"/>
    <x v="9"/>
    <s v="Durban"/>
    <s v="Africa &gt; South Africa &gt; Durban"/>
    <s v="Enterprise"/>
    <x v="2"/>
    <x v="2"/>
    <x v="9"/>
    <x v="2"/>
    <s v="Medium"/>
    <x v="506"/>
    <n v="620.74"/>
    <n v="1330.07"/>
    <n v="1330.07"/>
    <x v="207"/>
    <s v="OK"/>
    <n v="0.29899999999999999"/>
    <n v="28"/>
    <n v="26106.613960000002"/>
    <n v="17380.72"/>
    <n v="8725.8939600000012"/>
    <n v="0.33424073965967516"/>
    <d v="1899-12-30T00:00:00"/>
    <s v="Jan-1900"/>
    <n v="0"/>
    <n v="0"/>
    <n v="0"/>
  </r>
  <r>
    <x v="507"/>
    <d v="2024-01-18T00:00:00"/>
    <x v="22"/>
    <s v="2024-Q1"/>
    <d v="2024-02-03T00:00:00"/>
    <x v="4"/>
    <x v="0"/>
    <x v="9"/>
    <s v="Cape Town"/>
    <s v="Africa &gt; South Africa &gt; Cape Town"/>
    <s v="Non-Profit"/>
    <x v="3"/>
    <x v="3"/>
    <x v="10"/>
    <x v="5"/>
    <s v="Medium"/>
    <x v="507"/>
    <n v="666.23"/>
    <n v="1382.91"/>
    <n v="1382.91"/>
    <x v="33"/>
    <s v="OK"/>
    <n v="0.17599999999999999"/>
    <n v="13"/>
    <n v="14813.731920000002"/>
    <n v="8660.99"/>
    <n v="6152.7419200000022"/>
    <n v="0.41534043907553048"/>
    <d v="1899-12-30T00:00:00"/>
    <s v="Jan-1900"/>
    <n v="0"/>
    <n v="0"/>
    <n v="0"/>
  </r>
  <r>
    <x v="508"/>
    <d v="2023-03-13T00:00:00"/>
    <x v="12"/>
    <s v="2023-Q1"/>
    <d v="2023-04-04T00:00:00"/>
    <x v="21"/>
    <x v="0"/>
    <x v="9"/>
    <s v="Durban"/>
    <s v="Africa &gt; South Africa &gt; Durban"/>
    <s v="Small Business"/>
    <x v="0"/>
    <x v="0"/>
    <x v="1"/>
    <x v="0"/>
    <s v="High"/>
    <x v="508"/>
    <n v="1113.7"/>
    <n v="1620.6"/>
    <n v="1620.6"/>
    <x v="114"/>
    <s v="OK"/>
    <n v="0.13900000000000001"/>
    <n v="11"/>
    <n v="15348.702599999999"/>
    <n v="12250.7"/>
    <n v="3098.002599999998"/>
    <n v="0.20184133348182787"/>
    <d v="1899-12-30T00:00:00"/>
    <s v="Jan-1900"/>
    <n v="0"/>
    <n v="0"/>
    <n v="0"/>
  </r>
  <r>
    <x v="509"/>
    <d v="2025-01-07T00:00:00"/>
    <x v="25"/>
    <s v="2025-Q1"/>
    <d v="2025-01-20T00:00:00"/>
    <x v="28"/>
    <x v="0"/>
    <x v="9"/>
    <s v="Cape Town"/>
    <s v="Africa &gt; South Africa &gt; Cape Town"/>
    <s v="Corporate"/>
    <x v="4"/>
    <x v="4"/>
    <x v="3"/>
    <x v="6"/>
    <s v="Medium"/>
    <x v="509"/>
    <n v="432.13"/>
    <n v="1034.6600000000001"/>
    <n v="1034.6600000000001"/>
    <x v="87"/>
    <s v="OK"/>
    <n v="9.1999999999999998E-2"/>
    <n v="7"/>
    <n v="6576.298960000001"/>
    <n v="3024.91"/>
    <n v="3551.3889600000011"/>
    <n v="0.54002851476204794"/>
    <d v="1899-12-30T00:00:00"/>
    <s v="Jan-1900"/>
    <n v="0"/>
    <n v="0"/>
    <n v="0"/>
  </r>
  <r>
    <x v="510"/>
    <d v="2023-10-26T00:00:00"/>
    <x v="20"/>
    <s v="2023-Q4"/>
    <d v="2023-11-05T00:00:00"/>
    <x v="30"/>
    <x v="0"/>
    <x v="9"/>
    <s v="Cape Town"/>
    <s v="Africa &gt; South Africa &gt; Cape Town"/>
    <s v="Non-Profit"/>
    <x v="1"/>
    <x v="1"/>
    <x v="12"/>
    <x v="3"/>
    <s v="Low"/>
    <x v="510"/>
    <n v="20.38"/>
    <n v="42.56"/>
    <n v="42.56"/>
    <x v="12"/>
    <s v="OK"/>
    <n v="7.1999999999999995E-2"/>
    <n v="11"/>
    <n v="434.45248000000004"/>
    <n v="224.17999999999998"/>
    <n v="210.27248000000006"/>
    <n v="0.48399419885921713"/>
    <d v="1899-12-30T00:00:00"/>
    <s v="Jan-1900"/>
    <n v="0"/>
    <n v="0"/>
    <n v="0"/>
  </r>
  <r>
    <x v="511"/>
    <d v="2025-06-15T00:00:00"/>
    <x v="31"/>
    <s v="2025-Q2"/>
    <d v="2025-06-30T00:00:00"/>
    <x v="26"/>
    <x v="0"/>
    <x v="9"/>
    <s v="Johannesburg"/>
    <s v="Africa &gt; South Africa &gt; Johannesburg"/>
    <s v="Small Business"/>
    <x v="4"/>
    <x v="4"/>
    <x v="0"/>
    <x v="2"/>
    <s v="Medium"/>
    <x v="511"/>
    <n v="1487.59"/>
    <n v="1480.83"/>
    <n v="1480.83"/>
    <x v="91"/>
    <s v="OK"/>
    <n v="8.9999999999999993E-3"/>
    <n v="11"/>
    <n v="16142.527829999999"/>
    <n v="16363.49"/>
    <n v="-220.9621700000007"/>
    <n v="-1.3688201273492908E-2"/>
    <d v="1899-12-30T00:00:00"/>
    <s v="Jan-1900"/>
    <n v="0"/>
    <n v="0"/>
    <n v="0"/>
  </r>
  <r>
    <x v="512"/>
    <d v="2025-09-14T00:00:00"/>
    <x v="3"/>
    <s v="2025-Q3"/>
    <d v="2025-09-23T00:00:00"/>
    <x v="13"/>
    <x v="0"/>
    <x v="9"/>
    <s v="Durban"/>
    <s v="Africa &gt; South Africa &gt; Durban"/>
    <s v="Non-Profit"/>
    <x v="1"/>
    <x v="1"/>
    <x v="14"/>
    <x v="0"/>
    <s v="High"/>
    <x v="512"/>
    <n v="1310.3"/>
    <n v="2875.8"/>
    <n v="2875.8"/>
    <x v="185"/>
    <s v="OK"/>
    <n v="8.3000000000000004E-2"/>
    <n v="5"/>
    <n v="13185.543"/>
    <n v="6551.5"/>
    <n v="6634.0429999999997"/>
    <n v="0.50313005691157353"/>
    <d v="1899-12-30T00:00:00"/>
    <s v="Jan-1900"/>
    <n v="0"/>
    <n v="0"/>
    <n v="0"/>
  </r>
  <r>
    <x v="513"/>
    <d v="2024-09-06T00:00:00"/>
    <x v="17"/>
    <s v="2024-Q3"/>
    <d v="2024-10-04T00:00:00"/>
    <x v="11"/>
    <x v="0"/>
    <x v="9"/>
    <s v="Cape Town"/>
    <s v="Africa &gt; South Africa &gt; Cape Town"/>
    <s v="Corporate"/>
    <x v="2"/>
    <x v="2"/>
    <x v="14"/>
    <x v="2"/>
    <s v="High"/>
    <x v="513"/>
    <n v="1174.17"/>
    <n v="1641.61"/>
    <n v="1641.61"/>
    <x v="157"/>
    <s v="OK"/>
    <n v="0.122"/>
    <n v="9"/>
    <n v="12972.00222"/>
    <n v="10567.53"/>
    <n v="2404.4722199999997"/>
    <n v="0.18535860380079394"/>
    <d v="1899-12-30T00:00:00"/>
    <s v="Jan-1900"/>
    <n v="0"/>
    <n v="0"/>
    <n v="0"/>
  </r>
  <r>
    <x v="514"/>
    <d v="2025-03-30T00:00:00"/>
    <x v="2"/>
    <s v="2025-Q1"/>
    <d v="2025-04-29T00:00:00"/>
    <x v="27"/>
    <x v="0"/>
    <x v="9"/>
    <s v="Durban"/>
    <s v="Africa &gt; South Africa &gt; Durban"/>
    <s v="Consumer"/>
    <x v="2"/>
    <x v="2"/>
    <x v="2"/>
    <x v="2"/>
    <s v="Low"/>
    <x v="514"/>
    <n v="194.6"/>
    <n v="314.87"/>
    <n v="314.87"/>
    <x v="208"/>
    <s v="OK"/>
    <n v="0.29299999999999998"/>
    <n v="25"/>
    <n v="5565.3272500000003"/>
    <n v="4865"/>
    <n v="700.32725000000028"/>
    <n v="0.1258375686712763"/>
    <d v="1899-12-30T00:00:00"/>
    <s v="Jan-1900"/>
    <n v="0"/>
    <n v="0"/>
    <n v="0"/>
  </r>
  <r>
    <x v="515"/>
    <d v="2023-05-17T00:00:00"/>
    <x v="26"/>
    <s v="2023-Q2"/>
    <d v="2023-06-15T00:00:00"/>
    <x v="3"/>
    <x v="0"/>
    <x v="9"/>
    <s v="Durban"/>
    <s v="Africa &gt; South Africa &gt; Durban"/>
    <s v="Enterprise"/>
    <x v="0"/>
    <x v="0"/>
    <x v="3"/>
    <x v="1"/>
    <s v="Low"/>
    <x v="515"/>
    <n v="40.89"/>
    <n v="62.82"/>
    <n v="62.82"/>
    <x v="30"/>
    <s v="OK"/>
    <n v="0.129"/>
    <n v="17"/>
    <n v="930.17574000000002"/>
    <n v="695.13"/>
    <n v="235.04574000000002"/>
    <n v="0.25268960465470752"/>
    <d v="1899-12-30T00:00:00"/>
    <s v="Jan-1900"/>
    <n v="0"/>
    <n v="0"/>
    <n v="0"/>
  </r>
  <r>
    <x v="516"/>
    <d v="2025-04-10T00:00:00"/>
    <x v="7"/>
    <s v="2025-Q2"/>
    <d v="2025-04-19T00:00:00"/>
    <x v="13"/>
    <x v="0"/>
    <x v="9"/>
    <s v="Durban"/>
    <s v="Africa &gt; South Africa &gt; Durban"/>
    <s v="Enterprise"/>
    <x v="5"/>
    <x v="5"/>
    <x v="4"/>
    <x v="6"/>
    <s v="Low"/>
    <x v="516"/>
    <n v="113.74"/>
    <n v="165.7"/>
    <n v="165.7"/>
    <x v="209"/>
    <s v="OK"/>
    <n v="0.124"/>
    <n v="13"/>
    <n v="1886.9915999999998"/>
    <n v="1478.62"/>
    <n v="408.37159999999994"/>
    <n v="0.21641410592394794"/>
    <d v="1899-12-30T00:00:00"/>
    <s v="Jan-1900"/>
    <n v="0"/>
    <n v="0"/>
    <n v="0"/>
  </r>
  <r>
    <x v="517"/>
    <d v="2023-08-24T00:00:00"/>
    <x v="21"/>
    <s v="2023-Q3"/>
    <d v="2023-09-20T00:00:00"/>
    <x v="10"/>
    <x v="0"/>
    <x v="9"/>
    <s v="Durban"/>
    <s v="Africa &gt; South Africa &gt; Durban"/>
    <s v="Small Business"/>
    <x v="2"/>
    <x v="2"/>
    <x v="13"/>
    <x v="5"/>
    <s v="High"/>
    <x v="517"/>
    <n v="1399.64"/>
    <n v="3342.11"/>
    <n v="3342.11"/>
    <x v="3"/>
    <s v="OK"/>
    <n v="0"/>
    <n v="10"/>
    <n v="33421.1"/>
    <n v="13996.400000000001"/>
    <n v="19424.699999999997"/>
    <n v="0.58121067229983447"/>
    <d v="1899-12-30T00:00:00"/>
    <s v="Jan-1900"/>
    <n v="0"/>
    <n v="0"/>
    <n v="0"/>
  </r>
  <r>
    <x v="518"/>
    <d v="2023-08-17T00:00:00"/>
    <x v="21"/>
    <s v="2023-Q3"/>
    <d v="2023-09-03T00:00:00"/>
    <x v="23"/>
    <x v="0"/>
    <x v="9"/>
    <s v="Durban"/>
    <s v="Africa &gt; South Africa &gt; Durban"/>
    <s v="Enterprise"/>
    <x v="0"/>
    <x v="0"/>
    <x v="1"/>
    <x v="4"/>
    <s v="Medium"/>
    <x v="518"/>
    <n v="676.37"/>
    <n v="1276.67"/>
    <n v="1276.67"/>
    <x v="102"/>
    <s v="OK"/>
    <n v="6.6000000000000003E-2"/>
    <n v="10"/>
    <n v="11924.0978"/>
    <n v="6763.7"/>
    <n v="5160.3977999999997"/>
    <n v="0.4327705027712872"/>
    <d v="1899-12-30T00:00:00"/>
    <s v="Jan-1900"/>
    <n v="0"/>
    <n v="0"/>
    <n v="0"/>
  </r>
  <r>
    <x v="519"/>
    <d v="2025-06-24T00:00:00"/>
    <x v="31"/>
    <s v="2025-Q2"/>
    <d v="2025-07-14T00:00:00"/>
    <x v="8"/>
    <x v="0"/>
    <x v="9"/>
    <s v="Johannesburg"/>
    <s v="Africa &gt; South Africa &gt; Johannesburg"/>
    <s v="Enterprise"/>
    <x v="2"/>
    <x v="2"/>
    <x v="2"/>
    <x v="3"/>
    <s v="High"/>
    <x v="519"/>
    <n v="1151.06"/>
    <n v="2821.36"/>
    <n v="2821.36"/>
    <x v="210"/>
    <s v="OK"/>
    <n v="0.248"/>
    <n v="20"/>
    <n v="42433.254400000005"/>
    <n v="23021.199999999997"/>
    <n v="19412.054400000008"/>
    <n v="0.45747267501594235"/>
    <d v="1899-12-30T00:00:00"/>
    <s v="Jan-1900"/>
    <n v="0"/>
    <n v="0"/>
    <n v="0"/>
  </r>
  <r>
    <x v="520"/>
    <d v="2023-07-07T00:00:00"/>
    <x v="14"/>
    <s v="2023-Q3"/>
    <d v="2023-07-13T00:00:00"/>
    <x v="29"/>
    <x v="0"/>
    <x v="9"/>
    <s v="Cape Town"/>
    <s v="Africa &gt; South Africa &gt; Cape Town"/>
    <s v="Small Business"/>
    <x v="2"/>
    <x v="2"/>
    <x v="6"/>
    <x v="1"/>
    <s v="Medium"/>
    <x v="520"/>
    <n v="612.59"/>
    <n v="1424.74"/>
    <n v="1424.74"/>
    <x v="211"/>
    <s v="OK"/>
    <n v="4.3999999999999997E-2"/>
    <n v="15"/>
    <n v="20430.771599999996"/>
    <n v="9188.85"/>
    <n v="11241.921599999996"/>
    <n v="0.55024459281802152"/>
    <d v="1899-12-30T00:00:00"/>
    <s v="Jan-1900"/>
    <n v="0"/>
    <n v="0"/>
    <n v="0"/>
  </r>
  <r>
    <x v="521"/>
    <d v="2023-12-28T00:00:00"/>
    <x v="9"/>
    <s v="2023-Q4"/>
    <d v="2024-01-01T00:00:00"/>
    <x v="14"/>
    <x v="0"/>
    <x v="9"/>
    <s v="Cape Town"/>
    <s v="Africa &gt; South Africa &gt; Cape Town"/>
    <s v="Education"/>
    <x v="3"/>
    <x v="3"/>
    <x v="1"/>
    <x v="5"/>
    <s v="High"/>
    <x v="521"/>
    <n v="1141.8"/>
    <n v="2318.7399999999998"/>
    <n v="2318.7399999999998"/>
    <x v="178"/>
    <s v="OK"/>
    <n v="0.107"/>
    <n v="32"/>
    <n v="66260.314239999992"/>
    <n v="36537.599999999999"/>
    <n v="29722.714239999994"/>
    <n v="0.44857490612468304"/>
    <d v="1899-12-30T00:00:00"/>
    <s v="Jan-1900"/>
    <n v="0"/>
    <n v="0"/>
    <n v="0"/>
  </r>
  <r>
    <x v="522"/>
    <d v="2024-03-04T00:00:00"/>
    <x v="0"/>
    <s v="2024-Q1"/>
    <d v="2024-03-16T00:00:00"/>
    <x v="15"/>
    <x v="0"/>
    <x v="9"/>
    <s v="Johannesburg"/>
    <s v="Africa &gt; South Africa &gt; Johannesburg"/>
    <s v="Enterprise"/>
    <x v="3"/>
    <x v="3"/>
    <x v="13"/>
    <x v="2"/>
    <s v="Medium"/>
    <x v="522"/>
    <n v="441.08"/>
    <n v="1054.29"/>
    <n v="1054.29"/>
    <x v="195"/>
    <s v="OK"/>
    <n v="0.23699999999999999"/>
    <n v="6"/>
    <n v="4826.5396199999996"/>
    <n v="2646.48"/>
    <n v="2180.0596199999995"/>
    <n v="0.45168169985932899"/>
    <d v="1899-12-30T00:00:00"/>
    <s v="Jan-1900"/>
    <n v="0"/>
    <n v="0"/>
    <n v="0"/>
  </r>
  <r>
    <x v="523"/>
    <d v="2023-01-07T00:00:00"/>
    <x v="28"/>
    <s v="2023-Q1"/>
    <d v="2023-01-30T00:00:00"/>
    <x v="9"/>
    <x v="0"/>
    <x v="9"/>
    <s v="Cape Town"/>
    <s v="Africa &gt; South Africa &gt; Cape Town"/>
    <s v="Consumer"/>
    <x v="1"/>
    <x v="1"/>
    <x v="1"/>
    <x v="5"/>
    <s v="Low"/>
    <x v="523"/>
    <n v="299.02"/>
    <n v="724.7"/>
    <n v="724.7"/>
    <x v="26"/>
    <s v="OK"/>
    <n v="0.14000000000000001"/>
    <n v="5"/>
    <n v="3116.21"/>
    <n v="1495.1"/>
    <n v="1621.1100000000001"/>
    <n v="0.52021847051386139"/>
    <d v="1899-12-30T00:00:00"/>
    <s v="Jan-1900"/>
    <n v="0"/>
    <n v="0"/>
    <n v="0"/>
  </r>
  <r>
    <x v="524"/>
    <d v="2025-06-19T00:00:00"/>
    <x v="31"/>
    <s v="2025-Q2"/>
    <d v="2025-06-21T00:00:00"/>
    <x v="18"/>
    <x v="0"/>
    <x v="9"/>
    <s v="Johannesburg"/>
    <s v="Africa &gt; South Africa &gt; Johannesburg"/>
    <s v="Small Business"/>
    <x v="5"/>
    <x v="5"/>
    <x v="15"/>
    <x v="4"/>
    <s v="High"/>
    <x v="524"/>
    <n v="1466.27"/>
    <n v="3589.89"/>
    <n v="3589.89"/>
    <x v="212"/>
    <s v="OK"/>
    <n v="9.7000000000000003E-2"/>
    <n v="9"/>
    <n v="29175.036029999999"/>
    <n v="13196.43"/>
    <n v="15978.606029999999"/>
    <n v="0.54768076425234147"/>
    <d v="1899-12-30T00:00:00"/>
    <s v="Jan-1900"/>
    <n v="0"/>
    <n v="0"/>
    <n v="0"/>
  </r>
  <r>
    <x v="525"/>
    <d v="2024-01-28T00:00:00"/>
    <x v="22"/>
    <s v="2024-Q1"/>
    <d v="2024-02-02T00:00:00"/>
    <x v="5"/>
    <x v="0"/>
    <x v="9"/>
    <s v="Cape Town"/>
    <s v="Africa &gt; South Africa &gt; Cape Town"/>
    <s v="Enterprise"/>
    <x v="4"/>
    <x v="4"/>
    <x v="7"/>
    <x v="0"/>
    <s v="Low"/>
    <x v="525"/>
    <n v="109.75"/>
    <n v="124.25"/>
    <n v="124.25"/>
    <x v="172"/>
    <s v="OK"/>
    <n v="0.12"/>
    <n v="19"/>
    <n v="2077.46"/>
    <n v="2085.25"/>
    <n v="-7.7899999999999636"/>
    <n v="-3.7497713554051405E-3"/>
    <d v="1899-12-30T00:00:00"/>
    <s v="Jan-1900"/>
    <n v="0"/>
    <n v="0"/>
    <n v="0"/>
  </r>
  <r>
    <x v="526"/>
    <d v="2025-05-21T00:00:00"/>
    <x v="1"/>
    <s v="2025-Q2"/>
    <d v="2025-05-26T00:00:00"/>
    <x v="5"/>
    <x v="3"/>
    <x v="10"/>
    <s v="Birmingham"/>
    <s v="Europe &gt; United Kingdom &gt; Birmingham"/>
    <s v="Enterprise"/>
    <x v="1"/>
    <x v="1"/>
    <x v="13"/>
    <x v="3"/>
    <s v="High"/>
    <x v="526"/>
    <n v="1015.16"/>
    <n v="2148.14"/>
    <n v="2148.14"/>
    <x v="122"/>
    <s v="OK"/>
    <n v="3.7999999999999999E-2"/>
    <n v="19"/>
    <n v="39263.702919999996"/>
    <n v="19288.04"/>
    <n v="19975.662919999995"/>
    <n v="0.50875647059322227"/>
    <d v="1899-12-30T00:00:00"/>
    <s v="Jan-1900"/>
    <n v="0"/>
    <n v="0"/>
    <n v="0"/>
  </r>
  <r>
    <x v="527"/>
    <d v="2024-04-18T00:00:00"/>
    <x v="15"/>
    <s v="2024-Q2"/>
    <d v="2024-05-08T00:00:00"/>
    <x v="8"/>
    <x v="3"/>
    <x v="10"/>
    <s v="London"/>
    <s v="Europe &gt; United Kingdom &gt; London"/>
    <s v="Non-Profit"/>
    <x v="5"/>
    <x v="5"/>
    <x v="14"/>
    <x v="3"/>
    <s v="Medium"/>
    <x v="527"/>
    <n v="645.33000000000004"/>
    <n v="1321.85"/>
    <n v="1321.85"/>
    <x v="3"/>
    <s v="OK"/>
    <n v="0"/>
    <n v="10"/>
    <n v="13218.5"/>
    <n v="6453.3"/>
    <n v="6765.2"/>
    <n v="0.51179785906116426"/>
    <d v="1899-12-30T00:00:00"/>
    <s v="Jan-1900"/>
    <n v="0"/>
    <n v="0"/>
    <n v="0"/>
  </r>
  <r>
    <x v="528"/>
    <d v="2024-05-14T00:00:00"/>
    <x v="16"/>
    <s v="2024-Q2"/>
    <d v="2024-05-28T00:00:00"/>
    <x v="6"/>
    <x v="3"/>
    <x v="10"/>
    <s v="Birmingham"/>
    <s v="Europe &gt; United Kingdom &gt; Birmingham"/>
    <s v="Consumer"/>
    <x v="0"/>
    <x v="0"/>
    <x v="6"/>
    <x v="6"/>
    <s v="High"/>
    <x v="528"/>
    <n v="1421.14"/>
    <n v="3524"/>
    <n v="3524"/>
    <x v="3"/>
    <s v="OK"/>
    <n v="0"/>
    <n v="31"/>
    <n v="109244"/>
    <n v="44055.340000000004"/>
    <n v="65188.659999999996"/>
    <n v="0.59672531214528945"/>
    <d v="1899-12-30T00:00:00"/>
    <s v="Jan-1900"/>
    <n v="0"/>
    <n v="0"/>
    <n v="0"/>
  </r>
  <r>
    <x v="529"/>
    <d v="2023-03-19T00:00:00"/>
    <x v="12"/>
    <s v="2023-Q1"/>
    <d v="2023-04-09T00:00:00"/>
    <x v="24"/>
    <x v="3"/>
    <x v="10"/>
    <s v="Manchester"/>
    <s v="Europe &gt; United Kingdom &gt; Manchester"/>
    <s v="Consumer"/>
    <x v="0"/>
    <x v="0"/>
    <x v="10"/>
    <x v="1"/>
    <s v="Medium"/>
    <x v="529"/>
    <n v="1082.17"/>
    <n v="1234.0999999999999"/>
    <n v="1234.0999999999999"/>
    <x v="191"/>
    <s v="OK"/>
    <n v="0.189"/>
    <n v="16"/>
    <n v="16013.681599999998"/>
    <n v="17314.72"/>
    <n v="-1301.0384000000031"/>
    <n v="-8.124542703534228E-2"/>
    <d v="1899-12-30T00:00:00"/>
    <s v="Jan-1900"/>
    <n v="0"/>
    <n v="0"/>
    <n v="0"/>
  </r>
  <r>
    <x v="530"/>
    <d v="2023-06-14T00:00:00"/>
    <x v="11"/>
    <s v="2023-Q2"/>
    <d v="2023-06-16T00:00:00"/>
    <x v="18"/>
    <x v="3"/>
    <x v="10"/>
    <s v="Manchester"/>
    <s v="Europe &gt; United Kingdom &gt; Manchester"/>
    <s v="Non-Profit"/>
    <x v="4"/>
    <x v="4"/>
    <x v="3"/>
    <x v="0"/>
    <s v="Low"/>
    <x v="530"/>
    <n v="357.36"/>
    <n v="703.62"/>
    <n v="703.62"/>
    <x v="183"/>
    <s v="OK"/>
    <n v="0.25700000000000001"/>
    <n v="20"/>
    <n v="10455.7932"/>
    <n v="7147.2000000000007"/>
    <n v="3308.5931999999993"/>
    <n v="0.31643636563125593"/>
    <d v="1899-12-30T00:00:00"/>
    <s v="Jan-1900"/>
    <n v="0"/>
    <n v="0"/>
    <n v="0"/>
  </r>
  <r>
    <x v="531"/>
    <d v="2025-03-25T00:00:00"/>
    <x v="2"/>
    <s v="2025-Q1"/>
    <d v="2025-04-17T00:00:00"/>
    <x v="9"/>
    <x v="3"/>
    <x v="10"/>
    <s v="London"/>
    <s v="Europe &gt; United Kingdom &gt; London"/>
    <s v="Consumer"/>
    <x v="0"/>
    <x v="0"/>
    <x v="15"/>
    <x v="6"/>
    <s v="High"/>
    <x v="531"/>
    <n v="1421.19"/>
    <n v="1808.26"/>
    <n v="1808.26"/>
    <x v="75"/>
    <s v="OK"/>
    <n v="0.104"/>
    <n v="13"/>
    <n v="21062.61248"/>
    <n v="18475.47"/>
    <n v="2587.1424799999986"/>
    <n v="0.12283103449093123"/>
    <d v="1899-12-30T00:00:00"/>
    <s v="Jan-1900"/>
    <n v="0"/>
    <n v="0"/>
    <n v="0"/>
  </r>
  <r>
    <x v="532"/>
    <d v="2023-04-06T00:00:00"/>
    <x v="19"/>
    <s v="2023-Q2"/>
    <d v="2023-04-27T00:00:00"/>
    <x v="24"/>
    <x v="3"/>
    <x v="10"/>
    <s v="Manchester"/>
    <s v="Europe &gt; United Kingdom &gt; Manchester"/>
    <s v="Enterprise"/>
    <x v="3"/>
    <x v="3"/>
    <x v="12"/>
    <x v="5"/>
    <s v="High"/>
    <x v="532"/>
    <n v="1084.79"/>
    <n v="2484.9899999999998"/>
    <n v="2484.9899999999998"/>
    <x v="149"/>
    <s v="OK"/>
    <n v="3.4000000000000002E-2"/>
    <n v="18"/>
    <n v="43209.006119999991"/>
    <n v="19526.22"/>
    <n v="23682.78611999999"/>
    <n v="0.54809837685755114"/>
    <d v="1899-12-30T00:00:00"/>
    <s v="Jan-1900"/>
    <n v="0"/>
    <n v="0"/>
    <n v="0"/>
  </r>
  <r>
    <x v="533"/>
    <d v="2024-08-14T00:00:00"/>
    <x v="10"/>
    <s v="2024-Q3"/>
    <d v="2024-09-04T00:00:00"/>
    <x v="24"/>
    <x v="3"/>
    <x v="10"/>
    <s v="Manchester"/>
    <s v="Europe &gt; United Kingdom &gt; Manchester"/>
    <s v="Non-Profit"/>
    <x v="1"/>
    <x v="1"/>
    <x v="2"/>
    <x v="4"/>
    <s v="High"/>
    <x v="533"/>
    <n v="1138.8"/>
    <n v="2250.81"/>
    <n v="2250.81"/>
    <x v="42"/>
    <s v="OK"/>
    <n v="0.123"/>
    <n v="12"/>
    <n v="23687.524440000001"/>
    <n v="13665.599999999999"/>
    <n v="10021.924440000003"/>
    <n v="0.42308872188756258"/>
    <d v="1899-12-30T00:00:00"/>
    <s v="Jan-1900"/>
    <n v="0"/>
    <n v="0"/>
    <n v="0"/>
  </r>
  <r>
    <x v="534"/>
    <d v="2024-06-10T00:00:00"/>
    <x v="6"/>
    <s v="2024-Q2"/>
    <d v="2024-06-11T00:00:00"/>
    <x v="17"/>
    <x v="3"/>
    <x v="10"/>
    <s v="Birmingham"/>
    <s v="Europe &gt; United Kingdom &gt; Birmingham"/>
    <s v="Small Business"/>
    <x v="2"/>
    <x v="2"/>
    <x v="13"/>
    <x v="3"/>
    <s v="High"/>
    <x v="534"/>
    <n v="1187.1300000000001"/>
    <n v="1795.17"/>
    <n v="1795.17"/>
    <x v="21"/>
    <s v="OK"/>
    <n v="1.2E-2"/>
    <n v="17"/>
    <n v="30151.675319999998"/>
    <n v="20181.210000000003"/>
    <n v="9970.4653199999957"/>
    <n v="0.33067699271046663"/>
    <d v="1899-12-30T00:00:00"/>
    <s v="Jan-1900"/>
    <n v="0"/>
    <n v="0"/>
    <n v="0"/>
  </r>
  <r>
    <x v="535"/>
    <d v="2025-06-19T00:00:00"/>
    <x v="31"/>
    <s v="2025-Q2"/>
    <d v="2025-07-12T00:00:00"/>
    <x v="9"/>
    <x v="3"/>
    <x v="10"/>
    <s v="Unkown"/>
    <s v="Europe &gt; United Kingdom &gt; Unkown"/>
    <s v="Non-Profit"/>
    <x v="4"/>
    <x v="4"/>
    <x v="9"/>
    <x v="6"/>
    <s v="High"/>
    <x v="535"/>
    <n v="801.24"/>
    <n v="1959.09"/>
    <n v="1959.09"/>
    <x v="42"/>
    <s v="OK"/>
    <n v="0.123"/>
    <n v="23"/>
    <n v="39516.804389999998"/>
    <n v="18428.52"/>
    <n v="21088.284389999997"/>
    <n v="0.53365358650651762"/>
    <d v="1899-12-30T00:00:00"/>
    <s v="Jan-1900"/>
    <n v="0"/>
    <n v="0"/>
    <n v="0"/>
  </r>
  <r>
    <x v="536"/>
    <d v="2025-08-05T00:00:00"/>
    <x v="24"/>
    <s v="2025-Q3"/>
    <d v="2025-08-14T00:00:00"/>
    <x v="13"/>
    <x v="3"/>
    <x v="10"/>
    <s v="London"/>
    <s v="Europe &gt; United Kingdom &gt; London"/>
    <s v="Non-Profit"/>
    <x v="4"/>
    <x v="4"/>
    <x v="11"/>
    <x v="0"/>
    <s v="Low"/>
    <x v="536"/>
    <n v="41.76"/>
    <n v="45.19"/>
    <n v="45.19"/>
    <x v="182"/>
    <s v="OK"/>
    <n v="0.17899999999999999"/>
    <n v="23"/>
    <n v="853.32276999999988"/>
    <n v="960.4799999999999"/>
    <n v="-107.15723000000003"/>
    <n v="-0.12557643340514638"/>
    <d v="1899-12-30T00:00:00"/>
    <s v="Jan-1900"/>
    <n v="0"/>
    <n v="0"/>
    <n v="0"/>
  </r>
  <r>
    <x v="537"/>
    <d v="2023-01-27T00:00:00"/>
    <x v="28"/>
    <s v="2023-Q1"/>
    <d v="2023-01-31T00:00:00"/>
    <x v="14"/>
    <x v="3"/>
    <x v="10"/>
    <s v="Manchester"/>
    <s v="Europe &gt; United Kingdom &gt; Manchester"/>
    <s v="Enterprise"/>
    <x v="1"/>
    <x v="1"/>
    <x v="5"/>
    <x v="3"/>
    <s v="Low"/>
    <x v="537"/>
    <n v="941.2"/>
    <n v="668.02"/>
    <n v="668.02"/>
    <x v="179"/>
    <s v="OK"/>
    <n v="0.22"/>
    <n v="16"/>
    <n v="8336.8896000000004"/>
    <n v="15059.2"/>
    <n v="-6722.3104000000003"/>
    <n v="-0.80633314371825193"/>
    <d v="1899-12-30T00:00:00"/>
    <s v="Jan-1900"/>
    <n v="0"/>
    <n v="0"/>
    <n v="0"/>
  </r>
  <r>
    <x v="538"/>
    <d v="2024-10-09T00:00:00"/>
    <x v="32"/>
    <s v="2024-Q4"/>
    <d v="2024-11-08T00:00:00"/>
    <x v="27"/>
    <x v="3"/>
    <x v="10"/>
    <s v="Manchester"/>
    <s v="Europe &gt; United Kingdom &gt; Manchester"/>
    <s v="Small Business"/>
    <x v="3"/>
    <x v="3"/>
    <x v="2"/>
    <x v="0"/>
    <s v="Low"/>
    <x v="538"/>
    <n v="343.85"/>
    <n v="538.04"/>
    <n v="538.04"/>
    <x v="114"/>
    <s v="OK"/>
    <n v="0.13900000000000001"/>
    <n v="5"/>
    <n v="2316.2621999999997"/>
    <n v="1719.25"/>
    <n v="597.01219999999967"/>
    <n v="0.25774810813732563"/>
    <d v="1899-12-30T00:00:00"/>
    <s v="Jan-1900"/>
    <n v="0"/>
    <n v="0"/>
    <n v="0"/>
  </r>
  <r>
    <x v="539"/>
    <d v="2025-04-14T00:00:00"/>
    <x v="7"/>
    <s v="2025-Q2"/>
    <d v="2025-05-04T00:00:00"/>
    <x v="8"/>
    <x v="3"/>
    <x v="10"/>
    <s v="Birmingham"/>
    <s v="Europe &gt; United Kingdom &gt; Birmingham"/>
    <s v="Enterprise"/>
    <x v="2"/>
    <x v="2"/>
    <x v="3"/>
    <x v="2"/>
    <s v="High"/>
    <x v="539"/>
    <n v="1413.87"/>
    <n v="3275"/>
    <n v="3275"/>
    <x v="161"/>
    <s v="OK"/>
    <n v="0.255"/>
    <n v="38"/>
    <n v="92715.25"/>
    <n v="53727.06"/>
    <n v="38988.19"/>
    <n v="0.42051539525590453"/>
    <d v="1899-12-30T00:00:00"/>
    <s v="Jan-1900"/>
    <n v="0"/>
    <n v="0"/>
    <n v="0"/>
  </r>
  <r>
    <x v="540"/>
    <d v="2023-08-27T00:00:00"/>
    <x v="21"/>
    <s v="2023-Q3"/>
    <d v="2023-09-11T00:00:00"/>
    <x v="26"/>
    <x v="3"/>
    <x v="10"/>
    <s v="London"/>
    <s v="Europe &gt; United Kingdom &gt; London"/>
    <s v="Consumer"/>
    <x v="2"/>
    <x v="2"/>
    <x v="5"/>
    <x v="5"/>
    <s v="High"/>
    <x v="540"/>
    <n v="943.79"/>
    <n v="1913.76"/>
    <n v="1913.76"/>
    <x v="184"/>
    <s v="OK"/>
    <n v="9.0999999999999998E-2"/>
    <n v="9"/>
    <n v="15656.47056"/>
    <n v="8494.11"/>
    <n v="7162.3605599999992"/>
    <n v="0.45746967891338081"/>
    <d v="1899-12-30T00:00:00"/>
    <s v="Jan-1900"/>
    <n v="0"/>
    <n v="0"/>
    <n v="0"/>
  </r>
  <r>
    <x v="541"/>
    <d v="2023-08-08T00:00:00"/>
    <x v="21"/>
    <s v="2023-Q3"/>
    <d v="2023-08-22T00:00:00"/>
    <x v="6"/>
    <x v="3"/>
    <x v="10"/>
    <s v="Birmingham"/>
    <s v="Europe &gt; United Kingdom &gt; Birmingham"/>
    <s v="Non-Profit"/>
    <x v="4"/>
    <x v="4"/>
    <x v="5"/>
    <x v="2"/>
    <s v="Medium"/>
    <x v="541"/>
    <n v="446.69"/>
    <n v="967.25"/>
    <n v="967.25"/>
    <x v="2"/>
    <s v="OK"/>
    <n v="9.4E-2"/>
    <n v="10"/>
    <n v="8763.2849999999999"/>
    <n v="4466.8999999999996"/>
    <n v="4296.3850000000002"/>
    <n v="0.49027105702941309"/>
    <d v="1899-12-30T00:00:00"/>
    <s v="Jan-1900"/>
    <n v="0"/>
    <n v="0"/>
    <n v="0"/>
  </r>
  <r>
    <x v="542"/>
    <d v="2025-02-04T00:00:00"/>
    <x v="8"/>
    <s v="2025-Q1"/>
    <d v="2025-02-25T00:00:00"/>
    <x v="24"/>
    <x v="3"/>
    <x v="10"/>
    <s v="Birmingham"/>
    <s v="Europe &gt; United Kingdom &gt; Birmingham"/>
    <s v="Corporate"/>
    <x v="2"/>
    <x v="2"/>
    <x v="14"/>
    <x v="2"/>
    <s v="High"/>
    <x v="542"/>
    <n v="1016.32"/>
    <n v="2253.42"/>
    <n v="2253.42"/>
    <x v="190"/>
    <s v="OK"/>
    <n v="5.5E-2"/>
    <n v="12"/>
    <n v="25553.782800000001"/>
    <n v="12195.84"/>
    <n v="13357.942800000001"/>
    <n v="0.52273837124419797"/>
    <d v="1899-12-30T00:00:00"/>
    <s v="Jan-1900"/>
    <n v="0"/>
    <n v="0"/>
    <n v="0"/>
  </r>
  <r>
    <x v="543"/>
    <d v="2023-07-02T00:00:00"/>
    <x v="14"/>
    <s v="2023-Q3"/>
    <d v="2023-08-01T00:00:00"/>
    <x v="27"/>
    <x v="3"/>
    <x v="10"/>
    <s v="Birmingham"/>
    <s v="Europe &gt; United Kingdom &gt; Birmingham"/>
    <s v="Small Business"/>
    <x v="0"/>
    <x v="0"/>
    <x v="6"/>
    <x v="0"/>
    <s v="Low"/>
    <x v="543"/>
    <n v="137.46"/>
    <n v="188.3"/>
    <n v="188.3"/>
    <x v="122"/>
    <s v="OK"/>
    <n v="3.7999999999999999E-2"/>
    <n v="37"/>
    <n v="6702.3501999999999"/>
    <n v="5086.0200000000004"/>
    <n v="1616.3301999999994"/>
    <n v="0.24115872071262398"/>
    <d v="1899-12-30T00:00:00"/>
    <s v="Jan-1900"/>
    <n v="0"/>
    <n v="0"/>
    <n v="0"/>
  </r>
  <r>
    <x v="544"/>
    <d v="2023-04-19T00:00:00"/>
    <x v="19"/>
    <s v="2023-Q2"/>
    <d v="2023-05-07T00:00:00"/>
    <x v="16"/>
    <x v="3"/>
    <x v="10"/>
    <s v="Birmingham"/>
    <s v="Europe &gt; United Kingdom &gt; Birmingham"/>
    <s v="Enterprise"/>
    <x v="0"/>
    <x v="0"/>
    <x v="5"/>
    <x v="3"/>
    <s v="Medium"/>
    <x v="544"/>
    <n v="1089.1500000000001"/>
    <n v="1088.2"/>
    <n v="1088.2"/>
    <x v="34"/>
    <s v="OK"/>
    <n v="5.0999999999999997E-2"/>
    <n v="15"/>
    <n v="15490.527"/>
    <n v="16337.250000000002"/>
    <n v="-846.72300000000178"/>
    <n v="-5.4660696824582002E-2"/>
    <d v="1899-12-30T00:00:00"/>
    <s v="Jan-1900"/>
    <n v="0"/>
    <n v="0"/>
    <n v="0"/>
  </r>
  <r>
    <x v="545"/>
    <d v="2023-04-19T00:00:00"/>
    <x v="19"/>
    <s v="2023-Q2"/>
    <d v="2023-05-07T00:00:00"/>
    <x v="16"/>
    <x v="3"/>
    <x v="10"/>
    <s v="London"/>
    <s v="Europe &gt; United Kingdom &gt; London"/>
    <s v="Non-Profit"/>
    <x v="4"/>
    <x v="4"/>
    <x v="15"/>
    <x v="6"/>
    <s v="Low"/>
    <x v="545"/>
    <n v="516.96"/>
    <n v="745.38"/>
    <n v="745.38"/>
    <x v="95"/>
    <s v="OK"/>
    <n v="0.19700000000000001"/>
    <n v="4"/>
    <n v="2394.1605599999998"/>
    <n v="2067.84"/>
    <n v="326.32055999999966"/>
    <n v="0.13629852794835101"/>
    <d v="1899-12-30T00:00:00"/>
    <s v="Jan-1900"/>
    <n v="0"/>
    <n v="0"/>
    <n v="0"/>
  </r>
  <r>
    <x v="546"/>
    <d v="2024-10-08T00:00:00"/>
    <x v="32"/>
    <s v="2024-Q4"/>
    <d v="2024-10-08T00:00:00"/>
    <x v="25"/>
    <x v="3"/>
    <x v="10"/>
    <s v="London"/>
    <s v="Europe &gt; United Kingdom &gt; London"/>
    <s v="Corporate"/>
    <x v="1"/>
    <x v="1"/>
    <x v="11"/>
    <x v="2"/>
    <s v="High"/>
    <x v="546"/>
    <n v="1108.1099999999999"/>
    <n v="2503.79"/>
    <n v="2503.79"/>
    <x v="9"/>
    <s v="OK"/>
    <n v="0.184"/>
    <n v="19"/>
    <n v="38818.760160000005"/>
    <n v="21054.089999999997"/>
    <n v="17764.670160000009"/>
    <n v="0.45763105485025896"/>
    <d v="1899-12-30T00:00:00"/>
    <s v="Jan-1900"/>
    <n v="0"/>
    <n v="0"/>
    <n v="0"/>
  </r>
  <r>
    <x v="547"/>
    <d v="2023-10-21T00:00:00"/>
    <x v="20"/>
    <s v="2023-Q4"/>
    <d v="2023-11-09T00:00:00"/>
    <x v="1"/>
    <x v="3"/>
    <x v="10"/>
    <s v="London"/>
    <s v="Europe &gt; United Kingdom &gt; London"/>
    <s v="Non-Profit"/>
    <x v="4"/>
    <x v="4"/>
    <x v="1"/>
    <x v="1"/>
    <s v="High"/>
    <x v="547"/>
    <n v="1142.48"/>
    <n v="2105.5300000000002"/>
    <n v="2105.5300000000002"/>
    <x v="80"/>
    <s v="OK"/>
    <n v="0.20699999999999999"/>
    <n v="14"/>
    <n v="23375.594060000003"/>
    <n v="15994.720000000001"/>
    <n v="7380.8740600000019"/>
    <n v="0.31575129346680658"/>
    <d v="1899-12-30T00:00:00"/>
    <s v="Jan-1900"/>
    <n v="0"/>
    <n v="0"/>
    <n v="0"/>
  </r>
  <r>
    <x v="548"/>
    <d v="2023-08-23T00:00:00"/>
    <x v="21"/>
    <s v="2023-Q3"/>
    <d v="2023-09-22T00:00:00"/>
    <x v="27"/>
    <x v="3"/>
    <x v="10"/>
    <s v="London"/>
    <s v="Europe &gt; United Kingdom &gt; London"/>
    <s v="Consumer"/>
    <x v="3"/>
    <x v="3"/>
    <x v="7"/>
    <x v="1"/>
    <s v="Low"/>
    <x v="548"/>
    <n v="209.81"/>
    <n v="523"/>
    <n v="523"/>
    <x v="193"/>
    <s v="OK"/>
    <n v="5.8999999999999997E-2"/>
    <n v="15"/>
    <n v="7382.1450000000004"/>
    <n v="3147.15"/>
    <n v="4234.9950000000008"/>
    <n v="0.57368082041195356"/>
    <d v="1899-12-30T00:00:00"/>
    <s v="Jan-1900"/>
    <n v="0"/>
    <n v="0"/>
    <n v="0"/>
  </r>
  <r>
    <x v="549"/>
    <d v="2025-06-22T00:00:00"/>
    <x v="31"/>
    <s v="2025-Q2"/>
    <d v="2025-07-08T00:00:00"/>
    <x v="4"/>
    <x v="3"/>
    <x v="10"/>
    <s v="London"/>
    <s v="Europe &gt; United Kingdom &gt; London"/>
    <s v="Education"/>
    <x v="4"/>
    <x v="4"/>
    <x v="1"/>
    <x v="4"/>
    <s v="Medium"/>
    <x v="549"/>
    <n v="892.73"/>
    <n v="979.84"/>
    <n v="979.84"/>
    <x v="128"/>
    <s v="OK"/>
    <n v="0.17399999999999999"/>
    <n v="10"/>
    <n v="8093.4784"/>
    <n v="8927.2999999999993"/>
    <n v="-833.82159999999931"/>
    <n v="-0.10302388649112838"/>
    <d v="1899-12-30T00:00:00"/>
    <s v="Jan-1900"/>
    <n v="0"/>
    <n v="0"/>
    <n v="0"/>
  </r>
  <r>
    <x v="550"/>
    <d v="2024-12-29T00:00:00"/>
    <x v="30"/>
    <s v="2024-Q4"/>
    <d v="2025-01-12T00:00:00"/>
    <x v="6"/>
    <x v="3"/>
    <x v="10"/>
    <s v="Manchester"/>
    <s v="Europe &gt; United Kingdom &gt; Manchester"/>
    <s v="Corporate"/>
    <x v="4"/>
    <x v="4"/>
    <x v="6"/>
    <x v="2"/>
    <s v="High"/>
    <x v="550"/>
    <n v="1399.72"/>
    <n v="3149.21"/>
    <n v="3149.21"/>
    <x v="163"/>
    <s v="OK"/>
    <n v="0.185"/>
    <n v="12"/>
    <n v="30799.273800000003"/>
    <n v="16796.64"/>
    <n v="14002.633800000003"/>
    <n v="0.45464168703873797"/>
    <d v="1899-12-30T00:00:00"/>
    <s v="Jan-1900"/>
    <n v="0"/>
    <n v="0"/>
    <n v="0"/>
  </r>
  <r>
    <x v="551"/>
    <d v="2024-11-04T00:00:00"/>
    <x v="13"/>
    <s v="2024-Q4"/>
    <d v="2024-11-05T00:00:00"/>
    <x v="17"/>
    <x v="3"/>
    <x v="10"/>
    <s v="London"/>
    <s v="Europe &gt; United Kingdom &gt; London"/>
    <s v="Corporate"/>
    <x v="0"/>
    <x v="0"/>
    <x v="13"/>
    <x v="5"/>
    <s v="Medium"/>
    <x v="551"/>
    <n v="840.68"/>
    <n v="1493.53"/>
    <n v="1493.53"/>
    <x v="3"/>
    <s v="OK"/>
    <n v="0"/>
    <n v="27"/>
    <n v="40325.31"/>
    <n v="22698.359999999997"/>
    <n v="17626.95"/>
    <n v="0.43711877230454027"/>
    <d v="1899-12-30T00:00:00"/>
    <s v="Jan-1900"/>
    <n v="0"/>
    <n v="0"/>
    <n v="0"/>
  </r>
  <r>
    <x v="552"/>
    <d v="2025-09-14T00:00:00"/>
    <x v="3"/>
    <s v="2025-Q3"/>
    <d v="2025-09-26T00:00:00"/>
    <x v="15"/>
    <x v="3"/>
    <x v="10"/>
    <s v="London"/>
    <s v="Europe &gt; United Kingdom &gt; London"/>
    <s v="Small Business"/>
    <x v="4"/>
    <x v="4"/>
    <x v="5"/>
    <x v="6"/>
    <s v="Medium"/>
    <x v="552"/>
    <n v="425.15"/>
    <n v="885.92"/>
    <n v="885.92"/>
    <x v="127"/>
    <s v="OK"/>
    <n v="0.23899999999999999"/>
    <n v="13"/>
    <n v="8764.4065599999994"/>
    <n v="5526.95"/>
    <n v="3237.4565599999996"/>
    <n v="0.3693868532725848"/>
    <d v="1899-12-30T00:00:00"/>
    <s v="Jan-1900"/>
    <n v="0"/>
    <n v="0"/>
    <n v="0"/>
  </r>
  <r>
    <x v="553"/>
    <d v="2023-11-15T00:00:00"/>
    <x v="18"/>
    <s v="2023-Q4"/>
    <d v="2023-12-06T00:00:00"/>
    <x v="24"/>
    <x v="3"/>
    <x v="10"/>
    <s v="Manchester"/>
    <s v="Europe &gt; United Kingdom &gt; Manchester"/>
    <s v="Education"/>
    <x v="4"/>
    <x v="4"/>
    <x v="15"/>
    <x v="1"/>
    <s v="Medium"/>
    <x v="553"/>
    <n v="1184.99"/>
    <n v="1154.3399999999999"/>
    <n v="1154.3399999999999"/>
    <x v="74"/>
    <s v="OK"/>
    <n v="2.8000000000000001E-2"/>
    <n v="5"/>
    <n v="5610.0923999999995"/>
    <n v="5924.95"/>
    <n v="-314.85760000000028"/>
    <n v="-5.6123424990290764E-2"/>
    <d v="1899-12-30T00:00:00"/>
    <s v="Jan-1900"/>
    <n v="0"/>
    <n v="0"/>
    <n v="0"/>
  </r>
  <r>
    <x v="554"/>
    <d v="2023-02-23T00:00:00"/>
    <x v="5"/>
    <s v="2023-Q1"/>
    <d v="2023-03-08T00:00:00"/>
    <x v="28"/>
    <x v="3"/>
    <x v="10"/>
    <s v="Manchester"/>
    <s v="Europe &gt; United Kingdom &gt; Manchester"/>
    <s v="Small Business"/>
    <x v="4"/>
    <x v="4"/>
    <x v="0"/>
    <x v="5"/>
    <s v="Low"/>
    <x v="554"/>
    <n v="307.37"/>
    <n v="462.61"/>
    <n v="462.61"/>
    <x v="117"/>
    <s v="OK"/>
    <n v="0.188"/>
    <n v="11"/>
    <n v="4132.0325200000007"/>
    <n v="3381.07"/>
    <n v="750.9625200000005"/>
    <n v="0.18174167709599739"/>
    <d v="1899-12-30T00:00:00"/>
    <s v="Jan-1900"/>
    <n v="0"/>
    <n v="0"/>
    <n v="0"/>
  </r>
  <r>
    <x v="555"/>
    <d v="2024-01-01T00:00:00"/>
    <x v="22"/>
    <s v="2024-Q1"/>
    <d v="2024-01-27T00:00:00"/>
    <x v="0"/>
    <x v="3"/>
    <x v="10"/>
    <s v="Manchester"/>
    <s v="Europe &gt; United Kingdom &gt; Manchester"/>
    <s v="Education"/>
    <x v="3"/>
    <x v="3"/>
    <x v="14"/>
    <x v="1"/>
    <s v="Medium"/>
    <x v="555"/>
    <n v="657.45"/>
    <n v="1325.96"/>
    <n v="1325.96"/>
    <x v="198"/>
    <s v="OK"/>
    <n v="0.16700000000000001"/>
    <n v="21"/>
    <n v="23195.01828"/>
    <n v="13806.45"/>
    <n v="9388.5682799999995"/>
    <n v="0.40476658249048808"/>
    <d v="1899-12-30T00:00:00"/>
    <s v="Jan-1900"/>
    <n v="0"/>
    <n v="0"/>
    <n v="0"/>
  </r>
  <r>
    <x v="556"/>
    <d v="2024-06-23T00:00:00"/>
    <x v="6"/>
    <s v="2024-Q2"/>
    <d v="2024-06-25T00:00:00"/>
    <x v="18"/>
    <x v="3"/>
    <x v="10"/>
    <s v="Birmingham"/>
    <s v="Europe &gt; United Kingdom &gt; Birmingham"/>
    <s v="Small Business"/>
    <x v="2"/>
    <x v="2"/>
    <x v="10"/>
    <x v="1"/>
    <s v="High"/>
    <x v="556"/>
    <n v="951.44"/>
    <n v="1646.43"/>
    <n v="1646.43"/>
    <x v="176"/>
    <s v="OK"/>
    <n v="0.11"/>
    <n v="24"/>
    <n v="35167.7448"/>
    <n v="22834.560000000001"/>
    <n v="12333.184799999999"/>
    <n v="0.35069592520473475"/>
    <d v="1899-12-30T00:00:00"/>
    <s v="Jan-1900"/>
    <n v="0"/>
    <n v="0"/>
    <n v="0"/>
  </r>
  <r>
    <x v="557"/>
    <d v="2025-06-25T00:00:00"/>
    <x v="31"/>
    <s v="2025-Q2"/>
    <d v="2025-07-10T00:00:00"/>
    <x v="26"/>
    <x v="3"/>
    <x v="10"/>
    <s v="Birmingham"/>
    <s v="Europe &gt; United Kingdom &gt; Birmingham"/>
    <s v="Non-Profit"/>
    <x v="2"/>
    <x v="2"/>
    <x v="14"/>
    <x v="4"/>
    <s v="Low"/>
    <x v="557"/>
    <n v="546.83000000000004"/>
    <n v="400.84"/>
    <n v="400.84"/>
    <x v="199"/>
    <s v="OK"/>
    <n v="7.8E-2"/>
    <n v="13"/>
    <n v="4804.4682400000002"/>
    <n v="7108.7900000000009"/>
    <n v="-2304.3217600000007"/>
    <n v="-0.47962056254533608"/>
    <d v="1899-12-30T00:00:00"/>
    <s v="Jan-1900"/>
    <n v="0"/>
    <n v="0"/>
    <n v="0"/>
  </r>
  <r>
    <x v="558"/>
    <d v="2023-06-05T00:00:00"/>
    <x v="11"/>
    <s v="2023-Q2"/>
    <d v="2023-06-28T00:00:00"/>
    <x v="9"/>
    <x v="3"/>
    <x v="10"/>
    <s v="Birmingham"/>
    <s v="Europe &gt; United Kingdom &gt; Birmingham"/>
    <s v="Corporate"/>
    <x v="4"/>
    <x v="4"/>
    <x v="3"/>
    <x v="5"/>
    <s v="Low"/>
    <x v="558"/>
    <n v="605.82000000000005"/>
    <n v="771.12"/>
    <n v="771.12"/>
    <x v="43"/>
    <s v="OK"/>
    <n v="0.13200000000000001"/>
    <n v="19"/>
    <n v="12717.311040000001"/>
    <n v="11510.580000000002"/>
    <n v="1206.7310399999988"/>
    <n v="9.4888851597986767E-2"/>
    <d v="1899-12-30T00:00:00"/>
    <s v="Jan-1900"/>
    <n v="0"/>
    <n v="0"/>
    <n v="0"/>
  </r>
  <r>
    <x v="559"/>
    <d v="2025-04-04T00:00:00"/>
    <x v="7"/>
    <s v="2025-Q2"/>
    <d v="2025-04-10T00:00:00"/>
    <x v="29"/>
    <x v="3"/>
    <x v="10"/>
    <s v="Birmingham"/>
    <s v="Europe &gt; United Kingdom &gt; Birmingham"/>
    <s v="Non-Profit"/>
    <x v="4"/>
    <x v="4"/>
    <x v="5"/>
    <x v="5"/>
    <s v="Low"/>
    <x v="559"/>
    <n v="290.14"/>
    <n v="250.73"/>
    <n v="250.73"/>
    <x v="149"/>
    <s v="OK"/>
    <n v="3.4000000000000002E-2"/>
    <n v="17"/>
    <n v="4117.4880599999997"/>
    <n v="4932.38"/>
    <n v="-814.89194000000043"/>
    <n v="-0.19790997038131072"/>
    <d v="1899-12-30T00:00:00"/>
    <s v="Jan-1900"/>
    <n v="0"/>
    <n v="0"/>
    <n v="0"/>
  </r>
  <r>
    <x v="560"/>
    <d v="2025-01-31T00:00:00"/>
    <x v="25"/>
    <s v="2025-Q1"/>
    <d v="2025-02-17T00:00:00"/>
    <x v="23"/>
    <x v="3"/>
    <x v="10"/>
    <s v="London"/>
    <s v="Europe &gt; United Kingdom &gt; London"/>
    <s v="Enterprise"/>
    <x v="0"/>
    <x v="0"/>
    <x v="15"/>
    <x v="0"/>
    <s v="Low"/>
    <x v="530"/>
    <n v="378.26"/>
    <n v="541.55999999999995"/>
    <n v="541.55999999999995"/>
    <x v="186"/>
    <s v="OK"/>
    <n v="0.16300000000000001"/>
    <n v="25"/>
    <n v="11332.142999999998"/>
    <n v="9456.5"/>
    <n v="1875.6429999999982"/>
    <n v="0.16551529573885526"/>
    <d v="1899-12-30T00:00:00"/>
    <s v="Jan-1900"/>
    <n v="0"/>
    <n v="0"/>
    <n v="0"/>
  </r>
  <r>
    <x v="561"/>
    <d v="2025-07-23T00:00:00"/>
    <x v="4"/>
    <s v="2025-Q3"/>
    <d v="2025-08-17T00:00:00"/>
    <x v="2"/>
    <x v="3"/>
    <x v="10"/>
    <s v="Birmingham"/>
    <s v="Europe &gt; United Kingdom &gt; Birmingham"/>
    <s v="Education"/>
    <x v="1"/>
    <x v="1"/>
    <x v="12"/>
    <x v="5"/>
    <s v="Medium"/>
    <x v="560"/>
    <n v="1142.06"/>
    <n v="1455"/>
    <n v="1455"/>
    <x v="199"/>
    <s v="OK"/>
    <n v="7.8E-2"/>
    <n v="28"/>
    <n v="37562.28"/>
    <n v="31977.68"/>
    <n v="5584.5999999999985"/>
    <n v="0.1486757459877302"/>
    <d v="1899-12-30T00:00:00"/>
    <s v="Jan-1900"/>
    <n v="0"/>
    <n v="0"/>
    <n v="0"/>
  </r>
  <r>
    <x v="562"/>
    <d v="2023-05-29T00:00:00"/>
    <x v="26"/>
    <s v="2023-Q2"/>
    <d v="2023-06-20T00:00:00"/>
    <x v="21"/>
    <x v="3"/>
    <x v="10"/>
    <s v="London"/>
    <s v="Europe &gt; United Kingdom &gt; London"/>
    <s v="Small Business"/>
    <x v="4"/>
    <x v="4"/>
    <x v="3"/>
    <x v="0"/>
    <s v="High"/>
    <x v="561"/>
    <n v="1295.3900000000001"/>
    <n v="2905.06"/>
    <n v="2905.06"/>
    <x v="99"/>
    <s v="OK"/>
    <n v="0.14799999999999999"/>
    <n v="8"/>
    <n v="19800.88896"/>
    <n v="10363.120000000001"/>
    <n v="9437.7689599999994"/>
    <n v="0.47663359857556614"/>
    <d v="1899-12-30T00:00:00"/>
    <s v="Jan-1900"/>
    <n v="0"/>
    <n v="0"/>
    <n v="0"/>
  </r>
  <r>
    <x v="563"/>
    <d v="2023-10-21T00:00:00"/>
    <x v="20"/>
    <s v="2023-Q4"/>
    <d v="2023-10-21T00:00:00"/>
    <x v="25"/>
    <x v="3"/>
    <x v="10"/>
    <s v="Manchester"/>
    <s v="Europe &gt; United Kingdom &gt; Manchester"/>
    <s v="Enterprise"/>
    <x v="3"/>
    <x v="3"/>
    <x v="2"/>
    <x v="2"/>
    <s v="Low"/>
    <x v="562"/>
    <n v="384.19"/>
    <n v="278.35000000000002"/>
    <n v="278.35000000000002"/>
    <x v="60"/>
    <s v="OK"/>
    <n v="5.6000000000000001E-2"/>
    <n v="10"/>
    <n v="2627.6239999999998"/>
    <n v="3841.9"/>
    <n v="-1214.2760000000003"/>
    <n v="-0.46211938998882657"/>
    <d v="1899-12-30T00:00:00"/>
    <s v="Jan-1900"/>
    <n v="0"/>
    <n v="0"/>
    <n v="0"/>
  </r>
  <r>
    <x v="564"/>
    <d v="2023-01-19T00:00:00"/>
    <x v="28"/>
    <s v="2023-Q1"/>
    <d v="2023-02-03T00:00:00"/>
    <x v="26"/>
    <x v="3"/>
    <x v="10"/>
    <s v="London"/>
    <s v="Europe &gt; United Kingdom &gt; London"/>
    <s v="Enterprise"/>
    <x v="3"/>
    <x v="3"/>
    <x v="4"/>
    <x v="1"/>
    <s v="High"/>
    <x v="563"/>
    <n v="873.06"/>
    <n v="2101.5500000000002"/>
    <n v="2101.5500000000002"/>
    <x v="102"/>
    <s v="OK"/>
    <n v="6.6000000000000003E-2"/>
    <n v="10"/>
    <n v="19628.476999999999"/>
    <n v="8730.5999999999985"/>
    <n v="10897.877"/>
    <n v="0.55520746719167269"/>
    <d v="1899-12-30T00:00:00"/>
    <s v="Jan-1900"/>
    <n v="0"/>
    <n v="0"/>
    <n v="0"/>
  </r>
  <r>
    <x v="565"/>
    <d v="2024-05-10T00:00:00"/>
    <x v="16"/>
    <s v="2024-Q2"/>
    <d v="2024-05-16T00:00:00"/>
    <x v="29"/>
    <x v="3"/>
    <x v="10"/>
    <s v="Birmingham"/>
    <s v="Europe &gt; United Kingdom &gt; Birmingham"/>
    <s v="Non-Profit"/>
    <x v="4"/>
    <x v="4"/>
    <x v="4"/>
    <x v="3"/>
    <s v="Low"/>
    <x v="564"/>
    <n v="210.76"/>
    <n v="221.58"/>
    <n v="221.58"/>
    <x v="51"/>
    <s v="OK"/>
    <n v="8.8999999999999996E-2"/>
    <n v="5"/>
    <n v="1009.2969000000002"/>
    <n v="1053.8"/>
    <n v="-44.50309999999979"/>
    <n v="-4.4093170205912434E-2"/>
    <d v="1899-12-30T00:00:00"/>
    <s v="Jan-1900"/>
    <n v="0"/>
    <n v="0"/>
    <n v="0"/>
  </r>
  <r>
    <x v="566"/>
    <d v="2023-07-16T00:00:00"/>
    <x v="14"/>
    <s v="2023-Q3"/>
    <d v="2023-08-13T00:00:00"/>
    <x v="11"/>
    <x v="3"/>
    <x v="10"/>
    <s v="Manchester"/>
    <s v="Europe &gt; United Kingdom &gt; Manchester"/>
    <s v="Non-Profit"/>
    <x v="1"/>
    <x v="1"/>
    <x v="2"/>
    <x v="3"/>
    <s v="High"/>
    <x v="565"/>
    <n v="1039.03"/>
    <n v="2545.81"/>
    <n v="2545.81"/>
    <x v="27"/>
    <s v="OK"/>
    <n v="0.216"/>
    <n v="21"/>
    <n v="41914.215840000004"/>
    <n v="21819.63"/>
    <n v="20094.585840000003"/>
    <n v="0.47942172929364774"/>
    <d v="1899-12-30T00:00:00"/>
    <s v="Jan-1900"/>
    <n v="0"/>
    <n v="0"/>
    <n v="0"/>
  </r>
  <r>
    <x v="567"/>
    <d v="2024-05-12T00:00:00"/>
    <x v="16"/>
    <s v="2024-Q2"/>
    <d v="2024-05-24T00:00:00"/>
    <x v="15"/>
    <x v="3"/>
    <x v="10"/>
    <s v="Manchester"/>
    <s v="Europe &gt; United Kingdom &gt; Manchester"/>
    <s v="Education"/>
    <x v="2"/>
    <x v="2"/>
    <x v="3"/>
    <x v="5"/>
    <s v="Low"/>
    <x v="566"/>
    <n v="111.02"/>
    <n v="172.88"/>
    <n v="172.88"/>
    <x v="95"/>
    <s v="OK"/>
    <n v="0.19700000000000001"/>
    <n v="29"/>
    <n v="4025.8565599999993"/>
    <n v="3219.58"/>
    <n v="806.27655999999934"/>
    <n v="0.20027453735212053"/>
    <d v="1899-12-30T00:00:00"/>
    <s v="Jan-1900"/>
    <n v="0"/>
    <n v="0"/>
    <n v="0"/>
  </r>
  <r>
    <x v="568"/>
    <d v="2024-09-09T00:00:00"/>
    <x v="17"/>
    <s v="2024-Q3"/>
    <d v="2024-09-13T00:00:00"/>
    <x v="14"/>
    <x v="3"/>
    <x v="10"/>
    <s v="London"/>
    <s v="Europe &gt; United Kingdom &gt; London"/>
    <s v="Consumer"/>
    <x v="2"/>
    <x v="2"/>
    <x v="8"/>
    <x v="6"/>
    <s v="Medium"/>
    <x v="567"/>
    <n v="1133.08"/>
    <n v="976.17"/>
    <n v="976.17"/>
    <x v="41"/>
    <s v="OK"/>
    <n v="4.2000000000000003E-2"/>
    <n v="27"/>
    <n v="25249.613219999999"/>
    <n v="30593.159999999996"/>
    <n v="-5343.5467799999969"/>
    <n v="-0.21162885678452373"/>
    <d v="1899-12-30T00:00:00"/>
    <s v="Jan-1900"/>
    <n v="0"/>
    <n v="0"/>
    <n v="0"/>
  </r>
  <r>
    <x v="569"/>
    <d v="2024-04-26T00:00:00"/>
    <x v="15"/>
    <s v="2024-Q2"/>
    <d v="2024-05-01T00:00:00"/>
    <x v="5"/>
    <x v="3"/>
    <x v="10"/>
    <s v="London"/>
    <s v="Europe &gt; United Kingdom &gt; London"/>
    <s v="Non-Profit"/>
    <x v="3"/>
    <x v="3"/>
    <x v="5"/>
    <x v="4"/>
    <s v="Medium"/>
    <x v="568"/>
    <n v="1232.77"/>
    <n v="891.73"/>
    <n v="891.73"/>
    <x v="198"/>
    <s v="OK"/>
    <n v="0.16700000000000001"/>
    <n v="10"/>
    <n v="7428.1108999999988"/>
    <n v="12327.7"/>
    <n v="-4899.589100000002"/>
    <n v="-0.65960096260813805"/>
    <d v="1899-12-30T00:00:00"/>
    <s v="Jan-1900"/>
    <n v="0"/>
    <n v="0"/>
    <n v="0"/>
  </r>
  <r>
    <x v="570"/>
    <d v="2024-10-10T00:00:00"/>
    <x v="32"/>
    <s v="2024-Q4"/>
    <d v="2024-10-11T00:00:00"/>
    <x v="17"/>
    <x v="3"/>
    <x v="10"/>
    <s v="Manchester"/>
    <s v="Europe &gt; United Kingdom &gt; Manchester"/>
    <s v="Non-Profit"/>
    <x v="3"/>
    <x v="3"/>
    <x v="10"/>
    <x v="0"/>
    <s v="High"/>
    <x v="569"/>
    <n v="1389.46"/>
    <n v="1784.7"/>
    <n v="1784.7"/>
    <x v="139"/>
    <s v="OK"/>
    <n v="0.14599999999999999"/>
    <n v="33"/>
    <n v="50296.415399999998"/>
    <n v="45852.18"/>
    <n v="4444.2353999999978"/>
    <n v="8.8360877503011831E-2"/>
    <d v="1899-12-30T00:00:00"/>
    <s v="Jan-1900"/>
    <n v="0"/>
    <n v="0"/>
    <n v="0"/>
  </r>
  <r>
    <x v="571"/>
    <d v="2024-12-07T00:00:00"/>
    <x v="30"/>
    <s v="2024-Q4"/>
    <d v="2024-12-26T00:00:00"/>
    <x v="1"/>
    <x v="3"/>
    <x v="10"/>
    <s v="London"/>
    <s v="Europe &gt; United Kingdom &gt; London"/>
    <s v="Enterprise"/>
    <x v="1"/>
    <x v="1"/>
    <x v="14"/>
    <x v="6"/>
    <s v="High"/>
    <x v="570"/>
    <n v="1035.24"/>
    <n v="2383.41"/>
    <n v="2383.41"/>
    <x v="38"/>
    <s v="OK"/>
    <n v="0.17"/>
    <n v="15"/>
    <n v="29673.454499999993"/>
    <n v="15528.6"/>
    <n v="14144.854499999992"/>
    <n v="0.47668378145860962"/>
    <d v="1899-12-30T00:00:00"/>
    <s v="Jan-1900"/>
    <n v="0"/>
    <n v="0"/>
    <n v="0"/>
  </r>
  <r>
    <x v="572"/>
    <d v="2025-02-04T00:00:00"/>
    <x v="8"/>
    <s v="2025-Q1"/>
    <d v="2025-02-08T00:00:00"/>
    <x v="14"/>
    <x v="3"/>
    <x v="10"/>
    <s v="Manchester"/>
    <s v="Europe &gt; United Kingdom &gt; Manchester"/>
    <s v="Enterprise"/>
    <x v="2"/>
    <x v="2"/>
    <x v="10"/>
    <x v="6"/>
    <s v="Low"/>
    <x v="571"/>
    <n v="586.21"/>
    <n v="727.22"/>
    <n v="727.22"/>
    <x v="141"/>
    <s v="OK"/>
    <n v="6.8000000000000005E-2"/>
    <n v="15"/>
    <n v="10166.535600000001"/>
    <n v="8793.1500000000015"/>
    <n v="1373.3855999999996"/>
    <n v="0.13508884973559721"/>
    <d v="1899-12-30T00:00:00"/>
    <s v="Jan-1900"/>
    <n v="0"/>
    <n v="0"/>
    <n v="0"/>
  </r>
  <r>
    <x v="573"/>
    <d v="2024-01-24T00:00:00"/>
    <x v="22"/>
    <s v="2024-Q1"/>
    <d v="2024-02-04T00:00:00"/>
    <x v="20"/>
    <x v="3"/>
    <x v="10"/>
    <s v="Manchester"/>
    <s v="Europe &gt; United Kingdom &gt; Manchester"/>
    <s v="Consumer"/>
    <x v="0"/>
    <x v="0"/>
    <x v="6"/>
    <x v="3"/>
    <s v="Medium"/>
    <x v="572"/>
    <n v="525.34"/>
    <n v="1233.79"/>
    <n v="1233.79"/>
    <x v="82"/>
    <s v="OK"/>
    <n v="0.14299999999999999"/>
    <n v="4"/>
    <n v="4229.4321199999995"/>
    <n v="2101.36"/>
    <n v="2128.0721199999994"/>
    <n v="0.50315788494082736"/>
    <d v="1899-12-30T00:00:00"/>
    <s v="Jan-1900"/>
    <n v="0"/>
    <n v="0"/>
    <n v="0"/>
  </r>
  <r>
    <x v="574"/>
    <d v="2023-06-15T00:00:00"/>
    <x v="11"/>
    <s v="2023-Q2"/>
    <d v="2023-07-12T00:00:00"/>
    <x v="10"/>
    <x v="3"/>
    <x v="10"/>
    <s v="Manchester"/>
    <s v="Europe &gt; United Kingdom &gt; Manchester"/>
    <s v="Consumer"/>
    <x v="4"/>
    <x v="4"/>
    <x v="12"/>
    <x v="1"/>
    <s v="Medium"/>
    <x v="573"/>
    <n v="751.28"/>
    <n v="1111.8800000000001"/>
    <n v="1111.8800000000001"/>
    <x v="28"/>
    <s v="OK"/>
    <n v="0.13500000000000001"/>
    <n v="7"/>
    <n v="6732.4334000000008"/>
    <n v="5258.96"/>
    <n v="1473.4734000000008"/>
    <n v="0.21886193482433863"/>
    <d v="1899-12-30T00:00:00"/>
    <s v="Jan-1900"/>
    <n v="0"/>
    <n v="0"/>
    <n v="0"/>
  </r>
  <r>
    <x v="575"/>
    <d v="2024-11-11T00:00:00"/>
    <x v="13"/>
    <s v="2024-Q4"/>
    <d v="2024-11-24T00:00:00"/>
    <x v="28"/>
    <x v="3"/>
    <x v="10"/>
    <s v="London"/>
    <s v="Europe &gt; United Kingdom &gt; London"/>
    <s v="Corporate"/>
    <x v="0"/>
    <x v="0"/>
    <x v="11"/>
    <x v="6"/>
    <s v="Low"/>
    <x v="574"/>
    <n v="164.53"/>
    <n v="327.72"/>
    <n v="327.72"/>
    <x v="213"/>
    <s v="OK"/>
    <n v="6.7000000000000004E-2"/>
    <n v="14"/>
    <n v="4280.6786400000001"/>
    <n v="2303.42"/>
    <n v="1977.25864"/>
    <n v="0.46190307805960412"/>
    <d v="1899-12-30T00:00:00"/>
    <s v="Jan-1900"/>
    <n v="0"/>
    <n v="0"/>
    <n v="0"/>
  </r>
  <r>
    <x v="576"/>
    <d v="2024-03-09T00:00:00"/>
    <x v="0"/>
    <s v="2024-Q1"/>
    <d v="2024-03-22T00:00:00"/>
    <x v="28"/>
    <x v="3"/>
    <x v="10"/>
    <s v="Manchester"/>
    <s v="Europe &gt; United Kingdom &gt; Manchester"/>
    <s v="Consumer"/>
    <x v="1"/>
    <x v="1"/>
    <x v="11"/>
    <x v="3"/>
    <s v="High"/>
    <x v="575"/>
    <n v="985.45"/>
    <n v="1802.44"/>
    <n v="1802.44"/>
    <x v="91"/>
    <s v="OK"/>
    <n v="8.9999999999999993E-3"/>
    <n v="19"/>
    <n v="33938.142760000002"/>
    <n v="18723.55"/>
    <n v="15214.592760000003"/>
    <n v="0.44830363486867486"/>
    <d v="1899-12-30T00:00:00"/>
    <s v="Jan-1900"/>
    <n v="0"/>
    <n v="0"/>
    <n v="0"/>
  </r>
  <r>
    <x v="577"/>
    <d v="2023-04-10T00:00:00"/>
    <x v="19"/>
    <s v="2023-Q2"/>
    <d v="2023-04-25T00:00:00"/>
    <x v="26"/>
    <x v="3"/>
    <x v="10"/>
    <s v="London"/>
    <s v="Europe &gt; United Kingdom &gt; London"/>
    <s v="Small Business"/>
    <x v="0"/>
    <x v="0"/>
    <x v="14"/>
    <x v="5"/>
    <s v="Medium"/>
    <x v="576"/>
    <n v="405.66"/>
    <n v="962.51"/>
    <n v="962.51"/>
    <x v="46"/>
    <s v="OK"/>
    <n v="0.19"/>
    <n v="7"/>
    <n v="5457.4317000000001"/>
    <n v="2839.6200000000003"/>
    <n v="2617.8116999999997"/>
    <n v="0.47967832561239376"/>
    <d v="1899-12-30T00:00:00"/>
    <s v="Jan-1900"/>
    <n v="0"/>
    <n v="0"/>
    <n v="0"/>
  </r>
  <r>
    <x v="578"/>
    <d v="2024-12-17T00:00:00"/>
    <x v="30"/>
    <s v="2024-Q4"/>
    <d v="2025-01-16T00:00:00"/>
    <x v="27"/>
    <x v="3"/>
    <x v="10"/>
    <s v="Manchester"/>
    <s v="Europe &gt; United Kingdom &gt; Manchester"/>
    <s v="Corporate"/>
    <x v="0"/>
    <x v="0"/>
    <x v="14"/>
    <x v="2"/>
    <s v="Low"/>
    <x v="577"/>
    <n v="722.87"/>
    <n v="0"/>
    <n v="0"/>
    <x v="61"/>
    <s v="OK"/>
    <n v="0.10199999999999999"/>
    <n v="28"/>
    <n v="0"/>
    <n v="20240.36"/>
    <n v="-20240.36"/>
    <n v="0"/>
    <d v="1899-12-30T00:00:00"/>
    <s v="Jan-1900"/>
    <n v="0"/>
    <n v="0"/>
    <n v="0"/>
  </r>
  <r>
    <x v="579"/>
    <d v="2025-07-11T00:00:00"/>
    <x v="4"/>
    <s v="2025-Q3"/>
    <d v="2025-07-16T00:00:00"/>
    <x v="5"/>
    <x v="3"/>
    <x v="10"/>
    <s v="London"/>
    <s v="Europe &gt; United Kingdom &gt; London"/>
    <s v="Enterprise"/>
    <x v="1"/>
    <x v="1"/>
    <x v="3"/>
    <x v="5"/>
    <s v="Medium"/>
    <x v="578"/>
    <n v="930.03"/>
    <n v="1086.68"/>
    <n v="1086.68"/>
    <x v="4"/>
    <s v="OK"/>
    <n v="0.109"/>
    <n v="26"/>
    <n v="25174.028880000002"/>
    <n v="24180.78"/>
    <n v="993.24888000000283"/>
    <n v="3.9455300728168656E-2"/>
    <d v="1899-12-30T00:00:00"/>
    <s v="Jan-1900"/>
    <n v="0"/>
    <n v="0"/>
    <n v="0"/>
  </r>
  <r>
    <x v="580"/>
    <d v="2024-05-18T00:00:00"/>
    <x v="16"/>
    <s v="2024-Q2"/>
    <d v="2024-05-23T00:00:00"/>
    <x v="5"/>
    <x v="1"/>
    <x v="11"/>
    <s v="Chicago"/>
    <s v="Americas &gt; USA &gt; Chicago"/>
    <s v="Enterprise"/>
    <x v="0"/>
    <x v="0"/>
    <x v="15"/>
    <x v="3"/>
    <s v="High"/>
    <x v="579"/>
    <n v="1274.5899999999999"/>
    <n v="2553.69"/>
    <n v="2553.69"/>
    <x v="47"/>
    <s v="OK"/>
    <n v="0.01"/>
    <n v="8"/>
    <n v="20225.2248"/>
    <n v="10196.719999999999"/>
    <n v="10028.504800000001"/>
    <n v="0.49584145042481803"/>
    <d v="1899-12-30T00:00:00"/>
    <s v="Jan-1900"/>
    <n v="0"/>
    <n v="0"/>
    <n v="0"/>
  </r>
  <r>
    <x v="581"/>
    <d v="2023-06-17T00:00:00"/>
    <x v="11"/>
    <s v="2023-Q2"/>
    <d v="2023-06-24T00:00:00"/>
    <x v="22"/>
    <x v="1"/>
    <x v="11"/>
    <s v="San Francisco"/>
    <s v="Americas &gt; USA &gt; San Francisco"/>
    <s v="Corporate"/>
    <x v="0"/>
    <x v="0"/>
    <x v="12"/>
    <x v="5"/>
    <s v="Low"/>
    <x v="580"/>
    <n v="313.99"/>
    <n v="454.42"/>
    <n v="454.42"/>
    <x v="30"/>
    <s v="OK"/>
    <n v="0.129"/>
    <n v="9"/>
    <n v="3562.1983800000003"/>
    <n v="2825.91"/>
    <n v="736.28838000000042"/>
    <n v="0.20669493988147858"/>
    <d v="1899-12-30T00:00:00"/>
    <s v="Jan-1900"/>
    <n v="0"/>
    <n v="0"/>
    <n v="0"/>
  </r>
  <r>
    <x v="582"/>
    <d v="2025-04-23T00:00:00"/>
    <x v="7"/>
    <s v="2025-Q2"/>
    <d v="2025-04-28T00:00:00"/>
    <x v="5"/>
    <x v="1"/>
    <x v="11"/>
    <s v="San Francisco"/>
    <s v="Americas &gt; USA &gt; San Francisco"/>
    <s v="Non-Profit"/>
    <x v="3"/>
    <x v="3"/>
    <x v="14"/>
    <x v="2"/>
    <s v="Low"/>
    <x v="581"/>
    <n v="23.24"/>
    <n v="44.57"/>
    <n v="44.57"/>
    <x v="97"/>
    <s v="OK"/>
    <n v="0.215"/>
    <n v="15"/>
    <n v="524.81174999999996"/>
    <n v="348.59999999999997"/>
    <n v="176.21174999999999"/>
    <n v="0.33576182316802167"/>
    <d v="1899-12-30T00:00:00"/>
    <s v="Jan-1900"/>
    <n v="0"/>
    <n v="0"/>
    <n v="0"/>
  </r>
  <r>
    <x v="583"/>
    <d v="2025-01-17T00:00:00"/>
    <x v="25"/>
    <s v="2025-Q1"/>
    <d v="2025-01-24T00:00:00"/>
    <x v="22"/>
    <x v="1"/>
    <x v="11"/>
    <s v="Austin"/>
    <s v="Americas &gt; USA &gt; Austin"/>
    <s v="Enterprise"/>
    <x v="1"/>
    <x v="1"/>
    <x v="4"/>
    <x v="1"/>
    <s v="Low"/>
    <x v="582"/>
    <n v="142.09"/>
    <n v="218.5"/>
    <n v="218.5"/>
    <x v="116"/>
    <s v="OK"/>
    <n v="0.11899999999999999"/>
    <n v="11"/>
    <n v="2117.4834999999998"/>
    <n v="1562.99"/>
    <n v="554.49349999999981"/>
    <n v="0.26186437816398561"/>
    <d v="1899-12-30T00:00:00"/>
    <s v="Jan-1900"/>
    <n v="0"/>
    <n v="0"/>
    <n v="0"/>
  </r>
  <r>
    <x v="584"/>
    <d v="2024-05-30T00:00:00"/>
    <x v="16"/>
    <s v="2024-Q2"/>
    <d v="2024-06-13T00:00:00"/>
    <x v="6"/>
    <x v="1"/>
    <x v="11"/>
    <s v="San Francisco"/>
    <s v="Americas &gt; USA &gt; San Francisco"/>
    <s v="Small Business"/>
    <x v="0"/>
    <x v="0"/>
    <x v="8"/>
    <x v="4"/>
    <s v="Low"/>
    <x v="583"/>
    <n v="157.78"/>
    <n v="361.1"/>
    <n v="361.1"/>
    <x v="90"/>
    <s v="OK"/>
    <n v="0.187"/>
    <n v="9"/>
    <n v="2642.1686999999997"/>
    <n v="1420.02"/>
    <n v="1222.1486999999997"/>
    <n v="0.46255513510549112"/>
    <d v="1899-12-30T00:00:00"/>
    <s v="Jan-1900"/>
    <n v="0"/>
    <n v="0"/>
    <n v="0"/>
  </r>
  <r>
    <x v="585"/>
    <d v="2023-01-22T00:00:00"/>
    <x v="28"/>
    <s v="2023-Q1"/>
    <d v="2023-01-30T00:00:00"/>
    <x v="19"/>
    <x v="1"/>
    <x v="11"/>
    <s v="San Francisco"/>
    <s v="Americas &gt; USA &gt; San Francisco"/>
    <s v="Small Business"/>
    <x v="1"/>
    <x v="1"/>
    <x v="1"/>
    <x v="6"/>
    <s v="Medium"/>
    <x v="584"/>
    <n v="413.52"/>
    <n v="1004.34"/>
    <n v="1004.34"/>
    <x v="40"/>
    <s v="OK"/>
    <n v="0.111"/>
    <n v="18"/>
    <n v="16071.44868"/>
    <n v="7443.36"/>
    <n v="8628.0886800000007"/>
    <n v="0.53685817948304593"/>
    <d v="1899-12-30T00:00:00"/>
    <s v="Jan-1900"/>
    <n v="0"/>
    <n v="0"/>
    <n v="0"/>
  </r>
  <r>
    <x v="586"/>
    <d v="2024-12-21T00:00:00"/>
    <x v="30"/>
    <s v="2024-Q4"/>
    <d v="2024-12-26T00:00:00"/>
    <x v="5"/>
    <x v="1"/>
    <x v="11"/>
    <s v="San Francisco"/>
    <s v="Americas &gt; USA &gt; San Francisco"/>
    <s v="Consumer"/>
    <x v="2"/>
    <x v="2"/>
    <x v="13"/>
    <x v="5"/>
    <s v="Low"/>
    <x v="585"/>
    <n v="699.57"/>
    <n v="572.71"/>
    <n v="572.71"/>
    <x v="173"/>
    <s v="OK"/>
    <n v="0.192"/>
    <n v="26"/>
    <n v="12031.491680000001"/>
    <n v="18188.82"/>
    <n v="-6157.3283199999987"/>
    <n v="-0.51176765805651114"/>
    <d v="1899-12-30T00:00:00"/>
    <s v="Jan-1900"/>
    <n v="0"/>
    <n v="0"/>
    <n v="0"/>
  </r>
  <r>
    <x v="587"/>
    <d v="2023-07-26T00:00:00"/>
    <x v="14"/>
    <s v="2023-Q3"/>
    <d v="2023-08-25T00:00:00"/>
    <x v="27"/>
    <x v="1"/>
    <x v="11"/>
    <s v="New York"/>
    <s v="Americas &gt; USA &gt; New York"/>
    <s v="Consumer"/>
    <x v="0"/>
    <x v="0"/>
    <x v="13"/>
    <x v="1"/>
    <s v="High"/>
    <x v="586"/>
    <n v="1261.48"/>
    <n v="1643.18"/>
    <n v="1643.18"/>
    <x v="113"/>
    <s v="OK"/>
    <n v="0.151"/>
    <n v="23"/>
    <n v="32086.37586"/>
    <n v="29014.04"/>
    <n v="3072.3358599999992"/>
    <n v="9.5752037357079045E-2"/>
    <d v="1899-12-30T00:00:00"/>
    <s v="Jan-1900"/>
    <n v="0"/>
    <n v="0"/>
    <n v="0"/>
  </r>
  <r>
    <x v="588"/>
    <d v="2023-02-24T00:00:00"/>
    <x v="5"/>
    <s v="2023-Q1"/>
    <d v="2023-03-09T00:00:00"/>
    <x v="28"/>
    <x v="1"/>
    <x v="11"/>
    <s v="New York"/>
    <s v="Americas &gt; USA &gt; New York"/>
    <s v="Enterprise"/>
    <x v="1"/>
    <x v="1"/>
    <x v="13"/>
    <x v="0"/>
    <s v="Low"/>
    <x v="587"/>
    <n v="6.85"/>
    <n v="10.18"/>
    <n v="10.18"/>
    <x v="85"/>
    <s v="OK"/>
    <n v="4.7E-2"/>
    <n v="10"/>
    <n v="97.0154"/>
    <n v="68.5"/>
    <n v="28.5154"/>
    <n v="0.2939265312517394"/>
    <d v="1899-12-30T00:00:00"/>
    <s v="Jan-1900"/>
    <n v="0"/>
    <n v="0"/>
    <n v="0"/>
  </r>
  <r>
    <x v="589"/>
    <d v="2024-08-12T00:00:00"/>
    <x v="10"/>
    <s v="2024-Q3"/>
    <d v="2024-09-03T00:00:00"/>
    <x v="21"/>
    <x v="1"/>
    <x v="11"/>
    <s v="Austin"/>
    <s v="Americas &gt; USA &gt; Austin"/>
    <s v="Consumer"/>
    <x v="3"/>
    <x v="3"/>
    <x v="12"/>
    <x v="3"/>
    <s v="Medium"/>
    <x v="588"/>
    <n v="797.8"/>
    <n v="886.22"/>
    <n v="886.22"/>
    <x v="214"/>
    <s v="OK"/>
    <n v="0.23599999999999999"/>
    <n v="36"/>
    <n v="24374.594880000001"/>
    <n v="28720.799999999999"/>
    <n v="-4346.2051199999987"/>
    <n v="-0.17830881462428633"/>
    <d v="1899-12-30T00:00:00"/>
    <s v="Jan-1900"/>
    <n v="0"/>
    <n v="0"/>
    <n v="0"/>
  </r>
  <r>
    <x v="590"/>
    <d v="2023-05-04T00:00:00"/>
    <x v="26"/>
    <s v="2023-Q2"/>
    <d v="2023-05-26T00:00:00"/>
    <x v="21"/>
    <x v="1"/>
    <x v="11"/>
    <s v="San Francisco"/>
    <s v="Americas &gt; USA &gt; San Francisco"/>
    <s v="Enterprise"/>
    <x v="1"/>
    <x v="1"/>
    <x v="2"/>
    <x v="6"/>
    <s v="Low"/>
    <x v="589"/>
    <n v="249.71"/>
    <n v="361.33"/>
    <n v="361.33"/>
    <x v="2"/>
    <s v="OK"/>
    <n v="9.4E-2"/>
    <n v="12"/>
    <n v="3928.3797600000003"/>
    <n v="2996.52"/>
    <n v="931.85976000000028"/>
    <n v="0.23721223937881206"/>
    <d v="1899-12-30T00:00:00"/>
    <s v="Jan-1900"/>
    <n v="0"/>
    <n v="0"/>
    <n v="0"/>
  </r>
  <r>
    <x v="591"/>
    <d v="2023-01-13T00:00:00"/>
    <x v="28"/>
    <s v="2023-Q1"/>
    <d v="2023-01-19T00:00:00"/>
    <x v="29"/>
    <x v="1"/>
    <x v="11"/>
    <s v="Chicago"/>
    <s v="Americas &gt; USA &gt; Chicago"/>
    <s v="Corporate"/>
    <x v="4"/>
    <x v="4"/>
    <x v="15"/>
    <x v="4"/>
    <s v="Medium"/>
    <x v="590"/>
    <n v="833.57"/>
    <n v="881.57"/>
    <n v="881.57"/>
    <x v="15"/>
    <s v="OK"/>
    <n v="5.7000000000000002E-2"/>
    <n v="18"/>
    <n v="14963.769179999999"/>
    <n v="15004.26"/>
    <n v="-40.490820000000895"/>
    <n v="-2.7059238560107821E-3"/>
    <d v="1899-12-30T00:00:00"/>
    <s v="Jan-1900"/>
    <n v="0"/>
    <n v="0"/>
    <n v="0"/>
  </r>
  <r>
    <x v="592"/>
    <d v="2024-01-12T00:00:00"/>
    <x v="22"/>
    <s v="2024-Q1"/>
    <d v="2024-01-29T00:00:00"/>
    <x v="23"/>
    <x v="1"/>
    <x v="11"/>
    <s v="Chicago"/>
    <s v="Americas &gt; USA &gt; Chicago"/>
    <s v="Education"/>
    <x v="3"/>
    <x v="3"/>
    <x v="1"/>
    <x v="5"/>
    <s v="Low"/>
    <x v="591"/>
    <n v="493.76"/>
    <n v="625.04"/>
    <n v="625.04"/>
    <x v="215"/>
    <s v="OK"/>
    <n v="0.25800000000000001"/>
    <n v="10"/>
    <n v="4637.7968000000001"/>
    <n v="4937.6000000000004"/>
    <n v="-299.80320000000029"/>
    <n v="-6.464345311549663E-2"/>
    <d v="1899-12-30T00:00:00"/>
    <s v="Jan-1900"/>
    <n v="0"/>
    <n v="0"/>
    <n v="0"/>
  </r>
  <r>
    <x v="593"/>
    <d v="2023-08-15T00:00:00"/>
    <x v="21"/>
    <s v="2023-Q3"/>
    <d v="2023-09-07T00:00:00"/>
    <x v="9"/>
    <x v="1"/>
    <x v="11"/>
    <s v="New York"/>
    <s v="Americas &gt; USA &gt; New York"/>
    <s v="Enterprise"/>
    <x v="1"/>
    <x v="1"/>
    <x v="3"/>
    <x v="4"/>
    <s v="Medium"/>
    <x v="592"/>
    <n v="590.33000000000004"/>
    <n v="973.04"/>
    <n v="973.04"/>
    <x v="3"/>
    <s v="OK"/>
    <n v="0"/>
    <n v="26"/>
    <n v="25299.040000000001"/>
    <n v="15348.580000000002"/>
    <n v="9950.4599999999991"/>
    <n v="0.39331373838691108"/>
    <d v="1899-12-30T00:00:00"/>
    <s v="Jan-1900"/>
    <n v="0"/>
    <n v="0"/>
    <n v="0"/>
  </r>
  <r>
    <x v="594"/>
    <d v="2023-09-25T00:00:00"/>
    <x v="29"/>
    <s v="2023-Q3"/>
    <d v="2023-10-02T00:00:00"/>
    <x v="22"/>
    <x v="1"/>
    <x v="11"/>
    <s v="New York"/>
    <s v="Americas &gt; USA &gt; New York"/>
    <s v="Education"/>
    <x v="2"/>
    <x v="2"/>
    <x v="12"/>
    <x v="1"/>
    <s v="Low"/>
    <x v="593"/>
    <n v="145.58000000000001"/>
    <n v="228.15"/>
    <n v="228.15"/>
    <x v="205"/>
    <s v="OK"/>
    <n v="0.20399999999999999"/>
    <n v="5"/>
    <n v="908.03700000000003"/>
    <n v="727.90000000000009"/>
    <n v="180.13699999999994"/>
    <n v="0.19838068272548359"/>
    <d v="1899-12-30T00:00:00"/>
    <s v="Jan-1900"/>
    <n v="0"/>
    <n v="0"/>
    <n v="0"/>
  </r>
  <r>
    <x v="595"/>
    <d v="2023-10-04T00:00:00"/>
    <x v="20"/>
    <s v="2023-Q4"/>
    <d v="2023-10-29T00:00:00"/>
    <x v="2"/>
    <x v="1"/>
    <x v="11"/>
    <s v="San Francisco"/>
    <s v="Americas &gt; USA &gt; San Francisco"/>
    <s v="Small Business"/>
    <x v="3"/>
    <x v="3"/>
    <x v="7"/>
    <x v="1"/>
    <s v="Medium"/>
    <x v="594"/>
    <n v="1239.8399999999999"/>
    <n v="1482.75"/>
    <n v="1482.75"/>
    <x v="213"/>
    <s v="OK"/>
    <n v="6.7000000000000004E-2"/>
    <n v="4"/>
    <n v="5533.6230000000005"/>
    <n v="4959.3599999999997"/>
    <n v="574.26300000000083"/>
    <n v="0.10377703721413634"/>
    <d v="1899-12-30T00:00:00"/>
    <s v="Jan-1900"/>
    <n v="0"/>
    <n v="0"/>
    <n v="0"/>
  </r>
  <r>
    <x v="596"/>
    <d v="2025-08-10T00:00:00"/>
    <x v="24"/>
    <s v="2025-Q3"/>
    <d v="2025-08-30T00:00:00"/>
    <x v="8"/>
    <x v="1"/>
    <x v="11"/>
    <s v="San Francisco"/>
    <s v="Americas &gt; USA &gt; San Francisco"/>
    <s v="Corporate"/>
    <x v="2"/>
    <x v="2"/>
    <x v="3"/>
    <x v="5"/>
    <s v="Medium"/>
    <x v="595"/>
    <n v="933.29"/>
    <n v="1456.81"/>
    <n v="1456.81"/>
    <x v="42"/>
    <s v="OK"/>
    <n v="0.123"/>
    <n v="13"/>
    <n v="16609.090809999998"/>
    <n v="12132.77"/>
    <n v="4476.3208099999974"/>
    <n v="0.26951028573489977"/>
    <d v="1899-12-30T00:00:00"/>
    <s v="Jan-1900"/>
    <n v="0"/>
    <n v="0"/>
    <n v="0"/>
  </r>
  <r>
    <x v="597"/>
    <d v="2024-03-30T00:00:00"/>
    <x v="0"/>
    <s v="2024-Q1"/>
    <d v="2024-04-24T00:00:00"/>
    <x v="2"/>
    <x v="1"/>
    <x v="11"/>
    <s v="Austin"/>
    <s v="Americas &gt; USA &gt; Austin"/>
    <s v="Non-Profit"/>
    <x v="1"/>
    <x v="1"/>
    <x v="4"/>
    <x v="3"/>
    <s v="Low"/>
    <x v="596"/>
    <n v="160.82"/>
    <n v="258.52"/>
    <n v="258.52"/>
    <x v="204"/>
    <s v="OK"/>
    <n v="0.13"/>
    <n v="17"/>
    <n v="3823.5108"/>
    <n v="2733.94"/>
    <n v="1089.5708"/>
    <n v="0.28496605789631874"/>
    <d v="1899-12-30T00:00:00"/>
    <s v="Jan-1900"/>
    <n v="0"/>
    <n v="0"/>
    <n v="0"/>
  </r>
  <r>
    <x v="598"/>
    <d v="2024-09-02T00:00:00"/>
    <x v="17"/>
    <s v="2024-Q3"/>
    <d v="2024-09-08T00:00:00"/>
    <x v="29"/>
    <x v="1"/>
    <x v="11"/>
    <s v="Austin"/>
    <s v="Americas &gt; USA &gt; Austin"/>
    <s v="Consumer"/>
    <x v="4"/>
    <x v="4"/>
    <x v="15"/>
    <x v="0"/>
    <s v="Medium"/>
    <x v="597"/>
    <n v="462.94"/>
    <n v="1015.7"/>
    <n v="1015.7"/>
    <x v="82"/>
    <s v="OK"/>
    <n v="0.14299999999999999"/>
    <n v="14"/>
    <n v="12186.368600000002"/>
    <n v="6481.16"/>
    <n v="5705.2086000000018"/>
    <n v="0.46816314090483041"/>
    <d v="1899-12-30T00:00:00"/>
    <s v="Jan-1900"/>
    <n v="0"/>
    <n v="0"/>
    <n v="0"/>
  </r>
  <r>
    <x v="599"/>
    <d v="2024-07-29T00:00:00"/>
    <x v="27"/>
    <s v="2024-Q3"/>
    <d v="2024-07-31T00:00:00"/>
    <x v="18"/>
    <x v="1"/>
    <x v="11"/>
    <s v="New York"/>
    <s v="Americas &gt; USA &gt; New York"/>
    <s v="Education"/>
    <x v="2"/>
    <x v="2"/>
    <x v="12"/>
    <x v="5"/>
    <s v="High"/>
    <x v="598"/>
    <n v="798.97"/>
    <n v="1814.06"/>
    <n v="1814.06"/>
    <x v="157"/>
    <s v="OK"/>
    <n v="0.122"/>
    <n v="16"/>
    <n v="25483.91488"/>
    <n v="12783.52"/>
    <n v="12700.39488"/>
    <n v="0.49836906691159061"/>
    <d v="1899-12-30T00:00:00"/>
    <s v="Jan-1900"/>
    <n v="0"/>
    <n v="0"/>
    <n v="0"/>
  </r>
  <r>
    <x v="600"/>
    <d v="2024-03-27T00:00:00"/>
    <x v="0"/>
    <s v="2024-Q1"/>
    <d v="2024-04-11T00:00:00"/>
    <x v="26"/>
    <x v="1"/>
    <x v="11"/>
    <s v="San Francisco"/>
    <s v="Americas &gt; USA &gt; San Francisco"/>
    <s v="Small Business"/>
    <x v="4"/>
    <x v="4"/>
    <x v="7"/>
    <x v="6"/>
    <s v="High"/>
    <x v="599"/>
    <n v="1338.35"/>
    <n v="2247.14"/>
    <n v="2247.14"/>
    <x v="72"/>
    <s v="OK"/>
    <n v="0.115"/>
    <n v="40"/>
    <n v="79548.755999999994"/>
    <n v="53534"/>
    <n v="26014.755999999994"/>
    <n v="0.32702907384246205"/>
    <d v="1899-12-30T00:00:00"/>
    <s v="Jan-1900"/>
    <n v="0"/>
    <n v="0"/>
    <n v="0"/>
  </r>
  <r>
    <x v="601"/>
    <d v="2023-06-15T00:00:00"/>
    <x v="11"/>
    <s v="2023-Q2"/>
    <d v="2023-06-23T00:00:00"/>
    <x v="19"/>
    <x v="1"/>
    <x v="11"/>
    <s v="San Francisco"/>
    <s v="Americas &gt; USA &gt; San Francisco"/>
    <s v="Consumer"/>
    <x v="3"/>
    <x v="3"/>
    <x v="7"/>
    <x v="2"/>
    <s v="High"/>
    <x v="600"/>
    <n v="1097.0899999999999"/>
    <n v="2182.31"/>
    <n v="2182.31"/>
    <x v="0"/>
    <s v="OK"/>
    <n v="0.112"/>
    <n v="9"/>
    <n v="17441.021520000002"/>
    <n v="9873.81"/>
    <n v="7567.2115200000026"/>
    <n v="0.43387432962699546"/>
    <d v="1899-12-30T00:00:00"/>
    <s v="Jan-1900"/>
    <n v="0"/>
    <n v="0"/>
    <n v="0"/>
  </r>
  <r>
    <x v="602"/>
    <d v="2023-06-20T00:00:00"/>
    <x v="11"/>
    <s v="2023-Q2"/>
    <d v="2023-07-08T00:00:00"/>
    <x v="16"/>
    <x v="1"/>
    <x v="11"/>
    <s v="Austin"/>
    <s v="Americas &gt; USA &gt; Austin"/>
    <s v="Non-Profit"/>
    <x v="4"/>
    <x v="4"/>
    <x v="8"/>
    <x v="2"/>
    <s v="Low"/>
    <x v="601"/>
    <n v="337"/>
    <n v="511.03"/>
    <n v="511.03"/>
    <x v="14"/>
    <s v="OK"/>
    <n v="0.108"/>
    <n v="7"/>
    <n v="3190.8713200000002"/>
    <n v="2359"/>
    <n v="831.8713200000002"/>
    <n v="0.26070349963219458"/>
    <d v="1899-12-30T00:00:00"/>
    <s v="Jan-1900"/>
    <n v="0"/>
    <n v="0"/>
    <n v="0"/>
  </r>
  <r>
    <x v="603"/>
    <d v="2024-03-26T00:00:00"/>
    <x v="0"/>
    <s v="2024-Q1"/>
    <d v="2024-04-05T00:00:00"/>
    <x v="30"/>
    <x v="1"/>
    <x v="11"/>
    <s v="Austin"/>
    <s v="Americas &gt; USA &gt; Austin"/>
    <s v="Consumer"/>
    <x v="4"/>
    <x v="4"/>
    <x v="2"/>
    <x v="2"/>
    <s v="Low"/>
    <x v="602"/>
    <n v="5.66"/>
    <n v="4.22"/>
    <n v="4.22"/>
    <x v="116"/>
    <s v="OK"/>
    <n v="0.11899999999999999"/>
    <n v="18"/>
    <n v="66.920760000000001"/>
    <n v="101.88"/>
    <n v="-34.959239999999994"/>
    <n v="-0.52239753403876454"/>
    <d v="1899-12-30T00:00:00"/>
    <s v="Jan-1900"/>
    <n v="0"/>
    <n v="0"/>
    <n v="0"/>
  </r>
  <r>
    <x v="604"/>
    <d v="2025-05-18T00:00:00"/>
    <x v="1"/>
    <s v="2025-Q2"/>
    <d v="2025-06-09T00:00:00"/>
    <x v="21"/>
    <x v="1"/>
    <x v="11"/>
    <s v="New York"/>
    <s v="Americas &gt; USA &gt; New York"/>
    <s v="Consumer"/>
    <x v="0"/>
    <x v="0"/>
    <x v="15"/>
    <x v="6"/>
    <s v="Low"/>
    <x v="603"/>
    <n v="382.96"/>
    <n v="552.84"/>
    <n v="552.84"/>
    <x v="33"/>
    <s v="OK"/>
    <n v="0.17599999999999999"/>
    <n v="8"/>
    <n v="3644.3212800000006"/>
    <n v="3063.68"/>
    <n v="580.64128000000073"/>
    <n v="0.15932768693763483"/>
    <d v="1899-12-30T00:00:00"/>
    <s v="Jan-1900"/>
    <n v="0"/>
    <n v="0"/>
    <n v="0"/>
  </r>
  <r>
    <x v="605"/>
    <d v="2025-04-01T00:00:00"/>
    <x v="7"/>
    <s v="2025-Q2"/>
    <d v="2025-04-27T00:00:00"/>
    <x v="0"/>
    <x v="1"/>
    <x v="11"/>
    <s v="San Francisco"/>
    <s v="Americas &gt; USA &gt; San Francisco"/>
    <s v="Corporate"/>
    <x v="4"/>
    <x v="4"/>
    <x v="12"/>
    <x v="2"/>
    <s v="Low"/>
    <x v="604"/>
    <n v="156.55000000000001"/>
    <n v="227.45"/>
    <n v="227.45"/>
    <x v="202"/>
    <s v="OK"/>
    <n v="1.4E-2"/>
    <n v="13"/>
    <n v="2915.4540999999999"/>
    <n v="2035.15"/>
    <n v="880.30409999999983"/>
    <n v="0.3019440779396938"/>
    <d v="1899-12-30T00:00:00"/>
    <s v="Jan-1900"/>
    <n v="0"/>
    <n v="0"/>
    <n v="0"/>
  </r>
  <r>
    <x v="606"/>
    <d v="2024-01-02T00:00:00"/>
    <x v="22"/>
    <s v="2024-Q1"/>
    <d v="2024-01-07T00:00:00"/>
    <x v="5"/>
    <x v="1"/>
    <x v="11"/>
    <s v="Chicago"/>
    <s v="Americas &gt; USA &gt; Chicago"/>
    <s v="Education"/>
    <x v="2"/>
    <x v="2"/>
    <x v="6"/>
    <x v="6"/>
    <s v="Low"/>
    <x v="605"/>
    <n v="404.77"/>
    <n v="433.88"/>
    <n v="433.88"/>
    <x v="97"/>
    <s v="OK"/>
    <n v="0.215"/>
    <n v="22"/>
    <n v="7493.1076000000012"/>
    <n v="8904.9399999999987"/>
    <n v="-1411.8323999999975"/>
    <n v="-0.18841747314558746"/>
    <d v="1899-12-30T00:00:00"/>
    <s v="Jan-1900"/>
    <n v="0"/>
    <n v="0"/>
    <n v="0"/>
  </r>
  <r>
    <x v="607"/>
    <d v="2025-01-11T00:00:00"/>
    <x v="25"/>
    <s v="2025-Q1"/>
    <d v="2025-01-23T00:00:00"/>
    <x v="15"/>
    <x v="1"/>
    <x v="11"/>
    <s v="Austin"/>
    <s v="Americas &gt; USA &gt; Austin"/>
    <s v="Consumer"/>
    <x v="3"/>
    <x v="3"/>
    <x v="15"/>
    <x v="4"/>
    <s v="Low"/>
    <x v="606"/>
    <n v="100.69"/>
    <n v="226.14"/>
    <n v="226.14"/>
    <x v="216"/>
    <s v="OK"/>
    <n v="6.5000000000000002E-2"/>
    <n v="12"/>
    <n v="2537.2908000000002"/>
    <n v="1208.28"/>
    <n v="1329.0108000000002"/>
    <n v="0.52379128162999689"/>
    <d v="1899-12-30T00:00:00"/>
    <s v="Jan-1900"/>
    <n v="0"/>
    <n v="0"/>
    <n v="0"/>
  </r>
  <r>
    <x v="608"/>
    <d v="2023-04-13T00:00:00"/>
    <x v="19"/>
    <s v="2023-Q2"/>
    <d v="2023-04-18T00:00:00"/>
    <x v="5"/>
    <x v="1"/>
    <x v="11"/>
    <s v="San Francisco"/>
    <s v="Americas &gt; USA &gt; San Francisco"/>
    <s v="Education"/>
    <x v="2"/>
    <x v="2"/>
    <x v="4"/>
    <x v="6"/>
    <s v="Low"/>
    <x v="607"/>
    <n v="32.1"/>
    <n v="70.599999999999994"/>
    <n v="70.599999999999994"/>
    <x v="217"/>
    <s v="OK"/>
    <n v="0.28199999999999997"/>
    <n v="22"/>
    <n v="1115.1975999999997"/>
    <n v="706.2"/>
    <n v="408.99759999999969"/>
    <n v="0.36674899587301818"/>
    <d v="1899-12-30T00:00:00"/>
    <s v="Jan-1900"/>
    <n v="0"/>
    <n v="0"/>
    <n v="0"/>
  </r>
  <r>
    <x v="609"/>
    <d v="2023-09-25T00:00:00"/>
    <x v="29"/>
    <s v="2023-Q3"/>
    <d v="2023-10-09T00:00:00"/>
    <x v="6"/>
    <x v="1"/>
    <x v="11"/>
    <s v="New York"/>
    <s v="Americas &gt; USA &gt; New York"/>
    <s v="Small Business"/>
    <x v="2"/>
    <x v="2"/>
    <x v="2"/>
    <x v="3"/>
    <s v="High"/>
    <x v="608"/>
    <n v="1279.56"/>
    <n v="3083.8"/>
    <n v="3083.8"/>
    <x v="73"/>
    <s v="OK"/>
    <n v="0.106"/>
    <n v="5"/>
    <n v="13784.586000000001"/>
    <n v="6397.7999999999993"/>
    <n v="7386.7860000000019"/>
    <n v="0.53587289455047848"/>
    <d v="1899-12-30T00:00:00"/>
    <s v="Jan-1900"/>
    <n v="0"/>
    <n v="0"/>
    <n v="0"/>
  </r>
  <r>
    <x v="610"/>
    <d v="2023-02-05T00:00:00"/>
    <x v="5"/>
    <s v="2023-Q1"/>
    <d v="2023-02-28T00:00:00"/>
    <x v="9"/>
    <x v="1"/>
    <x v="11"/>
    <s v="Austin"/>
    <s v="Americas &gt; USA &gt; Austin"/>
    <s v="Non-Profit"/>
    <x v="3"/>
    <x v="3"/>
    <x v="10"/>
    <x v="4"/>
    <s v="Medium"/>
    <x v="609"/>
    <n v="1214.49"/>
    <n v="1533.95"/>
    <n v="1533.95"/>
    <x v="3"/>
    <s v="OK"/>
    <n v="0"/>
    <n v="11"/>
    <n v="16873.45"/>
    <n v="13359.39"/>
    <n v="3514.0600000000013"/>
    <n v="0.20825972163369086"/>
    <d v="1899-12-30T00:00:00"/>
    <s v="Jan-1900"/>
    <n v="0"/>
    <n v="0"/>
    <n v="0"/>
  </r>
  <r>
    <x v="611"/>
    <d v="2024-05-17T00:00:00"/>
    <x v="16"/>
    <s v="2024-Q2"/>
    <d v="2024-05-27T00:00:00"/>
    <x v="30"/>
    <x v="1"/>
    <x v="11"/>
    <s v="Austin"/>
    <s v="Americas &gt; USA &gt; Austin"/>
    <s v="Non-Profit"/>
    <x v="1"/>
    <x v="1"/>
    <x v="0"/>
    <x v="4"/>
    <s v="High"/>
    <x v="610"/>
    <n v="1484.23"/>
    <n v="3472.81"/>
    <n v="3472.81"/>
    <x v="218"/>
    <s v="OK"/>
    <n v="0.25600000000000001"/>
    <n v="12"/>
    <n v="31005.24768"/>
    <n v="17810.760000000002"/>
    <n v="13194.487679999998"/>
    <n v="0.42555659661803413"/>
    <d v="1899-12-30T00:00:00"/>
    <s v="Jan-1900"/>
    <n v="0"/>
    <n v="0"/>
    <n v="0"/>
  </r>
  <r>
    <x v="612"/>
    <d v="2023-06-20T00:00:00"/>
    <x v="11"/>
    <s v="2023-Q2"/>
    <d v="2023-07-08T00:00:00"/>
    <x v="16"/>
    <x v="1"/>
    <x v="11"/>
    <s v="New York"/>
    <s v="Americas &gt; USA &gt; New York"/>
    <s v="Consumer"/>
    <x v="2"/>
    <x v="2"/>
    <x v="7"/>
    <x v="6"/>
    <s v="Medium"/>
    <x v="611"/>
    <n v="1145.53"/>
    <n v="1278.3"/>
    <n v="1278.3"/>
    <x v="123"/>
    <s v="OK"/>
    <n v="0.09"/>
    <n v="41"/>
    <n v="47693.373"/>
    <n v="46966.729999999996"/>
    <n v="726.64300000000367"/>
    <n v="1.5235722581416158E-2"/>
    <d v="1899-12-30T00:00:00"/>
    <s v="Jan-1900"/>
    <n v="0"/>
    <n v="0"/>
    <n v="0"/>
  </r>
  <r>
    <x v="613"/>
    <d v="2024-03-09T00:00:00"/>
    <x v="0"/>
    <s v="2024-Q1"/>
    <d v="2024-03-26T00:00:00"/>
    <x v="23"/>
    <x v="1"/>
    <x v="11"/>
    <s v="San Francisco"/>
    <s v="Americas &gt; USA &gt; San Francisco"/>
    <s v="Education"/>
    <x v="4"/>
    <x v="4"/>
    <x v="12"/>
    <x v="4"/>
    <s v="High"/>
    <x v="612"/>
    <n v="1137.4100000000001"/>
    <n v="1680.93"/>
    <n v="1680.93"/>
    <x v="119"/>
    <s v="OK"/>
    <n v="0.254"/>
    <n v="9"/>
    <n v="11285.764020000001"/>
    <n v="10236.69"/>
    <n v="1049.07402"/>
    <n v="9.2955516183121464E-2"/>
    <d v="1899-12-30T00:00:00"/>
    <s v="Jan-1900"/>
    <n v="0"/>
    <n v="0"/>
    <n v="0"/>
  </r>
  <r>
    <x v="614"/>
    <d v="2024-08-12T00:00:00"/>
    <x v="10"/>
    <s v="2024-Q3"/>
    <d v="2024-08-15T00:00:00"/>
    <x v="12"/>
    <x v="1"/>
    <x v="11"/>
    <s v="Chicago"/>
    <s v="Americas &gt; USA &gt; Chicago"/>
    <s v="Corporate"/>
    <x v="2"/>
    <x v="2"/>
    <x v="14"/>
    <x v="5"/>
    <s v="Medium"/>
    <x v="613"/>
    <n v="850.7"/>
    <n v="1118.56"/>
    <n v="1118.56"/>
    <x v="55"/>
    <s v="OK"/>
    <n v="0.18"/>
    <n v="19"/>
    <n v="17427.164800000002"/>
    <n v="16163.300000000001"/>
    <n v="1263.8648000000012"/>
    <n v="7.2522685962090688E-2"/>
    <d v="1899-12-30T00:00:00"/>
    <s v="Jan-1900"/>
    <n v="0"/>
    <n v="0"/>
    <n v="0"/>
  </r>
  <r>
    <x v="615"/>
    <d v="2025-02-25T00:00:00"/>
    <x v="8"/>
    <s v="2025-Q1"/>
    <d v="2025-03-17T00:00:00"/>
    <x v="8"/>
    <x v="1"/>
    <x v="11"/>
    <s v="San Francisco"/>
    <s v="Americas &gt; USA &gt; San Francisco"/>
    <s v="Non-Profit"/>
    <x v="2"/>
    <x v="2"/>
    <x v="15"/>
    <x v="4"/>
    <s v="High"/>
    <x v="614"/>
    <n v="1205.26"/>
    <n v="1696.35"/>
    <n v="1696.35"/>
    <x v="219"/>
    <s v="OK"/>
    <n v="1.9E-2"/>
    <n v="6"/>
    <n v="9984.7160999999978"/>
    <n v="7231.5599999999995"/>
    <n v="2753.1560999999983"/>
    <n v="0.27573704374028213"/>
    <d v="1899-12-30T00:00:00"/>
    <s v="Jan-1900"/>
    <n v="0"/>
    <n v="0"/>
    <n v="0"/>
  </r>
  <r>
    <x v="616"/>
    <d v="2023-05-24T00:00:00"/>
    <x v="26"/>
    <s v="2023-Q2"/>
    <d v="2023-06-21T00:00:00"/>
    <x v="11"/>
    <x v="1"/>
    <x v="11"/>
    <s v="Austin"/>
    <s v="Americas &gt; USA &gt; Austin"/>
    <s v="Small Business"/>
    <x v="2"/>
    <x v="2"/>
    <x v="4"/>
    <x v="2"/>
    <s v="Medium"/>
    <x v="615"/>
    <n v="813.97"/>
    <n v="1568.83"/>
    <n v="1568.83"/>
    <x v="220"/>
    <s v="OK"/>
    <n v="1.7000000000000001E-2"/>
    <n v="15"/>
    <n v="23132.398349999996"/>
    <n v="12209.550000000001"/>
    <n v="10922.848349999995"/>
    <n v="0.4721883215364911"/>
    <d v="1899-12-30T00:00:00"/>
    <s v="Jan-1900"/>
    <n v="0"/>
    <n v="0"/>
    <n v="0"/>
  </r>
  <r>
    <x v="617"/>
    <d v="2024-08-04T00:00:00"/>
    <x v="10"/>
    <s v="2024-Q3"/>
    <d v="2024-08-17T00:00:00"/>
    <x v="28"/>
    <x v="1"/>
    <x v="11"/>
    <s v="Austin"/>
    <s v="Americas &gt; USA &gt; Austin"/>
    <s v="Consumer"/>
    <x v="0"/>
    <x v="0"/>
    <x v="14"/>
    <x v="2"/>
    <s v="Low"/>
    <x v="616"/>
    <n v="352.79"/>
    <n v="754.22"/>
    <n v="754.22"/>
    <x v="150"/>
    <s v="OK"/>
    <n v="0.113"/>
    <n v="7"/>
    <n v="4682.9519799999998"/>
    <n v="2469.5300000000002"/>
    <n v="2213.4219799999996"/>
    <n v="0.47265528014233443"/>
    <d v="1899-12-30T00:00:00"/>
    <s v="Jan-1900"/>
    <n v="0"/>
    <n v="0"/>
    <n v="0"/>
  </r>
  <r>
    <x v="618"/>
    <d v="2025-04-27T00:00:00"/>
    <x v="7"/>
    <s v="2025-Q2"/>
    <d v="2025-05-17T00:00:00"/>
    <x v="8"/>
    <x v="1"/>
    <x v="11"/>
    <s v="Austin"/>
    <s v="Americas &gt; USA &gt; Austin"/>
    <s v="Corporate"/>
    <x v="4"/>
    <x v="4"/>
    <x v="5"/>
    <x v="4"/>
    <s v="High"/>
    <x v="617"/>
    <n v="932.26"/>
    <n v="1624.67"/>
    <n v="1624.67"/>
    <x v="164"/>
    <s v="OK"/>
    <n v="0.23499999999999999"/>
    <n v="28"/>
    <n v="34800.431400000001"/>
    <n v="26103.279999999999"/>
    <n v="8697.1514000000025"/>
    <n v="0.24991504559337163"/>
    <d v="1899-12-30T00:00:00"/>
    <s v="Jan-1900"/>
    <n v="0"/>
    <n v="0"/>
    <n v="0"/>
  </r>
  <r>
    <x v="619"/>
    <d v="2024-03-02T00:00:00"/>
    <x v="0"/>
    <s v="2024-Q1"/>
    <d v="2024-03-23T00:00:00"/>
    <x v="24"/>
    <x v="1"/>
    <x v="11"/>
    <s v="Chicago"/>
    <s v="Americas &gt; USA &gt; Chicago"/>
    <s v="Small Business"/>
    <x v="1"/>
    <x v="1"/>
    <x v="8"/>
    <x v="0"/>
    <s v="Low"/>
    <x v="618"/>
    <n v="225.01"/>
    <n v="333.48"/>
    <n v="333.48"/>
    <x v="116"/>
    <s v="OK"/>
    <n v="0.11899999999999999"/>
    <n v="12"/>
    <n v="3525.5505600000001"/>
    <n v="2700.12"/>
    <n v="825.43056000000024"/>
    <n v="0.23412813004729685"/>
    <d v="1899-12-30T00:00:00"/>
    <s v="Jan-1900"/>
    <n v="0"/>
    <n v="0"/>
    <n v="0"/>
  </r>
  <r>
    <x v="620"/>
    <d v="2024-01-13T00:00:00"/>
    <x v="22"/>
    <s v="2024-Q1"/>
    <d v="2024-01-15T00:00:00"/>
    <x v="18"/>
    <x v="1"/>
    <x v="11"/>
    <s v="San Francisco"/>
    <s v="Americas &gt; USA &gt; San Francisco"/>
    <s v="Non-Profit"/>
    <x v="4"/>
    <x v="4"/>
    <x v="11"/>
    <x v="0"/>
    <s v="High"/>
    <x v="619"/>
    <n v="1061.3699999999999"/>
    <n v="1938.33"/>
    <n v="1938.33"/>
    <x v="38"/>
    <s v="OK"/>
    <n v="0.17"/>
    <n v="4"/>
    <n v="6435.2555999999995"/>
    <n v="4245.4799999999996"/>
    <n v="2189.7755999999999"/>
    <n v="0.34027795259600879"/>
    <d v="1899-12-30T00:00:00"/>
    <s v="Jan-1900"/>
    <n v="0"/>
    <n v="0"/>
    <n v="0"/>
  </r>
  <r>
    <x v="621"/>
    <d v="2024-08-16T00:00:00"/>
    <x v="10"/>
    <s v="2024-Q3"/>
    <d v="2024-08-26T00:00:00"/>
    <x v="30"/>
    <x v="1"/>
    <x v="11"/>
    <s v="Chicago"/>
    <s v="Americas &gt; USA &gt; Chicago"/>
    <s v="Corporate"/>
    <x v="3"/>
    <x v="3"/>
    <x v="10"/>
    <x v="3"/>
    <s v="High"/>
    <x v="139"/>
    <n v="1291.7"/>
    <n v="2657.84"/>
    <n v="2657.84"/>
    <x v="159"/>
    <s v="OK"/>
    <n v="8.6999999999999994E-2"/>
    <n v="21"/>
    <n v="50958.766320000002"/>
    <n v="27125.7"/>
    <n v="23833.066320000002"/>
    <n v="0.46769315745083367"/>
    <d v="1899-12-30T00:00:00"/>
    <s v="Jan-1900"/>
    <n v="0"/>
    <n v="0"/>
    <n v="0"/>
  </r>
  <r>
    <x v="622"/>
    <d v="2025-08-20T00:00:00"/>
    <x v="24"/>
    <s v="2025-Q3"/>
    <d v="2025-08-26T00:00:00"/>
    <x v="29"/>
    <x v="1"/>
    <x v="11"/>
    <s v="New York"/>
    <s v="Americas &gt; USA &gt; New York"/>
    <s v="Corporate"/>
    <x v="0"/>
    <x v="0"/>
    <x v="13"/>
    <x v="6"/>
    <s v="High"/>
    <x v="620"/>
    <n v="1304.95"/>
    <n v="1712.03"/>
    <n v="1712.03"/>
    <x v="19"/>
    <s v="OK"/>
    <n v="0.21199999999999999"/>
    <n v="8"/>
    <n v="10792.637119999999"/>
    <n v="10439.6"/>
    <n v="353.03711999999905"/>
    <n v="3.2710922833287949E-2"/>
    <d v="1899-12-30T00:00:00"/>
    <s v="Jan-1900"/>
    <n v="0"/>
    <n v="0"/>
    <n v="0"/>
  </r>
  <r>
    <x v="623"/>
    <d v="2024-03-11T00:00:00"/>
    <x v="0"/>
    <s v="2024-Q1"/>
    <d v="2024-03-29T00:00:00"/>
    <x v="16"/>
    <x v="1"/>
    <x v="11"/>
    <s v="New York"/>
    <s v="Americas &gt; USA &gt; New York"/>
    <s v="Corporate"/>
    <x v="0"/>
    <x v="0"/>
    <x v="13"/>
    <x v="2"/>
    <s v="Medium"/>
    <x v="621"/>
    <n v="710.98"/>
    <n v="1481.45"/>
    <n v="1481.45"/>
    <x v="121"/>
    <s v="OK"/>
    <n v="0.21099999999999999"/>
    <n v="9"/>
    <n v="10519.776450000001"/>
    <n v="6398.82"/>
    <n v="4120.9564500000015"/>
    <n v="0.39173422264120461"/>
    <d v="1899-12-30T00:00:00"/>
    <s v="Jan-1900"/>
    <n v="0"/>
    <n v="0"/>
    <n v="0"/>
  </r>
  <r>
    <x v="624"/>
    <d v="2024-10-25T00:00:00"/>
    <x v="32"/>
    <s v="2024-Q4"/>
    <d v="2024-11-05T00:00:00"/>
    <x v="20"/>
    <x v="1"/>
    <x v="11"/>
    <s v="New York"/>
    <s v="Americas &gt; USA &gt; New York"/>
    <s v="Corporate"/>
    <x v="3"/>
    <x v="3"/>
    <x v="5"/>
    <x v="0"/>
    <s v="Low"/>
    <x v="622"/>
    <n v="446.66"/>
    <n v="527.64"/>
    <n v="527.64"/>
    <x v="167"/>
    <s v="OK"/>
    <n v="0.14499999999999999"/>
    <n v="15"/>
    <n v="6766.9829999999993"/>
    <n v="6699.9000000000005"/>
    <n v="67.082999999998719"/>
    <n v="9.9132804087137105E-3"/>
    <d v="1899-12-30T00:00:00"/>
    <s v="Jan-1900"/>
    <n v="0"/>
    <n v="0"/>
    <n v="0"/>
  </r>
  <r>
    <x v="625"/>
    <d v="2024-02-20T00:00:00"/>
    <x v="23"/>
    <s v="2024-Q1"/>
    <d v="2024-02-20T00:00:00"/>
    <x v="25"/>
    <x v="1"/>
    <x v="11"/>
    <s v="New York"/>
    <s v="Americas &gt; USA &gt; New York"/>
    <s v="Enterprise"/>
    <x v="1"/>
    <x v="1"/>
    <x v="0"/>
    <x v="6"/>
    <s v="High"/>
    <x v="623"/>
    <n v="1407.05"/>
    <n v="2858.93"/>
    <n v="2858.93"/>
    <x v="3"/>
    <s v="OK"/>
    <n v="0"/>
    <n v="12"/>
    <n v="34307.159999999996"/>
    <n v="16884.599999999999"/>
    <n v="17422.559999999998"/>
    <n v="0.50784034586366222"/>
    <d v="1899-12-30T00:00:00"/>
    <s v="Jan-1900"/>
    <n v="0"/>
    <n v="0"/>
    <n v="0"/>
  </r>
  <r>
    <x v="626"/>
    <d v="2023-05-03T00:00:00"/>
    <x v="26"/>
    <s v="2023-Q2"/>
    <d v="2023-05-16T00:00:00"/>
    <x v="28"/>
    <x v="1"/>
    <x v="11"/>
    <s v="New York"/>
    <s v="Americas &gt; USA &gt; New York"/>
    <s v="Corporate"/>
    <x v="2"/>
    <x v="2"/>
    <x v="10"/>
    <x v="4"/>
    <s v="Low"/>
    <x v="624"/>
    <n v="64.5"/>
    <n v="123.62"/>
    <n v="123.62"/>
    <x v="3"/>
    <s v="OK"/>
    <n v="0"/>
    <n v="3"/>
    <n v="370.86"/>
    <n v="193.5"/>
    <n v="177.36"/>
    <n v="0.47823976702798904"/>
    <d v="1899-12-30T00:00:00"/>
    <s v="Jan-1900"/>
    <n v="0"/>
    <n v="0"/>
    <n v="0"/>
  </r>
  <r>
    <x v="627"/>
    <d v="2023-02-27T00:00:00"/>
    <x v="5"/>
    <s v="2023-Q1"/>
    <d v="2023-03-04T00:00:00"/>
    <x v="5"/>
    <x v="1"/>
    <x v="11"/>
    <s v="San Francisco"/>
    <s v="Americas &gt; USA &gt; San Francisco"/>
    <s v="Non-Profit"/>
    <x v="1"/>
    <x v="1"/>
    <x v="10"/>
    <x v="6"/>
    <s v="High"/>
    <x v="625"/>
    <n v="1015.91"/>
    <n v="2331.48"/>
    <n v="2331.48"/>
    <x v="139"/>
    <s v="OK"/>
    <n v="0.14599999999999999"/>
    <n v="26"/>
    <n v="51768.181920000003"/>
    <n v="26413.66"/>
    <n v="25354.521920000003"/>
    <n v="0.48977037592669626"/>
    <d v="1899-12-30T00:00:00"/>
    <s v="Jan-1900"/>
    <n v="0"/>
    <n v="0"/>
    <n v="0"/>
  </r>
  <r>
    <x v="628"/>
    <d v="2023-04-16T00:00:00"/>
    <x v="19"/>
    <s v="2023-Q2"/>
    <d v="2023-04-23T00:00:00"/>
    <x v="22"/>
    <x v="1"/>
    <x v="11"/>
    <s v="Austin"/>
    <s v="Americas &gt; USA &gt; Austin"/>
    <s v="Corporate"/>
    <x v="3"/>
    <x v="3"/>
    <x v="7"/>
    <x v="5"/>
    <s v="Medium"/>
    <x v="626"/>
    <n v="1099.1500000000001"/>
    <n v="1431.37"/>
    <n v="1431.37"/>
    <x v="75"/>
    <s v="OK"/>
    <n v="0.104"/>
    <n v="8"/>
    <n v="10260.060159999999"/>
    <n v="8793.2000000000007"/>
    <n v="1466.8601599999984"/>
    <n v="0.14296798821109433"/>
    <d v="1899-12-30T00:00:00"/>
    <s v="Jan-1900"/>
    <n v="0"/>
    <n v="0"/>
    <n v="0"/>
  </r>
  <r>
    <x v="629"/>
    <d v="2024-02-01T00:00:00"/>
    <x v="23"/>
    <s v="2024-Q1"/>
    <d v="2024-02-01T00:00:00"/>
    <x v="25"/>
    <x v="1"/>
    <x v="11"/>
    <s v="Austin"/>
    <s v="Americas &gt; USA &gt; Austin"/>
    <s v="Consumer"/>
    <x v="3"/>
    <x v="3"/>
    <x v="15"/>
    <x v="5"/>
    <s v="Medium"/>
    <x v="627"/>
    <n v="714.43"/>
    <n v="1595.52"/>
    <n v="1595.52"/>
    <x v="101"/>
    <s v="OK"/>
    <n v="0.19400000000000001"/>
    <n v="14"/>
    <n v="18003.847679999999"/>
    <n v="10002.019999999999"/>
    <n v="8001.8276800000003"/>
    <n v="0.44445097638151093"/>
    <d v="1899-12-30T00:00:00"/>
    <s v="Jan-1900"/>
    <n v="0"/>
    <n v="0"/>
    <n v="0"/>
  </r>
  <r>
    <x v="630"/>
    <d v="2024-10-19T00:00:00"/>
    <x v="32"/>
    <s v="2024-Q4"/>
    <d v="2024-11-06T00:00:00"/>
    <x v="16"/>
    <x v="1"/>
    <x v="11"/>
    <s v="Chicago"/>
    <s v="Americas &gt; USA &gt; Chicago"/>
    <s v="Education"/>
    <x v="5"/>
    <x v="5"/>
    <x v="0"/>
    <x v="2"/>
    <s v="Medium"/>
    <x v="628"/>
    <n v="942.02"/>
    <n v="1028.46"/>
    <n v="1028.46"/>
    <x v="3"/>
    <s v="OK"/>
    <n v="0"/>
    <n v="9"/>
    <n v="9256.14"/>
    <n v="8478.18"/>
    <n v="777.95999999999913"/>
    <n v="8.4047994088248354E-2"/>
    <d v="1899-12-30T00:00:00"/>
    <s v="Jan-1900"/>
    <n v="0"/>
    <n v="0"/>
    <n v="0"/>
  </r>
  <r>
    <x v="631"/>
    <d v="1899-12-30T00:00:00"/>
    <x v="33"/>
    <s v="1900-Q1"/>
    <d v="1899-12-30T00:00:00"/>
    <x v="25"/>
    <x v="4"/>
    <x v="12"/>
    <s v="Unkown"/>
    <s v="0 &gt; 0 &gt; Unkown"/>
    <n v="0"/>
    <x v="5"/>
    <x v="5"/>
    <x v="9"/>
    <x v="7"/>
    <s v="Low"/>
    <x v="629"/>
    <n v="0"/>
    <n v="0"/>
    <n v="0"/>
    <x v="3"/>
    <s v="OK"/>
    <n v="0"/>
    <n v="0"/>
    <n v="0"/>
    <n v="0"/>
    <n v="0"/>
    <n v="0"/>
    <d v="1899-12-30T00:00:00"/>
    <s v="Jan-1900"/>
    <n v="0"/>
    <n v="0"/>
    <n v="0"/>
  </r>
</pivotCacheRecords>
</file>

<file path=xl/pivotCache/pivotCacheRecords3.xml><?xml version="1.0" encoding="utf-8"?>
<pivotCacheRecords xmlns="http://schemas.openxmlformats.org/spreadsheetml/2006/main" xmlns:r="http://schemas.openxmlformats.org/officeDocument/2006/relationships" count="633">
  <r>
    <s v="ORD-2024-275203"/>
    <d v="2024-03-11T00:00:00"/>
    <s v="Mar-2024"/>
    <s v="2024-Q1"/>
    <d v="2024-04-06T00:00:00"/>
    <n v="26"/>
    <s v="ACHIEVED"/>
    <x v="0"/>
    <s v="Kenya"/>
    <s v="Kisumu"/>
    <s v="Africa &gt; Kenya &gt; Kisumu"/>
    <s v="Corporate"/>
    <s v="Retail"/>
    <s v="Retail"/>
    <x v="0"/>
    <s v="Components"/>
    <s v="Low"/>
    <s v="CMP-8270"/>
    <n v="279.24"/>
    <n v="608.9"/>
    <n v="608.9"/>
    <x v="0"/>
    <s v="OK"/>
    <n v="0.112"/>
    <n v="9"/>
    <n v="4866.3287999999993"/>
    <n v="2513.16"/>
    <n v="2353.1687999999995"/>
    <n v="0.48356140670149533"/>
    <d v="2023-01-02T00:00:00"/>
    <s v="Jan-2023"/>
    <s v="Low/Medium cutoff"/>
    <n v="815.10700000000008"/>
    <n v="0"/>
  </r>
  <r>
    <s v="ORD-2025-997421"/>
    <d v="2025-05-21T00:00:00"/>
    <s v="May-2025"/>
    <s v="2025-Q2"/>
    <d v="2025-06-09T00:00:00"/>
    <n v="19"/>
    <s v="ACHIEVED"/>
    <x v="1"/>
    <s v="Brazil"/>
    <s v="São Paulo"/>
    <s v="Americas &gt; Brazil &gt; São Paulo"/>
    <s v="Non-Profit"/>
    <s v="Online"/>
    <s v="Online"/>
    <x v="1"/>
    <s v="Components"/>
    <s v="High"/>
    <s v="CMP-3731"/>
    <n v="1331.38"/>
    <n v="2309.56"/>
    <n v="2309.56"/>
    <x v="1"/>
    <s v="OK"/>
    <n v="0.14899999999999999"/>
    <n v="31"/>
    <n v="60928.502359999999"/>
    <n v="41272.780000000006"/>
    <n v="19655.722359999992"/>
    <n v="0.32260307735553528"/>
    <d v="2023-01-02T00:00:00"/>
    <s v="Jan-2023"/>
    <s v="Medium/High cutoff"/>
    <n v="1620.05"/>
    <n v="0"/>
  </r>
  <r>
    <s v="ORD-2025-487261"/>
    <d v="2025-03-06T00:00:00"/>
    <s v="Mar-2025"/>
    <s v="2025-Q1"/>
    <d v="2025-03-31T00:00:00"/>
    <n v="25"/>
    <s v="ACHIEVED"/>
    <x v="1"/>
    <s v="Brazil"/>
    <s v="Brasília"/>
    <s v="Americas &gt; Brazil &gt; Brasília"/>
    <s v="Non-Profit"/>
    <s v="Online"/>
    <s v="Online"/>
    <x v="2"/>
    <s v="Components"/>
    <s v="Low"/>
    <s v="CMP-3693"/>
    <n v="331.57"/>
    <n v="548.4"/>
    <n v="548.4"/>
    <x v="2"/>
    <s v="OK"/>
    <n v="9.4E-2"/>
    <n v="10"/>
    <n v="4968.5039999999999"/>
    <n v="3315.7"/>
    <n v="1652.8040000000001"/>
    <n v="0.33265626836568918"/>
    <d v="2023-01-02T00:00:00"/>
    <s v="Jan-2023"/>
    <n v="0"/>
    <n v="0"/>
    <n v="0"/>
  </r>
  <r>
    <s v="ORD-2025-840976"/>
    <d v="2025-09-01T00:00:00"/>
    <s v="Sep-2025"/>
    <s v="2025-Q3"/>
    <d v="2025-09-30T00:00:00"/>
    <n v="29"/>
    <s v="ACHIEVED"/>
    <x v="1"/>
    <s v="Brazil"/>
    <s v="Brasília"/>
    <s v="Americas &gt; Brazil &gt; Brasília"/>
    <s v="Education"/>
    <s v="Retail"/>
    <s v="Retail"/>
    <x v="3"/>
    <s v="Accessories"/>
    <s v="Low"/>
    <s v="ACC-1663"/>
    <n v="780.59"/>
    <n v="631.57000000000005"/>
    <n v="631.57000000000005"/>
    <x v="3"/>
    <s v="OK"/>
    <n v="0"/>
    <n v="12"/>
    <n v="7578.84"/>
    <n v="9367.08"/>
    <n v="-1788.2399999999998"/>
    <n v="-0.23595167598207639"/>
    <d v="2023-01-02T00:00:00"/>
    <s v="Jan-2023"/>
    <n v="0"/>
    <n v="0"/>
    <n v="0"/>
  </r>
  <r>
    <s v="ORD-2025-843974"/>
    <d v="2025-07-20T00:00:00"/>
    <s v="Jul-2025"/>
    <s v="2025-Q3"/>
    <d v="2025-08-05T00:00:00"/>
    <n v="16"/>
    <s v="ACHIEVED"/>
    <x v="1"/>
    <s v="Brazil"/>
    <s v="Brasília"/>
    <s v="Americas &gt; Brazil &gt; Brasília"/>
    <s v="Enterprise"/>
    <s v="Marketplace"/>
    <s v="Marketplace"/>
    <x v="4"/>
    <s v="Accessories"/>
    <s v="High"/>
    <s v="ACC-8098"/>
    <n v="1068.17"/>
    <n v="2375.37"/>
    <n v="2375.37"/>
    <x v="4"/>
    <s v="OK"/>
    <n v="0.109"/>
    <n v="18"/>
    <n v="38096.18406"/>
    <n v="19227.060000000001"/>
    <n v="18869.124059999998"/>
    <n v="0.49530220744108822"/>
    <d v="2023-01-02T00:00:00"/>
    <s v="Jan-2023"/>
    <n v="0"/>
    <n v="0"/>
    <n v="0"/>
  </r>
  <r>
    <s v="ORD-2023-271836"/>
    <d v="2023-02-07T00:00:00"/>
    <s v="Feb-2023"/>
    <s v="2023-Q1"/>
    <d v="2023-02-12T00:00:00"/>
    <n v="5"/>
    <s v="NOT ACHIEVED"/>
    <x v="1"/>
    <s v="Brazil"/>
    <s v="São Paulo"/>
    <s v="Americas &gt; Brazil &gt; São Paulo"/>
    <s v="Education"/>
    <s v="Online"/>
    <s v="Online"/>
    <x v="5"/>
    <s v="Components"/>
    <s v="High"/>
    <s v="CMP-2693"/>
    <n v="948.55"/>
    <n v="2089.16"/>
    <n v="2089.16"/>
    <x v="5"/>
    <s v="OK"/>
    <n v="7.0000000000000001E-3"/>
    <n v="12"/>
    <n v="24894.430559999997"/>
    <n v="11382.599999999999"/>
    <n v="13511.830559999999"/>
    <n v="0.54276519912492427"/>
    <d v="2023-01-02T00:00:00"/>
    <s v="Jan-2023"/>
    <n v="0"/>
    <n v="0"/>
    <n v="0"/>
  </r>
  <r>
    <s v="ORD-2024-215294"/>
    <d v="2024-06-30T00:00:00"/>
    <s v="Jun-2024"/>
    <s v="2024-Q2"/>
    <d v="2024-07-14T00:00:00"/>
    <n v="14"/>
    <s v="ACHIEVED"/>
    <x v="1"/>
    <s v="Brazil"/>
    <s v="Brasília"/>
    <s v="Americas &gt; Brazil &gt; Brasília"/>
    <s v="Education"/>
    <s v="Retail"/>
    <s v="Retail"/>
    <x v="0"/>
    <s v="Accessories"/>
    <s v="High"/>
    <s v="ACC-8683"/>
    <n v="1491.85"/>
    <n v="2583.02"/>
    <n v="2583.02"/>
    <x v="6"/>
    <s v="OK"/>
    <n v="0.16800000000000001"/>
    <n v="4"/>
    <n v="8596.2905599999995"/>
    <n v="5967.4"/>
    <n v="2628.8905599999998"/>
    <n v="0.30581685689321325"/>
    <d v="2023-01-02T00:00:00"/>
    <s v="Jan-2023"/>
    <n v="0"/>
    <n v="0"/>
    <n v="0"/>
  </r>
  <r>
    <s v="ORD-2025-765220"/>
    <d v="2025-04-06T00:00:00"/>
    <s v="Apr-2025"/>
    <s v="2025-Q2"/>
    <d v="2025-04-30T00:00:00"/>
    <n v="24"/>
    <s v="ACHIEVED"/>
    <x v="1"/>
    <s v="Brazil"/>
    <s v="Brasília"/>
    <s v="Americas &gt; Brazil &gt; Brasília"/>
    <s v="Education"/>
    <s v="Online"/>
    <s v="Online"/>
    <x v="3"/>
    <s v="Monitors"/>
    <s v="Medium"/>
    <s v="MON-4925"/>
    <n v="855.78"/>
    <n v="977.38"/>
    <n v="977.38"/>
    <x v="7"/>
    <s v="OK"/>
    <n v="0.14699999999999999"/>
    <n v="38"/>
    <n v="31680.795320000001"/>
    <n v="32519.64"/>
    <n v="-838.84467999999833"/>
    <n v="-2.6478018355506307E-2"/>
    <d v="2023-01-02T00:00:00"/>
    <s v="Jan-2023"/>
    <n v="0"/>
    <n v="0"/>
    <n v="0"/>
  </r>
  <r>
    <s v="ORD-2025-931538"/>
    <d v="2025-02-09T00:00:00"/>
    <s v="Feb-2025"/>
    <s v="2025-Q1"/>
    <d v="2025-03-01T00:00:00"/>
    <n v="20"/>
    <s v="ACHIEVED"/>
    <x v="1"/>
    <s v="Brazil"/>
    <s v="São Paulo"/>
    <s v="Americas &gt; Brazil &gt; São Paulo"/>
    <s v="Corporate"/>
    <s v="Distributor"/>
    <s v="Distributor"/>
    <x v="6"/>
    <s v="Laptops"/>
    <s v="High"/>
    <s v="LAP-6989"/>
    <n v="1154.6400000000001"/>
    <n v="2794.13"/>
    <n v="2794.13"/>
    <x v="8"/>
    <s v="OK"/>
    <n v="3.5000000000000003E-2"/>
    <n v="11"/>
    <n v="29659.68995"/>
    <n v="12701.04"/>
    <n v="16958.649949999999"/>
    <n v="0.57177435025749479"/>
    <d v="2023-01-02T00:00:00"/>
    <s v="Jan-2023"/>
    <n v="0"/>
    <n v="0"/>
    <n v="0"/>
  </r>
  <r>
    <s v="ORD-2023-239789"/>
    <d v="2023-12-03T00:00:00"/>
    <s v="Dec-2023"/>
    <s v="2023-Q4"/>
    <d v="2023-12-26T00:00:00"/>
    <n v="23"/>
    <s v="ACHIEVED"/>
    <x v="1"/>
    <s v="Brazil"/>
    <s v="Rio de Janeiro"/>
    <s v="Americas &gt; Brazil &gt; Rio de Janeiro"/>
    <s v="Education"/>
    <s v="Retail"/>
    <s v="Retail"/>
    <x v="7"/>
    <s v="Phones"/>
    <s v="Medium"/>
    <s v="PHN-4644"/>
    <n v="1303.1099999999999"/>
    <n v="1145.67"/>
    <n v="1145.67"/>
    <x v="9"/>
    <s v="OK"/>
    <n v="0.184"/>
    <n v="13"/>
    <n v="12153.267360000002"/>
    <n v="16940.43"/>
    <n v="-4787.1626399999986"/>
    <n v="-0.39389922875851208"/>
    <d v="2023-01-02T00:00:00"/>
    <s v="Jan-2023"/>
    <n v="0"/>
    <n v="0"/>
    <n v="0"/>
  </r>
  <r>
    <s v="ORD-2025-640677"/>
    <d v="2025-04-09T00:00:00"/>
    <s v="Apr-2025"/>
    <s v="2025-Q2"/>
    <d v="2025-05-06T00:00:00"/>
    <n v="27"/>
    <s v="ACHIEVED"/>
    <x v="1"/>
    <s v="Brazil"/>
    <s v="Brasília"/>
    <s v="Americas &gt; Brazil &gt; Brasília"/>
    <s v="Enterprise"/>
    <s v="Marketplace"/>
    <s v="Marketplace"/>
    <x v="8"/>
    <s v="Laptops"/>
    <s v="Low"/>
    <s v="LAP-4517"/>
    <n v="264.19"/>
    <n v="620.92999999999995"/>
    <n v="620.92999999999995"/>
    <x v="10"/>
    <s v="OK"/>
    <n v="0.14199999999999999"/>
    <n v="12"/>
    <n v="6393.0952799999995"/>
    <n v="3170.2799999999997"/>
    <n v="3222.8152799999998"/>
    <n v="0.50410875152794532"/>
    <d v="2023-01-02T00:00:00"/>
    <s v="Jan-2023"/>
    <n v="0"/>
    <n v="0"/>
    <n v="0"/>
  </r>
  <r>
    <s v="ORD-2024-446699"/>
    <d v="2024-08-28T00:00:00"/>
    <s v="Aug-2024"/>
    <s v="2024-Q3"/>
    <d v="2024-09-25T00:00:00"/>
    <n v="28"/>
    <s v="ACHIEVED"/>
    <x v="1"/>
    <s v="Brazil"/>
    <s v="Rio de Janeiro"/>
    <s v="Americas &gt; Brazil &gt; Rio de Janeiro"/>
    <s v="Non-Profit"/>
    <s v="Online"/>
    <s v="Online"/>
    <x v="9"/>
    <s v="Accessories"/>
    <s v="High"/>
    <s v="ACC-4490"/>
    <n v="1394.65"/>
    <n v="3144.1"/>
    <n v="3144.1"/>
    <x v="11"/>
    <s v="OK"/>
    <n v="0.13400000000000001"/>
    <n v="13"/>
    <n v="35396.277799999996"/>
    <n v="18130.45"/>
    <n v="17265.827799999995"/>
    <n v="0.4877865378263021"/>
    <d v="2023-01-02T00:00:00"/>
    <s v="Jan-2023"/>
    <n v="0"/>
    <n v="0"/>
    <n v="0"/>
  </r>
  <r>
    <s v="ORD-2024-451005"/>
    <d v="2024-06-30T00:00:00"/>
    <s v="Jun-2024"/>
    <s v="2024-Q2"/>
    <d v="2024-07-05T00:00:00"/>
    <n v="5"/>
    <s v="NOT ACHIEVED"/>
    <x v="1"/>
    <s v="Brazil"/>
    <s v="Rio de Janeiro"/>
    <s v="Americas &gt; Brazil &gt; Rio de Janeiro"/>
    <s v="Small Business"/>
    <s v="Direct"/>
    <s v="Direct"/>
    <x v="10"/>
    <s v="Accessories"/>
    <s v="High"/>
    <s v="ACC-9162"/>
    <n v="1112.98"/>
    <n v="2095.73"/>
    <n v="2095.73"/>
    <x v="12"/>
    <s v="OK"/>
    <n v="7.1999999999999995E-2"/>
    <n v="17"/>
    <n v="33062.236480000007"/>
    <n v="18920.66"/>
    <n v="14141.576480000007"/>
    <n v="0.42772594916724777"/>
    <d v="2023-01-02T00:00:00"/>
    <s v="Jan-2023"/>
    <n v="0"/>
    <n v="0"/>
    <n v="0"/>
  </r>
  <r>
    <s v="ORD-2023-374486"/>
    <d v="2023-06-24T00:00:00"/>
    <s v="Jun-2023"/>
    <s v="2023-Q2"/>
    <d v="2023-06-29T00:00:00"/>
    <n v="5"/>
    <s v="NOT ACHIEVED"/>
    <x v="1"/>
    <s v="Brazil"/>
    <s v="Rio de Janeiro"/>
    <s v="Americas &gt; Brazil &gt; Rio de Janeiro"/>
    <s v="Non-Profit"/>
    <s v="Retail"/>
    <s v="Retail"/>
    <x v="11"/>
    <s v="Printers"/>
    <s v="Medium"/>
    <s v="PRN-6490"/>
    <n v="804.01"/>
    <n v="1405.07"/>
    <n v="1405.07"/>
    <x v="13"/>
    <s v="OK"/>
    <n v="9.6000000000000002E-2"/>
    <n v="8"/>
    <n v="10161.46624"/>
    <n v="6432.08"/>
    <n v="3729.3862399999998"/>
    <n v="0.36701260939287439"/>
    <d v="2023-01-02T00:00:00"/>
    <s v="Jan-2023"/>
    <n v="0"/>
    <n v="0"/>
    <n v="0"/>
  </r>
  <r>
    <s v="ORD-2023-869884"/>
    <d v="2023-03-02T00:00:00"/>
    <s v="Mar-2023"/>
    <s v="2023-Q1"/>
    <d v="2023-03-05T00:00:00"/>
    <n v="3"/>
    <s v="NOT ACHIEVED"/>
    <x v="1"/>
    <s v="Brazil"/>
    <s v="Brasília"/>
    <s v="Americas &gt; Brazil &gt; Brasília"/>
    <s v="Enterprise"/>
    <s v="Direct"/>
    <s v="Direct"/>
    <x v="4"/>
    <s v="Monitors"/>
    <s v="High"/>
    <s v="MON-2828"/>
    <n v="1473.58"/>
    <n v="3436.52"/>
    <n v="3436.52"/>
    <x v="14"/>
    <s v="OK"/>
    <n v="0.108"/>
    <n v="8"/>
    <n v="24523.006720000001"/>
    <n v="11788.64"/>
    <n v="12734.366720000002"/>
    <n v="0.51928243813652564"/>
    <d v="2023-01-02T00:00:00"/>
    <s v="Jan-2023"/>
    <n v="0"/>
    <n v="0"/>
    <n v="0"/>
  </r>
  <r>
    <s v="ORD-2024-588972"/>
    <d v="2024-11-02T00:00:00"/>
    <s v="Nov-2024"/>
    <s v="2024-Q4"/>
    <d v="2024-11-29T00:00:00"/>
    <n v="27"/>
    <s v="ACHIEVED"/>
    <x v="1"/>
    <s v="Brazil"/>
    <s v="Brasília"/>
    <s v="Americas &gt; Brazil &gt; Brasília"/>
    <s v="Small Business"/>
    <s v="Direct"/>
    <s v="Direct"/>
    <x v="12"/>
    <s v="Networking"/>
    <s v="Medium"/>
    <s v="NET-8561"/>
    <n v="1363.51"/>
    <n v="1433.9"/>
    <n v="1433.9"/>
    <x v="15"/>
    <s v="OK"/>
    <n v="5.7000000000000002E-2"/>
    <n v="8"/>
    <n v="10817.3416"/>
    <n v="10908.08"/>
    <n v="-90.738400000000183"/>
    <n v="-8.3882346842037592E-3"/>
    <d v="2023-01-02T00:00:00"/>
    <s v="Jan-2023"/>
    <n v="0"/>
    <n v="0"/>
    <n v="0"/>
  </r>
  <r>
    <s v="ORD-2025-650719"/>
    <d v="2025-02-12T00:00:00"/>
    <s v="Feb-2025"/>
    <s v="2025-Q1"/>
    <d v="2025-02-28T00:00:00"/>
    <n v="16"/>
    <s v="ACHIEVED"/>
    <x v="1"/>
    <s v="Brazil"/>
    <s v="São Paulo"/>
    <s v="Americas &gt; Brazil &gt; São Paulo"/>
    <s v="Non-Profit"/>
    <s v="Direct"/>
    <s v="Direct"/>
    <x v="6"/>
    <s v="Monitors"/>
    <s v="Medium"/>
    <s v="MON-5179"/>
    <n v="414.95"/>
    <n v="1027.73"/>
    <n v="1027.73"/>
    <x v="16"/>
    <s v="OK"/>
    <n v="6.3E-2"/>
    <n v="8"/>
    <n v="7703.8640800000003"/>
    <n v="3319.6"/>
    <n v="4384.2640800000008"/>
    <n v="0.56909935513815568"/>
    <d v="2023-01-02T00:00:00"/>
    <s v="Jan-2023"/>
    <n v="0"/>
    <n v="0"/>
    <n v="0"/>
  </r>
  <r>
    <s v="ORD-2023-309373"/>
    <d v="2023-07-05T00:00:00"/>
    <s v="Jul-2023"/>
    <s v="2023-Q3"/>
    <d v="2023-07-14T00:00:00"/>
    <n v="9"/>
    <s v="ACHIEVED"/>
    <x v="1"/>
    <s v="Brazil"/>
    <s v="Brasília"/>
    <s v="Americas &gt; Brazil &gt; Brasília"/>
    <s v="Enterprise"/>
    <s v="Direct"/>
    <s v="Direct"/>
    <x v="6"/>
    <s v="Networking"/>
    <s v="Medium"/>
    <s v="NET-2394"/>
    <n v="578.85"/>
    <n v="998.76"/>
    <n v="998.76"/>
    <x v="17"/>
    <s v="OK"/>
    <n v="8.2000000000000003E-2"/>
    <n v="28"/>
    <n v="25672.127039999999"/>
    <n v="16207.800000000001"/>
    <n v="9464.3270399999983"/>
    <n v="0.36866158480960831"/>
    <d v="2023-01-02T00:00:00"/>
    <s v="Jan-2023"/>
    <n v="0"/>
    <n v="0"/>
    <n v="0"/>
  </r>
  <r>
    <s v="ORD-2024-219735"/>
    <d v="2024-04-03T00:00:00"/>
    <s v="Apr-2024"/>
    <s v="2024-Q2"/>
    <d v="2024-04-07T00:00:00"/>
    <n v="4"/>
    <s v="NOT ACHIEVED"/>
    <x v="1"/>
    <s v="Brazil"/>
    <s v="Brasília"/>
    <s v="Americas &gt; Brazil &gt; Brasília"/>
    <s v="Non-Profit"/>
    <s v="Direct"/>
    <s v="Direct"/>
    <x v="5"/>
    <s v="Phones"/>
    <s v="Medium"/>
    <s v="PHN-5445"/>
    <n v="1023.27"/>
    <n v="1343.64"/>
    <n v="1343.64"/>
    <x v="18"/>
    <s v="OK"/>
    <n v="0.13300000000000001"/>
    <n v="7"/>
    <n v="8154.5511600000009"/>
    <n v="7162.8899999999994"/>
    <n v="991.66116000000147"/>
    <n v="0.12160830688810116"/>
    <d v="2023-01-02T00:00:00"/>
    <s v="Jan-2023"/>
    <n v="0"/>
    <n v="0"/>
    <n v="0"/>
  </r>
  <r>
    <s v="ORD-2025-667201"/>
    <d v="2025-09-15T00:00:00"/>
    <s v="Sep-2025"/>
    <s v="2025-Q3"/>
    <d v="2025-09-18T00:00:00"/>
    <n v="3"/>
    <s v="NOT ACHIEVED"/>
    <x v="1"/>
    <s v="Brazil"/>
    <s v="Rio de Janeiro"/>
    <s v="Americas &gt; Brazil &gt; Rio de Janeiro"/>
    <s v="Non-Profit"/>
    <s v="Direct"/>
    <s v="Direct"/>
    <x v="10"/>
    <s v="Accessories"/>
    <s v="Low"/>
    <s v="ACC-6777"/>
    <n v="5.5"/>
    <n v="5.92"/>
    <n v="5.92"/>
    <x v="19"/>
    <s v="OK"/>
    <n v="0.21199999999999999"/>
    <n v="4"/>
    <n v="18.659839999999999"/>
    <n v="22"/>
    <n v="-3.3401600000000009"/>
    <n v="-0.17900260666758133"/>
    <d v="2023-01-02T00:00:00"/>
    <s v="Jan-2023"/>
    <n v="0"/>
    <n v="0"/>
    <n v="0"/>
  </r>
  <r>
    <s v="ORD-2023-825836"/>
    <d v="2023-07-19T00:00:00"/>
    <s v="Jul-2023"/>
    <s v="2023-Q3"/>
    <d v="2023-07-31T00:00:00"/>
    <n v="12"/>
    <s v="ACHIEVED"/>
    <x v="1"/>
    <s v="Brazil"/>
    <s v="Rio de Janeiro"/>
    <s v="Americas &gt; Brazil &gt; Rio de Janeiro"/>
    <s v="Corporate"/>
    <s v="Retail"/>
    <s v="Retail"/>
    <x v="0"/>
    <s v="Monitors"/>
    <s v="High"/>
    <s v="MON-7869"/>
    <n v="1334.64"/>
    <n v="2273.42"/>
    <n v="2273.42"/>
    <x v="20"/>
    <s v="OK"/>
    <n v="0.11799999999999999"/>
    <n v="14"/>
    <n v="28072.190160000002"/>
    <n v="18684.960000000003"/>
    <n v="9387.2301599999992"/>
    <n v="0.33439607335575267"/>
    <d v="2023-01-02T00:00:00"/>
    <s v="Jan-2023"/>
    <n v="0"/>
    <n v="0"/>
    <n v="0"/>
  </r>
  <r>
    <s v="ORD-2024-503082"/>
    <d v="2024-05-19T00:00:00"/>
    <s v="May-2024"/>
    <s v="2024-Q2"/>
    <d v="2024-06-08T00:00:00"/>
    <n v="20"/>
    <s v="ACHIEVED"/>
    <x v="1"/>
    <s v="Brazil"/>
    <s v="Brasília"/>
    <s v="Americas &gt; Brazil &gt; Brasília"/>
    <s v="Small Business"/>
    <s v="Retail"/>
    <s v="Retail"/>
    <x v="11"/>
    <s v="Monitors"/>
    <s v="Medium"/>
    <s v="MON-4271"/>
    <n v="1075.9000000000001"/>
    <n v="1242.1500000000001"/>
    <n v="1242.1500000000001"/>
    <x v="21"/>
    <s v="OK"/>
    <n v="1.2E-2"/>
    <n v="7"/>
    <n v="8590.7094000000016"/>
    <n v="7531.3000000000011"/>
    <n v="1059.4094000000005"/>
    <n v="0.12332036280961853"/>
    <d v="2023-01-02T00:00:00"/>
    <s v="Jan-2023"/>
    <n v="0"/>
    <n v="0"/>
    <n v="0"/>
  </r>
  <r>
    <s v="ORD-2024-444710"/>
    <d v="2024-09-22T00:00:00"/>
    <s v="Sep-2024"/>
    <s v="2024-Q3"/>
    <d v="2024-10-01T00:00:00"/>
    <n v="9"/>
    <s v="ACHIEVED"/>
    <x v="1"/>
    <s v="Brazil"/>
    <s v="São Paulo"/>
    <s v="Americas &gt; Brazil &gt; São Paulo"/>
    <s v="Non-Profit"/>
    <s v="Online"/>
    <s v="Online"/>
    <x v="3"/>
    <s v="Monitors"/>
    <s v="High"/>
    <s v="MON-6341"/>
    <n v="1378.8"/>
    <n v="1952.04"/>
    <n v="1952.04"/>
    <x v="22"/>
    <s v="OK"/>
    <n v="0.159"/>
    <n v="19"/>
    <n v="31191.64716"/>
    <n v="26197.200000000001"/>
    <n v="4994.4471599999997"/>
    <n v="0.16012130216723058"/>
    <d v="2023-01-02T00:00:00"/>
    <s v="Jan-2023"/>
    <n v="0"/>
    <n v="0"/>
    <n v="0"/>
  </r>
  <r>
    <s v="ORD-2023-653343"/>
    <d v="2023-11-10T00:00:00"/>
    <s v="Nov-2023"/>
    <s v="2023-Q4"/>
    <d v="2023-11-28T00:00:00"/>
    <n v="18"/>
    <s v="ACHIEVED"/>
    <x v="1"/>
    <s v="Brazil"/>
    <s v="Brasília"/>
    <s v="Americas &gt; Brazil &gt; Brasília"/>
    <s v="Education"/>
    <s v="Marketplace"/>
    <s v="Marketplace"/>
    <x v="10"/>
    <s v="Accessories"/>
    <s v="Low"/>
    <s v="ACC-5260"/>
    <n v="388.51"/>
    <n v="776.46"/>
    <n v="776.46"/>
    <x v="23"/>
    <s v="OK"/>
    <n v="0.157"/>
    <n v="12"/>
    <n v="7854.6693599999999"/>
    <n v="4662.12"/>
    <n v="3192.54936"/>
    <n v="0.40645241876864946"/>
    <d v="2023-01-02T00:00:00"/>
    <s v="Jan-2023"/>
    <n v="0"/>
    <n v="0"/>
    <n v="0"/>
  </r>
  <r>
    <s v="ORD-2024-777623"/>
    <d v="2024-09-19T00:00:00"/>
    <s v="Sep-2024"/>
    <s v="2024-Q3"/>
    <d v="2024-10-14T00:00:00"/>
    <n v="25"/>
    <s v="ACHIEVED"/>
    <x v="1"/>
    <s v="Brazil"/>
    <s v="Rio de Janeiro"/>
    <s v="Americas &gt; Brazil &gt; Rio de Janeiro"/>
    <s v="Small Business"/>
    <s v="Retail"/>
    <s v="Retail"/>
    <x v="3"/>
    <s v="Printers"/>
    <s v="Medium"/>
    <s v="PRN-2749"/>
    <n v="386.96"/>
    <n v="937.46"/>
    <n v="937.46"/>
    <x v="24"/>
    <s v="OK"/>
    <n v="0.26600000000000001"/>
    <n v="41"/>
    <n v="28211.92124"/>
    <n v="15865.359999999999"/>
    <n v="12346.561240000001"/>
    <n v="0.43763631462626335"/>
    <d v="2023-01-02T00:00:00"/>
    <s v="Jan-2023"/>
    <n v="0"/>
    <n v="0"/>
    <n v="0"/>
  </r>
  <r>
    <s v="ORD-2023-195665"/>
    <d v="2023-12-19T00:00:00"/>
    <s v="Dec-2023"/>
    <s v="2023-Q4"/>
    <d v="2023-12-20T00:00:00"/>
    <n v="1"/>
    <s v="NOT ACHIEVED"/>
    <x v="1"/>
    <s v="Brazil"/>
    <s v="Rio de Janeiro"/>
    <s v="Americas &gt; Brazil &gt; Rio de Janeiro"/>
    <s v="Consumer"/>
    <s v="Distributor"/>
    <s v="Distributor"/>
    <x v="2"/>
    <s v="Phones"/>
    <s v="High"/>
    <s v="PHN-7274"/>
    <n v="1080.43"/>
    <n v="2529.15"/>
    <n v="2529.15"/>
    <x v="7"/>
    <s v="OK"/>
    <n v="0.14699999999999999"/>
    <n v="10"/>
    <n v="21573.6495"/>
    <n v="10804.300000000001"/>
    <n v="10769.349499999998"/>
    <n v="0.49918997247081437"/>
    <d v="2023-01-02T00:00:00"/>
    <s v="Jan-2023"/>
    <n v="0"/>
    <n v="0"/>
    <n v="0"/>
  </r>
  <r>
    <s v="ORD-2025-757957"/>
    <d v="2025-04-24T00:00:00"/>
    <s v="Apr-2025"/>
    <s v="2025-Q2"/>
    <d v="2025-05-06T00:00:00"/>
    <n v="12"/>
    <s v="ACHIEVED"/>
    <x v="1"/>
    <s v="Brazil"/>
    <s v="Brasília"/>
    <s v="Americas &gt; Brazil &gt; Brasília"/>
    <s v="Consumer"/>
    <s v="Online"/>
    <s v="Online"/>
    <x v="0"/>
    <s v="Phones"/>
    <s v="Medium"/>
    <s v="PHN-2787"/>
    <n v="394.13"/>
    <n v="932.29"/>
    <n v="932.29"/>
    <x v="4"/>
    <s v="OK"/>
    <n v="0.109"/>
    <n v="7"/>
    <n v="5814.6927299999998"/>
    <n v="2758.91"/>
    <n v="3055.7827299999999"/>
    <n v="0.5255278089303268"/>
    <d v="2023-01-02T00:00:00"/>
    <s v="Jan-2023"/>
    <n v="0"/>
    <n v="0"/>
    <n v="0"/>
  </r>
  <r>
    <s v="ORD-2023-747341"/>
    <d v="2023-04-19T00:00:00"/>
    <s v="Apr-2023"/>
    <s v="2023-Q2"/>
    <d v="2023-04-28T00:00:00"/>
    <n v="9"/>
    <s v="ACHIEVED"/>
    <x v="1"/>
    <s v="Brazil"/>
    <s v="Rio de Janeiro"/>
    <s v="Americas &gt; Brazil &gt; Rio de Janeiro"/>
    <s v="Corporate"/>
    <s v="Distributor"/>
    <s v="Distributor"/>
    <x v="13"/>
    <s v="Phones"/>
    <s v="Medium"/>
    <s v="PHN-7132"/>
    <n v="1013.54"/>
    <n v="927.93"/>
    <n v="927.93"/>
    <x v="25"/>
    <s v="OK"/>
    <n v="0.17499999999999999"/>
    <n v="16"/>
    <n v="12248.675999999999"/>
    <n v="16216.64"/>
    <n v="-3967.9639999999999"/>
    <n v="-0.32395044166406234"/>
    <d v="2023-01-02T00:00:00"/>
    <s v="Jan-2023"/>
    <n v="0"/>
    <n v="0"/>
    <n v="0"/>
  </r>
  <r>
    <s v="ORD-2023-888140"/>
    <d v="2023-10-11T00:00:00"/>
    <s v="Oct-2023"/>
    <s v="2023-Q4"/>
    <d v="2023-10-13T00:00:00"/>
    <n v="2"/>
    <s v="NOT ACHIEVED"/>
    <x v="1"/>
    <s v="Brazil"/>
    <s v="Brasília"/>
    <s v="Americas &gt; Brazil &gt; Brasília"/>
    <s v="Consumer"/>
    <s v="Distributor"/>
    <s v="Distributor"/>
    <x v="9"/>
    <s v="Accessories"/>
    <s v="Low"/>
    <s v="ACC-3567"/>
    <n v="715.94"/>
    <n v="550.07000000000005"/>
    <n v="550.07000000000005"/>
    <x v="26"/>
    <s v="OK"/>
    <n v="0.14000000000000001"/>
    <n v="16"/>
    <n v="7568.9632000000001"/>
    <n v="11455.04"/>
    <n v="-3886.0768000000007"/>
    <n v="-0.51342260456491595"/>
    <d v="2023-01-02T00:00:00"/>
    <s v="Jan-2023"/>
    <n v="0"/>
    <n v="0"/>
    <n v="0"/>
  </r>
  <r>
    <s v="ORD-2023-630430"/>
    <d v="2023-08-04T00:00:00"/>
    <s v="Aug-2023"/>
    <s v="2023-Q3"/>
    <d v="2023-08-24T00:00:00"/>
    <n v="20"/>
    <s v="ACHIEVED"/>
    <x v="1"/>
    <s v="Brazil"/>
    <s v="Brasília"/>
    <s v="Americas &gt; Brazil &gt; Brasília"/>
    <s v="Non-Profit"/>
    <s v="Direct"/>
    <s v="Direct"/>
    <x v="9"/>
    <s v="Networking"/>
    <s v="Medium"/>
    <s v="NET-9125"/>
    <n v="582.88"/>
    <n v="1044.1400000000001"/>
    <n v="1044.1400000000001"/>
    <x v="27"/>
    <s v="OK"/>
    <n v="0.216"/>
    <n v="10"/>
    <n v="8186.057600000001"/>
    <n v="5828.8"/>
    <n v="2357.2576000000008"/>
    <n v="0.28796005539956138"/>
    <d v="2023-01-02T00:00:00"/>
    <s v="Jan-2023"/>
    <n v="0"/>
    <n v="0"/>
    <n v="0"/>
  </r>
  <r>
    <s v="ORD-2023-967239"/>
    <d v="2023-12-24T00:00:00"/>
    <s v="Dec-2023"/>
    <s v="2023-Q4"/>
    <d v="2024-01-01T00:00:00"/>
    <n v="8"/>
    <s v="ACHIEVED"/>
    <x v="1"/>
    <s v="Brazil"/>
    <s v="São Paulo"/>
    <s v="Americas &gt; Brazil &gt; São Paulo"/>
    <s v="Education"/>
    <s v="Direct"/>
    <s v="Direct"/>
    <x v="0"/>
    <s v="Phones"/>
    <s v="Low"/>
    <s v="PHN-3014"/>
    <n v="526.49"/>
    <n v="496.2"/>
    <n v="496.2"/>
    <x v="3"/>
    <s v="OK"/>
    <n v="0"/>
    <n v="14"/>
    <n v="6946.8"/>
    <n v="7370.8600000000006"/>
    <n v="-424.0600000000004"/>
    <n v="-6.1043933897621985E-2"/>
    <d v="2023-01-02T00:00:00"/>
    <s v="Jan-2023"/>
    <n v="0"/>
    <n v="0"/>
    <n v="0"/>
  </r>
  <r>
    <s v="ORD-2023-253245"/>
    <d v="2023-08-03T00:00:00"/>
    <s v="Aug-2023"/>
    <s v="2023-Q3"/>
    <d v="2023-08-14T00:00:00"/>
    <n v="11"/>
    <s v="ACHIEVED"/>
    <x v="1"/>
    <s v="Brazil"/>
    <s v="Brasília"/>
    <s v="Americas &gt; Brazil &gt; Brasília"/>
    <s v="Corporate"/>
    <s v="Direct"/>
    <s v="Direct"/>
    <x v="2"/>
    <s v="Accessories"/>
    <s v="Low"/>
    <s v="ACC-3951"/>
    <n v="232.73"/>
    <n v="334.19"/>
    <n v="334.19"/>
    <x v="11"/>
    <s v="OK"/>
    <n v="0.13400000000000001"/>
    <n v="25"/>
    <n v="7235.2134999999998"/>
    <n v="5818.25"/>
    <n v="1416.9634999999998"/>
    <n v="0.1958426658729559"/>
    <d v="2023-01-02T00:00:00"/>
    <s v="Jan-2023"/>
    <n v="0"/>
    <n v="0"/>
    <n v="0"/>
  </r>
  <r>
    <s v="ORD-2024-499009"/>
    <d v="2024-01-25T00:00:00"/>
    <s v="Jan-2024"/>
    <s v="2024-Q1"/>
    <d v="2024-01-27T00:00:00"/>
    <n v="2"/>
    <s v="NOT ACHIEVED"/>
    <x v="1"/>
    <s v="Brazil"/>
    <s v="São Paulo"/>
    <s v="Americas &gt; Brazil &gt; São Paulo"/>
    <s v="Non-Profit"/>
    <s v="Marketplace"/>
    <s v="Marketplace"/>
    <x v="5"/>
    <s v="Laptops"/>
    <s v="High"/>
    <s v="LAP-7056"/>
    <n v="1410.97"/>
    <n v="1650.75"/>
    <n v="1650.75"/>
    <x v="28"/>
    <s v="OK"/>
    <n v="0.13500000000000001"/>
    <n v="6"/>
    <n v="8567.3924999999999"/>
    <n v="8465.82"/>
    <n v="101.57250000000022"/>
    <n v="1.1855707556295596E-2"/>
    <d v="2023-01-02T00:00:00"/>
    <s v="Jan-2023"/>
    <n v="0"/>
    <n v="0"/>
    <n v="0"/>
  </r>
  <r>
    <s v="ORD-2025-752845"/>
    <d v="2025-03-30T00:00:00"/>
    <s v="Mar-2025"/>
    <s v="2025-Q1"/>
    <d v="2025-04-07T00:00:00"/>
    <n v="8"/>
    <s v="ACHIEVED"/>
    <x v="1"/>
    <s v="Brazil"/>
    <s v="São Paulo"/>
    <s v="Americas &gt; Brazil &gt; São Paulo"/>
    <s v="Non-Profit"/>
    <s v="Direct"/>
    <s v="Direct"/>
    <x v="10"/>
    <s v="Printers"/>
    <s v="Low"/>
    <s v="PRN-8763"/>
    <n v="71.62"/>
    <n v="118.37"/>
    <n v="118.37"/>
    <x v="29"/>
    <s v="OK"/>
    <n v="0.156"/>
    <n v="11"/>
    <n v="1098.9470800000001"/>
    <n v="787.82"/>
    <n v="311.12708000000009"/>
    <n v="0.28311379652603474"/>
    <d v="2023-01-02T00:00:00"/>
    <s v="Jan-2023"/>
    <n v="0"/>
    <n v="0"/>
    <n v="0"/>
  </r>
  <r>
    <s v="ORD-2023-594700"/>
    <d v="2023-07-18T00:00:00"/>
    <s v="Jul-2023"/>
    <s v="2023-Q3"/>
    <d v="2023-07-22T00:00:00"/>
    <n v="4"/>
    <s v="NOT ACHIEVED"/>
    <x v="1"/>
    <s v="Brazil"/>
    <s v="São Paulo"/>
    <s v="Americas &gt; Brazil &gt; São Paulo"/>
    <s v="Consumer"/>
    <s v="Direct"/>
    <s v="Direct"/>
    <x v="8"/>
    <s v="Networking"/>
    <s v="High"/>
    <s v="NET-1699"/>
    <n v="1269.55"/>
    <n v="2071.1"/>
    <n v="2071.1"/>
    <x v="30"/>
    <s v="OK"/>
    <n v="0.129"/>
    <n v="22"/>
    <n v="39686.4182"/>
    <n v="27930.1"/>
    <n v="11756.318200000002"/>
    <n v="0.29623026549672354"/>
    <d v="2023-01-02T00:00:00"/>
    <s v="Jan-2023"/>
    <n v="0"/>
    <n v="0"/>
    <n v="0"/>
  </r>
  <r>
    <s v="ORD-2024-403664"/>
    <d v="2024-05-23T00:00:00"/>
    <s v="May-2024"/>
    <s v="2024-Q2"/>
    <d v="2024-06-06T00:00:00"/>
    <n v="14"/>
    <s v="ACHIEVED"/>
    <x v="1"/>
    <s v="Brazil"/>
    <s v="Rio de Janeiro"/>
    <s v="Americas &gt; Brazil &gt; Rio de Janeiro"/>
    <s v="Non-Profit"/>
    <s v="Online"/>
    <s v="Online"/>
    <x v="12"/>
    <s v="Networking"/>
    <s v="Low"/>
    <s v="NET-1166"/>
    <n v="51.13"/>
    <n v="57.53"/>
    <n v="57.53"/>
    <x v="31"/>
    <s v="OK"/>
    <n v="4.4999999999999998E-2"/>
    <n v="16"/>
    <n v="879.05840000000001"/>
    <n v="818.08"/>
    <n v="60.978399999999965"/>
    <n v="6.9367859973808302E-2"/>
    <d v="2023-01-02T00:00:00"/>
    <s v="Jan-2023"/>
    <n v="0"/>
    <n v="0"/>
    <n v="0"/>
  </r>
  <r>
    <s v="ORD-2023-619570"/>
    <d v="2023-11-14T00:00:00"/>
    <s v="Nov-2023"/>
    <s v="2023-Q4"/>
    <d v="2023-11-30T00:00:00"/>
    <n v="16"/>
    <s v="ACHIEVED"/>
    <x v="1"/>
    <s v="Brazil"/>
    <s v="São Paulo"/>
    <s v="Americas &gt; Brazil &gt; São Paulo"/>
    <s v="Enterprise"/>
    <s v="Direct"/>
    <s v="Direct"/>
    <x v="3"/>
    <s v="Networking"/>
    <s v="Medium"/>
    <s v="NET-4104"/>
    <n v="1017.92"/>
    <n v="1175.25"/>
    <n v="1175.25"/>
    <x v="32"/>
    <s v="OK"/>
    <n v="7.4999999999999997E-2"/>
    <n v="15"/>
    <n v="16306.59375"/>
    <n v="15268.8"/>
    <n v="1037.7937500000007"/>
    <n v="6.3642583234159542E-2"/>
    <d v="2023-01-02T00:00:00"/>
    <s v="Jan-2023"/>
    <n v="0"/>
    <n v="0"/>
    <n v="0"/>
  </r>
  <r>
    <s v="ORD-2024-206121"/>
    <d v="2024-02-18T00:00:00"/>
    <s v="Feb-2024"/>
    <s v="2024-Q1"/>
    <d v="2024-03-11T00:00:00"/>
    <n v="22"/>
    <s v="ACHIEVED"/>
    <x v="1"/>
    <s v="Brazil"/>
    <s v="São Paulo"/>
    <s v="Americas &gt; Brazil &gt; São Paulo"/>
    <s v="Consumer"/>
    <s v="Online"/>
    <s v="Online"/>
    <x v="1"/>
    <s v="Components"/>
    <s v="Low"/>
    <s v="CMP-9801"/>
    <n v="80.48"/>
    <n v="65.650000000000006"/>
    <n v="65.650000000000006"/>
    <x v="33"/>
    <s v="OK"/>
    <n v="0.17599999999999999"/>
    <n v="13"/>
    <n v="703.2428000000001"/>
    <n v="1046.24"/>
    <n v="-342.99719999999991"/>
    <n v="-0.48773652570634191"/>
    <d v="2023-01-02T00:00:00"/>
    <s v="Jan-2023"/>
    <n v="0"/>
    <n v="0"/>
    <n v="0"/>
  </r>
  <r>
    <s v="ORD-2024-500890"/>
    <d v="2024-09-09T00:00:00"/>
    <s v="Sep-2024"/>
    <s v="2024-Q3"/>
    <d v="2024-10-08T00:00:00"/>
    <n v="29"/>
    <s v="ACHIEVED"/>
    <x v="1"/>
    <s v="Brazil"/>
    <s v="São Paulo"/>
    <s v="Americas &gt; Brazil &gt; São Paulo"/>
    <s v="Education"/>
    <s v="Direct"/>
    <s v="Direct"/>
    <x v="2"/>
    <s v="Components"/>
    <s v="High"/>
    <s v="CMP-3093"/>
    <n v="1010.33"/>
    <n v="2492.14"/>
    <n v="2492.14"/>
    <x v="34"/>
    <s v="OK"/>
    <n v="5.0999999999999997E-2"/>
    <n v="11"/>
    <n v="26015.449459999996"/>
    <n v="11113.630000000001"/>
    <n v="14901.819459999995"/>
    <n v="0.57280653493656752"/>
    <d v="2023-01-02T00:00:00"/>
    <s v="Jan-2023"/>
    <n v="0"/>
    <n v="0"/>
    <n v="0"/>
  </r>
  <r>
    <s v="ORD-2025-779530"/>
    <d v="2025-05-19T00:00:00"/>
    <s v="May-2025"/>
    <s v="2025-Q2"/>
    <d v="2025-05-24T00:00:00"/>
    <n v="5"/>
    <s v="NOT ACHIEVED"/>
    <x v="1"/>
    <s v="Brazil"/>
    <s v="São Paulo"/>
    <s v="Americas &gt; Brazil &gt; São Paulo"/>
    <s v="Small Business"/>
    <s v="Distributor"/>
    <s v="Distributor"/>
    <x v="10"/>
    <s v="Monitors"/>
    <s v="Medium"/>
    <s v="MON-2993"/>
    <n v="383.77"/>
    <n v="952.56"/>
    <n v="952.56"/>
    <x v="35"/>
    <s v="OK"/>
    <n v="0.3"/>
    <n v="10"/>
    <n v="6667.9199999999983"/>
    <n v="3837.7"/>
    <n v="2830.2199999999984"/>
    <n v="0.42445320279787385"/>
    <d v="2023-01-02T00:00:00"/>
    <s v="Jan-2023"/>
    <n v="0"/>
    <n v="0"/>
    <n v="0"/>
  </r>
  <r>
    <s v="ORD-2024-129345"/>
    <d v="2024-02-18T00:00:00"/>
    <s v="Feb-2024"/>
    <s v="2024-Q1"/>
    <d v="2024-03-03T00:00:00"/>
    <n v="14"/>
    <s v="ACHIEVED"/>
    <x v="1"/>
    <s v="Brazil"/>
    <s v="Unkown"/>
    <s v="Americas &gt; Brazil &gt; Unkown"/>
    <s v="Enterprise"/>
    <s v="Distributor"/>
    <s v="Distributor"/>
    <x v="1"/>
    <s v="Printers"/>
    <s v="Medium"/>
    <s v="PRN-5384"/>
    <n v="624.23"/>
    <n v="1318.37"/>
    <n v="1318.37"/>
    <x v="36"/>
    <s v="OK"/>
    <n v="0.21"/>
    <n v="37"/>
    <n v="38535.955099999999"/>
    <n v="23096.510000000002"/>
    <n v="15439.445099999997"/>
    <n v="0.40065038118128793"/>
    <d v="2023-01-02T00:00:00"/>
    <s v="Jan-2023"/>
    <n v="0"/>
    <n v="0"/>
    <n v="0"/>
  </r>
  <r>
    <s v="ORD-2024-225829"/>
    <d v="2024-11-07T00:00:00"/>
    <s v="Nov-2024"/>
    <s v="2024-Q4"/>
    <d v="2024-11-26T00:00:00"/>
    <n v="19"/>
    <s v="ACHIEVED"/>
    <x v="1"/>
    <s v="Brazil"/>
    <s v="Rio de Janeiro"/>
    <s v="Americas &gt; Brazil &gt; Rio de Janeiro"/>
    <s v="Non-Profit"/>
    <s v="Distributor"/>
    <s v="Distributor"/>
    <x v="2"/>
    <s v="Printers"/>
    <s v="Low"/>
    <s v="PRN-9960"/>
    <n v="55.35"/>
    <n v="128.68"/>
    <n v="128.68"/>
    <x v="37"/>
    <s v="OK"/>
    <n v="0.128"/>
    <n v="10"/>
    <n v="1122.0896000000002"/>
    <n v="553.5"/>
    <n v="568.58960000000025"/>
    <n v="0.50672388372550647"/>
    <d v="2023-01-02T00:00:00"/>
    <s v="Jan-2023"/>
    <n v="0"/>
    <n v="0"/>
    <n v="0"/>
  </r>
  <r>
    <s v="ORD-2025-949776"/>
    <d v="2025-08-14T00:00:00"/>
    <s v="Aug-2025"/>
    <s v="2025-Q3"/>
    <d v="2025-09-11T00:00:00"/>
    <n v="28"/>
    <s v="ACHIEVED"/>
    <x v="1"/>
    <s v="Brazil"/>
    <s v="São Paulo"/>
    <s v="Americas &gt; Brazil &gt; São Paulo"/>
    <s v="Non-Profit"/>
    <s v="Direct"/>
    <s v="Direct"/>
    <x v="8"/>
    <s v="Printers"/>
    <s v="High"/>
    <s v="PRN-9490"/>
    <n v="1203.02"/>
    <n v="2439.33"/>
    <n v="2439.33"/>
    <x v="3"/>
    <s v="OK"/>
    <n v="0"/>
    <n v="18"/>
    <n v="43907.94"/>
    <n v="21654.36"/>
    <n v="22253.58"/>
    <n v="0.50682359500354612"/>
    <d v="2023-01-02T00:00:00"/>
    <s v="Jan-2023"/>
    <n v="0"/>
    <n v="0"/>
    <n v="0"/>
  </r>
  <r>
    <s v="ORD-2024-510591"/>
    <d v="2024-04-03T00:00:00"/>
    <s v="Apr-2024"/>
    <s v="2024-Q2"/>
    <d v="2024-04-21T00:00:00"/>
    <n v="18"/>
    <s v="ACHIEVED"/>
    <x v="1"/>
    <s v="Brazil"/>
    <s v="Brasília"/>
    <s v="Americas &gt; Brazil &gt; Brasília"/>
    <s v="Small Business"/>
    <s v="Distributor"/>
    <s v="Distributor"/>
    <x v="6"/>
    <s v="Networking"/>
    <s v="High"/>
    <s v="NET-3850"/>
    <n v="1176.69"/>
    <n v="2201.54"/>
    <n v="2201.54"/>
    <x v="38"/>
    <s v="OK"/>
    <n v="0.17"/>
    <n v="27"/>
    <n v="49336.511399999996"/>
    <n v="31770.63"/>
    <n v="17565.881399999995"/>
    <n v="0.35604222717701106"/>
    <d v="2023-01-02T00:00:00"/>
    <s v="Jan-2023"/>
    <n v="0"/>
    <n v="0"/>
    <n v="0"/>
  </r>
  <r>
    <s v="ORD-2025-915869"/>
    <d v="2025-02-06T00:00:00"/>
    <s v="Feb-2025"/>
    <s v="2025-Q1"/>
    <d v="2025-02-15T00:00:00"/>
    <n v="9"/>
    <s v="ACHIEVED"/>
    <x v="1"/>
    <s v="Brazil"/>
    <s v="São Paulo"/>
    <s v="Americas &gt; Brazil &gt; São Paulo"/>
    <s v="Non-Profit"/>
    <s v="Distributor"/>
    <s v="Distributor"/>
    <x v="8"/>
    <s v="Networking"/>
    <s v="High"/>
    <s v="NET-5482"/>
    <n v="837.39"/>
    <n v="1905.42"/>
    <n v="1905.42"/>
    <x v="39"/>
    <s v="OK"/>
    <n v="3.2000000000000001E-2"/>
    <n v="18"/>
    <n v="33200.038079999998"/>
    <n v="15073.02"/>
    <n v="18127.018079999998"/>
    <n v="0.54599389423350919"/>
    <d v="2023-01-02T00:00:00"/>
    <s v="Jan-2023"/>
    <n v="0"/>
    <n v="0"/>
    <n v="0"/>
  </r>
  <r>
    <s v="ORD-2025-909340"/>
    <d v="2025-01-20T00:00:00"/>
    <s v="Jan-2025"/>
    <s v="2025-Q1"/>
    <d v="2025-02-03T00:00:00"/>
    <n v="14"/>
    <s v="ACHIEVED"/>
    <x v="1"/>
    <s v="Brazil"/>
    <s v="Brasília"/>
    <s v="Americas &gt; Brazil &gt; Brasília"/>
    <s v="Enterprise"/>
    <s v="Marketplace"/>
    <s v="Marketplace"/>
    <x v="8"/>
    <s v="Components"/>
    <s v="Medium"/>
    <s v="CMP-8658"/>
    <n v="974.11"/>
    <n v="880.99"/>
    <n v="880.99"/>
    <x v="40"/>
    <s v="OK"/>
    <n v="0.111"/>
    <n v="10"/>
    <n v="7832.0010999999995"/>
    <n v="9741.1"/>
    <n v="-1909.0989000000009"/>
    <n v="-0.2437562093805121"/>
    <d v="2023-01-02T00:00:00"/>
    <s v="Jan-2023"/>
    <n v="0"/>
    <n v="0"/>
    <n v="0"/>
  </r>
  <r>
    <s v="ORD-2023-581799"/>
    <d v="2023-12-05T00:00:00"/>
    <s v="Dec-2023"/>
    <s v="2023-Q4"/>
    <d v="2023-12-12T00:00:00"/>
    <n v="7"/>
    <s v="ACHIEVED"/>
    <x v="1"/>
    <s v="Brazil"/>
    <s v="Brasília"/>
    <s v="Americas &gt; Brazil &gt; Brasília"/>
    <s v="Corporate"/>
    <s v="Direct"/>
    <s v="Direct"/>
    <x v="8"/>
    <s v="Phones"/>
    <s v="Low"/>
    <s v="PHN-6506"/>
    <n v="307.43"/>
    <n v="495.19"/>
    <n v="495.19"/>
    <x v="3"/>
    <s v="OK"/>
    <n v="0"/>
    <n v="42"/>
    <n v="20797.98"/>
    <n v="12912.06"/>
    <n v="7885.92"/>
    <n v="0.37916759223732305"/>
    <d v="2023-01-02T00:00:00"/>
    <s v="Jan-2023"/>
    <n v="0"/>
    <n v="0"/>
    <n v="0"/>
  </r>
  <r>
    <s v="ORD-2023-588455"/>
    <d v="2023-05-23T00:00:00"/>
    <s v="May-2023"/>
    <s v="2023-Q2"/>
    <d v="2023-05-25T00:00:00"/>
    <n v="2"/>
    <s v="NOT ACHIEVED"/>
    <x v="1"/>
    <s v="Brazil"/>
    <s v="Rio de Janeiro"/>
    <s v="Americas &gt; Brazil &gt; Rio de Janeiro"/>
    <s v="Enterprise"/>
    <s v="Retail"/>
    <s v="Retail"/>
    <x v="13"/>
    <s v="Printers"/>
    <s v="Medium"/>
    <s v="PRN-1271"/>
    <n v="690.49"/>
    <n v="1290.29"/>
    <n v="1290.29"/>
    <x v="41"/>
    <s v="OK"/>
    <n v="4.2000000000000003E-2"/>
    <n v="22"/>
    <n v="27194.152039999997"/>
    <n v="15190.78"/>
    <n v="12003.372039999997"/>
    <n v="0.44139534199647718"/>
    <d v="2023-01-02T00:00:00"/>
    <s v="Jan-2023"/>
    <n v="0"/>
    <n v="0"/>
    <n v="0"/>
  </r>
  <r>
    <s v="ORD-2023-867175"/>
    <d v="2023-08-10T00:00:00"/>
    <s v="Aug-2023"/>
    <s v="2023-Q3"/>
    <d v="2023-08-15T00:00:00"/>
    <n v="5"/>
    <s v="NOT ACHIEVED"/>
    <x v="1"/>
    <s v="Brazil"/>
    <s v="São Paulo"/>
    <s v="Americas &gt; Brazil &gt; São Paulo"/>
    <s v="Education"/>
    <s v="Direct"/>
    <s v="Direct"/>
    <x v="4"/>
    <s v="Networking"/>
    <s v="High"/>
    <s v="NET-2894"/>
    <n v="1307.52"/>
    <n v="1921.65"/>
    <n v="1921.65"/>
    <x v="42"/>
    <s v="OK"/>
    <n v="0.123"/>
    <n v="13"/>
    <n v="21908.731650000002"/>
    <n v="16997.759999999998"/>
    <n v="4910.9716500000031"/>
    <n v="0.22415590863289445"/>
    <d v="2023-01-02T00:00:00"/>
    <s v="Jan-2023"/>
    <n v="0"/>
    <n v="0"/>
    <n v="0"/>
  </r>
  <r>
    <s v="ORD-2024-516704"/>
    <d v="2024-03-01T00:00:00"/>
    <s v="Mar-2024"/>
    <s v="2024-Q1"/>
    <d v="2024-03-06T00:00:00"/>
    <n v="5"/>
    <s v="NOT ACHIEVED"/>
    <x v="1"/>
    <s v="Brazil"/>
    <s v="São Paulo"/>
    <s v="Americas &gt; Brazil &gt; São Paulo"/>
    <s v="Non-Profit"/>
    <s v="Direct"/>
    <s v="Direct"/>
    <x v="12"/>
    <s v="Phones"/>
    <s v="Low"/>
    <s v="PHN-7852"/>
    <n v="5.34"/>
    <n v="12.69"/>
    <n v="12.69"/>
    <x v="43"/>
    <s v="OK"/>
    <n v="0.13200000000000001"/>
    <n v="10"/>
    <n v="110.14919999999999"/>
    <n v="53.4"/>
    <n v="56.749199999999995"/>
    <n v="0.51520301554618642"/>
    <d v="2023-01-02T00:00:00"/>
    <s v="Jan-2023"/>
    <n v="0"/>
    <n v="0"/>
    <n v="0"/>
  </r>
  <r>
    <s v="ORD-2023-434071"/>
    <d v="2023-06-20T00:00:00"/>
    <s v="Jun-2023"/>
    <s v="2023-Q2"/>
    <d v="2023-07-04T00:00:00"/>
    <n v="14"/>
    <s v="ACHIEVED"/>
    <x v="1"/>
    <s v="Brazil"/>
    <s v="Brasília"/>
    <s v="Americas &gt; Brazil &gt; Brasília"/>
    <s v="Non-Profit"/>
    <s v="Direct"/>
    <s v="Direct"/>
    <x v="0"/>
    <s v="Networking"/>
    <s v="High"/>
    <s v="NET-1228"/>
    <n v="1292.8599999999999"/>
    <n v="2981.01"/>
    <n v="2981.01"/>
    <x v="10"/>
    <s v="OK"/>
    <n v="0.14199999999999999"/>
    <n v="12"/>
    <n v="30692.47896"/>
    <n v="15514.32"/>
    <n v="15178.158960000001"/>
    <n v="0.49452372288927687"/>
    <d v="2023-01-02T00:00:00"/>
    <s v="Jan-2023"/>
    <n v="0"/>
    <n v="0"/>
    <n v="0"/>
  </r>
  <r>
    <s v="ORD-2023-406606"/>
    <d v="2023-10-25T00:00:00"/>
    <s v="Oct-2023"/>
    <s v="2023-Q4"/>
    <d v="2023-10-28T00:00:00"/>
    <n v="3"/>
    <s v="NOT ACHIEVED"/>
    <x v="1"/>
    <s v="Brazil"/>
    <s v="Brasília"/>
    <s v="Americas &gt; Brazil &gt; Brasília"/>
    <s v="Corporate"/>
    <s v="Distributor"/>
    <s v="Distributor"/>
    <x v="10"/>
    <s v="Accessories"/>
    <s v="Medium"/>
    <s v="ACC-2867"/>
    <n v="509.31"/>
    <n v="1145.9000000000001"/>
    <n v="1145.9000000000001"/>
    <x v="15"/>
    <s v="OK"/>
    <n v="5.7000000000000002E-2"/>
    <n v="8"/>
    <n v="8644.6696000000011"/>
    <n v="4074.48"/>
    <n v="4570.1896000000015"/>
    <n v="0.52867140231709964"/>
    <d v="2023-01-02T00:00:00"/>
    <s v="Jan-2023"/>
    <n v="0"/>
    <n v="0"/>
    <n v="0"/>
  </r>
  <r>
    <s v="ORD-2025-823055"/>
    <d v="2025-09-08T00:00:00"/>
    <s v="Sep-2025"/>
    <s v="2025-Q3"/>
    <d v="2025-10-05T00:00:00"/>
    <n v="27"/>
    <s v="ACHIEVED"/>
    <x v="1"/>
    <s v="Brazil"/>
    <s v="Rio de Janeiro"/>
    <s v="Americas &gt; Brazil &gt; Rio de Janeiro"/>
    <s v="Education"/>
    <s v="Online"/>
    <s v="Online"/>
    <x v="0"/>
    <s v="Monitors"/>
    <s v="High"/>
    <s v="MON-9274"/>
    <n v="660.78"/>
    <n v="1630.39"/>
    <n v="1630.39"/>
    <x v="44"/>
    <s v="OK"/>
    <n v="0.218"/>
    <n v="13"/>
    <n v="16574.544740000001"/>
    <n v="8590.14"/>
    <n v="7984.4047400000018"/>
    <n v="0.48172694123724097"/>
    <d v="2023-01-02T00:00:00"/>
    <s v="Jan-2023"/>
    <n v="0"/>
    <n v="0"/>
    <n v="0"/>
  </r>
  <r>
    <s v="ORD-2025-680118"/>
    <d v="2025-03-10T00:00:00"/>
    <s v="Mar-2025"/>
    <s v="2025-Q1"/>
    <d v="2025-03-27T00:00:00"/>
    <n v="17"/>
    <s v="ACHIEVED"/>
    <x v="1"/>
    <s v="Brazil"/>
    <s v="Rio de Janeiro"/>
    <s v="Americas &gt; Brazil &gt; Rio de Janeiro"/>
    <s v="Enterprise"/>
    <s v="Direct"/>
    <s v="Direct"/>
    <x v="8"/>
    <s v="Networking"/>
    <s v="Medium"/>
    <s v="NET-6269"/>
    <n v="996.73"/>
    <n v="1217.43"/>
    <n v="1217.43"/>
    <x v="45"/>
    <s v="OK"/>
    <n v="7.0000000000000007E-2"/>
    <n v="9"/>
    <n v="10189.8891"/>
    <n v="8970.57"/>
    <n v="1219.3191000000006"/>
    <n v="0.11965970267527255"/>
    <d v="2023-01-02T00:00:00"/>
    <s v="Jan-2023"/>
    <n v="0"/>
    <n v="0"/>
    <n v="0"/>
  </r>
  <r>
    <s v="ORD-2025-149156"/>
    <d v="2025-01-10T00:00:00"/>
    <s v="Jan-2025"/>
    <s v="2025-Q1"/>
    <d v="2025-02-06T00:00:00"/>
    <n v="27"/>
    <s v="ACHIEVED"/>
    <x v="1"/>
    <s v="Brazil"/>
    <s v="Brasília"/>
    <s v="Americas &gt; Brazil &gt; Brasília"/>
    <s v="Non-Profit"/>
    <s v="Retail"/>
    <s v="Retail"/>
    <x v="6"/>
    <s v="Laptops"/>
    <s v="Medium"/>
    <s v="LAP-7353"/>
    <n v="725.62"/>
    <n v="1559.19"/>
    <n v="1559.19"/>
    <x v="46"/>
    <s v="OK"/>
    <n v="0.19"/>
    <n v="12"/>
    <n v="15155.326800000001"/>
    <n v="8707.44"/>
    <n v="6447.8868000000002"/>
    <n v="0.42545349797405885"/>
    <d v="2023-01-02T00:00:00"/>
    <s v="Jan-2023"/>
    <n v="0"/>
    <n v="0"/>
    <n v="0"/>
  </r>
  <r>
    <s v="ORD-2024-202877"/>
    <d v="2024-07-13T00:00:00"/>
    <s v="Jul-2024"/>
    <s v="2024-Q3"/>
    <d v="2024-08-03T00:00:00"/>
    <n v="21"/>
    <s v="ACHIEVED"/>
    <x v="1"/>
    <s v="Brazil"/>
    <s v="Rio de Janeiro"/>
    <s v="Americas &gt; Brazil &gt; Rio de Janeiro"/>
    <s v="Corporate"/>
    <s v="Marketplace"/>
    <s v="Marketplace"/>
    <x v="13"/>
    <s v="Monitors"/>
    <s v="Medium"/>
    <s v="MON-6287"/>
    <n v="702.98"/>
    <n v="1104.8"/>
    <n v="1104.8"/>
    <x v="25"/>
    <s v="OK"/>
    <n v="0.17499999999999999"/>
    <n v="12"/>
    <n v="10937.519999999999"/>
    <n v="8435.76"/>
    <n v="2501.7599999999984"/>
    <n v="0.22873192460448061"/>
    <d v="2023-01-02T00:00:00"/>
    <s v="Jan-2023"/>
    <n v="0"/>
    <n v="0"/>
    <n v="0"/>
  </r>
  <r>
    <s v="ORD-2025-419532"/>
    <d v="2025-08-06T00:00:00"/>
    <s v="Aug-2025"/>
    <s v="2025-Q3"/>
    <d v="2025-08-23T00:00:00"/>
    <n v="17"/>
    <s v="ACHIEVED"/>
    <x v="1"/>
    <s v="Brazil"/>
    <s v="Brasília"/>
    <s v="Americas &gt; Brazil &gt; Brasília"/>
    <s v="Consumer"/>
    <s v="Distributor"/>
    <s v="Distributor"/>
    <x v="1"/>
    <s v="Monitors"/>
    <s v="Low"/>
    <s v="MON-4317"/>
    <n v="86.64"/>
    <n v="213.06"/>
    <n v="213.06"/>
    <x v="19"/>
    <s v="OK"/>
    <n v="0.21199999999999999"/>
    <n v="11"/>
    <n v="1846.8040799999999"/>
    <n v="953.04"/>
    <n v="893.76407999999992"/>
    <n v="0.48395175735154322"/>
    <d v="2023-01-02T00:00:00"/>
    <s v="Jan-2023"/>
    <n v="0"/>
    <n v="0"/>
    <n v="0"/>
  </r>
  <r>
    <s v="ORD-2023-244375"/>
    <d v="2023-06-03T00:00:00"/>
    <s v="Jun-2023"/>
    <s v="2023-Q2"/>
    <d v="2023-07-01T00:00:00"/>
    <n v="28"/>
    <s v="ACHIEVED"/>
    <x v="1"/>
    <s v="Brazil"/>
    <s v="Brasília"/>
    <s v="Americas &gt; Brazil &gt; Brasília"/>
    <s v="Small Business"/>
    <s v="Marketplace"/>
    <s v="Marketplace"/>
    <x v="1"/>
    <s v="Components"/>
    <s v="High"/>
    <s v="CMP-1223"/>
    <n v="860.4"/>
    <n v="2066.6"/>
    <n v="2066.6"/>
    <x v="47"/>
    <s v="OK"/>
    <n v="0.01"/>
    <n v="3"/>
    <n v="6137.8019999999988"/>
    <n v="2581.1999999999998"/>
    <n v="3556.601999999999"/>
    <n v="0.57945857491004105"/>
    <d v="2023-01-02T00:00:00"/>
    <s v="Jan-2023"/>
    <n v="0"/>
    <n v="0"/>
    <n v="0"/>
  </r>
  <r>
    <s v="ORD-2023-856322"/>
    <d v="2023-01-29T00:00:00"/>
    <s v="Jan-2023"/>
    <s v="2023-Q1"/>
    <d v="2023-02-06T00:00:00"/>
    <n v="8"/>
    <s v="ACHIEVED"/>
    <x v="1"/>
    <s v="Brazil"/>
    <s v="Brasília"/>
    <s v="Americas &gt; Brazil &gt; Brasília"/>
    <s v="Corporate"/>
    <s v="Marketplace"/>
    <s v="Marketplace"/>
    <x v="14"/>
    <s v="Monitors"/>
    <s v="Low"/>
    <s v="MON-7207"/>
    <n v="41.84"/>
    <n v="86.2"/>
    <n v="86.2"/>
    <x v="48"/>
    <s v="OK"/>
    <n v="0.22600000000000001"/>
    <n v="27"/>
    <n v="1801.4076000000002"/>
    <n v="1129.68"/>
    <n v="671.72760000000017"/>
    <n v="0.37289039970742882"/>
    <d v="2023-01-02T00:00:00"/>
    <s v="Jan-2023"/>
    <n v="0"/>
    <n v="0"/>
    <n v="0"/>
  </r>
  <r>
    <s v="ORD-2025-246692"/>
    <d v="2025-04-17T00:00:00"/>
    <s v="Apr-2025"/>
    <s v="2025-Q2"/>
    <d v="2025-04-17T00:00:00"/>
    <n v="0"/>
    <s v="NOT ACHIEVED"/>
    <x v="1"/>
    <s v="Brazil"/>
    <s v="São Paulo"/>
    <s v="Americas &gt; Brazil &gt; São Paulo"/>
    <s v="Corporate"/>
    <s v="Distributor"/>
    <s v="Distributor"/>
    <x v="10"/>
    <s v="Phones"/>
    <s v="Medium"/>
    <s v="PHN-4566"/>
    <n v="719.41"/>
    <n v="1125.99"/>
    <n v="1125.99"/>
    <x v="49"/>
    <s v="OK"/>
    <n v="4.1000000000000002E-2"/>
    <n v="21"/>
    <n v="22676.312610000001"/>
    <n v="15107.609999999999"/>
    <n v="7568.7026100000021"/>
    <n v="0.33377131194876403"/>
    <d v="2023-01-02T00:00:00"/>
    <s v="Jan-2023"/>
    <n v="0"/>
    <n v="0"/>
    <n v="0"/>
  </r>
  <r>
    <s v="ORD-2024-585443"/>
    <d v="2024-08-17T00:00:00"/>
    <s v="Aug-2024"/>
    <s v="2024-Q3"/>
    <d v="2024-08-22T00:00:00"/>
    <n v="5"/>
    <s v="NOT ACHIEVED"/>
    <x v="1"/>
    <s v="Brazil"/>
    <s v="Rio de Janeiro"/>
    <s v="Americas &gt; Brazil &gt; Rio de Janeiro"/>
    <s v="Consumer"/>
    <s v="Direct"/>
    <s v="Direct"/>
    <x v="13"/>
    <s v="Monitors"/>
    <s v="Low"/>
    <s v="MON-2849"/>
    <n v="165.3"/>
    <n v="275.07"/>
    <n v="275.07"/>
    <x v="18"/>
    <s v="OK"/>
    <n v="0.13300000000000001"/>
    <n v="25"/>
    <n v="5962.1422499999999"/>
    <n v="4132.5"/>
    <n v="1829.6422499999999"/>
    <n v="0.30687665159280625"/>
    <d v="2023-01-02T00:00:00"/>
    <s v="Jan-2023"/>
    <n v="0"/>
    <n v="0"/>
    <n v="0"/>
  </r>
  <r>
    <s v="ORD-2023-552115"/>
    <d v="2023-09-17T00:00:00"/>
    <s v="Sep-2023"/>
    <s v="2023-Q3"/>
    <d v="2023-10-02T00:00:00"/>
    <n v="15"/>
    <s v="ACHIEVED"/>
    <x v="1"/>
    <s v="Brazil"/>
    <s v="Rio de Janeiro"/>
    <s v="Americas &gt; Brazil &gt; Rio de Janeiro"/>
    <s v="Small Business"/>
    <s v="Retail"/>
    <s v="Retail"/>
    <x v="6"/>
    <s v="Laptops"/>
    <s v="Low"/>
    <s v="LAP-4932"/>
    <n v="689.33"/>
    <n v="668.27"/>
    <n v="668.27"/>
    <x v="50"/>
    <s v="OK"/>
    <n v="0.186"/>
    <n v="13"/>
    <n v="7071.6331400000008"/>
    <n v="8961.2900000000009"/>
    <n v="-1889.6568600000001"/>
    <n v="-0.26721647214861033"/>
    <d v="2023-01-02T00:00:00"/>
    <s v="Jan-2023"/>
    <n v="0"/>
    <n v="0"/>
    <n v="0"/>
  </r>
  <r>
    <s v="ORD-2025-907040"/>
    <d v="2025-04-17T00:00:00"/>
    <s v="Apr-2025"/>
    <s v="2025-Q2"/>
    <d v="2025-05-03T00:00:00"/>
    <n v="16"/>
    <s v="ACHIEVED"/>
    <x v="1"/>
    <s v="Brazil"/>
    <s v="Rio de Janeiro"/>
    <s v="Americas &gt; Brazil &gt; Rio de Janeiro"/>
    <s v="Consumer"/>
    <s v="Marketplace"/>
    <s v="Marketplace"/>
    <x v="2"/>
    <s v="Networking"/>
    <s v="Low"/>
    <s v="NET-8610"/>
    <n v="168.68"/>
    <n v="413.34"/>
    <n v="413.34"/>
    <x v="50"/>
    <s v="OK"/>
    <n v="0.186"/>
    <n v="7"/>
    <n v="2355.2113199999999"/>
    <n v="1180.76"/>
    <n v="1174.4513199999999"/>
    <n v="0.49866069767361682"/>
    <d v="2023-01-02T00:00:00"/>
    <s v="Jan-2023"/>
    <n v="0"/>
    <n v="0"/>
    <n v="0"/>
  </r>
  <r>
    <s v="ORD-2023-723587"/>
    <d v="2023-01-02T00:00:00"/>
    <s v="Jan-2023"/>
    <s v="2023-Q1"/>
    <d v="2023-01-05T00:00:00"/>
    <n v="3"/>
    <s v="NOT ACHIEVED"/>
    <x v="1"/>
    <s v="Canada"/>
    <s v="Toronto"/>
    <s v="Americas &gt; Canada &gt; Toronto"/>
    <s v="Corporate"/>
    <s v="Distributor"/>
    <s v="Distributor"/>
    <x v="6"/>
    <s v="Laptops"/>
    <s v="Low"/>
    <s v="LAP-8555"/>
    <n v="315.87"/>
    <n v="591.67999999999995"/>
    <n v="591.67999999999995"/>
    <x v="3"/>
    <s v="OK"/>
    <n v="0"/>
    <n v="7"/>
    <n v="4141.7599999999993"/>
    <n v="2211.09"/>
    <n v="1930.6699999999992"/>
    <n v="0.46614724175229844"/>
    <d v="2023-01-02T00:00:00"/>
    <s v="Jan-2023"/>
    <n v="0"/>
    <n v="0"/>
    <n v="0"/>
  </r>
  <r>
    <s v="ORD-2023-562894"/>
    <d v="2023-02-23T00:00:00"/>
    <s v="Feb-2023"/>
    <s v="2023-Q1"/>
    <d v="2023-03-25T00:00:00"/>
    <n v="30"/>
    <s v="ACHIEVED"/>
    <x v="1"/>
    <s v="Canada"/>
    <s v="Montreal"/>
    <s v="Americas &gt; Canada &gt; Montreal"/>
    <s v="Enterprise"/>
    <s v="Online"/>
    <s v="Online"/>
    <x v="14"/>
    <s v="Phones"/>
    <s v="High"/>
    <s v="PHN-4854"/>
    <n v="1242.6600000000001"/>
    <n v="1794.07"/>
    <n v="1794.07"/>
    <x v="51"/>
    <s v="OK"/>
    <n v="8.8999999999999996E-2"/>
    <n v="16"/>
    <n v="26150.364320000001"/>
    <n v="19882.560000000001"/>
    <n v="6267.8043199999993"/>
    <n v="0.23968325042440553"/>
    <d v="2023-01-02T00:00:00"/>
    <s v="Jan-2023"/>
    <n v="0"/>
    <n v="0"/>
    <n v="0"/>
  </r>
  <r>
    <s v="ORD-2024-389336"/>
    <d v="2024-05-20T00:00:00"/>
    <s v="May-2024"/>
    <s v="2024-Q2"/>
    <d v="2024-06-02T00:00:00"/>
    <n v="13"/>
    <s v="ACHIEVED"/>
    <x v="1"/>
    <s v="Canada"/>
    <s v="Vancouver"/>
    <s v="Americas &gt; Canada &gt; Vancouver"/>
    <s v="Enterprise"/>
    <s v="Marketplace"/>
    <s v="Marketplace"/>
    <x v="3"/>
    <s v="Components"/>
    <s v="Medium"/>
    <s v="CMP-5946"/>
    <n v="675.43"/>
    <n v="996.36"/>
    <n v="996.36"/>
    <x v="52"/>
    <s v="OK"/>
    <n v="0.182"/>
    <n v="22"/>
    <n v="17930.494560000003"/>
    <n v="14859.46"/>
    <n v="3071.0345600000037"/>
    <n v="0.17127439233332575"/>
    <d v="2023-01-02T00:00:00"/>
    <s v="Jan-2023"/>
    <n v="0"/>
    <n v="0"/>
    <n v="0"/>
  </r>
  <r>
    <s v="ORD-2024-468501"/>
    <d v="2024-11-06T00:00:00"/>
    <s v="Nov-2024"/>
    <s v="2024-Q4"/>
    <d v="2024-11-22T00:00:00"/>
    <n v="16"/>
    <s v="ACHIEVED"/>
    <x v="1"/>
    <s v="Canada"/>
    <s v="Toronto"/>
    <s v="Americas &gt; Canada &gt; Toronto"/>
    <s v="Non-Profit"/>
    <s v="Distributor"/>
    <s v="Distributor"/>
    <x v="14"/>
    <s v="Accessories"/>
    <s v="High"/>
    <s v="ACC-6348"/>
    <n v="1454.11"/>
    <n v="2629.75"/>
    <n v="2629.75"/>
    <x v="53"/>
    <s v="OK"/>
    <n v="0.29199999999999998"/>
    <n v="8"/>
    <n v="14894.903999999999"/>
    <n v="11632.88"/>
    <n v="3262.0239999999994"/>
    <n v="0.21900268709351867"/>
    <d v="2023-01-02T00:00:00"/>
    <s v="Jan-2023"/>
    <n v="0"/>
    <n v="0"/>
    <n v="0"/>
  </r>
  <r>
    <s v="ORD-2023-343322"/>
    <d v="2023-08-19T00:00:00"/>
    <s v="Aug-2023"/>
    <s v="2023-Q3"/>
    <d v="2023-09-12T00:00:00"/>
    <n v="24"/>
    <s v="ACHIEVED"/>
    <x v="1"/>
    <s v="Canada"/>
    <s v="Vancouver"/>
    <s v="Americas &gt; Canada &gt; Vancouver"/>
    <s v="Enterprise"/>
    <s v="Retail"/>
    <s v="Retail"/>
    <x v="12"/>
    <s v="Printers"/>
    <s v="Medium"/>
    <s v="PRN-9669"/>
    <n v="1183.95"/>
    <n v="1503.53"/>
    <n v="1503.53"/>
    <x v="54"/>
    <s v="OK"/>
    <n v="0.24099999999999999"/>
    <n v="16"/>
    <n v="18258.868320000001"/>
    <n v="18943.2"/>
    <n v="-684.33167999999932"/>
    <n v="-3.7479413729623705E-2"/>
    <d v="2023-01-02T00:00:00"/>
    <s v="Jan-2023"/>
    <n v="0"/>
    <n v="0"/>
    <n v="0"/>
  </r>
  <r>
    <s v="ORD-2024-478165"/>
    <d v="2024-12-05T00:00:00"/>
    <s v="Dec-2024"/>
    <s v="2024-Q4"/>
    <d v="2024-12-28T00:00:00"/>
    <n v="23"/>
    <s v="ACHIEVED"/>
    <x v="1"/>
    <s v="Canada"/>
    <s v="Vancouver"/>
    <s v="Americas &gt; Canada &gt; Vancouver"/>
    <s v="Corporate"/>
    <s v="Direct"/>
    <s v="Direct"/>
    <x v="8"/>
    <s v="Accessories"/>
    <s v="Low"/>
    <s v="ACC-2386"/>
    <n v="107.03"/>
    <n v="242.29"/>
    <n v="242.29"/>
    <x v="55"/>
    <s v="OK"/>
    <n v="0.18"/>
    <n v="30"/>
    <n v="5960.3340000000007"/>
    <n v="3210.9"/>
    <n v="2749.4340000000007"/>
    <n v="0.46128857879440988"/>
    <d v="2023-01-02T00:00:00"/>
    <s v="Jan-2023"/>
    <n v="0"/>
    <n v="0"/>
    <n v="0"/>
  </r>
  <r>
    <s v="ORD-2025-698069"/>
    <d v="2025-06-03T00:00:00"/>
    <s v="Jun-2025"/>
    <s v="2025-Q2"/>
    <d v="2025-06-10T00:00:00"/>
    <n v="7"/>
    <s v="ACHIEVED"/>
    <x v="1"/>
    <s v="Canada"/>
    <s v="Toronto"/>
    <s v="Americas &gt; Canada &gt; Toronto"/>
    <s v="Consumer"/>
    <s v="Distributor"/>
    <s v="Distributor"/>
    <x v="7"/>
    <s v="Printers"/>
    <s v="Low"/>
    <s v="PRN-6429"/>
    <n v="75.180000000000007"/>
    <n v="53.45"/>
    <n v="53.45"/>
    <x v="23"/>
    <s v="OK"/>
    <n v="0.157"/>
    <n v="17"/>
    <n v="765.99195000000009"/>
    <n v="1278.0600000000002"/>
    <n v="-512.06805000000008"/>
    <n v="-0.66850317421743144"/>
    <d v="2023-01-02T00:00:00"/>
    <s v="Jan-2023"/>
    <n v="0"/>
    <n v="0"/>
    <n v="0"/>
  </r>
  <r>
    <s v="ORD-2025-956101"/>
    <d v="2025-07-09T00:00:00"/>
    <s v="Jul-2025"/>
    <s v="2025-Q3"/>
    <d v="2025-07-18T00:00:00"/>
    <n v="9"/>
    <s v="ACHIEVED"/>
    <x v="1"/>
    <s v="Canada"/>
    <s v="Vancouver"/>
    <s v="Americas &gt; Canada &gt; Vancouver"/>
    <s v="Education"/>
    <s v="Distributor"/>
    <s v="Distributor"/>
    <x v="12"/>
    <s v="Laptops"/>
    <s v="Low"/>
    <s v="LAP-2218"/>
    <n v="57.96"/>
    <n v="88.51"/>
    <n v="88.51"/>
    <x v="56"/>
    <s v="OK"/>
    <n v="4.2999999999999997E-2"/>
    <n v="7"/>
    <n v="592.92849000000001"/>
    <n v="405.72"/>
    <n v="187.20848999999998"/>
    <n v="0.3157353595877978"/>
    <d v="2023-01-02T00:00:00"/>
    <s v="Jan-2023"/>
    <n v="0"/>
    <n v="0"/>
    <n v="0"/>
  </r>
  <r>
    <s v="ORD-2023-603238"/>
    <d v="2023-08-21T00:00:00"/>
    <s v="Aug-2023"/>
    <s v="2023-Q3"/>
    <d v="2023-09-04T00:00:00"/>
    <n v="14"/>
    <s v="ACHIEVED"/>
    <x v="1"/>
    <s v="Canada"/>
    <s v="Montreal"/>
    <s v="Americas &gt; Canada &gt; Montreal"/>
    <s v="Education"/>
    <s v="Distributor"/>
    <s v="Distributor"/>
    <x v="8"/>
    <s v="Components"/>
    <s v="Low"/>
    <s v="CMP-2136"/>
    <n v="178.19"/>
    <n v="284.43"/>
    <n v="284.43"/>
    <x v="51"/>
    <s v="OK"/>
    <n v="8.8999999999999996E-2"/>
    <n v="8"/>
    <n v="2072.9258400000003"/>
    <n v="1425.52"/>
    <n v="647.40584000000035"/>
    <n v="0.31231500302972742"/>
    <d v="2023-01-02T00:00:00"/>
    <s v="Jan-2023"/>
    <n v="0"/>
    <n v="0"/>
    <n v="0"/>
  </r>
  <r>
    <s v="ORD-2024-389102"/>
    <d v="2024-06-15T00:00:00"/>
    <s v="Jun-2024"/>
    <s v="2024-Q2"/>
    <d v="2024-07-06T00:00:00"/>
    <n v="21"/>
    <s v="ACHIEVED"/>
    <x v="1"/>
    <s v="Canada"/>
    <s v="Toronto"/>
    <s v="Americas &gt; Canada &gt; Toronto"/>
    <s v="Enterprise"/>
    <s v="Distributor"/>
    <s v="Distributor"/>
    <x v="10"/>
    <s v="Printers"/>
    <s v="Medium"/>
    <s v="PRN-4453"/>
    <n v="817.23"/>
    <n v="1467.17"/>
    <n v="1467.17"/>
    <x v="57"/>
    <s v="OK"/>
    <n v="0.245"/>
    <n v="9"/>
    <n v="9969.4201499999999"/>
    <n v="7355.07"/>
    <n v="2614.3501500000002"/>
    <n v="0.26223693160328893"/>
    <d v="2023-01-02T00:00:00"/>
    <s v="Jan-2023"/>
    <n v="0"/>
    <n v="0"/>
    <n v="0"/>
  </r>
  <r>
    <s v="ORD-2024-438404"/>
    <d v="2024-09-23T00:00:00"/>
    <s v="Sep-2024"/>
    <s v="2024-Q3"/>
    <d v="2024-10-18T00:00:00"/>
    <n v="25"/>
    <s v="ACHIEVED"/>
    <x v="1"/>
    <s v="Canada"/>
    <s v="Vancouver"/>
    <s v="Americas &gt; Canada &gt; Vancouver"/>
    <s v="Small Business"/>
    <s v="Online"/>
    <s v="Online"/>
    <x v="5"/>
    <s v="Phones"/>
    <s v="High"/>
    <s v="PHN-4568"/>
    <n v="1297"/>
    <n v="2411.52"/>
    <n v="2411.52"/>
    <x v="58"/>
    <s v="OK"/>
    <n v="2.1000000000000001E-2"/>
    <n v="18"/>
    <n v="42495.805439999996"/>
    <n v="23346"/>
    <n v="19149.805439999996"/>
    <n v="0.45062813239385913"/>
    <d v="2023-01-02T00:00:00"/>
    <s v="Jan-2023"/>
    <n v="0"/>
    <n v="0"/>
    <n v="0"/>
  </r>
  <r>
    <s v="ORD-2025-246470"/>
    <d v="2025-04-16T00:00:00"/>
    <s v="Apr-2025"/>
    <s v="2025-Q2"/>
    <d v="2025-05-16T00:00:00"/>
    <n v="30"/>
    <s v="ACHIEVED"/>
    <x v="1"/>
    <s v="Canada"/>
    <s v="Montreal"/>
    <s v="Americas &gt; Canada &gt; Montreal"/>
    <s v="Enterprise"/>
    <s v="Distributor"/>
    <s v="Distributor"/>
    <x v="3"/>
    <s v="Printers"/>
    <s v="Low"/>
    <s v="PRN-6178"/>
    <n v="763.32"/>
    <n v="568.29"/>
    <n v="568.29"/>
    <x v="59"/>
    <s v="OK"/>
    <n v="0.13100000000000001"/>
    <n v="16"/>
    <n v="7901.5041599999995"/>
    <n v="12213.12"/>
    <n v="-4311.6158400000013"/>
    <n v="-0.54567026134426555"/>
    <d v="2023-01-02T00:00:00"/>
    <s v="Jan-2023"/>
    <n v="0"/>
    <n v="0"/>
    <n v="0"/>
  </r>
  <r>
    <s v="ORD-2023-987700"/>
    <d v="2023-04-05T00:00:00"/>
    <s v="Apr-2023"/>
    <s v="2023-Q2"/>
    <d v="2023-04-16T00:00:00"/>
    <n v="11"/>
    <s v="ACHIEVED"/>
    <x v="1"/>
    <s v="Canada"/>
    <s v="Vancouver"/>
    <s v="Americas &gt; Canada &gt; Vancouver"/>
    <s v="Non-Profit"/>
    <s v="Online"/>
    <s v="Online"/>
    <x v="7"/>
    <s v="Monitors"/>
    <s v="Low"/>
    <s v="MON-5259"/>
    <n v="213.1"/>
    <n v="501.31"/>
    <n v="501.31"/>
    <x v="60"/>
    <s v="OK"/>
    <n v="5.6000000000000001E-2"/>
    <n v="15"/>
    <n v="7098.5495999999994"/>
    <n v="3196.5"/>
    <n v="3902.0495999999994"/>
    <n v="0.54969674368409005"/>
    <d v="2023-01-02T00:00:00"/>
    <s v="Jan-2023"/>
    <n v="0"/>
    <n v="0"/>
    <n v="0"/>
  </r>
  <r>
    <s v="ORD-2025-586799"/>
    <d v="2025-07-14T00:00:00"/>
    <s v="Jul-2025"/>
    <s v="2025-Q3"/>
    <d v="2025-08-04T00:00:00"/>
    <n v="21"/>
    <s v="ACHIEVED"/>
    <x v="1"/>
    <s v="Canada"/>
    <s v="Montreal"/>
    <s v="Americas &gt; Canada &gt; Montreal"/>
    <s v="Consumer"/>
    <s v="Online"/>
    <s v="Online"/>
    <x v="15"/>
    <s v="Monitors"/>
    <s v="Low"/>
    <s v="MON-7868"/>
    <n v="90.3"/>
    <n v="131.76"/>
    <n v="131.76"/>
    <x v="61"/>
    <s v="OK"/>
    <n v="0.10199999999999999"/>
    <n v="15"/>
    <n v="1774.8072"/>
    <n v="1354.5"/>
    <n v="420.30719999999997"/>
    <n v="0.23681851189244668"/>
    <d v="2023-01-02T00:00:00"/>
    <s v="Jan-2023"/>
    <n v="0"/>
    <n v="0"/>
    <n v="0"/>
  </r>
  <r>
    <s v="ORD-2025-132174"/>
    <d v="2025-07-17T00:00:00"/>
    <s v="Jul-2025"/>
    <s v="2025-Q3"/>
    <d v="2025-07-23T00:00:00"/>
    <n v="6"/>
    <s v="NOT ACHIEVED"/>
    <x v="1"/>
    <s v="Canada"/>
    <s v="Vancouver"/>
    <s v="Americas &gt; Canada &gt; Vancouver"/>
    <s v="Consumer"/>
    <s v="Online"/>
    <s v="Online"/>
    <x v="15"/>
    <s v="Components"/>
    <s v="High"/>
    <s v="CMP-8851"/>
    <n v="1364.89"/>
    <n v="2757.54"/>
    <n v="2757.54"/>
    <x v="62"/>
    <s v="OK"/>
    <n v="0.17199999999999999"/>
    <n v="61"/>
    <n v="139277.83032000001"/>
    <n v="83258.290000000008"/>
    <n v="56019.54032"/>
    <n v="0.4022143379983118"/>
    <d v="2023-01-02T00:00:00"/>
    <s v="Jan-2023"/>
    <n v="0"/>
    <n v="0"/>
    <n v="0"/>
  </r>
  <r>
    <s v="ORD-2024-544865"/>
    <d v="2024-02-16T00:00:00"/>
    <s v="Feb-2024"/>
    <s v="2024-Q1"/>
    <d v="2024-03-04T00:00:00"/>
    <n v="17"/>
    <s v="ACHIEVED"/>
    <x v="1"/>
    <s v="Canada"/>
    <s v="Montreal"/>
    <s v="Americas &gt; Canada &gt; Montreal"/>
    <s v="Non-Profit"/>
    <s v="Retail"/>
    <s v="Retail"/>
    <x v="14"/>
    <s v="Laptops"/>
    <s v="High"/>
    <s v="LAP-2774"/>
    <n v="1350.98"/>
    <n v="2210.4"/>
    <n v="2210.4"/>
    <x v="63"/>
    <s v="OK"/>
    <n v="0.26300000000000001"/>
    <n v="6"/>
    <n v="9774.3888000000006"/>
    <n v="8105.88"/>
    <n v="1668.5088000000005"/>
    <n v="0.17070211080615091"/>
    <d v="2023-01-02T00:00:00"/>
    <s v="Jan-2023"/>
    <n v="0"/>
    <n v="0"/>
    <n v="0"/>
  </r>
  <r>
    <s v="ORD-2023-276806"/>
    <d v="2023-03-04T00:00:00"/>
    <s v="Mar-2023"/>
    <s v="2023-Q1"/>
    <d v="2023-03-24T00:00:00"/>
    <n v="20"/>
    <s v="ACHIEVED"/>
    <x v="1"/>
    <s v="Canada"/>
    <s v="Montreal"/>
    <s v="Americas &gt; Canada &gt; Montreal"/>
    <s v="Consumer"/>
    <s v="Distributor"/>
    <s v="Distributor"/>
    <x v="12"/>
    <s v="Laptops"/>
    <s v="Medium"/>
    <s v="LAP-6160"/>
    <n v="481.71"/>
    <n v="912.45"/>
    <n v="912.45"/>
    <x v="64"/>
    <s v="OK"/>
    <n v="0.20300000000000001"/>
    <n v="24"/>
    <n v="17453.3436"/>
    <n v="11561.039999999999"/>
    <n v="5892.3036000000011"/>
    <n v="0.33760313983619739"/>
    <d v="2023-01-02T00:00:00"/>
    <s v="Jan-2023"/>
    <n v="0"/>
    <n v="0"/>
    <n v="0"/>
  </r>
  <r>
    <s v="ORD-2024-220234"/>
    <d v="2024-03-15T00:00:00"/>
    <s v="Mar-2024"/>
    <s v="2024-Q1"/>
    <d v="2024-04-09T00:00:00"/>
    <n v="25"/>
    <s v="ACHIEVED"/>
    <x v="1"/>
    <s v="Canada"/>
    <s v="Vancouver"/>
    <s v="Americas &gt; Canada &gt; Vancouver"/>
    <s v="Consumer"/>
    <s v="Online"/>
    <s v="Online"/>
    <x v="8"/>
    <s v="Monitors"/>
    <s v="Medium"/>
    <s v="MON-4361"/>
    <n v="648.64"/>
    <n v="815.19"/>
    <n v="815.19"/>
    <x v="65"/>
    <s v="OK"/>
    <n v="0.22500000000000001"/>
    <n v="28"/>
    <n v="17689.623"/>
    <n v="18161.919999999998"/>
    <n v="-472.29699999999866"/>
    <n v="-2.6699099240272032E-2"/>
    <d v="2023-01-02T00:00:00"/>
    <s v="Jan-2023"/>
    <n v="0"/>
    <n v="0"/>
    <n v="0"/>
  </r>
  <r>
    <s v="ORD-2025-898022"/>
    <d v="2025-09-02T00:00:00"/>
    <s v="Sep-2025"/>
    <s v="2025-Q3"/>
    <d v="2025-09-11T00:00:00"/>
    <n v="9"/>
    <s v="ACHIEVED"/>
    <x v="1"/>
    <s v="Canada"/>
    <s v="Toronto"/>
    <s v="Americas &gt; Canada &gt; Toronto"/>
    <s v="Corporate"/>
    <s v="Distributor"/>
    <s v="Distributor"/>
    <x v="13"/>
    <s v="Printers"/>
    <s v="Medium"/>
    <s v="PRN-1276"/>
    <n v="1207.6300000000001"/>
    <n v="921.68"/>
    <n v="921.68"/>
    <x v="66"/>
    <s v="OK"/>
    <n v="0.19600000000000001"/>
    <n v="17"/>
    <n v="12597.52224"/>
    <n v="20529.710000000003"/>
    <n v="-7932.1877600000025"/>
    <n v="-0.62966253274897988"/>
    <d v="2023-01-02T00:00:00"/>
    <s v="Jan-2023"/>
    <n v="0"/>
    <n v="0"/>
    <n v="0"/>
  </r>
  <r>
    <s v="ORD-2023-369160"/>
    <d v="2023-07-24T00:00:00"/>
    <s v="Jul-2023"/>
    <s v="2023-Q3"/>
    <d v="2023-08-13T00:00:00"/>
    <n v="20"/>
    <s v="ACHIEVED"/>
    <x v="1"/>
    <s v="Canada"/>
    <s v="Montreal"/>
    <s v="Americas &gt; Canada &gt; Montreal"/>
    <s v="Education"/>
    <s v="Direct"/>
    <s v="Direct"/>
    <x v="0"/>
    <s v="Monitors"/>
    <s v="High"/>
    <s v="MON-3307"/>
    <n v="1082.3800000000001"/>
    <n v="1766.55"/>
    <n v="1766.55"/>
    <x v="67"/>
    <s v="OK"/>
    <n v="0.16400000000000001"/>
    <n v="20"/>
    <n v="29536.716"/>
    <n v="21647.600000000002"/>
    <n v="7889.1159999999982"/>
    <n v="0.26709523157550752"/>
    <d v="2023-01-02T00:00:00"/>
    <s v="Jan-2023"/>
    <n v="0"/>
    <n v="0"/>
    <n v="0"/>
  </r>
  <r>
    <s v="ORD-2024-792137"/>
    <d v="2024-03-02T00:00:00"/>
    <s v="Mar-2024"/>
    <s v="2024-Q1"/>
    <d v="2024-03-16T00:00:00"/>
    <n v="14"/>
    <s v="ACHIEVED"/>
    <x v="1"/>
    <s v="Canada"/>
    <s v="Vancouver"/>
    <s v="Americas &gt; Canada &gt; Vancouver"/>
    <s v="Non-Profit"/>
    <s v="Direct"/>
    <s v="Direct"/>
    <x v="7"/>
    <s v="Printers"/>
    <s v="Low"/>
    <s v="PRN-7976"/>
    <n v="248.24"/>
    <n v="464.05"/>
    <n v="464.05"/>
    <x v="68"/>
    <s v="OK"/>
    <n v="0.16900000000000001"/>
    <n v="11"/>
    <n v="4241.88105"/>
    <n v="2730.6400000000003"/>
    <n v="1511.2410499999996"/>
    <n v="0.3562667203975462"/>
    <d v="2023-01-02T00:00:00"/>
    <s v="Jan-2023"/>
    <n v="0"/>
    <n v="0"/>
    <n v="0"/>
  </r>
  <r>
    <s v="ORD-2025-191328"/>
    <d v="2025-05-10T00:00:00"/>
    <s v="May-2025"/>
    <s v="2025-Q2"/>
    <d v="2025-05-27T00:00:00"/>
    <n v="17"/>
    <s v="ACHIEVED"/>
    <x v="1"/>
    <s v="Canada"/>
    <s v="Vancouver"/>
    <s v="Americas &gt; Canada &gt; Vancouver"/>
    <s v="Education"/>
    <s v="Direct"/>
    <s v="Direct"/>
    <x v="0"/>
    <s v="Components"/>
    <s v="Medium"/>
    <s v="CMP-9307"/>
    <n v="862.89"/>
    <n v="1426.03"/>
    <n v="1426.03"/>
    <x v="60"/>
    <s v="OK"/>
    <n v="5.6000000000000001E-2"/>
    <n v="19"/>
    <n v="25577.274079999999"/>
    <n v="16394.91"/>
    <n v="9182.3640799999994"/>
    <n v="0.35900479665188778"/>
    <d v="2023-01-02T00:00:00"/>
    <s v="Jan-2023"/>
    <n v="0"/>
    <n v="0"/>
    <n v="0"/>
  </r>
  <r>
    <s v="ORD-2023-890605"/>
    <d v="2023-06-24T00:00:00"/>
    <s v="Jun-2023"/>
    <s v="2023-Q2"/>
    <d v="2023-06-29T00:00:00"/>
    <n v="5"/>
    <s v="NOT ACHIEVED"/>
    <x v="1"/>
    <s v="Canada"/>
    <s v="Toronto"/>
    <s v="Americas &gt; Canada &gt; Toronto"/>
    <s v="Non-Profit"/>
    <s v="Retail"/>
    <s v="Retail"/>
    <x v="13"/>
    <s v="Accessories"/>
    <s v="Medium"/>
    <s v="ACC-2903"/>
    <n v="471.42"/>
    <n v="824.81"/>
    <n v="824.81"/>
    <x v="69"/>
    <s v="OK"/>
    <n v="8.7999999999999995E-2"/>
    <n v="15"/>
    <n v="11283.400799999999"/>
    <n v="7071.3"/>
    <n v="4212.1007999999993"/>
    <n v="0.37330064531608231"/>
    <d v="2023-01-02T00:00:00"/>
    <s v="Jan-2023"/>
    <n v="0"/>
    <n v="0"/>
    <n v="0"/>
  </r>
  <r>
    <s v="ORD-2023-163610"/>
    <d v="2023-10-22T00:00:00"/>
    <s v="Oct-2023"/>
    <s v="2023-Q4"/>
    <d v="2023-11-16T00:00:00"/>
    <n v="25"/>
    <s v="ACHIEVED"/>
    <x v="1"/>
    <s v="Canada"/>
    <s v="Toronto"/>
    <s v="Americas &gt; Canada &gt; Toronto"/>
    <s v="Small Business"/>
    <s v="Marketplace"/>
    <s v="Marketplace"/>
    <x v="12"/>
    <s v="Laptops"/>
    <s v="High"/>
    <s v="LAP-9024"/>
    <n v="1373.31"/>
    <n v="3154.14"/>
    <n v="3154.14"/>
    <x v="70"/>
    <s v="OK"/>
    <n v="0.2"/>
    <n v="11"/>
    <n v="27756.432000000001"/>
    <n v="15106.41"/>
    <n v="12650.022000000001"/>
    <n v="0.45575101295440279"/>
    <d v="2023-01-02T00:00:00"/>
    <s v="Jan-2023"/>
    <n v="0"/>
    <n v="0"/>
    <n v="0"/>
  </r>
  <r>
    <s v="ORD-2024-901115"/>
    <d v="2024-07-25T00:00:00"/>
    <s v="Jul-2024"/>
    <s v="2024-Q3"/>
    <d v="2024-08-02T00:00:00"/>
    <n v="8"/>
    <s v="ACHIEVED"/>
    <x v="1"/>
    <s v="Canada"/>
    <s v="Montreal"/>
    <s v="Americas &gt; Canada &gt; Montreal"/>
    <s v="Consumer"/>
    <s v="Direct"/>
    <s v="Direct"/>
    <x v="2"/>
    <s v="Accessories"/>
    <s v="High"/>
    <s v="ACC-6626"/>
    <n v="986.81"/>
    <n v="2050.31"/>
    <n v="2050.31"/>
    <x v="71"/>
    <s v="OK"/>
    <n v="0.10299999999999999"/>
    <n v="43"/>
    <n v="79082.507010000001"/>
    <n v="42432.829999999994"/>
    <n v="36649.677010000007"/>
    <n v="0.46343595310358138"/>
    <d v="2023-01-02T00:00:00"/>
    <s v="Jan-2023"/>
    <n v="0"/>
    <n v="0"/>
    <n v="0"/>
  </r>
  <r>
    <s v="ORD-2025-306903"/>
    <d v="2025-06-24T00:00:00"/>
    <s v="Jun-2025"/>
    <s v="2025-Q2"/>
    <d v="2025-07-23T00:00:00"/>
    <n v="29"/>
    <s v="ACHIEVED"/>
    <x v="1"/>
    <s v="Canada"/>
    <s v="Vancouver"/>
    <s v="Americas &gt; Canada &gt; Vancouver"/>
    <s v="Non-Profit"/>
    <s v="Marketplace"/>
    <s v="Marketplace"/>
    <x v="12"/>
    <s v="Printers"/>
    <s v="Low"/>
    <s v="PRN-3775"/>
    <n v="255.4"/>
    <n v="322.70999999999998"/>
    <n v="322.70999999999998"/>
    <x v="72"/>
    <s v="OK"/>
    <n v="0.115"/>
    <n v="16"/>
    <n v="4569.5735999999997"/>
    <n v="4086.4"/>
    <n v="483.17359999999962"/>
    <n v="0.10573713048412212"/>
    <d v="2023-01-02T00:00:00"/>
    <s v="Jan-2023"/>
    <n v="0"/>
    <n v="0"/>
    <n v="0"/>
  </r>
  <r>
    <s v="ORD-2025-822030"/>
    <d v="2025-08-07T00:00:00"/>
    <s v="Aug-2025"/>
    <s v="2025-Q3"/>
    <d v="2025-09-06T00:00:00"/>
    <n v="30"/>
    <s v="ACHIEVED"/>
    <x v="1"/>
    <s v="Canada"/>
    <s v="Montreal"/>
    <s v="Americas &gt; Canada &gt; Montreal"/>
    <s v="Education"/>
    <s v="Direct"/>
    <s v="Direct"/>
    <x v="13"/>
    <s v="Networking"/>
    <s v="Medium"/>
    <s v="NET-1336"/>
    <n v="833.73"/>
    <n v="1116.5999999999999"/>
    <n v="1116.5999999999999"/>
    <x v="33"/>
    <s v="OK"/>
    <n v="0.17599999999999999"/>
    <n v="14"/>
    <n v="12881.097599999999"/>
    <n v="11672.220000000001"/>
    <n v="1208.877599999998"/>
    <n v="9.3848958958279924E-2"/>
    <d v="2023-01-02T00:00:00"/>
    <s v="Jan-2023"/>
    <n v="0"/>
    <n v="0"/>
    <n v="0"/>
  </r>
  <r>
    <s v="ORD-2024-170021"/>
    <d v="2024-11-05T00:00:00"/>
    <s v="Nov-2024"/>
    <s v="2024-Q4"/>
    <d v="2024-11-08T00:00:00"/>
    <n v="3"/>
    <s v="NOT ACHIEVED"/>
    <x v="1"/>
    <s v="Canada"/>
    <s v="Toronto"/>
    <s v="Americas &gt; Canada &gt; Toronto"/>
    <s v="Education"/>
    <s v="Marketplace"/>
    <s v="Marketplace"/>
    <x v="7"/>
    <s v="Components"/>
    <s v="Medium"/>
    <s v="CMP-2015"/>
    <n v="1020.4"/>
    <n v="1184.71"/>
    <n v="1184.71"/>
    <x v="73"/>
    <s v="OK"/>
    <n v="0.106"/>
    <n v="16"/>
    <n v="16946.091840000001"/>
    <n v="16326.4"/>
    <n v="619.69184000000132"/>
    <n v="3.6568422138328345E-2"/>
    <d v="2023-01-02T00:00:00"/>
    <s v="Jan-2023"/>
    <n v="0"/>
    <n v="0"/>
    <n v="0"/>
  </r>
  <r>
    <s v="ORD-2023-987081"/>
    <d v="2023-08-29T00:00:00"/>
    <s v="Aug-2023"/>
    <s v="2023-Q3"/>
    <d v="2023-09-13T00:00:00"/>
    <n v="15"/>
    <s v="ACHIEVED"/>
    <x v="1"/>
    <s v="Canada"/>
    <s v="Vancouver"/>
    <s v="Americas &gt; Canada &gt; Vancouver"/>
    <s v="Small Business"/>
    <s v="Marketplace"/>
    <s v="Marketplace"/>
    <x v="7"/>
    <s v="Printers"/>
    <s v="High"/>
    <s v="PRN-9975"/>
    <n v="1287.6400000000001"/>
    <n v="2717.15"/>
    <n v="2717.15"/>
    <x v="39"/>
    <s v="OK"/>
    <n v="3.2000000000000001E-2"/>
    <n v="7"/>
    <n v="18411.4084"/>
    <n v="9013.4800000000014"/>
    <n v="9397.9283999999989"/>
    <n v="0.51044049405802105"/>
    <d v="2023-01-02T00:00:00"/>
    <s v="Jan-2023"/>
    <n v="0"/>
    <n v="0"/>
    <n v="0"/>
  </r>
  <r>
    <s v="ORD-2024-510520"/>
    <d v="2024-09-25T00:00:00"/>
    <s v="Sep-2024"/>
    <s v="2024-Q3"/>
    <d v="2024-10-03T00:00:00"/>
    <n v="8"/>
    <s v="ACHIEVED"/>
    <x v="1"/>
    <s v="Canada"/>
    <s v="Toronto"/>
    <s v="Americas &gt; Canada &gt; Toronto"/>
    <s v="Consumer"/>
    <s v="Online"/>
    <s v="Online"/>
    <x v="11"/>
    <s v="Printers"/>
    <s v="Medium"/>
    <s v="PRN-9557"/>
    <n v="558.19000000000005"/>
    <n v="1031.6400000000001"/>
    <n v="1031.6400000000001"/>
    <x v="3"/>
    <s v="OK"/>
    <n v="0"/>
    <n v="21"/>
    <n v="21664.440000000002"/>
    <n v="11721.990000000002"/>
    <n v="9942.4500000000007"/>
    <n v="0.45892947152107322"/>
    <d v="2023-01-02T00:00:00"/>
    <s v="Jan-2023"/>
    <n v="0"/>
    <n v="0"/>
    <n v="0"/>
  </r>
  <r>
    <s v="ORD-2023-769774"/>
    <d v="2023-06-13T00:00:00"/>
    <s v="Jun-2023"/>
    <s v="2023-Q2"/>
    <d v="2023-06-24T00:00:00"/>
    <n v="11"/>
    <s v="ACHIEVED"/>
    <x v="1"/>
    <s v="Canada"/>
    <s v="Toronto"/>
    <s v="Americas &gt; Canada &gt; Toronto"/>
    <s v="Corporate"/>
    <s v="Online"/>
    <s v="Online"/>
    <x v="0"/>
    <s v="Printers"/>
    <s v="Low"/>
    <s v="PRN-8008"/>
    <n v="247.07"/>
    <n v="495.19"/>
    <n v="495.19"/>
    <x v="74"/>
    <s v="OK"/>
    <n v="2.8000000000000001E-2"/>
    <n v="4"/>
    <n v="1925.29872"/>
    <n v="988.28"/>
    <n v="937.01872000000003"/>
    <n v="0.48668744764968214"/>
    <d v="2023-01-02T00:00:00"/>
    <s v="Jan-2023"/>
    <n v="0"/>
    <n v="0"/>
    <n v="0"/>
  </r>
  <r>
    <s v="ORD-2024-886939"/>
    <d v="2024-06-03T00:00:00"/>
    <s v="Jun-2024"/>
    <s v="2024-Q2"/>
    <d v="2024-06-24T00:00:00"/>
    <n v="21"/>
    <s v="ACHIEVED"/>
    <x v="1"/>
    <s v="Canada"/>
    <s v="Toronto"/>
    <s v="Americas &gt; Canada &gt; Toronto"/>
    <s v="Small Business"/>
    <s v="Direct"/>
    <s v="Direct"/>
    <x v="4"/>
    <s v="Monitors"/>
    <s v="High"/>
    <s v="MON-5386"/>
    <n v="1205.5"/>
    <n v="2210.17"/>
    <n v="2210.17"/>
    <x v="75"/>
    <s v="OK"/>
    <n v="0.104"/>
    <n v="23"/>
    <n v="45547.183360000003"/>
    <n v="27726.5"/>
    <n v="17820.683360000003"/>
    <n v="0.39125763758314652"/>
    <d v="2023-01-02T00:00:00"/>
    <s v="Jan-2023"/>
    <n v="0"/>
    <n v="0"/>
    <n v="0"/>
  </r>
  <r>
    <s v="ORD-2024-257550"/>
    <d v="2024-12-27T00:00:00"/>
    <s v="Dec-2024"/>
    <s v="2024-Q4"/>
    <d v="2024-12-29T00:00:00"/>
    <n v="2"/>
    <s v="NOT ACHIEVED"/>
    <x v="1"/>
    <s v="Canada"/>
    <s v="Vancouver"/>
    <s v="Americas &gt; Canada &gt; Vancouver"/>
    <s v="Enterprise"/>
    <s v="Marketplace"/>
    <s v="Marketplace"/>
    <x v="0"/>
    <s v="Accessories"/>
    <s v="High"/>
    <s v="ACC-8620"/>
    <n v="1146.72"/>
    <n v="2074.34"/>
    <n v="2074.34"/>
    <x v="40"/>
    <s v="OK"/>
    <n v="0.111"/>
    <n v="8"/>
    <n v="14752.706080000002"/>
    <n v="9173.76"/>
    <n v="5578.9460800000015"/>
    <n v="0.37816425337472737"/>
    <d v="2023-01-02T00:00:00"/>
    <s v="Jan-2023"/>
    <n v="0"/>
    <n v="0"/>
    <n v="0"/>
  </r>
  <r>
    <s v="ORD-2024-371409"/>
    <d v="2024-11-17T00:00:00"/>
    <s v="Nov-2024"/>
    <s v="2024-Q4"/>
    <d v="2024-11-28T00:00:00"/>
    <n v="11"/>
    <s v="ACHIEVED"/>
    <x v="1"/>
    <s v="Canada"/>
    <s v="Unkown"/>
    <s v="Americas &gt; Canada &gt; Unkown"/>
    <s v="Consumer"/>
    <s v="Distributor"/>
    <s v="Distributor"/>
    <x v="1"/>
    <s v="Printers"/>
    <s v="High"/>
    <s v="PRN-1371"/>
    <n v="1008.16"/>
    <n v="2077.5"/>
    <n v="2077.5"/>
    <x v="76"/>
    <s v="OK"/>
    <n v="7.3999999999999996E-2"/>
    <n v="15"/>
    <n v="28856.475000000002"/>
    <n v="15122.4"/>
    <n v="13734.075000000003"/>
    <n v="0.47594430712691005"/>
    <d v="2023-01-02T00:00:00"/>
    <s v="Jan-2023"/>
    <n v="0"/>
    <n v="0"/>
    <n v="0"/>
  </r>
  <r>
    <s v="ORD-2023-488227"/>
    <d v="2023-09-08T00:00:00"/>
    <s v="Sep-2023"/>
    <s v="2023-Q3"/>
    <d v="2023-10-02T00:00:00"/>
    <n v="24"/>
    <s v="ACHIEVED"/>
    <x v="1"/>
    <s v="Canada"/>
    <s v="Toronto"/>
    <s v="Americas &gt; Canada &gt; Toronto"/>
    <s v="Education"/>
    <s v="Direct"/>
    <s v="Direct"/>
    <x v="1"/>
    <s v="Accessories"/>
    <s v="High"/>
    <s v="ACC-3415"/>
    <n v="1299.03"/>
    <n v="2451.2199999999998"/>
    <n v="2451.2199999999998"/>
    <x v="77"/>
    <s v="OK"/>
    <n v="0.20799999999999999"/>
    <n v="8"/>
    <n v="15530.929919999999"/>
    <n v="10392.24"/>
    <n v="5138.6899199999989"/>
    <n v="0.3308681416032041"/>
    <d v="2023-01-02T00:00:00"/>
    <s v="Jan-2023"/>
    <n v="0"/>
    <n v="0"/>
    <n v="0"/>
  </r>
  <r>
    <s v="ORD-2025-874124"/>
    <d v="2025-05-14T00:00:00"/>
    <s v="May-2025"/>
    <s v="2025-Q2"/>
    <d v="2025-05-19T00:00:00"/>
    <n v="5"/>
    <s v="NOT ACHIEVED"/>
    <x v="1"/>
    <s v="Canada"/>
    <s v="Vancouver"/>
    <s v="Americas &gt; Canada &gt; Vancouver"/>
    <s v="Non-Profit"/>
    <s v="Distributor"/>
    <s v="Distributor"/>
    <x v="8"/>
    <s v="Printers"/>
    <s v="High"/>
    <s v="PRN-2407"/>
    <n v="883.5"/>
    <n v="1978.91"/>
    <n v="1978.91"/>
    <x v="78"/>
    <s v="OK"/>
    <n v="5.3999999999999999E-2"/>
    <n v="27"/>
    <n v="50545.319219999998"/>
    <n v="23854.5"/>
    <n v="26690.819219999998"/>
    <n v="0.52805718970390547"/>
    <d v="2023-01-02T00:00:00"/>
    <s v="Jan-2023"/>
    <n v="0"/>
    <n v="0"/>
    <n v="0"/>
  </r>
  <r>
    <s v="ORD-2023-356427"/>
    <d v="2023-04-13T00:00:00"/>
    <s v="Apr-2023"/>
    <s v="2023-Q2"/>
    <d v="2023-05-02T00:00:00"/>
    <n v="19"/>
    <s v="ACHIEVED"/>
    <x v="1"/>
    <s v="Canada"/>
    <s v="Montreal"/>
    <s v="Americas &gt; Canada &gt; Montreal"/>
    <s v="Consumer"/>
    <s v="Distributor"/>
    <s v="Distributor"/>
    <x v="11"/>
    <s v="Monitors"/>
    <s v="High"/>
    <s v="MON-6053"/>
    <n v="671.05"/>
    <n v="1645.48"/>
    <n v="1645.48"/>
    <x v="79"/>
    <s v="OK"/>
    <n v="0.13700000000000001"/>
    <n v="6"/>
    <n v="8520.2954399999999"/>
    <n v="4026.2999999999997"/>
    <n v="4493.9954400000006"/>
    <n v="0.52744596377517172"/>
    <d v="2023-01-02T00:00:00"/>
    <s v="Jan-2023"/>
    <n v="0"/>
    <n v="0"/>
    <n v="0"/>
  </r>
  <r>
    <s v="ORD-2024-355095"/>
    <d v="2024-01-02T00:00:00"/>
    <s v="Jan-2024"/>
    <s v="2024-Q1"/>
    <d v="2024-01-02T00:00:00"/>
    <n v="0"/>
    <s v="NOT ACHIEVED"/>
    <x v="1"/>
    <s v="Canada"/>
    <s v="Vancouver"/>
    <s v="Americas &gt; Canada &gt; Vancouver"/>
    <s v="Education"/>
    <s v="Direct"/>
    <s v="Direct"/>
    <x v="1"/>
    <s v="Laptops"/>
    <s v="Low"/>
    <s v="LAP-3581"/>
    <n v="444.41"/>
    <n v="754.24"/>
    <n v="754.24"/>
    <x v="80"/>
    <s v="OK"/>
    <n v="0.20699999999999999"/>
    <n v="32"/>
    <n v="19139.594240000002"/>
    <n v="14221.12"/>
    <n v="4918.4742400000014"/>
    <n v="0.25697902360546598"/>
    <d v="2023-01-02T00:00:00"/>
    <s v="Jan-2023"/>
    <n v="0"/>
    <n v="0"/>
    <n v="0"/>
  </r>
  <r>
    <s v="ORD-2023-126505"/>
    <d v="2023-12-19T00:00:00"/>
    <s v="Dec-2023"/>
    <s v="2023-Q4"/>
    <d v="2024-01-01T00:00:00"/>
    <n v="13"/>
    <s v="ACHIEVED"/>
    <x v="1"/>
    <s v="Canada"/>
    <s v="Toronto"/>
    <s v="Americas &gt; Canada &gt; Toronto"/>
    <s v="Enterprise"/>
    <s v="Retail"/>
    <s v="Retail"/>
    <x v="3"/>
    <s v="Monitors"/>
    <s v="Medium"/>
    <s v="MON-6065"/>
    <n v="856.1"/>
    <n v="901.48"/>
    <n v="901.48"/>
    <x v="60"/>
    <s v="OK"/>
    <n v="5.6000000000000001E-2"/>
    <n v="17"/>
    <n v="14466.95104"/>
    <n v="14553.7"/>
    <n v="-86.748960000000807"/>
    <n v="-5.9963540182134192E-3"/>
    <d v="2023-01-02T00:00:00"/>
    <s v="Jan-2023"/>
    <n v="0"/>
    <n v="0"/>
    <n v="0"/>
  </r>
  <r>
    <s v="ORD-2025-281413"/>
    <d v="2025-08-03T00:00:00"/>
    <s v="Aug-2025"/>
    <s v="2025-Q3"/>
    <d v="2025-08-16T00:00:00"/>
    <n v="13"/>
    <s v="ACHIEVED"/>
    <x v="1"/>
    <s v="Canada"/>
    <s v="Montreal"/>
    <s v="Americas &gt; Canada &gt; Montreal"/>
    <s v="Enterprise"/>
    <s v="Distributor"/>
    <s v="Distributor"/>
    <x v="7"/>
    <s v="Networking"/>
    <s v="Medium"/>
    <s v="NET-3785"/>
    <n v="698.66"/>
    <n v="868.62"/>
    <n v="868.62"/>
    <x v="12"/>
    <s v="OK"/>
    <n v="7.1999999999999995E-2"/>
    <n v="15"/>
    <n v="12091.190399999999"/>
    <n v="10479.9"/>
    <n v="1611.2903999999999"/>
    <n v="0.13326151906432637"/>
    <d v="2023-01-02T00:00:00"/>
    <s v="Jan-2023"/>
    <n v="0"/>
    <n v="0"/>
    <n v="0"/>
  </r>
  <r>
    <s v="ORD-2023-713614"/>
    <d v="2023-08-02T00:00:00"/>
    <s v="Aug-2023"/>
    <s v="2023-Q3"/>
    <d v="2023-08-19T00:00:00"/>
    <n v="17"/>
    <s v="ACHIEVED"/>
    <x v="1"/>
    <s v="Canada"/>
    <s v="Vancouver"/>
    <s v="Americas &gt; Canada &gt; Vancouver"/>
    <s v="Corporate"/>
    <s v="Online"/>
    <s v="Online"/>
    <x v="8"/>
    <s v="Networking"/>
    <s v="Low"/>
    <s v="NET-3689"/>
    <n v="175.38"/>
    <n v="347.9"/>
    <n v="347.9"/>
    <x v="12"/>
    <s v="OK"/>
    <n v="7.1999999999999995E-2"/>
    <n v="43"/>
    <n v="13882.6016"/>
    <n v="7541.34"/>
    <n v="6341.2615999999998"/>
    <n v="0.45677761148169804"/>
    <d v="2023-01-02T00:00:00"/>
    <s v="Jan-2023"/>
    <n v="0"/>
    <n v="0"/>
    <n v="0"/>
  </r>
  <r>
    <s v="ORD-2025-705398"/>
    <d v="2025-02-17T00:00:00"/>
    <s v="Feb-2025"/>
    <s v="2025-Q1"/>
    <d v="2025-02-22T00:00:00"/>
    <n v="5"/>
    <s v="NOT ACHIEVED"/>
    <x v="1"/>
    <s v="Canada"/>
    <s v="Toronto"/>
    <s v="Americas &gt; Canada &gt; Toronto"/>
    <s v="Small Business"/>
    <s v="Retail"/>
    <s v="Retail"/>
    <x v="14"/>
    <s v="Components"/>
    <s v="High"/>
    <s v="CMP-5065"/>
    <n v="1133.47"/>
    <n v="1698.75"/>
    <n v="1698.75"/>
    <x v="56"/>
    <s v="OK"/>
    <n v="4.2999999999999997E-2"/>
    <n v="5"/>
    <n v="8128.5187499999993"/>
    <n v="5667.35"/>
    <n v="2461.1687499999989"/>
    <n v="0.30278194904821976"/>
    <d v="2023-01-02T00:00:00"/>
    <s v="Jan-2023"/>
    <n v="0"/>
    <n v="0"/>
    <n v="0"/>
  </r>
  <r>
    <s v="ORD-2024-550400"/>
    <d v="2024-08-19T00:00:00"/>
    <s v="Aug-2024"/>
    <s v="2024-Q3"/>
    <d v="2024-09-02T00:00:00"/>
    <n v="14"/>
    <s v="ACHIEVED"/>
    <x v="1"/>
    <s v="Canada"/>
    <s v="Toronto"/>
    <s v="Americas &gt; Canada &gt; Toronto"/>
    <s v="Consumer"/>
    <s v="Distributor"/>
    <s v="Distributor"/>
    <x v="0"/>
    <s v="Printers"/>
    <s v="Medium"/>
    <s v="PRN-9793"/>
    <n v="1337.01"/>
    <n v="1269.78"/>
    <n v="1269.78"/>
    <x v="81"/>
    <s v="OK"/>
    <n v="0.16"/>
    <n v="7"/>
    <n v="7466.3063999999986"/>
    <n v="9359.07"/>
    <n v="-1892.7636000000011"/>
    <n v="-0.25350735672996244"/>
    <d v="2023-01-02T00:00:00"/>
    <s v="Jan-2023"/>
    <n v="0"/>
    <n v="0"/>
    <n v="0"/>
  </r>
  <r>
    <s v="ORD-2023-921939"/>
    <d v="2023-06-23T00:00:00"/>
    <s v="Jun-2023"/>
    <s v="2023-Q2"/>
    <d v="2023-07-18T00:00:00"/>
    <n v="25"/>
    <s v="ACHIEVED"/>
    <x v="1"/>
    <s v="Canada"/>
    <s v="Vancouver"/>
    <s v="Americas &gt; Canada &gt; Vancouver"/>
    <s v="Enterprise"/>
    <s v="Online"/>
    <s v="Online"/>
    <x v="5"/>
    <s v="Phones"/>
    <s v="Medium"/>
    <s v="PHN-4677"/>
    <n v="807.02"/>
    <n v="1435.54"/>
    <n v="1435.54"/>
    <x v="3"/>
    <s v="OK"/>
    <n v="0"/>
    <n v="23"/>
    <n v="33017.42"/>
    <n v="18561.46"/>
    <n v="14455.96"/>
    <n v="0.43782827368098415"/>
    <d v="2023-01-02T00:00:00"/>
    <s v="Jan-2023"/>
    <n v="0"/>
    <n v="0"/>
    <n v="0"/>
  </r>
  <r>
    <s v="ORD-2023-867836"/>
    <d v="2023-05-11T00:00:00"/>
    <s v="May-2023"/>
    <s v="2023-Q2"/>
    <d v="2023-05-28T00:00:00"/>
    <n v="17"/>
    <s v="ACHIEVED"/>
    <x v="2"/>
    <s v="China"/>
    <s v="Shenzhen"/>
    <s v="Asia &gt; China &gt; Shenzhen"/>
    <s v="Enterprise"/>
    <s v="Marketplace"/>
    <s v="Marketplace"/>
    <x v="11"/>
    <s v="Networking"/>
    <s v="High"/>
    <s v="NET-3255"/>
    <n v="1331.19"/>
    <n v="2903.09"/>
    <n v="2903.09"/>
    <x v="82"/>
    <s v="OK"/>
    <n v="0.14299999999999999"/>
    <n v="8"/>
    <n v="19903.585040000002"/>
    <n v="10649.52"/>
    <n v="9254.0650400000013"/>
    <n v="0.46494463290920784"/>
    <d v="2023-01-02T00:00:00"/>
    <s v="Jan-2023"/>
    <n v="0"/>
    <n v="0"/>
    <n v="0"/>
  </r>
  <r>
    <s v="ORD-2025-718992"/>
    <d v="2025-06-24T00:00:00"/>
    <s v="Jun-2025"/>
    <s v="2025-Q2"/>
    <d v="2025-07-10T00:00:00"/>
    <n v="16"/>
    <s v="ACHIEVED"/>
    <x v="2"/>
    <s v="China"/>
    <s v="Shanghai"/>
    <s v="Asia &gt; China &gt; Shanghai"/>
    <s v="Enterprise"/>
    <s v="Direct"/>
    <s v="Direct"/>
    <x v="5"/>
    <s v="Components"/>
    <s v="High"/>
    <s v="CMP-8390"/>
    <n v="757.19"/>
    <n v="1735.41"/>
    <n v="1735.41"/>
    <x v="83"/>
    <s v="OK"/>
    <n v="0.13600000000000001"/>
    <n v="8"/>
    <n v="11995.153920000001"/>
    <n v="6057.52"/>
    <n v="5937.6339200000002"/>
    <n v="0.4950027285685718"/>
    <d v="2023-01-02T00:00:00"/>
    <s v="Jan-2023"/>
    <n v="0"/>
    <n v="0"/>
    <n v="0"/>
  </r>
  <r>
    <s v="ORD-2023-809913"/>
    <d v="2023-04-21T00:00:00"/>
    <s v="Apr-2023"/>
    <s v="2023-Q2"/>
    <d v="2023-05-10T00:00:00"/>
    <n v="19"/>
    <s v="ACHIEVED"/>
    <x v="2"/>
    <s v="China"/>
    <s v="Shanghai"/>
    <s v="Asia &gt; China &gt; Shanghai"/>
    <s v="Corporate"/>
    <s v="Retail"/>
    <s v="Retail"/>
    <x v="1"/>
    <s v="Components"/>
    <s v="High"/>
    <s v="CMP-7371"/>
    <n v="882.33"/>
    <n v="1880.15"/>
    <n v="1880.15"/>
    <x v="84"/>
    <s v="OK"/>
    <n v="0.05"/>
    <n v="5"/>
    <n v="8930.7124999999996"/>
    <n v="4411.6500000000005"/>
    <n v="4519.0624999999991"/>
    <n v="0.50601365792482955"/>
    <d v="2023-01-02T00:00:00"/>
    <s v="Jan-2023"/>
    <n v="0"/>
    <n v="0"/>
    <n v="0"/>
  </r>
  <r>
    <s v="ORD-2024-800947"/>
    <d v="2024-12-15T00:00:00"/>
    <s v="Dec-2024"/>
    <s v="2024-Q4"/>
    <d v="2024-12-20T00:00:00"/>
    <n v="5"/>
    <s v="NOT ACHIEVED"/>
    <x v="2"/>
    <s v="China"/>
    <s v="Shenzhen"/>
    <s v="Asia &gt; China &gt; Shenzhen"/>
    <s v="Small Business"/>
    <s v="Direct"/>
    <s v="Direct"/>
    <x v="2"/>
    <s v="Networking"/>
    <s v="Low"/>
    <s v="NET-1846"/>
    <n v="717.55"/>
    <n v="546.42999999999995"/>
    <n v="546.42999999999995"/>
    <x v="85"/>
    <s v="OK"/>
    <n v="4.7E-2"/>
    <n v="18"/>
    <n v="9373.460219999999"/>
    <n v="12915.9"/>
    <n v="-3542.4397800000006"/>
    <n v="-0.37792231437026369"/>
    <d v="2023-01-02T00:00:00"/>
    <s v="Jan-2023"/>
    <n v="0"/>
    <n v="0"/>
    <n v="0"/>
  </r>
  <r>
    <s v="ORD-2024-594592"/>
    <d v="2024-04-06T00:00:00"/>
    <s v="Apr-2024"/>
    <s v="2024-Q2"/>
    <d v="2024-04-25T00:00:00"/>
    <n v="19"/>
    <s v="ACHIEVED"/>
    <x v="2"/>
    <s v="China"/>
    <s v="Shanghai"/>
    <s v="Asia &gt; China &gt; Shanghai"/>
    <s v="Corporate"/>
    <s v="Retail"/>
    <s v="Retail"/>
    <x v="3"/>
    <s v="Components"/>
    <s v="High"/>
    <s v="CMP-8196"/>
    <n v="1366.48"/>
    <n v="1678.14"/>
    <n v="1678.14"/>
    <x v="86"/>
    <s v="OK"/>
    <n v="0.154"/>
    <n v="10"/>
    <n v="14197.064400000001"/>
    <n v="13664.8"/>
    <n v="532.26440000000184"/>
    <n v="3.7491159087790132E-2"/>
    <d v="2023-01-02T00:00:00"/>
    <s v="Jan-2023"/>
    <n v="0"/>
    <n v="0"/>
    <n v="0"/>
  </r>
  <r>
    <s v="ORD-2025-541501"/>
    <d v="2025-07-22T00:00:00"/>
    <s v="Jul-2025"/>
    <s v="2025-Q3"/>
    <d v="2025-08-18T00:00:00"/>
    <n v="27"/>
    <s v="ACHIEVED"/>
    <x v="2"/>
    <s v="China"/>
    <s v="Shenzhen"/>
    <s v="Asia &gt; China &gt; Shenzhen"/>
    <s v="Non-Profit"/>
    <s v="Marketplace"/>
    <s v="Marketplace"/>
    <x v="13"/>
    <s v="Networking"/>
    <s v="Low"/>
    <s v="NET-1804"/>
    <n v="547.32000000000005"/>
    <n v="419.17"/>
    <n v="419.17"/>
    <x v="87"/>
    <s v="OK"/>
    <n v="9.1999999999999998E-2"/>
    <n v="14"/>
    <n v="5328.4890400000004"/>
    <n v="7662.4800000000005"/>
    <n v="-2333.9909600000001"/>
    <n v="-0.43802116181137907"/>
    <d v="2023-01-02T00:00:00"/>
    <s v="Jan-2023"/>
    <n v="0"/>
    <n v="0"/>
    <n v="0"/>
  </r>
  <r>
    <s v="ORD-2025-328504"/>
    <d v="2025-01-27T00:00:00"/>
    <s v="Jan-2025"/>
    <s v="2025-Q1"/>
    <d v="2025-02-15T00:00:00"/>
    <n v="19"/>
    <s v="ACHIEVED"/>
    <x v="2"/>
    <s v="China"/>
    <s v="Shenzhen"/>
    <s v="Asia &gt; China &gt; Shenzhen"/>
    <s v="Non-Profit"/>
    <s v="Direct"/>
    <s v="Direct"/>
    <x v="10"/>
    <s v="Phones"/>
    <s v="High"/>
    <s v="PHN-8368"/>
    <n v="1253.22"/>
    <n v="3104.71"/>
    <n v="3104.71"/>
    <x v="3"/>
    <s v="OK"/>
    <n v="0"/>
    <n v="17"/>
    <n v="52780.07"/>
    <n v="21304.74"/>
    <n v="31475.329999999998"/>
    <n v="0.59634877331538205"/>
    <d v="2023-01-02T00:00:00"/>
    <s v="Jan-2023"/>
    <n v="0"/>
    <n v="0"/>
    <n v="0"/>
  </r>
  <r>
    <s v="ORD-2024-771210"/>
    <d v="2024-09-14T00:00:00"/>
    <s v="Sep-2024"/>
    <s v="2024-Q3"/>
    <d v="2024-10-05T00:00:00"/>
    <n v="21"/>
    <s v="ACHIEVED"/>
    <x v="2"/>
    <s v="China"/>
    <s v="Shanghai"/>
    <s v="Asia &gt; China &gt; Shanghai"/>
    <s v="Small Business"/>
    <s v="Online"/>
    <s v="Online"/>
    <x v="15"/>
    <s v="Laptops"/>
    <s v="High"/>
    <s v="LAP-5150"/>
    <n v="1405.56"/>
    <n v="2968.87"/>
    <n v="2968.87"/>
    <x v="68"/>
    <s v="OK"/>
    <n v="0.16900000000000001"/>
    <n v="5"/>
    <n v="12335.654849999999"/>
    <n v="7027.7999999999993"/>
    <n v="5307.8548499999997"/>
    <n v="0.4302856163327235"/>
    <d v="2023-01-02T00:00:00"/>
    <s v="Jan-2023"/>
    <n v="0"/>
    <n v="0"/>
    <n v="0"/>
  </r>
  <r>
    <s v="ORD-2024-909942"/>
    <d v="2024-06-09T00:00:00"/>
    <s v="Jun-2024"/>
    <s v="2024-Q2"/>
    <d v="2024-07-07T00:00:00"/>
    <n v="28"/>
    <s v="ACHIEVED"/>
    <x v="2"/>
    <s v="China"/>
    <s v="Shenzhen"/>
    <s v="Asia &gt; China &gt; Shenzhen"/>
    <s v="Corporate"/>
    <s v="Online"/>
    <s v="Online"/>
    <x v="2"/>
    <s v="Components"/>
    <s v="Medium"/>
    <s v="CMP-6392"/>
    <n v="550.22"/>
    <n v="1025.05"/>
    <n v="1025.05"/>
    <x v="3"/>
    <s v="OK"/>
    <n v="0"/>
    <n v="27"/>
    <n v="27676.35"/>
    <n v="14855.94"/>
    <n v="12820.409999999998"/>
    <n v="0.46322618408858102"/>
    <d v="2023-01-02T00:00:00"/>
    <s v="Jan-2023"/>
    <n v="0"/>
    <n v="0"/>
    <n v="0"/>
  </r>
  <r>
    <s v="ORD-2023-427304"/>
    <d v="2023-06-09T00:00:00"/>
    <s v="Jun-2023"/>
    <s v="2023-Q2"/>
    <d v="2023-06-19T00:00:00"/>
    <n v="10"/>
    <s v="ACHIEVED"/>
    <x v="2"/>
    <s v="China"/>
    <s v="Beijing"/>
    <s v="Asia &gt; China &gt; Beijing"/>
    <s v="Enterprise"/>
    <s v="Retail"/>
    <s v="Retail"/>
    <x v="8"/>
    <s v="Monitors"/>
    <s v="Low"/>
    <s v="MON-9194"/>
    <n v="339.61"/>
    <n v="621.02"/>
    <n v="621.02"/>
    <x v="88"/>
    <s v="OK"/>
    <n v="7.0999999999999994E-2"/>
    <n v="10"/>
    <n v="5769.2758000000003"/>
    <n v="3396.1000000000004"/>
    <n v="2373.1758"/>
    <n v="0.41134726129750981"/>
    <d v="2023-01-02T00:00:00"/>
    <s v="Jan-2023"/>
    <n v="0"/>
    <n v="0"/>
    <n v="0"/>
  </r>
  <r>
    <s v="ORD-2023-883066"/>
    <d v="2023-08-12T00:00:00"/>
    <s v="Aug-2023"/>
    <s v="2023-Q3"/>
    <d v="2023-09-06T00:00:00"/>
    <n v="25"/>
    <s v="ACHIEVED"/>
    <x v="2"/>
    <s v="China"/>
    <s v="Shanghai"/>
    <s v="Asia &gt; China &gt; Shanghai"/>
    <s v="Small Business"/>
    <s v="Retail"/>
    <s v="Retail"/>
    <x v="6"/>
    <s v="Components"/>
    <s v="Low"/>
    <s v="CMP-6352"/>
    <n v="950.77"/>
    <n v="694.78"/>
    <n v="694.78"/>
    <x v="89"/>
    <s v="OK"/>
    <n v="8.4000000000000005E-2"/>
    <n v="14"/>
    <n v="8909.8587200000002"/>
    <n v="13310.779999999999"/>
    <n v="-4400.9212799999987"/>
    <n v="-0.49393839097821279"/>
    <d v="2023-01-02T00:00:00"/>
    <s v="Jan-2023"/>
    <n v="0"/>
    <n v="0"/>
    <n v="0"/>
  </r>
  <r>
    <s v="ORD-2025-354346"/>
    <d v="2025-01-09T00:00:00"/>
    <s v="Jan-2025"/>
    <s v="2025-Q1"/>
    <d v="2025-01-15T00:00:00"/>
    <n v="6"/>
    <s v="NOT ACHIEVED"/>
    <x v="2"/>
    <s v="China"/>
    <s v="Beijing"/>
    <s v="Asia &gt; China &gt; Beijing"/>
    <s v="Education"/>
    <s v="Online"/>
    <s v="Online"/>
    <x v="0"/>
    <s v="Phones"/>
    <s v="Low"/>
    <s v="PHN-2875"/>
    <n v="304.77999999999997"/>
    <n v="537.27"/>
    <n v="537.27"/>
    <x v="90"/>
    <s v="OK"/>
    <n v="0.187"/>
    <n v="8"/>
    <n v="3494.4040799999998"/>
    <n v="2438.2399999999998"/>
    <n v="1056.16408"/>
    <n v="0.3022444044307549"/>
    <d v="2023-01-02T00:00:00"/>
    <s v="Jan-2023"/>
    <n v="0"/>
    <n v="0"/>
    <n v="0"/>
  </r>
  <r>
    <s v="ORD-2024-836421"/>
    <d v="2024-12-14T00:00:00"/>
    <s v="Dec-2024"/>
    <s v="2024-Q4"/>
    <d v="2025-01-12T00:00:00"/>
    <n v="29"/>
    <s v="ACHIEVED"/>
    <x v="2"/>
    <s v="China"/>
    <s v="Shenzhen"/>
    <s v="Asia &gt; China &gt; Shenzhen"/>
    <s v="Education"/>
    <s v="Online"/>
    <s v="Online"/>
    <x v="2"/>
    <s v="Components"/>
    <s v="High"/>
    <s v="CMP-3720"/>
    <n v="1412.15"/>
    <n v="1631.04"/>
    <n v="1631.04"/>
    <x v="91"/>
    <s v="OK"/>
    <n v="8.9999999999999993E-3"/>
    <n v="6"/>
    <n v="9698.1638399999993"/>
    <n v="8472.9000000000015"/>
    <n v="1225.2638399999978"/>
    <n v="0.12633977526203535"/>
    <d v="2023-01-02T00:00:00"/>
    <s v="Jan-2023"/>
    <n v="0"/>
    <n v="0"/>
    <n v="0"/>
  </r>
  <r>
    <s v="ORD-2024-232632"/>
    <d v="2024-02-14T00:00:00"/>
    <s v="Feb-2024"/>
    <s v="2024-Q1"/>
    <d v="2024-02-14T00:00:00"/>
    <n v="0"/>
    <s v="NOT ACHIEVED"/>
    <x v="2"/>
    <s v="China"/>
    <s v="Beijing"/>
    <s v="Asia &gt; China &gt; Beijing"/>
    <s v="Corporate"/>
    <s v="Distributor"/>
    <s v="Distributor"/>
    <x v="10"/>
    <s v="Accessories"/>
    <s v="Low"/>
    <s v="ACC-1021"/>
    <n v="65.930000000000007"/>
    <n v="84.9"/>
    <n v="84.9"/>
    <x v="92"/>
    <s v="OK"/>
    <n v="0.25900000000000001"/>
    <n v="23"/>
    <n v="1446.9507000000001"/>
    <n v="1516.39"/>
    <n v="-69.439300000000003"/>
    <n v="-4.7990093926489688E-2"/>
    <d v="2023-01-02T00:00:00"/>
    <s v="Jan-2023"/>
    <n v="0"/>
    <n v="0"/>
    <n v="0"/>
  </r>
  <r>
    <s v="ORD-2025-418232"/>
    <d v="2025-08-01T00:00:00"/>
    <s v="Aug-2025"/>
    <s v="2025-Q3"/>
    <d v="2025-08-21T00:00:00"/>
    <n v="20"/>
    <s v="ACHIEVED"/>
    <x v="2"/>
    <s v="China"/>
    <s v="Shanghai"/>
    <s v="Asia &gt; China &gt; Shanghai"/>
    <s v="Corporate"/>
    <s v="Direct"/>
    <s v="Direct"/>
    <x v="12"/>
    <s v="Phones"/>
    <s v="High"/>
    <s v="PHN-9234"/>
    <n v="1220.4100000000001"/>
    <n v="2552.2199999999998"/>
    <n v="2552.2199999999998"/>
    <x v="93"/>
    <s v="OK"/>
    <n v="0.18099999999999999"/>
    <n v="14"/>
    <n v="29263.754519999995"/>
    <n v="17085.740000000002"/>
    <n v="12178.014519999993"/>
    <n v="0.41614668793360271"/>
    <d v="2023-01-02T00:00:00"/>
    <s v="Jan-2023"/>
    <n v="0"/>
    <n v="0"/>
    <n v="0"/>
  </r>
  <r>
    <s v="ORD-2024-357368"/>
    <d v="2024-10-30T00:00:00"/>
    <s v="Oct-2024"/>
    <s v="2024-Q4"/>
    <d v="2024-11-24T00:00:00"/>
    <n v="25"/>
    <s v="ACHIEVED"/>
    <x v="2"/>
    <s v="China"/>
    <s v="Shenzhen"/>
    <s v="Asia &gt; China &gt; Shenzhen"/>
    <s v="Small Business"/>
    <s v="Online"/>
    <s v="Online"/>
    <x v="11"/>
    <s v="Components"/>
    <s v="Medium"/>
    <s v="CMP-4610"/>
    <n v="811.05"/>
    <n v="1217.71"/>
    <n v="1217.71"/>
    <x v="12"/>
    <s v="OK"/>
    <n v="7.1999999999999995E-2"/>
    <n v="5"/>
    <n v="5650.1744000000008"/>
    <n v="4055.25"/>
    <n v="1594.9244000000008"/>
    <n v="0.28227879125288602"/>
    <d v="2023-01-02T00:00:00"/>
    <s v="Jan-2023"/>
    <n v="0"/>
    <n v="0"/>
    <n v="0"/>
  </r>
  <r>
    <s v="ORD-2024-134084"/>
    <d v="2024-06-04T00:00:00"/>
    <s v="Jun-2024"/>
    <s v="2024-Q2"/>
    <d v="2024-06-16T00:00:00"/>
    <n v="12"/>
    <s v="ACHIEVED"/>
    <x v="2"/>
    <s v="China"/>
    <s v="Shanghai"/>
    <s v="Asia &gt; China &gt; Shanghai"/>
    <s v="Corporate"/>
    <s v="Retail"/>
    <s v="Retail"/>
    <x v="2"/>
    <s v="Printers"/>
    <s v="Medium"/>
    <s v="PRN-4097"/>
    <n v="918.42"/>
    <n v="1511.71"/>
    <n v="1511.71"/>
    <x v="94"/>
    <s v="OK"/>
    <n v="0.02"/>
    <n v="8"/>
    <n v="11851.806399999999"/>
    <n v="7347.36"/>
    <n v="4504.4463999999998"/>
    <n v="0.38006412254590999"/>
    <d v="2023-01-02T00:00:00"/>
    <s v="Jan-2023"/>
    <n v="0"/>
    <n v="0"/>
    <n v="0"/>
  </r>
  <r>
    <s v="ORD-2023-157993"/>
    <d v="2023-04-18T00:00:00"/>
    <s v="Apr-2023"/>
    <s v="2023-Q2"/>
    <d v="2023-05-18T00:00:00"/>
    <n v="30"/>
    <s v="ACHIEVED"/>
    <x v="2"/>
    <s v="China"/>
    <s v="Shenzhen"/>
    <s v="Asia &gt; China &gt; Shenzhen"/>
    <s v="Non-Profit"/>
    <s v="Retail"/>
    <s v="Retail"/>
    <x v="15"/>
    <s v="Laptops"/>
    <s v="Low"/>
    <s v="LAP-1482"/>
    <n v="329.03"/>
    <n v="391.15"/>
    <n v="391.15"/>
    <x v="95"/>
    <s v="OK"/>
    <n v="0.19700000000000001"/>
    <n v="46"/>
    <n v="14448.298699999998"/>
    <n v="15135.38"/>
    <n v="-687.08130000000165"/>
    <n v="-4.7554477815440081E-2"/>
    <d v="2023-01-02T00:00:00"/>
    <s v="Jan-2023"/>
    <n v="0"/>
    <n v="0"/>
    <n v="0"/>
  </r>
  <r>
    <s v="ORD-2025-652467"/>
    <d v="2025-08-21T00:00:00"/>
    <s v="Aug-2025"/>
    <s v="2025-Q3"/>
    <d v="2025-09-12T00:00:00"/>
    <n v="22"/>
    <s v="ACHIEVED"/>
    <x v="2"/>
    <s v="China"/>
    <s v="Shenzhen"/>
    <s v="Asia &gt; China &gt; Shenzhen"/>
    <s v="Education"/>
    <s v="Retail"/>
    <s v="Retail"/>
    <x v="6"/>
    <s v="Printers"/>
    <s v="Low"/>
    <s v="PRN-8137"/>
    <n v="352.66"/>
    <n v="411.18"/>
    <n v="411.18"/>
    <x v="96"/>
    <s v="OK"/>
    <n v="0.17299999999999999"/>
    <n v="13"/>
    <n v="4420.5961799999995"/>
    <n v="4584.58"/>
    <n v="-163.98382000000038"/>
    <n v="-3.7095408248758066E-2"/>
    <d v="2023-01-02T00:00:00"/>
    <s v="Jan-2023"/>
    <n v="0"/>
    <n v="0"/>
    <n v="0"/>
  </r>
  <r>
    <s v="ORD-2024-237478"/>
    <d v="2024-10-03T00:00:00"/>
    <s v="Oct-2024"/>
    <s v="2024-Q4"/>
    <d v="2024-10-11T00:00:00"/>
    <n v="8"/>
    <s v="ACHIEVED"/>
    <x v="2"/>
    <s v="China"/>
    <s v="Beijing"/>
    <s v="Asia &gt; China &gt; Beijing"/>
    <s v="Enterprise"/>
    <s v="Direct"/>
    <s v="Direct"/>
    <x v="6"/>
    <s v="Phones"/>
    <s v="High"/>
    <s v="PHN-7488"/>
    <n v="1132.6099999999999"/>
    <n v="2206.63"/>
    <n v="2206.63"/>
    <x v="16"/>
    <s v="OK"/>
    <n v="6.3E-2"/>
    <n v="20"/>
    <n v="41352.246200000009"/>
    <n v="22652.199999999997"/>
    <n v="18700.046200000012"/>
    <n v="0.45221355351671338"/>
    <d v="2023-01-02T00:00:00"/>
    <s v="Jan-2023"/>
    <n v="0"/>
    <n v="0"/>
    <n v="0"/>
  </r>
  <r>
    <s v="ORD-2024-760799"/>
    <d v="2024-02-03T00:00:00"/>
    <s v="Feb-2024"/>
    <s v="2024-Q1"/>
    <d v="2024-02-19T00:00:00"/>
    <n v="16"/>
    <s v="ACHIEVED"/>
    <x v="2"/>
    <s v="China"/>
    <s v="Shenzhen"/>
    <s v="Asia &gt; China &gt; Shenzhen"/>
    <s v="Small Business"/>
    <s v="Online"/>
    <s v="Online"/>
    <x v="15"/>
    <s v="Laptops"/>
    <s v="Medium"/>
    <s v="LAP-5531"/>
    <n v="993.75"/>
    <n v="1310.29"/>
    <n v="1310.29"/>
    <x v="97"/>
    <s v="OK"/>
    <n v="0.215"/>
    <n v="19"/>
    <n v="19542.975350000001"/>
    <n v="18881.25"/>
    <n v="661.72535000000062"/>
    <n v="3.3860010471742245E-2"/>
    <d v="2023-01-02T00:00:00"/>
    <s v="Jan-2023"/>
    <n v="0"/>
    <n v="0"/>
    <n v="0"/>
  </r>
  <r>
    <s v="ORD-2023-925146"/>
    <d v="2023-10-15T00:00:00"/>
    <s v="Oct-2023"/>
    <s v="2023-Q4"/>
    <d v="2023-11-13T00:00:00"/>
    <n v="29"/>
    <s v="ACHIEVED"/>
    <x v="2"/>
    <s v="China"/>
    <s v="Shenzhen"/>
    <s v="Asia &gt; China &gt; Shenzhen"/>
    <s v="Non-Profit"/>
    <s v="Distributor"/>
    <s v="Distributor"/>
    <x v="2"/>
    <s v="Printers"/>
    <s v="Low"/>
    <s v="PRN-4983"/>
    <n v="986.44"/>
    <n v="790.61"/>
    <n v="790.61"/>
    <x v="12"/>
    <s v="OK"/>
    <n v="7.1999999999999995E-2"/>
    <n v="6"/>
    <n v="4402.1164799999997"/>
    <n v="5918.64"/>
    <n v="-1516.5235200000006"/>
    <n v="-0.34449872621271499"/>
    <d v="2023-01-02T00:00:00"/>
    <s v="Jan-2023"/>
    <n v="0"/>
    <n v="0"/>
    <n v="0"/>
  </r>
  <r>
    <s v="ORD-2024-988736"/>
    <d v="2024-09-09T00:00:00"/>
    <s v="Sep-2024"/>
    <s v="2024-Q3"/>
    <d v="2024-10-01T00:00:00"/>
    <n v="22"/>
    <s v="ACHIEVED"/>
    <x v="2"/>
    <s v="China"/>
    <s v="Shenzhen"/>
    <s v="Asia &gt; China &gt; Shenzhen"/>
    <s v="Consumer"/>
    <s v="Direct"/>
    <s v="Direct"/>
    <x v="10"/>
    <s v="Printers"/>
    <s v="Medium"/>
    <s v="PRN-3014"/>
    <n v="1166.18"/>
    <n v="1335.02"/>
    <n v="1335.02"/>
    <x v="37"/>
    <s v="OK"/>
    <n v="0.128"/>
    <n v="6"/>
    <n v="6984.8246399999998"/>
    <n v="6997.08"/>
    <n v="-12.25536000000011"/>
    <n v="-1.7545694604582242E-3"/>
    <d v="2023-01-02T00:00:00"/>
    <s v="Jan-2023"/>
    <n v="0"/>
    <n v="0"/>
    <n v="0"/>
  </r>
  <r>
    <s v="ORD-2024-720756"/>
    <d v="2024-10-11T00:00:00"/>
    <s v="Oct-2024"/>
    <s v="2024-Q4"/>
    <d v="2024-11-09T00:00:00"/>
    <n v="29"/>
    <s v="ACHIEVED"/>
    <x v="2"/>
    <s v="China"/>
    <s v="Shanghai"/>
    <s v="Asia &gt; China &gt; Shanghai"/>
    <s v="Non-Profit"/>
    <s v="Online"/>
    <s v="Online"/>
    <x v="8"/>
    <s v="Printers"/>
    <s v="Low"/>
    <s v="PRN-5666"/>
    <n v="391.64"/>
    <n v="504.76"/>
    <n v="504.76"/>
    <x v="98"/>
    <s v="OK"/>
    <n v="4.0000000000000001E-3"/>
    <n v="13"/>
    <n v="6535.6324800000002"/>
    <n v="5091.32"/>
    <n v="1444.3124800000005"/>
    <n v="0.22099046793402319"/>
    <d v="2023-01-02T00:00:00"/>
    <s v="Jan-2023"/>
    <n v="0"/>
    <n v="0"/>
    <n v="0"/>
  </r>
  <r>
    <s v="ORD-2023-603650"/>
    <d v="2023-05-23T00:00:00"/>
    <s v="May-2023"/>
    <s v="2023-Q2"/>
    <d v="2023-06-10T00:00:00"/>
    <n v="18"/>
    <s v="ACHIEVED"/>
    <x v="2"/>
    <s v="China"/>
    <s v="Shanghai"/>
    <s v="Asia &gt; China &gt; Shanghai"/>
    <s v="Corporate"/>
    <s v="Distributor"/>
    <s v="Distributor"/>
    <x v="11"/>
    <s v="Components"/>
    <s v="Low"/>
    <s v="CMP-6925"/>
    <n v="54.62"/>
    <n v="48.94"/>
    <n v="48.94"/>
    <x v="99"/>
    <s v="OK"/>
    <n v="0.14799999999999999"/>
    <n v="16"/>
    <n v="667.15008"/>
    <n v="873.92"/>
    <n v="-206.76991999999996"/>
    <n v="-0.3099301434543783"/>
    <d v="2023-01-02T00:00:00"/>
    <s v="Jan-2023"/>
    <n v="0"/>
    <n v="0"/>
    <n v="0"/>
  </r>
  <r>
    <s v="ORD-2025-509940"/>
    <d v="2025-05-16T00:00:00"/>
    <s v="May-2025"/>
    <s v="2025-Q2"/>
    <d v="2025-05-27T00:00:00"/>
    <n v="11"/>
    <s v="ACHIEVED"/>
    <x v="2"/>
    <s v="China"/>
    <s v="Beijing"/>
    <s v="Asia &gt; China &gt; Beijing"/>
    <s v="Enterprise"/>
    <s v="Online"/>
    <s v="Online"/>
    <x v="8"/>
    <s v="Phones"/>
    <s v="Medium"/>
    <s v="PHN-3800"/>
    <n v="918.12"/>
    <n v="1337.69"/>
    <n v="1337.69"/>
    <x v="100"/>
    <s v="OK"/>
    <n v="9.5000000000000001E-2"/>
    <n v="8"/>
    <n v="9684.8756000000012"/>
    <n v="7344.96"/>
    <n v="2339.9156000000012"/>
    <n v="0.24160512707050164"/>
    <d v="2023-01-02T00:00:00"/>
    <s v="Jan-2023"/>
    <n v="0"/>
    <n v="0"/>
    <n v="0"/>
  </r>
  <r>
    <s v="ORD-2023-166668"/>
    <d v="2023-10-05T00:00:00"/>
    <s v="Oct-2023"/>
    <s v="2023-Q4"/>
    <d v="2023-10-31T00:00:00"/>
    <n v="26"/>
    <s v="ACHIEVED"/>
    <x v="2"/>
    <s v="China"/>
    <s v="Shanghai"/>
    <s v="Asia &gt; China &gt; Shanghai"/>
    <s v="Consumer"/>
    <n v="0"/>
    <n v="0"/>
    <x v="2"/>
    <s v="Printers"/>
    <s v="Medium"/>
    <s v="PRN-6520"/>
    <n v="649.91"/>
    <n v="1360.12"/>
    <n v="1360.12"/>
    <x v="101"/>
    <s v="OK"/>
    <n v="0.19400000000000001"/>
    <n v="9"/>
    <n v="9866.3104799999983"/>
    <n v="5849.19"/>
    <n v="4017.1204799999987"/>
    <n v="0.40715528749506769"/>
    <d v="2023-01-02T00:00:00"/>
    <s v="Jan-2023"/>
    <n v="0"/>
    <n v="0"/>
    <n v="0"/>
  </r>
  <r>
    <s v="ORD-2024-571797"/>
    <d v="2024-07-11T00:00:00"/>
    <s v="Jul-2024"/>
    <s v="2024-Q3"/>
    <d v="2024-07-31T00:00:00"/>
    <n v="20"/>
    <s v="ACHIEVED"/>
    <x v="2"/>
    <s v="China"/>
    <s v="Shenzhen"/>
    <s v="Asia &gt; China &gt; Shenzhen"/>
    <s v="Consumer"/>
    <s v="Online"/>
    <s v="Online"/>
    <x v="4"/>
    <s v="Phones"/>
    <s v="Medium"/>
    <s v="PHN-7815"/>
    <n v="647.26"/>
    <n v="1374.72"/>
    <n v="1374.72"/>
    <x v="102"/>
    <s v="OK"/>
    <n v="6.6000000000000003E-2"/>
    <n v="22"/>
    <n v="28247.74656"/>
    <n v="14239.72"/>
    <n v="14008.02656"/>
    <n v="0.49589890401508901"/>
    <d v="2023-01-02T00:00:00"/>
    <s v="Jan-2023"/>
    <n v="0"/>
    <n v="0"/>
    <n v="0"/>
  </r>
  <r>
    <s v="ORD-2024-961756"/>
    <d v="2024-11-25T00:00:00"/>
    <s v="Nov-2024"/>
    <s v="2024-Q4"/>
    <d v="2024-12-07T00:00:00"/>
    <n v="12"/>
    <s v="ACHIEVED"/>
    <x v="2"/>
    <s v="China"/>
    <s v="Shanghai"/>
    <s v="Asia &gt; China &gt; Shanghai"/>
    <s v="Corporate"/>
    <s v="Distributor"/>
    <s v="Distributor"/>
    <x v="1"/>
    <s v="Accessories"/>
    <s v="Low"/>
    <s v="ACC-7047"/>
    <n v="769.9"/>
    <n v="814.36"/>
    <n v="814.36"/>
    <x v="3"/>
    <s v="OK"/>
    <n v="0"/>
    <n v="5"/>
    <n v="4071.8"/>
    <n v="3849.5"/>
    <n v="222.30000000000018"/>
    <n v="5.4595019401738831E-2"/>
    <d v="2023-01-02T00:00:00"/>
    <s v="Jan-2023"/>
    <n v="0"/>
    <n v="0"/>
    <n v="0"/>
  </r>
  <r>
    <s v="ORD-2024-343877"/>
    <d v="2024-03-09T00:00:00"/>
    <s v="Mar-2024"/>
    <s v="2024-Q1"/>
    <d v="2024-03-26T00:00:00"/>
    <n v="17"/>
    <s v="ACHIEVED"/>
    <x v="2"/>
    <s v="China"/>
    <s v="Shenzhen"/>
    <s v="Asia &gt; China &gt; Shenzhen"/>
    <s v="Enterprise"/>
    <s v="Online"/>
    <s v="Online"/>
    <x v="3"/>
    <s v="Monitors"/>
    <s v="Medium"/>
    <s v="MON-5749"/>
    <n v="1029.67"/>
    <n v="1118.43"/>
    <n v="1118.43"/>
    <x v="103"/>
    <s v="OK"/>
    <n v="0.27200000000000002"/>
    <n v="9"/>
    <n v="7327.9533600000004"/>
    <n v="9267.0300000000007"/>
    <n v="-1939.0766400000002"/>
    <n v="-0.26461367106736061"/>
    <d v="2023-01-02T00:00:00"/>
    <s v="Jan-2023"/>
    <n v="0"/>
    <n v="0"/>
    <n v="0"/>
  </r>
  <r>
    <s v="ORD-2024-868223"/>
    <d v="2024-03-03T00:00:00"/>
    <s v="Mar-2024"/>
    <s v="2024-Q1"/>
    <d v="2024-03-19T00:00:00"/>
    <n v="16"/>
    <s v="ACHIEVED"/>
    <x v="2"/>
    <s v="China"/>
    <s v="Beijing"/>
    <s v="Asia &gt; China &gt; Beijing"/>
    <s v="Consumer"/>
    <s v="Distributor"/>
    <s v="Distributor"/>
    <x v="4"/>
    <s v="Phones"/>
    <s v="Medium"/>
    <s v="PHN-4915"/>
    <n v="988.83"/>
    <n v="1206.04"/>
    <n v="1206.04"/>
    <x v="16"/>
    <s v="OK"/>
    <n v="6.3E-2"/>
    <n v="34"/>
    <n v="38422.022320000004"/>
    <n v="33620.22"/>
    <n v="4801.8023200000025"/>
    <n v="0.12497526236406606"/>
    <d v="2023-01-02T00:00:00"/>
    <s v="Jan-2023"/>
    <n v="0"/>
    <n v="0"/>
    <n v="0"/>
  </r>
  <r>
    <s v="ORD-2025-188059"/>
    <d v="2025-06-27T00:00:00"/>
    <s v="Jun-2025"/>
    <s v="2025-Q2"/>
    <d v="2025-07-11T00:00:00"/>
    <n v="14"/>
    <s v="ACHIEVED"/>
    <x v="2"/>
    <s v="China"/>
    <s v="Shanghai"/>
    <s v="Asia &gt; China &gt; Shanghai"/>
    <s v="Small Business"/>
    <s v="Marketplace"/>
    <s v="Marketplace"/>
    <x v="10"/>
    <s v="Networking"/>
    <s v="High"/>
    <s v="NET-3535"/>
    <n v="1227.7"/>
    <n v="2197.23"/>
    <n v="2197.23"/>
    <x v="104"/>
    <s v="OK"/>
    <n v="9.9000000000000005E-2"/>
    <n v="22"/>
    <n v="43553.493060000001"/>
    <n v="27009.4"/>
    <n v="16544.093059999999"/>
    <n v="0.37985685871873898"/>
    <d v="2023-01-02T00:00:00"/>
    <s v="Jan-2023"/>
    <n v="0"/>
    <n v="0"/>
    <n v="0"/>
  </r>
  <r>
    <s v="ORD-2023-619385"/>
    <d v="2023-09-30T00:00:00"/>
    <s v="Sep-2023"/>
    <s v="2023-Q3"/>
    <d v="2023-10-03T00:00:00"/>
    <n v="3"/>
    <s v="NOT ACHIEVED"/>
    <x v="2"/>
    <s v="China"/>
    <s v="Beijing"/>
    <s v="Asia &gt; China &gt; Beijing"/>
    <s v="Non-Profit"/>
    <s v="Retail"/>
    <s v="Retail"/>
    <x v="2"/>
    <s v="Laptops"/>
    <s v="Medium"/>
    <s v="LAP-5763"/>
    <n v="1019.36"/>
    <n v="972.91"/>
    <n v="972.91"/>
    <x v="7"/>
    <s v="OK"/>
    <n v="0.14699999999999999"/>
    <n v="17"/>
    <n v="14108.16791"/>
    <n v="17329.12"/>
    <n v="-3220.9520899999989"/>
    <n v="-0.22830406545678819"/>
    <d v="2023-01-02T00:00:00"/>
    <s v="Jan-2023"/>
    <n v="0"/>
    <n v="0"/>
    <n v="0"/>
  </r>
  <r>
    <s v="ORD-2023-368449"/>
    <d v="2023-10-09T00:00:00"/>
    <s v="Oct-2023"/>
    <s v="2023-Q4"/>
    <d v="2023-10-26T00:00:00"/>
    <n v="17"/>
    <s v="ACHIEVED"/>
    <x v="2"/>
    <s v="China"/>
    <s v="Shanghai"/>
    <s v="Asia &gt; China &gt; Shanghai"/>
    <s v="Consumer"/>
    <s v="Marketplace"/>
    <s v="Marketplace"/>
    <x v="0"/>
    <s v="Components"/>
    <s v="High"/>
    <s v="CMP-2096"/>
    <n v="1132.03"/>
    <n v="2137.21"/>
    <n v="2137.21"/>
    <x v="35"/>
    <s v="OK"/>
    <n v="0.3"/>
    <n v="35"/>
    <n v="52361.645000000004"/>
    <n v="39621.049999999996"/>
    <n v="12740.595000000008"/>
    <n v="0.24331922727026639"/>
    <d v="2023-01-02T00:00:00"/>
    <s v="Jan-2023"/>
    <n v="0"/>
    <n v="0"/>
    <n v="0"/>
  </r>
  <r>
    <s v="ORD-2023-854471"/>
    <d v="2023-03-06T00:00:00"/>
    <s v="Mar-2023"/>
    <s v="2023-Q1"/>
    <d v="2023-04-04T00:00:00"/>
    <n v="29"/>
    <s v="ACHIEVED"/>
    <x v="2"/>
    <s v="China"/>
    <s v="Beijing"/>
    <s v="Asia &gt; China &gt; Beijing"/>
    <s v="Small Business"/>
    <s v="Direct"/>
    <s v="Direct"/>
    <x v="0"/>
    <s v="Monitors"/>
    <s v="High"/>
    <s v="MON-2073"/>
    <n v="1126.29"/>
    <n v="2050.87"/>
    <n v="2050.87"/>
    <x v="105"/>
    <s v="OK"/>
    <n v="6.4000000000000001E-2"/>
    <n v="7"/>
    <n v="13437.300239999999"/>
    <n v="7884.03"/>
    <n v="5553.2702399999989"/>
    <n v="0.41327276616690373"/>
    <d v="2023-01-02T00:00:00"/>
    <s v="Jan-2023"/>
    <n v="0"/>
    <n v="0"/>
    <n v="0"/>
  </r>
  <r>
    <s v="ORD-2023-674887"/>
    <d v="2023-12-16T00:00:00"/>
    <s v="Dec-2023"/>
    <s v="2023-Q4"/>
    <d v="2023-12-19T00:00:00"/>
    <n v="3"/>
    <s v="NOT ACHIEVED"/>
    <x v="2"/>
    <s v="China"/>
    <s v="Beijing"/>
    <s v="Asia &gt; China &gt; Beijing"/>
    <s v="Education"/>
    <s v="Retail"/>
    <s v="Retail"/>
    <x v="1"/>
    <s v="Accessories"/>
    <s v="High"/>
    <s v="ACC-9644"/>
    <n v="1415.05"/>
    <n v="1972.38"/>
    <n v="1972.38"/>
    <x v="3"/>
    <s v="OK"/>
    <n v="0"/>
    <n v="12"/>
    <n v="23668.560000000001"/>
    <n v="16980.599999999999"/>
    <n v="6687.9600000000028"/>
    <n v="0.28256725377462771"/>
    <d v="2023-01-02T00:00:00"/>
    <s v="Jan-2023"/>
    <n v="0"/>
    <n v="0"/>
    <n v="0"/>
  </r>
  <r>
    <s v="ORD-2025-222035"/>
    <d v="2025-03-14T00:00:00"/>
    <s v="Mar-2025"/>
    <s v="2025-Q1"/>
    <d v="2025-04-08T00:00:00"/>
    <n v="25"/>
    <s v="ACHIEVED"/>
    <x v="2"/>
    <s v="China"/>
    <s v="Unkown"/>
    <s v="Asia &gt; China &gt; Unkown"/>
    <s v="Corporate"/>
    <s v="Distributor"/>
    <s v="Distributor"/>
    <x v="14"/>
    <s v="Printers"/>
    <s v="Low"/>
    <s v="PRN-5815"/>
    <n v="80.59"/>
    <n v="157.82"/>
    <n v="157.82"/>
    <x v="106"/>
    <s v="OK"/>
    <n v="0.217"/>
    <n v="6"/>
    <n v="741.43835999999999"/>
    <n v="483.54"/>
    <n v="257.89835999999997"/>
    <n v="0.34783519967863541"/>
    <d v="2023-01-02T00:00:00"/>
    <s v="Jan-2023"/>
    <n v="0"/>
    <n v="0"/>
    <n v="0"/>
  </r>
  <r>
    <s v="ORD-2024-468655"/>
    <d v="2024-02-19T00:00:00"/>
    <s v="Feb-2024"/>
    <s v="2024-Q1"/>
    <d v="2024-03-06T00:00:00"/>
    <n v="16"/>
    <s v="ACHIEVED"/>
    <x v="2"/>
    <s v="China"/>
    <s v="Beijing"/>
    <s v="Asia &gt; China &gt; Beijing"/>
    <s v="Education"/>
    <s v="Marketplace"/>
    <s v="Marketplace"/>
    <x v="7"/>
    <s v="Printers"/>
    <s v="High"/>
    <s v="PRN-6308"/>
    <n v="1477.84"/>
    <n v="3197.47"/>
    <n v="3197.47"/>
    <x v="107"/>
    <s v="OK"/>
    <n v="0.24299999999999999"/>
    <n v="24"/>
    <n v="58091.634960000003"/>
    <n v="35468.159999999996"/>
    <n v="22623.474960000007"/>
    <n v="0.38944462443823091"/>
    <d v="2023-01-02T00:00:00"/>
    <s v="Jan-2023"/>
    <n v="0"/>
    <n v="0"/>
    <n v="0"/>
  </r>
  <r>
    <s v="ORD-2024-651852"/>
    <d v="2024-12-28T00:00:00"/>
    <s v="Dec-2024"/>
    <s v="2024-Q4"/>
    <d v="2025-01-08T00:00:00"/>
    <n v="11"/>
    <s v="ACHIEVED"/>
    <x v="2"/>
    <s v="China"/>
    <s v="Shenzhen"/>
    <s v="Asia &gt; China &gt; Shenzhen"/>
    <s v="Enterprise"/>
    <s v="Online"/>
    <s v="Online"/>
    <x v="3"/>
    <s v="Laptops"/>
    <s v="High"/>
    <s v="LAP-8825"/>
    <n v="1201.31"/>
    <n v="2764.65"/>
    <n v="2764.65"/>
    <x v="3"/>
    <s v="OK"/>
    <n v="0"/>
    <n v="21"/>
    <n v="58057.65"/>
    <n v="25227.51"/>
    <n v="32830.14"/>
    <n v="0.56547483406579491"/>
    <d v="2023-01-02T00:00:00"/>
    <s v="Jan-2023"/>
    <n v="0"/>
    <n v="0"/>
    <n v="0"/>
  </r>
  <r>
    <s v="ORD-2024-581530"/>
    <d v="2024-09-07T00:00:00"/>
    <s v="Sep-2024"/>
    <s v="2024-Q3"/>
    <d v="2024-09-18T00:00:00"/>
    <n v="11"/>
    <s v="ACHIEVED"/>
    <x v="2"/>
    <s v="China"/>
    <s v="Beijing"/>
    <s v="Asia &gt; China &gt; Beijing"/>
    <s v="Consumer"/>
    <s v="Distributor"/>
    <s v="Distributor"/>
    <x v="7"/>
    <s v="Networking"/>
    <s v="Low"/>
    <s v="NET-7998"/>
    <n v="181.74"/>
    <n v="190.84"/>
    <n v="190.84"/>
    <x v="108"/>
    <s v="OK"/>
    <n v="0.214"/>
    <n v="13"/>
    <n v="1950.0031200000001"/>
    <n v="2362.62"/>
    <n v="-412.61687999999981"/>
    <n v="-0.21159806144310159"/>
    <d v="2023-01-02T00:00:00"/>
    <s v="Jan-2023"/>
    <n v="0"/>
    <n v="0"/>
    <n v="0"/>
  </r>
  <r>
    <s v="ORD-2023-184577"/>
    <d v="2023-05-17T00:00:00"/>
    <s v="May-2023"/>
    <s v="2023-Q2"/>
    <d v="2023-06-03T00:00:00"/>
    <n v="17"/>
    <s v="ACHIEVED"/>
    <x v="2"/>
    <s v="China"/>
    <s v="Beijing"/>
    <s v="Asia &gt; China &gt; Beijing"/>
    <s v="Non-Profit"/>
    <s v="Distributor"/>
    <s v="Distributor"/>
    <x v="13"/>
    <s v="Printers"/>
    <s v="High"/>
    <s v="PRN-1923"/>
    <n v="979.59"/>
    <n v="2210.94"/>
    <n v="2210.94"/>
    <x v="109"/>
    <s v="OK"/>
    <n v="0.15"/>
    <n v="11"/>
    <n v="20672.289000000001"/>
    <n v="10775.49"/>
    <n v="9896.7990000000009"/>
    <n v="0.47874712858358359"/>
    <d v="2023-01-02T00:00:00"/>
    <s v="Jan-2023"/>
    <n v="0"/>
    <n v="0"/>
    <n v="0"/>
  </r>
  <r>
    <s v="ORD-2023-880296"/>
    <d v="2023-05-02T00:00:00"/>
    <s v="May-2023"/>
    <s v="2023-Q2"/>
    <d v="2023-05-19T00:00:00"/>
    <n v="17"/>
    <s v="ACHIEVED"/>
    <x v="2"/>
    <s v="China"/>
    <s v="Shanghai"/>
    <s v="Asia &gt; China &gt; Shanghai"/>
    <s v="Non-Profit"/>
    <s v="Direct"/>
    <s v="Direct"/>
    <x v="2"/>
    <s v="Monitors"/>
    <s v="Low"/>
    <s v="MON-5086"/>
    <n v="714.28"/>
    <n v="757.59"/>
    <n v="757.59"/>
    <x v="83"/>
    <s v="OK"/>
    <n v="0.13600000000000001"/>
    <n v="12"/>
    <n v="7854.6931199999999"/>
    <n v="8571.36"/>
    <n v="-716.66688000000067"/>
    <n v="-9.1240595787910383E-2"/>
    <d v="2023-01-02T00:00:00"/>
    <s v="Jan-2023"/>
    <n v="0"/>
    <n v="0"/>
    <n v="0"/>
  </r>
  <r>
    <s v="ORD-2025-779659"/>
    <d v="2025-07-03T00:00:00"/>
    <s v="Jul-2025"/>
    <s v="2025-Q3"/>
    <d v="2025-07-23T00:00:00"/>
    <n v="20"/>
    <s v="ACHIEVED"/>
    <x v="2"/>
    <s v="China"/>
    <s v="Beijing"/>
    <s v="Asia &gt; China &gt; Beijing"/>
    <s v="Small Business"/>
    <s v="Online"/>
    <s v="Online"/>
    <x v="13"/>
    <s v="Components"/>
    <s v="Medium"/>
    <s v="CMP-1220"/>
    <n v="647.36"/>
    <n v="1383.6"/>
    <n v="1383.6"/>
    <x v="76"/>
    <s v="OK"/>
    <n v="7.3999999999999996E-2"/>
    <n v="12"/>
    <n v="15374.563199999999"/>
    <n v="7768.32"/>
    <n v="7606.243199999999"/>
    <n v="0.49472906000997802"/>
    <d v="2023-01-02T00:00:00"/>
    <s v="Jan-2023"/>
    <n v="0"/>
    <n v="0"/>
    <n v="0"/>
  </r>
  <r>
    <s v="ORD-2023-744942"/>
    <d v="2023-02-23T00:00:00"/>
    <s v="Feb-2023"/>
    <s v="2023-Q1"/>
    <d v="2023-03-18T00:00:00"/>
    <n v="23"/>
    <s v="ACHIEVED"/>
    <x v="2"/>
    <s v="China"/>
    <s v="Beijing"/>
    <s v="Asia &gt; China &gt; Beijing"/>
    <s v="Education"/>
    <s v="Distributor"/>
    <s v="Distributor"/>
    <x v="3"/>
    <s v="Printers"/>
    <s v="High"/>
    <s v="PRN-1060"/>
    <n v="770.11"/>
    <n v="1667.82"/>
    <n v="1667.82"/>
    <x v="110"/>
    <s v="OK"/>
    <n v="6.9000000000000006E-2"/>
    <n v="7"/>
    <n v="10869.182940000001"/>
    <n v="5390.77"/>
    <n v="5478.4129400000002"/>
    <n v="0.50403171703355287"/>
    <d v="2023-01-02T00:00:00"/>
    <s v="Jan-2023"/>
    <n v="0"/>
    <n v="0"/>
    <n v="0"/>
  </r>
  <r>
    <s v="ORD-2025-331237"/>
    <d v="2025-03-24T00:00:00"/>
    <s v="Mar-2025"/>
    <s v="2025-Q1"/>
    <d v="2025-03-25T00:00:00"/>
    <n v="1"/>
    <s v="NOT ACHIEVED"/>
    <x v="2"/>
    <s v="China"/>
    <s v="Beijing"/>
    <s v="Asia &gt; China &gt; Beijing"/>
    <s v="Non-Profit"/>
    <s v="Online"/>
    <s v="Online"/>
    <x v="4"/>
    <s v="Networking"/>
    <s v="High"/>
    <s v="NET-8329"/>
    <n v="1133.03"/>
    <n v="1921.51"/>
    <n v="1921.51"/>
    <x v="111"/>
    <s v="OK"/>
    <n v="0.10100000000000001"/>
    <n v="5"/>
    <n v="8637.1874499999994"/>
    <n v="5665.15"/>
    <n v="2972.0374499999998"/>
    <n v="0.3440978289755654"/>
    <d v="2023-01-02T00:00:00"/>
    <s v="Jan-2023"/>
    <n v="0"/>
    <n v="0"/>
    <n v="0"/>
  </r>
  <r>
    <s v="ORD-2024-732543"/>
    <d v="2024-10-24T00:00:00"/>
    <s v="Oct-2024"/>
    <s v="2024-Q4"/>
    <d v="2024-10-28T00:00:00"/>
    <n v="4"/>
    <s v="NOT ACHIEVED"/>
    <x v="2"/>
    <s v="China"/>
    <s v="Shanghai"/>
    <s v="Asia &gt; China &gt; Shanghai"/>
    <s v="Small Business"/>
    <s v="Distributor"/>
    <s v="Distributor"/>
    <x v="12"/>
    <s v="Networking"/>
    <s v="High"/>
    <s v="NET-3728"/>
    <n v="1331.77"/>
    <n v="2606.11"/>
    <n v="2606.11"/>
    <x v="94"/>
    <s v="OK"/>
    <n v="0.02"/>
    <n v="6"/>
    <n v="15323.926799999999"/>
    <n v="7990.62"/>
    <n v="7333.3067999999994"/>
    <n v="0.47855271665745619"/>
    <d v="2023-01-02T00:00:00"/>
    <s v="Jan-2023"/>
    <n v="0"/>
    <n v="0"/>
    <n v="0"/>
  </r>
  <r>
    <s v="ORD-2024-468615"/>
    <d v="2024-07-09T00:00:00"/>
    <s v="Jul-2024"/>
    <s v="2024-Q3"/>
    <d v="2024-07-12T00:00:00"/>
    <n v="3"/>
    <s v="NOT ACHIEVED"/>
    <x v="2"/>
    <s v="China"/>
    <s v="Shanghai"/>
    <s v="Asia &gt; China &gt; Shanghai"/>
    <s v="Small Business"/>
    <s v="Retail"/>
    <s v="Retail"/>
    <x v="14"/>
    <s v="Accessories"/>
    <s v="Medium"/>
    <s v="ACC-3721"/>
    <n v="748.39"/>
    <n v="979.42"/>
    <n v="979.42"/>
    <x v="3"/>
    <s v="OK"/>
    <n v="0"/>
    <n v="23"/>
    <n v="22526.66"/>
    <n v="17212.97"/>
    <n v="5313.6899999999987"/>
    <n v="0.23588450307324738"/>
    <d v="2023-01-02T00:00:00"/>
    <s v="Jan-2023"/>
    <n v="0"/>
    <n v="0"/>
    <n v="0"/>
  </r>
  <r>
    <s v="ORD-2023-700699"/>
    <d v="2023-01-12T00:00:00"/>
    <s v="Jan-2023"/>
    <s v="2023-Q1"/>
    <d v="2023-01-26T00:00:00"/>
    <n v="14"/>
    <s v="ACHIEVED"/>
    <x v="2"/>
    <s v="China"/>
    <s v="Shenzhen"/>
    <s v="Asia &gt; China &gt; Shenzhen"/>
    <s v="Non-Profit"/>
    <s v="Retail"/>
    <s v="Retail"/>
    <x v="13"/>
    <s v="Printers"/>
    <s v="Medium"/>
    <s v="PRN-1641"/>
    <n v="1083.0899999999999"/>
    <n v="1425.87"/>
    <n v="1425.87"/>
    <x v="3"/>
    <s v="OK"/>
    <n v="0"/>
    <n v="8"/>
    <n v="11406.96"/>
    <n v="8664.7199999999993"/>
    <n v="2742.24"/>
    <n v="0.24040059752992909"/>
    <d v="2023-01-02T00:00:00"/>
    <s v="Jan-2023"/>
    <n v="0"/>
    <n v="0"/>
    <n v="0"/>
  </r>
  <r>
    <s v="ORD-2024-626925"/>
    <d v="2024-06-07T00:00:00"/>
    <s v="Jun-2024"/>
    <s v="2024-Q2"/>
    <d v="2024-06-09T00:00:00"/>
    <n v="2"/>
    <s v="NOT ACHIEVED"/>
    <x v="2"/>
    <s v="China"/>
    <s v="Shanghai"/>
    <s v="Asia &gt; China &gt; Shanghai"/>
    <s v="Corporate"/>
    <s v="Retail"/>
    <s v="Retail"/>
    <x v="7"/>
    <s v="Monitors"/>
    <s v="High"/>
    <s v="MON-8688"/>
    <n v="1370.28"/>
    <n v="2209.66"/>
    <n v="2209.66"/>
    <x v="18"/>
    <s v="OK"/>
    <n v="0.13300000000000001"/>
    <n v="16"/>
    <n v="30652.403519999996"/>
    <n v="21924.48"/>
    <n v="8727.9235199999966"/>
    <n v="0.28473863442079589"/>
    <d v="2023-01-02T00:00:00"/>
    <s v="Jan-2023"/>
    <n v="0"/>
    <n v="0"/>
    <n v="0"/>
  </r>
  <r>
    <s v="ORD-2023-885216"/>
    <d v="2023-08-03T00:00:00"/>
    <s v="Aug-2023"/>
    <s v="2023-Q3"/>
    <d v="2023-08-08T00:00:00"/>
    <n v="5"/>
    <s v="NOT ACHIEVED"/>
    <x v="2"/>
    <s v="China"/>
    <s v="Shanghai"/>
    <s v="Asia &gt; China &gt; Shanghai"/>
    <s v="Non-Profit"/>
    <s v="Direct"/>
    <s v="Direct"/>
    <x v="2"/>
    <s v="Networking"/>
    <s v="High"/>
    <s v="NET-4735"/>
    <n v="1021.97"/>
    <n v="2296.25"/>
    <n v="2296.25"/>
    <x v="112"/>
    <s v="OK"/>
    <n v="0.161"/>
    <n v="26"/>
    <n v="50090.397499999999"/>
    <n v="26571.22"/>
    <n v="23519.177499999998"/>
    <n v="0.46953465482081669"/>
    <d v="2023-01-02T00:00:00"/>
    <s v="Jan-2023"/>
    <n v="0"/>
    <n v="0"/>
    <n v="0"/>
  </r>
  <r>
    <s v="ORD-2023-548934"/>
    <d v="2023-08-03T00:00:00"/>
    <s v="Aug-2023"/>
    <s v="2023-Q3"/>
    <d v="2023-08-30T00:00:00"/>
    <n v="27"/>
    <s v="ACHIEVED"/>
    <x v="2"/>
    <s v="China"/>
    <s v="Shanghai"/>
    <s v="Asia &gt; China &gt; Shanghai"/>
    <s v="Consumer"/>
    <s v="Distributor"/>
    <s v="Distributor"/>
    <x v="5"/>
    <s v="Monitors"/>
    <s v="Low"/>
    <s v="MON-3773"/>
    <n v="226.04"/>
    <n v="545.72"/>
    <n v="545.72"/>
    <x v="113"/>
    <s v="OK"/>
    <n v="0.151"/>
    <n v="11"/>
    <n v="5096.4790800000001"/>
    <n v="2486.44"/>
    <n v="2610.03908"/>
    <n v="0.51212592831834014"/>
    <d v="2023-01-02T00:00:00"/>
    <s v="Jan-2023"/>
    <n v="0"/>
    <n v="0"/>
    <n v="0"/>
  </r>
  <r>
    <s v="ORD-2024-890180"/>
    <d v="2024-01-20T00:00:00"/>
    <s v="Jan-2024"/>
    <s v="2024-Q1"/>
    <d v="2024-02-13T00:00:00"/>
    <n v="24"/>
    <s v="ACHIEVED"/>
    <x v="3"/>
    <s v="France"/>
    <s v="Marseille"/>
    <s v="Europe &gt; France &gt; Marseille"/>
    <s v="Corporate"/>
    <s v="Retail"/>
    <s v="Retail"/>
    <x v="15"/>
    <s v="Printers"/>
    <s v="Medium"/>
    <s v="PRN-8392"/>
    <n v="643.53"/>
    <n v="1439.01"/>
    <n v="1439.01"/>
    <x v="3"/>
    <s v="OK"/>
    <n v="0"/>
    <n v="15"/>
    <n v="21585.15"/>
    <n v="9652.9499999999989"/>
    <n v="11932.200000000003"/>
    <n v="0.55279671440782208"/>
    <d v="2023-01-02T00:00:00"/>
    <s v="Jan-2023"/>
    <n v="0"/>
    <n v="0"/>
    <n v="0"/>
  </r>
  <r>
    <s v="ORD-2024-206081"/>
    <d v="2024-12-10T00:00:00"/>
    <s v="Dec-2024"/>
    <s v="2024-Q4"/>
    <d v="2025-01-08T00:00:00"/>
    <n v="29"/>
    <s v="ACHIEVED"/>
    <x v="3"/>
    <s v="France"/>
    <s v="Marseille"/>
    <s v="Europe &gt; France &gt; Marseille"/>
    <s v="Small Business"/>
    <s v="Retail"/>
    <s v="Retail"/>
    <x v="3"/>
    <s v="Printers"/>
    <s v="Medium"/>
    <s v="PRN-6791"/>
    <n v="891.08"/>
    <n v="1040.0999999999999"/>
    <n v="1040.0999999999999"/>
    <x v="4"/>
    <s v="OK"/>
    <n v="0.109"/>
    <n v="28"/>
    <n v="25948.414799999995"/>
    <n v="24950.240000000002"/>
    <n v="998.17479999999341"/>
    <n v="3.8467660074556598E-2"/>
    <d v="2023-01-02T00:00:00"/>
    <s v="Jan-2023"/>
    <n v="0"/>
    <n v="0"/>
    <n v="0"/>
  </r>
  <r>
    <s v="ORD-2024-788105"/>
    <d v="2024-11-30T00:00:00"/>
    <s v="Nov-2024"/>
    <s v="2024-Q4"/>
    <d v="2024-12-30T00:00:00"/>
    <n v="30"/>
    <s v="ACHIEVED"/>
    <x v="3"/>
    <s v="France"/>
    <s v="Marseille"/>
    <s v="Europe &gt; France &gt; Marseille"/>
    <s v="Consumer"/>
    <s v="Marketplace"/>
    <s v="Marketplace"/>
    <x v="8"/>
    <s v="Printers"/>
    <s v="Low"/>
    <s v="PRN-4170"/>
    <n v="117.64"/>
    <n v="175.67"/>
    <n v="175.67"/>
    <x v="3"/>
    <s v="OK"/>
    <n v="0"/>
    <n v="10"/>
    <n v="1756.6999999999998"/>
    <n v="1176.4000000000001"/>
    <n v="580.29999999999973"/>
    <n v="0.33033528775545046"/>
    <d v="2023-01-02T00:00:00"/>
    <s v="Jan-2023"/>
    <n v="0"/>
    <n v="0"/>
    <n v="0"/>
  </r>
  <r>
    <s v="ORD-2025-548982"/>
    <d v="2025-04-07T00:00:00"/>
    <s v="Apr-2025"/>
    <s v="2025-Q2"/>
    <d v="2025-04-11T00:00:00"/>
    <n v="4"/>
    <s v="NOT ACHIEVED"/>
    <x v="3"/>
    <s v="France"/>
    <s v="Lyon"/>
    <s v="Europe &gt; France &gt; Lyon"/>
    <s v="Education"/>
    <s v="Retail"/>
    <s v="Retail"/>
    <x v="11"/>
    <s v="Networking"/>
    <s v="High"/>
    <s v="NET-9716"/>
    <n v="754.77"/>
    <n v="1666.18"/>
    <n v="1666.18"/>
    <x v="114"/>
    <s v="OK"/>
    <n v="0.13900000000000001"/>
    <n v="14"/>
    <n v="20084.133720000002"/>
    <n v="10566.779999999999"/>
    <n v="9517.3537200000028"/>
    <n v="0.47387424584424653"/>
    <d v="2023-01-02T00:00:00"/>
    <s v="Jan-2023"/>
    <n v="0"/>
    <n v="0"/>
    <n v="0"/>
  </r>
  <r>
    <s v="ORD-2023-292714"/>
    <d v="2023-07-10T00:00:00"/>
    <s v="Jul-2023"/>
    <s v="2023-Q3"/>
    <d v="2023-08-01T00:00:00"/>
    <n v="22"/>
    <s v="ACHIEVED"/>
    <x v="3"/>
    <s v="France"/>
    <s v="Marseille"/>
    <s v="Europe &gt; France &gt; Marseille"/>
    <s v="Consumer"/>
    <s v="Marketplace"/>
    <s v="Marketplace"/>
    <x v="6"/>
    <s v="Printers"/>
    <s v="High"/>
    <s v="PRN-1504"/>
    <n v="1303.56"/>
    <n v="1791.37"/>
    <n v="1791.37"/>
    <x v="115"/>
    <s v="OK"/>
    <n v="0.126"/>
    <n v="22"/>
    <n v="34444.462359999998"/>
    <n v="28678.32"/>
    <n v="5766.142359999998"/>
    <n v="0.16740404596055358"/>
    <d v="2023-01-02T00:00:00"/>
    <s v="Jan-2023"/>
    <n v="0"/>
    <n v="0"/>
    <n v="0"/>
  </r>
  <r>
    <s v="ORD-2025-578007"/>
    <d v="2025-01-21T00:00:00"/>
    <s v="Jan-2025"/>
    <s v="2025-Q1"/>
    <d v="2025-02-16T00:00:00"/>
    <n v="26"/>
    <s v="ACHIEVED"/>
    <x v="3"/>
    <s v="France"/>
    <s v="Lyon"/>
    <s v="Europe &gt; France &gt; Lyon"/>
    <s v="Corporate"/>
    <s v="Distributor"/>
    <s v="Distributor"/>
    <x v="7"/>
    <s v="Laptops"/>
    <s v="Low"/>
    <s v="LAP-3779"/>
    <n v="204.11"/>
    <n v="236.87"/>
    <n v="236.87"/>
    <x v="52"/>
    <s v="OK"/>
    <n v="0.182"/>
    <n v="13"/>
    <n v="2518.8755800000004"/>
    <n v="2653.4300000000003"/>
    <n v="-134.55441999999994"/>
    <n v="-5.3418446337075494E-2"/>
    <d v="2023-01-02T00:00:00"/>
    <s v="Jan-2023"/>
    <n v="0"/>
    <n v="0"/>
    <n v="0"/>
  </r>
  <r>
    <s v="ORD-2025-639542"/>
    <d v="2025-06-09T00:00:00"/>
    <s v="Jun-2025"/>
    <s v="2025-Q2"/>
    <d v="2025-06-18T00:00:00"/>
    <n v="9"/>
    <s v="ACHIEVED"/>
    <x v="3"/>
    <s v="France"/>
    <s v="Marseille"/>
    <s v="Europe &gt; France &gt; Marseille"/>
    <s v="Small Business"/>
    <s v="Marketplace"/>
    <s v="Marketplace"/>
    <x v="15"/>
    <s v="Accessories"/>
    <s v="Low"/>
    <s v="ACC-1770"/>
    <n v="1225.5"/>
    <n v="0"/>
    <n v="0"/>
    <x v="32"/>
    <s v="OK"/>
    <n v="7.4999999999999997E-2"/>
    <n v="56"/>
    <n v="0"/>
    <n v="68628"/>
    <n v="-68628"/>
    <n v="0"/>
    <d v="2023-01-02T00:00:00"/>
    <s v="Jan-2023"/>
    <n v="0"/>
    <n v="0"/>
    <n v="0"/>
  </r>
  <r>
    <s v="ORD-2024-906395"/>
    <d v="2024-03-10T00:00:00"/>
    <s v="Mar-2024"/>
    <s v="2024-Q1"/>
    <d v="2024-04-09T00:00:00"/>
    <n v="30"/>
    <s v="ACHIEVED"/>
    <x v="3"/>
    <s v="France"/>
    <s v="Lyon"/>
    <s v="Europe &gt; France &gt; Lyon"/>
    <s v="Corporate"/>
    <s v="Direct"/>
    <s v="Direct"/>
    <x v="12"/>
    <s v="Components"/>
    <s v="High"/>
    <s v="CMP-8002"/>
    <n v="1176.56"/>
    <n v="1911.89"/>
    <n v="1911.89"/>
    <x v="116"/>
    <s v="OK"/>
    <n v="0.11899999999999999"/>
    <n v="20"/>
    <n v="33687.501800000005"/>
    <n v="23531.199999999997"/>
    <n v="10156.301800000008"/>
    <n v="0.30148575160892477"/>
    <d v="2023-01-02T00:00:00"/>
    <s v="Jan-2023"/>
    <n v="0"/>
    <n v="0"/>
    <n v="0"/>
  </r>
  <r>
    <s v="ORD-2025-526650"/>
    <d v="2025-04-27T00:00:00"/>
    <s v="Apr-2025"/>
    <s v="2025-Q2"/>
    <d v="2025-05-25T00:00:00"/>
    <n v="28"/>
    <s v="ACHIEVED"/>
    <x v="3"/>
    <s v="France"/>
    <s v="Paris"/>
    <s v="Europe &gt; France &gt; Paris"/>
    <s v="Small Business"/>
    <s v="Marketplace"/>
    <s v="Marketplace"/>
    <x v="12"/>
    <s v="Phones"/>
    <s v="Medium"/>
    <s v="PHN-8350"/>
    <n v="603.45000000000005"/>
    <n v="1244.08"/>
    <n v="1244.08"/>
    <x v="70"/>
    <s v="OK"/>
    <n v="0.2"/>
    <n v="11"/>
    <n v="10947.904"/>
    <n v="6637.9500000000007"/>
    <n v="4309.9539999999997"/>
    <n v="0.39367846119220623"/>
    <d v="2023-01-02T00:00:00"/>
    <s v="Jan-2023"/>
    <n v="0"/>
    <n v="0"/>
    <n v="0"/>
  </r>
  <r>
    <s v="ORD-2024-192263"/>
    <d v="2024-11-21T00:00:00"/>
    <s v="Nov-2024"/>
    <s v="2024-Q4"/>
    <d v="2024-12-21T00:00:00"/>
    <n v="30"/>
    <s v="ACHIEVED"/>
    <x v="3"/>
    <s v="France"/>
    <s v="Marseille"/>
    <s v="Europe &gt; France &gt; Marseille"/>
    <s v="Small Business"/>
    <s v="Direct"/>
    <s v="Direct"/>
    <x v="12"/>
    <s v="Monitors"/>
    <s v="High"/>
    <s v="MON-7943"/>
    <n v="1122.68"/>
    <n v="1997.19"/>
    <n v="1997.19"/>
    <x v="50"/>
    <s v="OK"/>
    <n v="0.186"/>
    <n v="3"/>
    <n v="4877.1379800000004"/>
    <n v="3368.04"/>
    <n v="1509.0979800000005"/>
    <n v="0.30942285951073306"/>
    <d v="2023-01-02T00:00:00"/>
    <s v="Jan-2023"/>
    <n v="0"/>
    <n v="0"/>
    <n v="0"/>
  </r>
  <r>
    <s v="ORD-2025-114382"/>
    <d v="2025-05-14T00:00:00"/>
    <s v="May-2025"/>
    <s v="2025-Q2"/>
    <d v="2025-05-24T00:00:00"/>
    <n v="10"/>
    <s v="ACHIEVED"/>
    <x v="3"/>
    <s v="France"/>
    <s v="Paris"/>
    <s v="Europe &gt; France &gt; Paris"/>
    <s v="Small Business"/>
    <s v="Marketplace"/>
    <s v="Marketplace"/>
    <x v="3"/>
    <s v="Components"/>
    <s v="Low"/>
    <s v="CMP-2865"/>
    <n v="170.39"/>
    <n v="388.04"/>
    <n v="388.04"/>
    <x v="89"/>
    <s v="OK"/>
    <n v="8.4000000000000005E-2"/>
    <n v="15"/>
    <n v="5331.6696000000002"/>
    <n v="2555.85"/>
    <n v="2775.8196000000003"/>
    <n v="0.52062858508711796"/>
    <d v="2023-01-02T00:00:00"/>
    <s v="Jan-2023"/>
    <n v="0"/>
    <n v="0"/>
    <n v="0"/>
  </r>
  <r>
    <s v="ORD-2023-576840"/>
    <d v="2023-11-19T00:00:00"/>
    <s v="Nov-2023"/>
    <s v="2023-Q4"/>
    <d v="2023-12-13T00:00:00"/>
    <n v="24"/>
    <s v="ACHIEVED"/>
    <x v="3"/>
    <s v="France"/>
    <s v="Lyon"/>
    <s v="Europe &gt; France &gt; Lyon"/>
    <s v="Non-Profit"/>
    <s v="Direct"/>
    <s v="Direct"/>
    <x v="15"/>
    <s v="Monitors"/>
    <s v="High"/>
    <s v="MON-3745"/>
    <n v="1297.42"/>
    <n v="2742.97"/>
    <n v="2742.97"/>
    <x v="110"/>
    <s v="OK"/>
    <n v="6.9000000000000006E-2"/>
    <n v="9"/>
    <n v="22983.34563"/>
    <n v="11676.78"/>
    <n v="11306.565629999999"/>
    <n v="0.49194602961727291"/>
    <d v="2023-01-02T00:00:00"/>
    <s v="Jan-2023"/>
    <n v="0"/>
    <n v="0"/>
    <n v="0"/>
  </r>
  <r>
    <s v="ORD-2023-867285"/>
    <d v="2023-04-12T00:00:00"/>
    <s v="Apr-2023"/>
    <s v="2023-Q2"/>
    <d v="2023-04-17T00:00:00"/>
    <n v="5"/>
    <s v="NOT ACHIEVED"/>
    <x v="3"/>
    <s v="France"/>
    <s v="Lyon"/>
    <s v="Europe &gt; France &gt; Lyon"/>
    <s v="Enterprise"/>
    <s v="Direct"/>
    <s v="Direct"/>
    <x v="11"/>
    <s v="Monitors"/>
    <s v="High"/>
    <s v="MON-3043"/>
    <n v="1087.81"/>
    <n v="2323.87"/>
    <n v="2323.87"/>
    <x v="2"/>
    <s v="OK"/>
    <n v="9.4E-2"/>
    <n v="13"/>
    <n v="27370.540859999997"/>
    <n v="14141.529999999999"/>
    <n v="13229.010859999999"/>
    <n v="0.48333026839572651"/>
    <d v="2023-01-02T00:00:00"/>
    <s v="Jan-2023"/>
    <n v="0"/>
    <n v="0"/>
    <n v="0"/>
  </r>
  <r>
    <s v="ORD-2024-783321"/>
    <d v="2024-11-20T00:00:00"/>
    <s v="Nov-2024"/>
    <s v="2024-Q4"/>
    <d v="2024-12-15T00:00:00"/>
    <n v="25"/>
    <s v="ACHIEVED"/>
    <x v="3"/>
    <s v="France"/>
    <s v="Paris"/>
    <s v="Europe &gt; France &gt; Paris"/>
    <s v="Corporate"/>
    <s v="Online"/>
    <s v="Online"/>
    <x v="4"/>
    <s v="Printers"/>
    <s v="High"/>
    <s v="PRN-4911"/>
    <n v="1203.58"/>
    <n v="1856.16"/>
    <n v="1856.16"/>
    <x v="30"/>
    <s v="OK"/>
    <n v="0.129"/>
    <n v="22"/>
    <n v="35567.737920000007"/>
    <n v="26478.76"/>
    <n v="9088.9779200000085"/>
    <n v="0.25553994860295032"/>
    <d v="2023-01-02T00:00:00"/>
    <s v="Jan-2023"/>
    <n v="0"/>
    <n v="0"/>
    <n v="0"/>
  </r>
  <r>
    <s v="ORD-2023-192324"/>
    <d v="2023-09-14T00:00:00"/>
    <s v="Sep-2023"/>
    <s v="2023-Q3"/>
    <d v="2023-09-16T00:00:00"/>
    <n v="2"/>
    <s v="NOT ACHIEVED"/>
    <x v="3"/>
    <s v="France"/>
    <s v="Lyon"/>
    <s v="Europe &gt; France &gt; Lyon"/>
    <s v="Non-Profit"/>
    <s v="Direct"/>
    <s v="Direct"/>
    <x v="6"/>
    <s v="Printers"/>
    <s v="Low"/>
    <s v="PRN-4432"/>
    <n v="376.83"/>
    <n v="732.88"/>
    <n v="732.88"/>
    <x v="117"/>
    <s v="OK"/>
    <n v="0.188"/>
    <n v="25"/>
    <n v="14877.464000000002"/>
    <n v="9420.75"/>
    <n v="5456.7140000000018"/>
    <n v="0.36677716040852132"/>
    <d v="2023-01-02T00:00:00"/>
    <s v="Jan-2023"/>
    <n v="0"/>
    <n v="0"/>
    <n v="0"/>
  </r>
  <r>
    <s v="ORD-2024-764468"/>
    <d v="2024-02-01T00:00:00"/>
    <s v="Feb-2024"/>
    <s v="2024-Q1"/>
    <d v="2024-02-21T00:00:00"/>
    <n v="20"/>
    <s v="ACHIEVED"/>
    <x v="3"/>
    <s v="France"/>
    <s v="Paris"/>
    <s v="Europe &gt; France &gt; Paris"/>
    <s v="Small Business"/>
    <s v="Marketplace"/>
    <s v="Marketplace"/>
    <x v="1"/>
    <s v="Networking"/>
    <s v="Medium"/>
    <s v="NET-8761"/>
    <n v="656.2"/>
    <n v="1467.17"/>
    <n v="1467.17"/>
    <x v="118"/>
    <s v="OK"/>
    <n v="1.7999999999999999E-2"/>
    <n v="5"/>
    <n v="7203.8047000000006"/>
    <n v="3281"/>
    <n v="3922.8047000000006"/>
    <n v="0.54454623124360946"/>
    <d v="2023-01-02T00:00:00"/>
    <s v="Jan-2023"/>
    <n v="0"/>
    <n v="0"/>
    <n v="0"/>
  </r>
  <r>
    <s v="ORD-2024-329104"/>
    <d v="2024-05-23T00:00:00"/>
    <s v="May-2024"/>
    <s v="2024-Q2"/>
    <d v="2024-06-14T00:00:00"/>
    <n v="22"/>
    <s v="ACHIEVED"/>
    <x v="3"/>
    <s v="France"/>
    <s v="Marseille"/>
    <s v="Europe &gt; France &gt; Marseille"/>
    <s v="Small Business"/>
    <s v="Online"/>
    <s v="Online"/>
    <x v="5"/>
    <s v="Monitors"/>
    <s v="High"/>
    <s v="MON-2100"/>
    <n v="1481.74"/>
    <n v="1848.97"/>
    <n v="1848.97"/>
    <x v="119"/>
    <s v="OK"/>
    <n v="0.254"/>
    <n v="9"/>
    <n v="12413.98458"/>
    <n v="13335.66"/>
    <n v="-921.67541999999958"/>
    <n v="-7.4244930309072407E-2"/>
    <d v="2023-01-02T00:00:00"/>
    <s v="Jan-2023"/>
    <n v="0"/>
    <n v="0"/>
    <n v="0"/>
  </r>
  <r>
    <s v="ORD-2023-399631"/>
    <d v="2023-06-22T00:00:00"/>
    <s v="Jun-2023"/>
    <s v="2023-Q2"/>
    <d v="2023-07-21T00:00:00"/>
    <n v="29"/>
    <s v="ACHIEVED"/>
    <x v="3"/>
    <s v="France"/>
    <s v="Lyon"/>
    <s v="Europe &gt; France &gt; Lyon"/>
    <s v="Corporate"/>
    <s v="Retail"/>
    <s v="Retail"/>
    <x v="2"/>
    <s v="Accessories"/>
    <s v="Medium"/>
    <s v="ACC-3385"/>
    <n v="734.34"/>
    <n v="887.9"/>
    <n v="887.9"/>
    <x v="120"/>
    <s v="OK"/>
    <n v="2.5000000000000001E-2"/>
    <n v="12"/>
    <n v="10388.429999999998"/>
    <n v="8812.08"/>
    <n v="1576.3499999999985"/>
    <n v="0.15174092716608753"/>
    <d v="2023-01-02T00:00:00"/>
    <s v="Jan-2023"/>
    <n v="0"/>
    <n v="0"/>
    <n v="0"/>
  </r>
  <r>
    <s v="ORD-2025-542939"/>
    <d v="2025-01-13T00:00:00"/>
    <s v="Jan-2025"/>
    <s v="2025-Q1"/>
    <d v="2025-02-08T00:00:00"/>
    <n v="26"/>
    <s v="ACHIEVED"/>
    <x v="3"/>
    <s v="France"/>
    <s v="Paris"/>
    <s v="Europe &gt; France &gt; Paris"/>
    <s v="Non-Profit"/>
    <n v="0"/>
    <n v="0"/>
    <x v="11"/>
    <s v="Monitors"/>
    <s v="Medium"/>
    <s v="MON-1593"/>
    <n v="594.74"/>
    <n v="1020.69"/>
    <n v="1020.69"/>
    <x v="121"/>
    <s v="OK"/>
    <n v="0.21099999999999999"/>
    <n v="6"/>
    <n v="4831.9464600000001"/>
    <n v="3568.44"/>
    <n v="1263.5064600000001"/>
    <n v="0.26149016146176424"/>
    <d v="2023-01-02T00:00:00"/>
    <s v="Jan-2023"/>
    <n v="0"/>
    <n v="0"/>
    <n v="0"/>
  </r>
  <r>
    <s v="ORD-2024-885858"/>
    <d v="2024-01-10T00:00:00"/>
    <s v="Jan-2024"/>
    <s v="2024-Q1"/>
    <d v="2024-01-23T00:00:00"/>
    <n v="13"/>
    <s v="ACHIEVED"/>
    <x v="3"/>
    <s v="France"/>
    <s v="Marseille"/>
    <s v="Europe &gt; France &gt; Marseille"/>
    <s v="Corporate"/>
    <s v="Direct"/>
    <s v="Direct"/>
    <x v="1"/>
    <s v="Printers"/>
    <s v="Medium"/>
    <s v="PRN-6776"/>
    <n v="720"/>
    <n v="907.59"/>
    <n v="907.59"/>
    <x v="86"/>
    <s v="OK"/>
    <n v="0.154"/>
    <n v="10"/>
    <n v="7678.2113999999992"/>
    <n v="7200"/>
    <n v="478.21139999999923"/>
    <n v="6.2281614179052078E-2"/>
    <d v="2023-01-02T00:00:00"/>
    <s v="Jan-2023"/>
    <n v="0"/>
    <n v="0"/>
    <n v="0"/>
  </r>
  <r>
    <s v="ORD-2024-834983"/>
    <d v="2024-03-16T00:00:00"/>
    <s v="Mar-2024"/>
    <s v="2024-Q1"/>
    <d v="2024-04-13T00:00:00"/>
    <n v="28"/>
    <s v="ACHIEVED"/>
    <x v="3"/>
    <s v="France"/>
    <s v="Paris"/>
    <s v="Europe &gt; France &gt; Paris"/>
    <s v="Small Business"/>
    <s v="Online"/>
    <s v="Online"/>
    <x v="3"/>
    <s v="Printers"/>
    <s v="Low"/>
    <s v="PRN-8758"/>
    <n v="287.61"/>
    <n v="628.54"/>
    <n v="628.54"/>
    <x v="28"/>
    <s v="OK"/>
    <n v="0.13500000000000001"/>
    <n v="21"/>
    <n v="11417.429099999999"/>
    <n v="6039.81"/>
    <n v="5377.619099999999"/>
    <n v="0.47100087531964613"/>
    <d v="2023-01-02T00:00:00"/>
    <s v="Jan-2023"/>
    <n v="0"/>
    <n v="0"/>
    <n v="0"/>
  </r>
  <r>
    <s v="ORD-2025-939953"/>
    <d v="2025-01-22T00:00:00"/>
    <s v="Jan-2025"/>
    <s v="2025-Q1"/>
    <d v="2025-01-22T00:00:00"/>
    <n v="0"/>
    <s v="NOT ACHIEVED"/>
    <x v="3"/>
    <s v="France"/>
    <s v="Lyon"/>
    <s v="Europe &gt; France &gt; Lyon"/>
    <s v="Small Business"/>
    <s v="Online"/>
    <s v="Online"/>
    <x v="6"/>
    <s v="Accessories"/>
    <s v="Low"/>
    <s v="ACC-5422"/>
    <n v="591.72"/>
    <n v="577.24"/>
    <n v="577.24"/>
    <x v="3"/>
    <s v="OK"/>
    <n v="0"/>
    <n v="22"/>
    <n v="12699.28"/>
    <n v="13017.84"/>
    <n v="-318.55999999999949"/>
    <n v="-2.5084886702238195E-2"/>
    <d v="2023-01-02T00:00:00"/>
    <s v="Jan-2023"/>
    <n v="0"/>
    <n v="0"/>
    <n v="0"/>
  </r>
  <r>
    <s v="ORD-2025-138578"/>
    <d v="2025-04-09T00:00:00"/>
    <s v="Apr-2025"/>
    <s v="2025-Q2"/>
    <d v="2025-04-12T00:00:00"/>
    <n v="3"/>
    <s v="NOT ACHIEVED"/>
    <x v="3"/>
    <s v="France"/>
    <s v="Lyon"/>
    <s v="Europe &gt; France &gt; Lyon"/>
    <s v="Small Business"/>
    <s v="Distributor"/>
    <s v="Distributor"/>
    <x v="15"/>
    <s v="Monitors"/>
    <s v="Low"/>
    <s v="MON-5276"/>
    <n v="86.68"/>
    <n v="213.32"/>
    <n v="213.32"/>
    <x v="122"/>
    <s v="OK"/>
    <n v="3.7999999999999999E-2"/>
    <n v="8"/>
    <n v="1641.7107199999998"/>
    <n v="693.44"/>
    <n v="948.27071999999976"/>
    <n v="0.57761133459614611"/>
    <d v="2023-01-02T00:00:00"/>
    <s v="Jan-2023"/>
    <n v="0"/>
    <n v="0"/>
    <n v="0"/>
  </r>
  <r>
    <s v="ORD-2023-884192"/>
    <d v="2023-01-10T00:00:00"/>
    <s v="Jan-2023"/>
    <s v="2023-Q1"/>
    <d v="2023-01-29T00:00:00"/>
    <n v="19"/>
    <s v="ACHIEVED"/>
    <x v="3"/>
    <s v="France"/>
    <s v="Lyon"/>
    <s v="Europe &gt; France &gt; Lyon"/>
    <s v="Non-Profit"/>
    <s v="Direct"/>
    <s v="Direct"/>
    <x v="14"/>
    <s v="Laptops"/>
    <s v="Low"/>
    <s v="LAP-4551"/>
    <n v="401.66"/>
    <n v="772.09"/>
    <n v="772.09"/>
    <x v="51"/>
    <s v="OK"/>
    <n v="8.8999999999999996E-2"/>
    <n v="14"/>
    <n v="9847.2358600000007"/>
    <n v="5623.2400000000007"/>
    <n v="4223.99586"/>
    <n v="0.42895244107619046"/>
    <d v="2023-01-02T00:00:00"/>
    <s v="Jan-2023"/>
    <n v="0"/>
    <n v="0"/>
    <n v="0"/>
  </r>
  <r>
    <s v="ORD-2025-231184"/>
    <d v="2025-06-01T00:00:00"/>
    <s v="Jun-2025"/>
    <s v="2025-Q2"/>
    <d v="2025-06-06T00:00:00"/>
    <n v="5"/>
    <s v="NOT ACHIEVED"/>
    <x v="3"/>
    <s v="France"/>
    <s v="Paris"/>
    <s v="Europe &gt; France &gt; Paris"/>
    <s v="Consumer"/>
    <s v="Distributor"/>
    <s v="Distributor"/>
    <x v="4"/>
    <s v="Components"/>
    <s v="Low"/>
    <s v="CMP-4093"/>
    <n v="379.45"/>
    <n v="742.23"/>
    <n v="742.23"/>
    <x v="123"/>
    <s v="OK"/>
    <n v="0.09"/>
    <n v="13"/>
    <n v="8780.5809000000008"/>
    <n v="4932.8499999999995"/>
    <n v="3847.7309000000014"/>
    <n v="0.43820915083192286"/>
    <d v="2023-01-02T00:00:00"/>
    <s v="Jan-2023"/>
    <n v="0"/>
    <n v="0"/>
    <n v="0"/>
  </r>
  <r>
    <s v="ORD-2023-888245"/>
    <d v="2023-02-28T00:00:00"/>
    <s v="Feb-2023"/>
    <s v="2023-Q1"/>
    <d v="2023-03-05T00:00:00"/>
    <n v="5"/>
    <s v="NOT ACHIEVED"/>
    <x v="3"/>
    <s v="France"/>
    <s v="Marseille"/>
    <s v="Europe &gt; France &gt; Marseille"/>
    <s v="Corporate"/>
    <s v="Retail"/>
    <s v="Retail"/>
    <x v="3"/>
    <s v="Networking"/>
    <s v="High"/>
    <s v="NET-5195"/>
    <n v="1299.81"/>
    <n v="3149.13"/>
    <n v="3149.13"/>
    <x v="71"/>
    <s v="OK"/>
    <n v="0.10299999999999999"/>
    <n v="14"/>
    <n v="39546.774539999999"/>
    <n v="18197.34"/>
    <n v="21349.434539999998"/>
    <n v="0.53985273864511729"/>
    <d v="2023-01-02T00:00:00"/>
    <s v="Jan-2023"/>
    <n v="0"/>
    <n v="0"/>
    <n v="0"/>
  </r>
  <r>
    <s v="ORD-2024-332076"/>
    <d v="2024-04-09T00:00:00"/>
    <s v="Apr-2024"/>
    <s v="2024-Q2"/>
    <d v="2024-04-18T00:00:00"/>
    <n v="9"/>
    <s v="ACHIEVED"/>
    <x v="3"/>
    <s v="France"/>
    <s v="Lyon"/>
    <s v="Europe &gt; France &gt; Lyon"/>
    <s v="Consumer"/>
    <s v="Online"/>
    <s v="Online"/>
    <x v="11"/>
    <s v="Printers"/>
    <s v="High"/>
    <s v="PRN-1086"/>
    <n v="1288.8499999999999"/>
    <n v="2751.84"/>
    <n v="2751.84"/>
    <x v="124"/>
    <s v="OK"/>
    <n v="0.158"/>
    <n v="7"/>
    <n v="16219.34496"/>
    <n v="9021.9499999999989"/>
    <n v="7197.3949600000014"/>
    <n v="0.44375373837538756"/>
    <d v="2023-01-02T00:00:00"/>
    <s v="Jan-2023"/>
    <n v="0"/>
    <n v="0"/>
    <n v="0"/>
  </r>
  <r>
    <s v="ORD-2023-813340"/>
    <d v="2023-12-26T00:00:00"/>
    <s v="Dec-2023"/>
    <s v="2023-Q4"/>
    <d v="2024-01-03T00:00:00"/>
    <n v="8"/>
    <s v="ACHIEVED"/>
    <x v="3"/>
    <s v="France"/>
    <s v="Lyon"/>
    <s v="Europe &gt; France &gt; Lyon"/>
    <s v="Small Business"/>
    <s v="Retail"/>
    <s v="Retail"/>
    <x v="13"/>
    <s v="Laptops"/>
    <s v="Low"/>
    <s v="LAP-2942"/>
    <n v="492.75"/>
    <n v="731.29"/>
    <n v="731.29"/>
    <x v="125"/>
    <s v="OK"/>
    <n v="5.8000000000000003E-2"/>
    <n v="6"/>
    <n v="4133.25108"/>
    <n v="2956.5"/>
    <n v="1176.75108"/>
    <n v="0.28470350753528384"/>
    <d v="2023-01-02T00:00:00"/>
    <s v="Jan-2023"/>
    <n v="0"/>
    <n v="0"/>
    <n v="0"/>
  </r>
  <r>
    <s v="ORD-2024-398783"/>
    <d v="2024-07-18T00:00:00"/>
    <s v="Jul-2024"/>
    <s v="2024-Q3"/>
    <d v="2024-08-07T00:00:00"/>
    <n v="20"/>
    <s v="ACHIEVED"/>
    <x v="3"/>
    <s v="France"/>
    <s v="Marseille"/>
    <s v="Europe &gt; France &gt; Marseille"/>
    <s v="Corporate"/>
    <s v="Retail"/>
    <s v="Retail"/>
    <x v="8"/>
    <s v="Monitors"/>
    <s v="Medium"/>
    <s v="MON-7622"/>
    <n v="941.35"/>
    <n v="899.83"/>
    <n v="899.83"/>
    <x v="125"/>
    <s v="OK"/>
    <n v="5.8000000000000003E-2"/>
    <n v="18"/>
    <n v="15257.51748"/>
    <n v="16944.3"/>
    <n v="-1686.7825199999988"/>
    <n v="-0.11055419220139073"/>
    <d v="2023-01-02T00:00:00"/>
    <s v="Jan-2023"/>
    <n v="0"/>
    <n v="0"/>
    <n v="0"/>
  </r>
  <r>
    <s v="ORD-2024-307849"/>
    <d v="2024-08-10T00:00:00"/>
    <s v="Aug-2024"/>
    <s v="2024-Q3"/>
    <d v="2024-09-07T00:00:00"/>
    <n v="28"/>
    <s v="ACHIEVED"/>
    <x v="3"/>
    <s v="France"/>
    <s v="Marseille"/>
    <s v="Europe &gt; France &gt; Marseille"/>
    <s v="Non-Profit"/>
    <s v="Direct"/>
    <s v="Direct"/>
    <x v="8"/>
    <s v="Printers"/>
    <s v="Low"/>
    <s v="PRN-1183"/>
    <n v="229.96"/>
    <n v="564.26"/>
    <n v="564.26"/>
    <x v="126"/>
    <s v="OK"/>
    <n v="0.105"/>
    <n v="5"/>
    <n v="2525.0635000000002"/>
    <n v="1149.8"/>
    <n v="1375.2635000000002"/>
    <n v="0.54464511486542821"/>
    <d v="2023-01-02T00:00:00"/>
    <s v="Jan-2023"/>
    <n v="0"/>
    <n v="0"/>
    <n v="0"/>
  </r>
  <r>
    <s v="ORD-2024-678110"/>
    <d v="2024-07-24T00:00:00"/>
    <s v="Jul-2024"/>
    <s v="2024-Q3"/>
    <d v="2024-08-08T00:00:00"/>
    <n v="15"/>
    <s v="ACHIEVED"/>
    <x v="3"/>
    <s v="France"/>
    <s v="Marseille"/>
    <s v="Europe &gt; France &gt; Marseille"/>
    <s v="Enterprise"/>
    <s v="Marketplace"/>
    <s v="Marketplace"/>
    <x v="15"/>
    <s v="Laptops"/>
    <s v="Medium"/>
    <s v="LAP-9901"/>
    <n v="501.5"/>
    <n v="1201.47"/>
    <n v="1201.47"/>
    <x v="115"/>
    <s v="OK"/>
    <n v="0.126"/>
    <n v="5"/>
    <n v="5250.4239000000007"/>
    <n v="2507.5"/>
    <n v="2742.9239000000007"/>
    <n v="0.52241951359394057"/>
    <d v="2023-01-02T00:00:00"/>
    <s v="Jan-2023"/>
    <n v="0"/>
    <n v="0"/>
    <n v="0"/>
  </r>
  <r>
    <s v="ORD-2024-375848"/>
    <d v="2024-05-18T00:00:00"/>
    <s v="May-2024"/>
    <s v="2024-Q2"/>
    <d v="2024-05-21T00:00:00"/>
    <n v="3"/>
    <s v="NOT ACHIEVED"/>
    <x v="3"/>
    <s v="France"/>
    <s v="Marseille"/>
    <s v="Europe &gt; France &gt; Marseille"/>
    <s v="Non-Profit"/>
    <s v="Marketplace"/>
    <s v="Marketplace"/>
    <x v="14"/>
    <s v="Printers"/>
    <s v="Medium"/>
    <s v="PRN-1725"/>
    <n v="663.66"/>
    <n v="824.26"/>
    <n v="824.26"/>
    <x v="127"/>
    <s v="OK"/>
    <n v="0.23899999999999999"/>
    <n v="11"/>
    <n v="6899.8804600000003"/>
    <n v="7300.2599999999993"/>
    <n v="-400.379539999999"/>
    <n v="-5.8027025587048933E-2"/>
    <d v="2023-01-02T00:00:00"/>
    <s v="Jan-2023"/>
    <n v="0"/>
    <n v="0"/>
    <n v="0"/>
  </r>
  <r>
    <s v="ORD-2024-811752"/>
    <d v="2024-02-25T00:00:00"/>
    <s v="Feb-2024"/>
    <s v="2024-Q1"/>
    <d v="2024-03-09T00:00:00"/>
    <n v="13"/>
    <s v="ACHIEVED"/>
    <x v="3"/>
    <s v="France"/>
    <s v="Marseille"/>
    <s v="Europe &gt; France &gt; Marseille"/>
    <s v="Small Business"/>
    <s v="Distributor"/>
    <s v="Distributor"/>
    <x v="11"/>
    <s v="Monitors"/>
    <s v="Low"/>
    <s v="MON-3350"/>
    <n v="322.44"/>
    <n v="395.61"/>
    <n v="395.61"/>
    <x v="3"/>
    <s v="OK"/>
    <n v="0"/>
    <n v="34"/>
    <n v="13450.74"/>
    <n v="10962.96"/>
    <n v="2487.7800000000007"/>
    <n v="0.18495487980586947"/>
    <d v="2023-01-02T00:00:00"/>
    <s v="Jan-2023"/>
    <n v="0"/>
    <n v="0"/>
    <n v="0"/>
  </r>
  <r>
    <s v="ORD-2023-808024"/>
    <d v="2023-12-30T00:00:00"/>
    <s v="Dec-2023"/>
    <s v="2023-Q4"/>
    <d v="2024-01-08T00:00:00"/>
    <n v="9"/>
    <s v="ACHIEVED"/>
    <x v="3"/>
    <s v="France"/>
    <s v="Marseille"/>
    <s v="Europe &gt; France &gt; Marseille"/>
    <s v="Consumer"/>
    <s v="Marketplace"/>
    <s v="Marketplace"/>
    <x v="10"/>
    <s v="Accessories"/>
    <s v="Medium"/>
    <s v="ACC-6594"/>
    <n v="861.1"/>
    <n v="1224.72"/>
    <n v="1224.72"/>
    <x v="128"/>
    <s v="OK"/>
    <n v="0.17399999999999999"/>
    <n v="24"/>
    <n v="24278.849280000002"/>
    <n v="20666.400000000001"/>
    <n v="3612.4492800000007"/>
    <n v="0.14878997098827909"/>
    <d v="2023-01-02T00:00:00"/>
    <s v="Jan-2023"/>
    <n v="0"/>
    <n v="0"/>
    <n v="0"/>
  </r>
  <r>
    <s v="ORD-2024-202166"/>
    <d v="2024-05-05T00:00:00"/>
    <s v="May-2024"/>
    <s v="2024-Q2"/>
    <d v="2024-05-18T00:00:00"/>
    <n v="13"/>
    <s v="ACHIEVED"/>
    <x v="3"/>
    <s v="France"/>
    <s v="Marseille"/>
    <s v="Europe &gt; France &gt; Marseille"/>
    <s v="Corporate"/>
    <s v="Marketplace"/>
    <s v="Marketplace"/>
    <x v="1"/>
    <s v="Components"/>
    <s v="High"/>
    <s v="CMP-3313"/>
    <n v="1264.04"/>
    <n v="1870.89"/>
    <n v="1870.89"/>
    <x v="3"/>
    <s v="OK"/>
    <n v="0"/>
    <n v="13"/>
    <n v="24321.57"/>
    <n v="16432.52"/>
    <n v="7889.0499999999993"/>
    <n v="0.32436433996653996"/>
    <d v="2023-01-02T00:00:00"/>
    <s v="Jan-2023"/>
    <n v="0"/>
    <n v="0"/>
    <n v="0"/>
  </r>
  <r>
    <s v="ORD-2023-243704"/>
    <d v="2023-08-29T00:00:00"/>
    <s v="Aug-2023"/>
    <s v="2023-Q3"/>
    <d v="2023-09-19T00:00:00"/>
    <n v="21"/>
    <s v="ACHIEVED"/>
    <x v="3"/>
    <s v="France"/>
    <s v="Lyon"/>
    <s v="Europe &gt; France &gt; Lyon"/>
    <s v="Small Business"/>
    <s v="Direct"/>
    <s v="Direct"/>
    <x v="6"/>
    <s v="Printers"/>
    <s v="High"/>
    <s v="PRN-7079"/>
    <n v="784.46"/>
    <n v="1843.51"/>
    <n v="1843.51"/>
    <x v="129"/>
    <s v="OK"/>
    <n v="0.13800000000000001"/>
    <n v="23"/>
    <n v="36549.429260000004"/>
    <n v="18042.580000000002"/>
    <n v="18506.849260000003"/>
    <n v="0.50635125184441798"/>
    <d v="2023-01-02T00:00:00"/>
    <s v="Jan-2023"/>
    <n v="0"/>
    <n v="0"/>
    <n v="0"/>
  </r>
  <r>
    <s v="ORD-2025-683043"/>
    <d v="2025-08-13T00:00:00"/>
    <s v="Aug-2025"/>
    <s v="2025-Q3"/>
    <d v="2025-09-03T00:00:00"/>
    <n v="21"/>
    <s v="ACHIEVED"/>
    <x v="3"/>
    <s v="France"/>
    <s v="Paris"/>
    <s v="Europe &gt; France &gt; Paris"/>
    <s v="Education"/>
    <s v="Retail"/>
    <s v="Retail"/>
    <x v="12"/>
    <s v="Phones"/>
    <s v="Medium"/>
    <s v="PHN-9465"/>
    <n v="603.47"/>
    <n v="1344.05"/>
    <n v="1344.05"/>
    <x v="130"/>
    <s v="OK"/>
    <n v="0.20499999999999999"/>
    <n v="18"/>
    <n v="19233.355499999998"/>
    <n v="10862.460000000001"/>
    <n v="8370.8954999999969"/>
    <n v="0.43522803392262976"/>
    <d v="2023-01-02T00:00:00"/>
    <s v="Jan-2023"/>
    <n v="0"/>
    <n v="0"/>
    <n v="0"/>
  </r>
  <r>
    <s v="ORD-2025-417336"/>
    <d v="2025-08-30T00:00:00"/>
    <s v="Aug-2025"/>
    <s v="2025-Q3"/>
    <d v="2025-09-03T00:00:00"/>
    <n v="4"/>
    <s v="NOT ACHIEVED"/>
    <x v="3"/>
    <s v="France"/>
    <s v="Marseille"/>
    <s v="Europe &gt; France &gt; Marseille"/>
    <s v="Small Business"/>
    <s v="Marketplace"/>
    <s v="Marketplace"/>
    <x v="2"/>
    <s v="Laptops"/>
    <s v="High"/>
    <s v="LAP-3220"/>
    <n v="1286.56"/>
    <n v="2777.35"/>
    <n v="2777.35"/>
    <x v="43"/>
    <s v="OK"/>
    <n v="0.13200000000000001"/>
    <n v="15"/>
    <n v="36161.097000000002"/>
    <n v="19298.399999999998"/>
    <n v="16862.697000000004"/>
    <n v="0.46632150014696744"/>
    <d v="2023-01-02T00:00:00"/>
    <s v="Jan-2023"/>
    <n v="0"/>
    <n v="0"/>
    <n v="0"/>
  </r>
  <r>
    <s v="ORD-2024-382152"/>
    <d v="2024-12-08T00:00:00"/>
    <s v="Dec-2024"/>
    <s v="2024-Q4"/>
    <d v="2024-12-08T00:00:00"/>
    <n v="0"/>
    <s v="NOT ACHIEVED"/>
    <x v="3"/>
    <s v="France"/>
    <s v="Lyon"/>
    <s v="Europe &gt; France &gt; Lyon"/>
    <s v="Enterprise"/>
    <s v="Retail"/>
    <s v="Retail"/>
    <x v="15"/>
    <s v="Components"/>
    <s v="Low"/>
    <s v="CMP-2335"/>
    <n v="257.44"/>
    <n v="290.33"/>
    <n v="290.33"/>
    <x v="87"/>
    <s v="OK"/>
    <n v="9.1999999999999998E-2"/>
    <n v="23"/>
    <n v="6063.2517199999993"/>
    <n v="5921.12"/>
    <n v="142.1317199999994"/>
    <n v="2.3441500792581216E-2"/>
    <d v="2023-01-02T00:00:00"/>
    <s v="Jan-2023"/>
    <n v="0"/>
    <n v="0"/>
    <n v="0"/>
  </r>
  <r>
    <s v="ORD-2023-597666"/>
    <d v="2023-10-25T00:00:00"/>
    <s v="Oct-2023"/>
    <s v="2023-Q4"/>
    <d v="2023-11-24T00:00:00"/>
    <n v="30"/>
    <s v="ACHIEVED"/>
    <x v="3"/>
    <s v="France"/>
    <s v="Paris"/>
    <s v="Europe &gt; France &gt; Paris"/>
    <s v="Enterprise"/>
    <s v="Distributor"/>
    <s v="Distributor"/>
    <x v="0"/>
    <s v="Phones"/>
    <s v="Low"/>
    <s v="PHN-5938"/>
    <n v="287.85000000000002"/>
    <n v="602.91999999999996"/>
    <n v="602.91999999999996"/>
    <x v="131"/>
    <s v="OK"/>
    <n v="0.222"/>
    <n v="11"/>
    <n v="5159.7893599999998"/>
    <n v="3166.3500000000004"/>
    <n v="1993.4393599999994"/>
    <n v="0.38634122847216373"/>
    <d v="2023-01-02T00:00:00"/>
    <s v="Jan-2023"/>
    <n v="0"/>
    <n v="0"/>
    <n v="0"/>
  </r>
  <r>
    <s v="ORD-2024-792353"/>
    <d v="2024-08-19T00:00:00"/>
    <s v="Aug-2024"/>
    <s v="2024-Q3"/>
    <d v="2024-09-07T00:00:00"/>
    <n v="19"/>
    <s v="ACHIEVED"/>
    <x v="3"/>
    <s v="France"/>
    <s v="Lyon"/>
    <s v="Europe &gt; France &gt; Lyon"/>
    <s v="Corporate"/>
    <s v="Direct"/>
    <s v="Direct"/>
    <x v="2"/>
    <s v="Components"/>
    <s v="Low"/>
    <s v="CMP-5435"/>
    <n v="297.58999999999997"/>
    <n v="666.41"/>
    <n v="666.41"/>
    <x v="3"/>
    <s v="OK"/>
    <n v="0"/>
    <n v="10"/>
    <n v="6664.0999999999995"/>
    <n v="2975.8999999999996"/>
    <n v="3688.2"/>
    <n v="0.55344307558409989"/>
    <d v="2023-01-02T00:00:00"/>
    <s v="Jan-2023"/>
    <n v="0"/>
    <n v="0"/>
    <n v="0"/>
  </r>
  <r>
    <s v="ORD-2023-867166"/>
    <d v="2023-04-13T00:00:00"/>
    <s v="Apr-2023"/>
    <s v="2023-Q2"/>
    <d v="2023-04-20T00:00:00"/>
    <n v="7"/>
    <s v="ACHIEVED"/>
    <x v="3"/>
    <s v="France"/>
    <s v="Lyon"/>
    <s v="Europe &gt; France &gt; Lyon"/>
    <s v="Small Business"/>
    <s v="Online"/>
    <s v="Online"/>
    <x v="1"/>
    <s v="Laptops"/>
    <s v="Low"/>
    <s v="LAP-3565"/>
    <n v="227.02"/>
    <n v="434.72"/>
    <n v="434.72"/>
    <x v="132"/>
    <s v="OK"/>
    <n v="9.8000000000000004E-2"/>
    <n v="10"/>
    <n v="3921.1744000000008"/>
    <n v="2270.2000000000003"/>
    <n v="1650.9744000000005"/>
    <n v="0.42104079838938052"/>
    <d v="2023-01-02T00:00:00"/>
    <s v="Jan-2023"/>
    <n v="0"/>
    <n v="0"/>
    <n v="0"/>
  </r>
  <r>
    <s v="ORD-2024-892879"/>
    <d v="2024-07-09T00:00:00"/>
    <s v="Jul-2024"/>
    <s v="2024-Q3"/>
    <d v="2024-08-08T00:00:00"/>
    <n v="30"/>
    <s v="ACHIEVED"/>
    <x v="3"/>
    <s v="France"/>
    <s v="Marseille"/>
    <s v="Europe &gt; France &gt; Marseille"/>
    <s v="Corporate"/>
    <s v="Direct"/>
    <s v="Direct"/>
    <x v="2"/>
    <s v="Components"/>
    <s v="Medium"/>
    <s v="CMP-5825"/>
    <n v="1062.3800000000001"/>
    <n v="1503.96"/>
    <n v="1503.96"/>
    <x v="55"/>
    <s v="OK"/>
    <n v="0.18"/>
    <n v="6"/>
    <n v="7399.4832000000006"/>
    <n v="6374.2800000000007"/>
    <n v="1025.2031999999999"/>
    <n v="0.13855064905073369"/>
    <d v="2023-01-02T00:00:00"/>
    <s v="Jan-2023"/>
    <n v="0"/>
    <n v="0"/>
    <n v="0"/>
  </r>
  <r>
    <s v="ORD-2025-778145"/>
    <d v="2025-04-22T00:00:00"/>
    <s v="Apr-2025"/>
    <s v="2025-Q2"/>
    <d v="2025-05-12T00:00:00"/>
    <n v="20"/>
    <s v="ACHIEVED"/>
    <x v="3"/>
    <s v="France"/>
    <s v="Lyon"/>
    <s v="Europe &gt; France &gt; Lyon"/>
    <s v="Enterprise"/>
    <s v="Marketplace"/>
    <s v="Marketplace"/>
    <x v="3"/>
    <s v="Monitors"/>
    <s v="Low"/>
    <s v="MON-9216"/>
    <n v="59.51"/>
    <n v="67.040000000000006"/>
    <n v="67.040000000000006"/>
    <x v="133"/>
    <s v="OK"/>
    <n v="0.114"/>
    <n v="9"/>
    <n v="534.57695999999999"/>
    <n v="535.59"/>
    <n v="-1.0130400000000463"/>
    <n v="-1.8950311663264469E-3"/>
    <d v="2023-01-02T00:00:00"/>
    <s v="Jan-2023"/>
    <n v="0"/>
    <n v="0"/>
    <n v="0"/>
  </r>
  <r>
    <s v="ORD-2023-215819"/>
    <d v="2023-07-01T00:00:00"/>
    <s v="Jul-2023"/>
    <s v="2023-Q3"/>
    <d v="2023-07-11T00:00:00"/>
    <n v="10"/>
    <s v="ACHIEVED"/>
    <x v="3"/>
    <s v="France"/>
    <s v="Paris"/>
    <s v="Europe &gt; France &gt; Paris"/>
    <s v="Corporate"/>
    <s v="Direct"/>
    <s v="Direct"/>
    <x v="8"/>
    <s v="Networking"/>
    <s v="Low"/>
    <s v="NET-6533"/>
    <n v="479.5"/>
    <n v="656.66"/>
    <n v="656.66"/>
    <x v="1"/>
    <s v="OK"/>
    <n v="0.14899999999999999"/>
    <n v="14"/>
    <n v="7823.4472399999995"/>
    <n v="6713"/>
    <n v="1110.4472399999995"/>
    <n v="0.14193835606412289"/>
    <d v="2023-01-02T00:00:00"/>
    <s v="Jan-2023"/>
    <n v="0"/>
    <n v="0"/>
    <n v="0"/>
  </r>
  <r>
    <s v="ORD-2024-766980"/>
    <d v="2024-11-04T00:00:00"/>
    <s v="Nov-2024"/>
    <s v="2024-Q4"/>
    <d v="2024-11-07T00:00:00"/>
    <n v="3"/>
    <s v="NOT ACHIEVED"/>
    <x v="3"/>
    <s v="France"/>
    <s v="Lyon"/>
    <s v="Europe &gt; France &gt; Lyon"/>
    <s v="Corporate"/>
    <s v="Online"/>
    <s v="Online"/>
    <x v="7"/>
    <s v="Monitors"/>
    <s v="High"/>
    <s v="MON-1118"/>
    <n v="740.68"/>
    <n v="1837.19"/>
    <n v="1837.19"/>
    <x v="95"/>
    <s v="OK"/>
    <n v="0.19700000000000001"/>
    <n v="17"/>
    <n v="25079.480689999997"/>
    <n v="12591.56"/>
    <n v="12487.920689999997"/>
    <n v="0.4979337827748298"/>
    <d v="2023-01-02T00:00:00"/>
    <s v="Jan-2023"/>
    <n v="0"/>
    <n v="0"/>
    <n v="0"/>
  </r>
  <r>
    <s v="ORD-2023-340056"/>
    <d v="2023-04-26T00:00:00"/>
    <s v="Apr-2023"/>
    <s v="2023-Q2"/>
    <d v="2023-04-26T00:00:00"/>
    <n v="0"/>
    <s v="NOT ACHIEVED"/>
    <x v="3"/>
    <s v="France"/>
    <s v="Marseille"/>
    <s v="Europe &gt; France &gt; Marseille"/>
    <s v="Consumer"/>
    <s v="Direct"/>
    <s v="Direct"/>
    <x v="13"/>
    <s v="Components"/>
    <s v="Low"/>
    <s v="CMP-4945"/>
    <n v="81.489999999999995"/>
    <n v="113.08"/>
    <n v="113.08"/>
    <x v="134"/>
    <s v="OK"/>
    <n v="0.121"/>
    <n v="5"/>
    <n v="496.98660000000001"/>
    <n v="407.45"/>
    <n v="89.536600000000021"/>
    <n v="0.18015898215364362"/>
    <d v="2023-01-02T00:00:00"/>
    <s v="Jan-2023"/>
    <n v="0"/>
    <n v="0"/>
    <n v="0"/>
  </r>
  <r>
    <s v="ORD-2025-281062"/>
    <d v="2025-02-15T00:00:00"/>
    <s v="Feb-2025"/>
    <s v="2025-Q1"/>
    <d v="2025-02-27T00:00:00"/>
    <n v="12"/>
    <s v="ACHIEVED"/>
    <x v="3"/>
    <s v="France"/>
    <s v="Lyon"/>
    <s v="Europe &gt; France &gt; Lyon"/>
    <s v="Non-Profit"/>
    <s v="Direct"/>
    <s v="Direct"/>
    <x v="3"/>
    <s v="Accessories"/>
    <s v="High"/>
    <s v="ACC-1604"/>
    <n v="1027.26"/>
    <n v="2200.41"/>
    <n v="2200.41"/>
    <x v="69"/>
    <s v="OK"/>
    <n v="8.7999999999999995E-2"/>
    <n v="6"/>
    <n v="12040.64352"/>
    <n v="6163.5599999999995"/>
    <n v="5877.0835200000001"/>
    <n v="0.48810377204822358"/>
    <d v="2023-01-02T00:00:00"/>
    <s v="Jan-2023"/>
    <n v="0"/>
    <n v="0"/>
    <n v="0"/>
  </r>
  <r>
    <s v="ORD-2023-727290"/>
    <d v="2023-04-03T00:00:00"/>
    <s v="Apr-2023"/>
    <s v="2023-Q2"/>
    <d v="2023-04-16T00:00:00"/>
    <n v="13"/>
    <s v="ACHIEVED"/>
    <x v="3"/>
    <s v="France"/>
    <s v="Marseille"/>
    <s v="Europe &gt; France &gt; Marseille"/>
    <s v="Non-Profit"/>
    <s v="Marketplace"/>
    <s v="Marketplace"/>
    <x v="13"/>
    <s v="Accessories"/>
    <s v="Low"/>
    <s v="ACC-4815"/>
    <n v="790.54"/>
    <n v="601.49"/>
    <n v="601.49"/>
    <x v="3"/>
    <s v="OK"/>
    <n v="0"/>
    <n v="15"/>
    <n v="9022.35"/>
    <n v="11858.099999999999"/>
    <n v="-2835.7499999999982"/>
    <n v="-0.31430281467688553"/>
    <d v="2023-01-02T00:00:00"/>
    <s v="Jan-2023"/>
    <n v="0"/>
    <n v="0"/>
    <n v="0"/>
  </r>
  <r>
    <s v="ORD-2025-993993"/>
    <d v="2025-08-30T00:00:00"/>
    <s v="Aug-2025"/>
    <s v="2025-Q3"/>
    <d v="2025-09-22T00:00:00"/>
    <n v="23"/>
    <s v="ACHIEVED"/>
    <x v="3"/>
    <s v="France"/>
    <s v="Marseille"/>
    <s v="Europe &gt; France &gt; Marseille"/>
    <s v="Corporate"/>
    <s v="Direct"/>
    <s v="Direct"/>
    <x v="11"/>
    <s v="Components"/>
    <s v="Medium"/>
    <s v="CMP-5311"/>
    <n v="663.9"/>
    <n v="947.77"/>
    <n v="947.77"/>
    <x v="128"/>
    <s v="OK"/>
    <n v="0.17399999999999999"/>
    <n v="15"/>
    <n v="11742.8703"/>
    <n v="9958.5"/>
    <n v="1784.3703000000005"/>
    <n v="0.1519535049280073"/>
    <d v="2023-01-02T00:00:00"/>
    <s v="Jan-2023"/>
    <n v="0"/>
    <n v="0"/>
    <n v="0"/>
  </r>
  <r>
    <s v="ORD-2025-856556"/>
    <d v="2025-06-15T00:00:00"/>
    <s v="Jun-2025"/>
    <s v="2025-Q2"/>
    <d v="2025-07-12T00:00:00"/>
    <n v="27"/>
    <s v="ACHIEVED"/>
    <x v="3"/>
    <s v="France"/>
    <s v="Marseille"/>
    <s v="Europe &gt; France &gt; Marseille"/>
    <s v="Consumer"/>
    <s v="Direct"/>
    <s v="Direct"/>
    <x v="0"/>
    <s v="Accessories"/>
    <s v="Low"/>
    <s v="ACC-7906"/>
    <n v="318.83"/>
    <n v="699.5"/>
    <n v="699.5"/>
    <x v="135"/>
    <s v="OK"/>
    <n v="0.08"/>
    <n v="13"/>
    <n v="8366.02"/>
    <n v="4144.79"/>
    <n v="4221.2300000000005"/>
    <n v="0.50456848059172699"/>
    <d v="2023-01-02T00:00:00"/>
    <s v="Jan-2023"/>
    <n v="0"/>
    <n v="0"/>
    <n v="0"/>
  </r>
  <r>
    <s v="ORD-2025-189846"/>
    <d v="2025-08-11T00:00:00"/>
    <s v="Aug-2025"/>
    <s v="2025-Q3"/>
    <d v="2025-08-28T00:00:00"/>
    <n v="17"/>
    <s v="ACHIEVED"/>
    <x v="3"/>
    <s v="France"/>
    <s v="Paris"/>
    <s v="Europe &gt; France &gt; Paris"/>
    <s v="Education"/>
    <s v="Online"/>
    <s v="Online"/>
    <x v="8"/>
    <s v="Networking"/>
    <s v="Low"/>
    <s v="NET-6218"/>
    <n v="416.16"/>
    <n v="571.9"/>
    <n v="571.9"/>
    <x v="88"/>
    <s v="OK"/>
    <n v="7.0999999999999994E-2"/>
    <n v="2"/>
    <n v="1062.5902000000001"/>
    <n v="832.32"/>
    <n v="230.27020000000005"/>
    <n v="0.21670649701079497"/>
    <d v="2023-01-02T00:00:00"/>
    <s v="Jan-2023"/>
    <n v="0"/>
    <n v="0"/>
    <n v="0"/>
  </r>
  <r>
    <s v="ORD-2023-451931"/>
    <d v="2023-07-30T00:00:00"/>
    <s v="Jul-2023"/>
    <s v="2023-Q3"/>
    <d v="2023-08-19T00:00:00"/>
    <n v="20"/>
    <s v="ACHIEVED"/>
    <x v="3"/>
    <s v="France"/>
    <s v="Paris"/>
    <s v="Europe &gt; France &gt; Paris"/>
    <s v="Enterprise"/>
    <s v="Marketplace"/>
    <s v="Marketplace"/>
    <x v="4"/>
    <s v="Networking"/>
    <s v="High"/>
    <s v="NET-5423"/>
    <n v="1418.51"/>
    <n v="2789.61"/>
    <n v="2789.61"/>
    <x v="136"/>
    <s v="OK"/>
    <n v="0.17100000000000001"/>
    <n v="8"/>
    <n v="18500.693520000001"/>
    <n v="11348.08"/>
    <n v="7152.6135200000008"/>
    <n v="0.38661326464695689"/>
    <d v="2023-01-02T00:00:00"/>
    <s v="Jan-2023"/>
    <n v="0"/>
    <n v="0"/>
    <n v="0"/>
  </r>
  <r>
    <s v="ORD-2024-756884"/>
    <d v="2024-10-13T00:00:00"/>
    <s v="Oct-2024"/>
    <s v="2024-Q4"/>
    <d v="2024-10-24T00:00:00"/>
    <n v="11"/>
    <s v="ACHIEVED"/>
    <x v="3"/>
    <s v="France"/>
    <s v="Paris"/>
    <s v="Europe &gt; France &gt; Paris"/>
    <s v="Education"/>
    <s v="Distributor"/>
    <s v="Distributor"/>
    <x v="8"/>
    <s v="Components"/>
    <s v="Medium"/>
    <s v="CMP-5006"/>
    <n v="816.7"/>
    <n v="1010.75"/>
    <n v="1010.75"/>
    <x v="85"/>
    <s v="OK"/>
    <n v="4.7E-2"/>
    <n v="43"/>
    <n v="41419.524249999995"/>
    <n v="35118.1"/>
    <n v="6301.4242499999964"/>
    <n v="0.15213656757537472"/>
    <d v="2023-01-02T00:00:00"/>
    <s v="Jan-2023"/>
    <n v="0"/>
    <n v="0"/>
    <n v="0"/>
  </r>
  <r>
    <s v="ORD-2024-210687"/>
    <d v="2024-01-28T00:00:00"/>
    <s v="Jan-2024"/>
    <s v="2024-Q1"/>
    <d v="2024-02-09T00:00:00"/>
    <n v="12"/>
    <s v="ACHIEVED"/>
    <x v="3"/>
    <s v="Germany"/>
    <s v="Berlin"/>
    <s v="Europe &gt; Germany &gt; Berlin"/>
    <s v="Corporate"/>
    <s v="Online"/>
    <s v="Online"/>
    <x v="4"/>
    <s v="Accessories"/>
    <s v="Low"/>
    <s v="ACC-7938"/>
    <n v="644.16999999999996"/>
    <n v="700.12"/>
    <n v="700.12"/>
    <x v="137"/>
    <s v="OK"/>
    <n v="6.0000000000000001E-3"/>
    <n v="23"/>
    <n v="16006.14344"/>
    <n v="14815.91"/>
    <n v="1190.23344"/>
    <n v="7.436103796405813E-2"/>
    <d v="2023-01-02T00:00:00"/>
    <s v="Jan-2023"/>
    <n v="0"/>
    <n v="0"/>
    <n v="0"/>
  </r>
  <r>
    <s v="ORD-2024-692673"/>
    <d v="2024-03-07T00:00:00"/>
    <s v="Mar-2024"/>
    <s v="2024-Q1"/>
    <d v="2024-03-25T00:00:00"/>
    <n v="18"/>
    <s v="ACHIEVED"/>
    <x v="3"/>
    <s v="Germany"/>
    <s v="Munich"/>
    <s v="Europe &gt; Germany &gt; Munich"/>
    <s v="Corporate"/>
    <s v="Online"/>
    <s v="Online"/>
    <x v="6"/>
    <s v="Components"/>
    <s v="Medium"/>
    <s v="CMP-7617"/>
    <n v="712.84"/>
    <n v="927.51"/>
    <n v="927.51"/>
    <x v="107"/>
    <s v="OK"/>
    <n v="0.24299999999999999"/>
    <n v="27"/>
    <n v="18957.37689"/>
    <n v="19246.68"/>
    <n v="-289.30311000000074"/>
    <n v="-1.5260714163076427E-2"/>
    <d v="2023-01-02T00:00:00"/>
    <s v="Jan-2023"/>
    <n v="0"/>
    <n v="0"/>
    <n v="0"/>
  </r>
  <r>
    <s v="ORD-2024-635626"/>
    <d v="2024-08-27T00:00:00"/>
    <s v="Aug-2024"/>
    <s v="2024-Q3"/>
    <d v="2024-09-19T00:00:00"/>
    <n v="23"/>
    <s v="ACHIEVED"/>
    <x v="3"/>
    <s v="Germany"/>
    <s v="Berlin"/>
    <s v="Europe &gt; Germany &gt; Berlin"/>
    <s v="Small Business"/>
    <s v="Direct"/>
    <s v="Direct"/>
    <x v="14"/>
    <s v="Monitors"/>
    <s v="Medium"/>
    <s v="MON-9967"/>
    <n v="1024.01"/>
    <n v="1580.97"/>
    <n v="1580.97"/>
    <x v="138"/>
    <s v="OK"/>
    <n v="3.6999999999999998E-2"/>
    <n v="27"/>
    <n v="41106.800970000004"/>
    <n v="27648.27"/>
    <n v="13458.530970000003"/>
    <n v="0.3274039976942531"/>
    <d v="2023-01-02T00:00:00"/>
    <s v="Jan-2023"/>
    <n v="0"/>
    <n v="0"/>
    <n v="0"/>
  </r>
  <r>
    <s v="ORD-2025-820255"/>
    <d v="2025-05-29T00:00:00"/>
    <s v="May-2025"/>
    <s v="2025-Q2"/>
    <d v="2025-06-20T00:00:00"/>
    <n v="22"/>
    <s v="ACHIEVED"/>
    <x v="3"/>
    <s v="Germany"/>
    <s v="Berlin"/>
    <s v="Europe &gt; Germany &gt; Berlin"/>
    <s v="Corporate"/>
    <s v="Direct"/>
    <s v="Direct"/>
    <x v="1"/>
    <s v="Printers"/>
    <s v="Medium"/>
    <s v="PRN-9787"/>
    <n v="483.47"/>
    <n v="1135.43"/>
    <n v="1135.43"/>
    <x v="139"/>
    <s v="OK"/>
    <n v="0.14599999999999999"/>
    <n v="11"/>
    <n v="10666.229420000001"/>
    <n v="5318.17"/>
    <n v="5348.0594200000014"/>
    <n v="0.50140112399719983"/>
    <d v="2023-01-02T00:00:00"/>
    <s v="Jan-2023"/>
    <n v="0"/>
    <n v="0"/>
    <n v="0"/>
  </r>
  <r>
    <s v="ORD-2023-235230"/>
    <d v="2023-08-30T00:00:00"/>
    <s v="Aug-2023"/>
    <s v="2023-Q3"/>
    <d v="2023-09-01T00:00:00"/>
    <n v="2"/>
    <s v="NOT ACHIEVED"/>
    <x v="3"/>
    <s v="Germany"/>
    <s v="Munich"/>
    <s v="Europe &gt; Germany &gt; Munich"/>
    <s v="Corporate"/>
    <s v="Direct"/>
    <s v="Direct"/>
    <x v="5"/>
    <s v="Networking"/>
    <s v="Low"/>
    <s v="NET-9989"/>
    <n v="44.42"/>
    <n v="41.9"/>
    <n v="41.9"/>
    <x v="140"/>
    <s v="OK"/>
    <n v="0.14399999999999999"/>
    <n v="6"/>
    <n v="215.19839999999996"/>
    <n v="266.52"/>
    <n v="-51.321600000000018"/>
    <n v="-0.23848504449847224"/>
    <d v="2023-01-02T00:00:00"/>
    <s v="Jan-2023"/>
    <n v="0"/>
    <n v="0"/>
    <n v="0"/>
  </r>
  <r>
    <s v="ORD-2024-289089"/>
    <d v="2024-12-17T00:00:00"/>
    <s v="Dec-2024"/>
    <s v="2024-Q4"/>
    <d v="2024-12-18T00:00:00"/>
    <n v="1"/>
    <s v="NOT ACHIEVED"/>
    <x v="3"/>
    <s v="Germany"/>
    <s v="Munich"/>
    <s v="Europe &gt; Germany &gt; Munich"/>
    <s v="Education"/>
    <s v="Retail"/>
    <s v="Retail"/>
    <x v="10"/>
    <s v="Accessories"/>
    <s v="Low"/>
    <s v="ACC-5780"/>
    <n v="346.82"/>
    <n v="701.95"/>
    <n v="701.95"/>
    <x v="7"/>
    <s v="OK"/>
    <n v="0.14699999999999999"/>
    <n v="8"/>
    <n v="4790.1068000000005"/>
    <n v="2774.56"/>
    <n v="2015.5468000000005"/>
    <n v="0.42077283120284509"/>
    <d v="2023-01-02T00:00:00"/>
    <s v="Jan-2023"/>
    <n v="0"/>
    <n v="0"/>
    <n v="0"/>
  </r>
  <r>
    <s v="ORD-2024-287210"/>
    <d v="2024-03-18T00:00:00"/>
    <s v="Mar-2024"/>
    <s v="2024-Q1"/>
    <d v="2024-03-21T00:00:00"/>
    <n v="3"/>
    <s v="NOT ACHIEVED"/>
    <x v="3"/>
    <s v="Germany"/>
    <s v="Munich"/>
    <s v="Europe &gt; Germany &gt; Munich"/>
    <s v="Small Business"/>
    <s v="Online"/>
    <s v="Online"/>
    <x v="13"/>
    <s v="Accessories"/>
    <s v="Medium"/>
    <s v="ACC-2761"/>
    <n v="910.63"/>
    <n v="1269.4000000000001"/>
    <n v="1269.4000000000001"/>
    <x v="141"/>
    <s v="OK"/>
    <n v="6.8000000000000005E-2"/>
    <n v="9"/>
    <n v="10647.727199999999"/>
    <n v="8195.67"/>
    <n v="2452.0571999999993"/>
    <n v="0.23028925834989455"/>
    <d v="2023-01-02T00:00:00"/>
    <s v="Jan-2023"/>
    <n v="0"/>
    <n v="0"/>
    <n v="0"/>
  </r>
  <r>
    <s v="ORD-2023-422918"/>
    <d v="2023-02-28T00:00:00"/>
    <s v="Feb-2023"/>
    <s v="2023-Q1"/>
    <d v="2023-03-20T00:00:00"/>
    <n v="20"/>
    <s v="ACHIEVED"/>
    <x v="3"/>
    <s v="Germany"/>
    <s v="Berlin"/>
    <s v="Europe &gt; Germany &gt; Berlin"/>
    <s v="Small Business"/>
    <s v="Direct"/>
    <s v="Direct"/>
    <x v="15"/>
    <s v="Laptops"/>
    <s v="High"/>
    <s v="LAP-3679"/>
    <n v="1200.78"/>
    <n v="2001.17"/>
    <n v="2001.17"/>
    <x v="53"/>
    <s v="OK"/>
    <n v="0.29199999999999998"/>
    <n v="18"/>
    <n v="25502.910479999999"/>
    <n v="21614.04"/>
    <n v="3888.8704799999978"/>
    <n v="0.15248732034132906"/>
    <d v="2023-01-02T00:00:00"/>
    <s v="Jan-2023"/>
    <n v="0"/>
    <n v="0"/>
    <n v="0"/>
  </r>
  <r>
    <s v="ORD-2024-474999"/>
    <d v="2024-12-27T00:00:00"/>
    <s v="Dec-2024"/>
    <s v="2024-Q4"/>
    <d v="2025-01-02T00:00:00"/>
    <n v="6"/>
    <s v="NOT ACHIEVED"/>
    <x v="3"/>
    <s v="Germany"/>
    <s v="Frankfurt"/>
    <s v="Europe &gt; Germany &gt; Frankfurt"/>
    <s v="Education"/>
    <s v="Direct"/>
    <s v="Direct"/>
    <x v="8"/>
    <s v="Laptops"/>
    <s v="High"/>
    <s v="LAP-8214"/>
    <n v="1391.99"/>
    <n v="3469.7"/>
    <n v="3469.7"/>
    <x v="9"/>
    <s v="OK"/>
    <n v="0.184"/>
    <n v="23"/>
    <n v="65119.329599999997"/>
    <n v="32015.77"/>
    <n v="33103.559599999993"/>
    <n v="0.50835227886006973"/>
    <d v="2023-01-02T00:00:00"/>
    <s v="Jan-2023"/>
    <n v="0"/>
    <n v="0"/>
    <n v="0"/>
  </r>
  <r>
    <s v="ORD-2024-584090"/>
    <d v="2024-06-07T00:00:00"/>
    <s v="Jun-2024"/>
    <s v="2024-Q2"/>
    <d v="2024-06-26T00:00:00"/>
    <n v="19"/>
    <s v="ACHIEVED"/>
    <x v="3"/>
    <s v="Germany"/>
    <s v="Berlin"/>
    <s v="Europe &gt; Germany &gt; Berlin"/>
    <s v="Non-Profit"/>
    <s v="Marketplace"/>
    <s v="Marketplace"/>
    <x v="13"/>
    <s v="Components"/>
    <s v="High"/>
    <s v="CMP-2040"/>
    <n v="1064.32"/>
    <n v="1848.39"/>
    <n v="1848.39"/>
    <x v="142"/>
    <s v="OK"/>
    <n v="7.2999999999999995E-2"/>
    <n v="38"/>
    <n v="65111.38614000001"/>
    <n v="40444.159999999996"/>
    <n v="24667.226140000013"/>
    <n v="0.3788465827921631"/>
    <d v="2023-01-02T00:00:00"/>
    <s v="Jan-2023"/>
    <n v="0"/>
    <n v="0"/>
    <n v="0"/>
  </r>
  <r>
    <s v="ORD-2024-902741"/>
    <d v="2024-12-23T00:00:00"/>
    <s v="Dec-2024"/>
    <s v="2024-Q4"/>
    <d v="2025-01-11T00:00:00"/>
    <n v="19"/>
    <s v="ACHIEVED"/>
    <x v="3"/>
    <s v="Germany"/>
    <s v="Berlin"/>
    <s v="Europe &gt; Germany &gt; Berlin"/>
    <s v="Education"/>
    <s v="Retail"/>
    <s v="Retail"/>
    <x v="3"/>
    <s v="Phones"/>
    <s v="Medium"/>
    <s v="PHN-8057"/>
    <n v="501.81"/>
    <n v="921.62"/>
    <n v="921.62"/>
    <x v="47"/>
    <s v="OK"/>
    <n v="0.01"/>
    <n v="9"/>
    <n v="8211.6342000000004"/>
    <n v="4516.29"/>
    <n v="3695.3442000000005"/>
    <n v="0.45001325071202031"/>
    <d v="2023-01-02T00:00:00"/>
    <s v="Jan-2023"/>
    <n v="0"/>
    <n v="0"/>
    <n v="0"/>
  </r>
  <r>
    <s v="ORD-2024-211453"/>
    <d v="2024-04-04T00:00:00"/>
    <s v="Apr-2024"/>
    <s v="2024-Q2"/>
    <d v="2024-04-24T00:00:00"/>
    <n v="20"/>
    <s v="ACHIEVED"/>
    <x v="3"/>
    <s v="Germany"/>
    <s v="Frankfurt"/>
    <s v="Europe &gt; Germany &gt; Frankfurt"/>
    <s v="Non-Profit"/>
    <s v="Direct"/>
    <s v="Direct"/>
    <x v="7"/>
    <s v="Accessories"/>
    <s v="Medium"/>
    <s v="ACC-6543"/>
    <n v="683.42"/>
    <n v="951.51"/>
    <n v="951.51"/>
    <x v="3"/>
    <s v="OK"/>
    <n v="0"/>
    <n v="14"/>
    <n v="13321.14"/>
    <n v="9567.8799999999992"/>
    <n v="3753.26"/>
    <n v="0.28175216235247136"/>
    <d v="2023-01-02T00:00:00"/>
    <s v="Jan-2023"/>
    <n v="0"/>
    <n v="0"/>
    <n v="0"/>
  </r>
  <r>
    <s v="ORD-2025-766923"/>
    <d v="2025-02-15T00:00:00"/>
    <s v="Feb-2025"/>
    <s v="2025-Q1"/>
    <d v="2025-02-15T00:00:00"/>
    <n v="0"/>
    <s v="NOT ACHIEVED"/>
    <x v="3"/>
    <s v="Germany"/>
    <s v="Frankfurt"/>
    <s v="Europe &gt; Germany &gt; Frankfurt"/>
    <s v="Small Business"/>
    <s v="Marketplace"/>
    <s v="Marketplace"/>
    <x v="10"/>
    <s v="Accessories"/>
    <s v="High"/>
    <s v="ACC-3989"/>
    <n v="815.83"/>
    <n v="1982.18"/>
    <n v="1982.18"/>
    <x v="143"/>
    <s v="OK"/>
    <n v="0.127"/>
    <n v="6"/>
    <n v="10382.65884"/>
    <n v="4894.9800000000005"/>
    <n v="5487.6788399999996"/>
    <n v="0.52854272923408507"/>
    <d v="2023-01-02T00:00:00"/>
    <s v="Jan-2023"/>
    <n v="0"/>
    <n v="0"/>
    <n v="0"/>
  </r>
  <r>
    <s v="ORD-2023-884625"/>
    <d v="2023-02-19T00:00:00"/>
    <s v="Feb-2023"/>
    <s v="2023-Q1"/>
    <d v="2023-03-12T00:00:00"/>
    <n v="21"/>
    <s v="ACHIEVED"/>
    <x v="3"/>
    <s v="Germany"/>
    <s v="Berlin"/>
    <s v="Europe &gt; Germany &gt; Berlin"/>
    <s v="Small Business"/>
    <s v="Direct"/>
    <s v="Direct"/>
    <x v="10"/>
    <s v="Monitors"/>
    <s v="High"/>
    <s v="MON-6699"/>
    <n v="1234.81"/>
    <n v="2055.2399999999998"/>
    <n v="2055.2399999999998"/>
    <x v="144"/>
    <s v="OK"/>
    <n v="5.2999999999999999E-2"/>
    <n v="44"/>
    <n v="85637.740319999997"/>
    <n v="54331.64"/>
    <n v="31306.100319999998"/>
    <n v="0.36556429680441616"/>
    <d v="2023-01-02T00:00:00"/>
    <s v="Jan-2023"/>
    <n v="0"/>
    <n v="0"/>
    <n v="0"/>
  </r>
  <r>
    <s v="ORD-2024-960952"/>
    <d v="2024-02-03T00:00:00"/>
    <s v="Feb-2024"/>
    <s v="2024-Q1"/>
    <d v="2024-02-21T00:00:00"/>
    <n v="18"/>
    <s v="ACHIEVED"/>
    <x v="3"/>
    <s v="Germany"/>
    <s v="Frankfurt"/>
    <s v="Europe &gt; Germany &gt; Frankfurt"/>
    <s v="Corporate"/>
    <s v="Retail"/>
    <s v="Retail"/>
    <x v="15"/>
    <s v="Components"/>
    <s v="Low"/>
    <s v="CMP-9264"/>
    <n v="39.229999999999997"/>
    <n v="30.09"/>
    <n v="30.09"/>
    <x v="145"/>
    <s v="OK"/>
    <n v="0.17699999999999999"/>
    <n v="13"/>
    <n v="321.93290999999999"/>
    <n v="509.98999999999995"/>
    <n v="-188.05708999999996"/>
    <n v="-0.58414993981199359"/>
    <d v="2023-01-02T00:00:00"/>
    <s v="Jan-2023"/>
    <n v="0"/>
    <n v="0"/>
    <n v="0"/>
  </r>
  <r>
    <s v="ORD-2023-575584"/>
    <d v="2023-01-30T00:00:00"/>
    <s v="Jan-2023"/>
    <s v="2023-Q1"/>
    <d v="2023-02-21T00:00:00"/>
    <n v="22"/>
    <s v="ACHIEVED"/>
    <x v="3"/>
    <s v="Germany"/>
    <s v="Munich"/>
    <s v="Europe &gt; Germany &gt; Munich"/>
    <s v="Small Business"/>
    <s v="Marketplace"/>
    <s v="Marketplace"/>
    <x v="4"/>
    <s v="Networking"/>
    <s v="Medium"/>
    <s v="NET-3460"/>
    <n v="1142.8800000000001"/>
    <n v="1465.29"/>
    <n v="1465.29"/>
    <x v="50"/>
    <s v="OK"/>
    <n v="0.186"/>
    <n v="7"/>
    <n v="8349.2224200000001"/>
    <n v="8000.1600000000008"/>
    <n v="349.06241999999929"/>
    <n v="4.1807775915017401E-2"/>
    <d v="2023-01-02T00:00:00"/>
    <s v="Jan-2023"/>
    <n v="0"/>
    <n v="0"/>
    <n v="0"/>
  </r>
  <r>
    <s v="ORD-2023-701153"/>
    <d v="2023-04-14T00:00:00"/>
    <s v="Apr-2023"/>
    <s v="2023-Q2"/>
    <d v="2023-05-13T00:00:00"/>
    <n v="29"/>
    <s v="ACHIEVED"/>
    <x v="3"/>
    <s v="Germany"/>
    <s v="Frankfurt"/>
    <s v="Europe &gt; Germany &gt; Frankfurt"/>
    <s v="Consumer"/>
    <s v="Direct"/>
    <s v="Direct"/>
    <x v="2"/>
    <s v="Printers"/>
    <s v="High"/>
    <s v="PRN-7019"/>
    <n v="1320.33"/>
    <n v="2645.23"/>
    <n v="2645.23"/>
    <x v="146"/>
    <s v="OK"/>
    <n v="0.155"/>
    <n v="25"/>
    <n v="55880.483749999999"/>
    <n v="33008.25"/>
    <n v="22872.233749999999"/>
    <n v="0.40930629470436536"/>
    <d v="2023-01-02T00:00:00"/>
    <s v="Jan-2023"/>
    <n v="0"/>
    <n v="0"/>
    <n v="0"/>
  </r>
  <r>
    <s v="ORD-2023-390998"/>
    <d v="2023-04-19T00:00:00"/>
    <s v="Apr-2023"/>
    <s v="2023-Q2"/>
    <d v="2023-04-28T00:00:00"/>
    <n v="9"/>
    <s v="ACHIEVED"/>
    <x v="3"/>
    <s v="Germany"/>
    <s v="Berlin"/>
    <s v="Europe &gt; Germany &gt; Berlin"/>
    <s v="Education"/>
    <s v="Online"/>
    <s v="Online"/>
    <x v="11"/>
    <s v="Monitors"/>
    <s v="High"/>
    <s v="MON-1663"/>
    <n v="1178.42"/>
    <n v="2446.56"/>
    <n v="2446.56"/>
    <x v="147"/>
    <s v="OK"/>
    <n v="2.9000000000000001E-2"/>
    <n v="11"/>
    <n v="26131.70736"/>
    <n v="12962.62"/>
    <n v="13169.08736"/>
    <n v="0.5039505141618883"/>
    <d v="2023-01-02T00:00:00"/>
    <s v="Jan-2023"/>
    <n v="0"/>
    <n v="0"/>
    <n v="0"/>
  </r>
  <r>
    <s v="ORD-2023-613317"/>
    <d v="2023-01-22T00:00:00"/>
    <s v="Jan-2023"/>
    <s v="2023-Q1"/>
    <d v="2023-01-27T00:00:00"/>
    <n v="5"/>
    <s v="NOT ACHIEVED"/>
    <x v="3"/>
    <s v="Germany"/>
    <s v="Munich"/>
    <s v="Europe &gt; Germany &gt; Munich"/>
    <s v="Corporate"/>
    <s v="Direct"/>
    <s v="Direct"/>
    <x v="8"/>
    <s v="Monitors"/>
    <s v="Low"/>
    <s v="MON-2537"/>
    <n v="150.86000000000001"/>
    <n v="346.96"/>
    <n v="346.96"/>
    <x v="66"/>
    <s v="OK"/>
    <n v="0.19600000000000001"/>
    <n v="8"/>
    <n v="2231.6467200000002"/>
    <n v="1206.8800000000001"/>
    <n v="1024.7667200000001"/>
    <n v="0.45919755614365343"/>
    <d v="2023-01-02T00:00:00"/>
    <s v="Jan-2023"/>
    <n v="0"/>
    <n v="0"/>
    <n v="0"/>
  </r>
  <r>
    <s v="ORD-2024-866535"/>
    <d v="2024-12-04T00:00:00"/>
    <s v="Dec-2024"/>
    <s v="2024-Q4"/>
    <d v="2024-12-12T00:00:00"/>
    <n v="8"/>
    <s v="ACHIEVED"/>
    <x v="3"/>
    <s v="Germany"/>
    <s v="Frankfurt"/>
    <s v="Europe &gt; Germany &gt; Frankfurt"/>
    <s v="Enterprise"/>
    <s v="Marketplace"/>
    <s v="Marketplace"/>
    <x v="6"/>
    <s v="Printers"/>
    <s v="Low"/>
    <s v="PRN-5492"/>
    <n v="72.06"/>
    <n v="122.74"/>
    <n v="122.74"/>
    <x v="148"/>
    <s v="OK"/>
    <n v="0.23799999999999999"/>
    <n v="8"/>
    <n v="748.22303999999997"/>
    <n v="576.48"/>
    <n v="171.74303999999995"/>
    <n v="0.22953455162246802"/>
    <d v="2023-01-02T00:00:00"/>
    <s v="Jan-2023"/>
    <n v="0"/>
    <n v="0"/>
    <n v="0"/>
  </r>
  <r>
    <s v="ORD-2025-946490"/>
    <d v="2025-04-22T00:00:00"/>
    <s v="Apr-2025"/>
    <s v="2025-Q2"/>
    <d v="2025-05-02T00:00:00"/>
    <n v="10"/>
    <s v="ACHIEVED"/>
    <x v="3"/>
    <s v="Germany"/>
    <s v="Berlin"/>
    <s v="Europe &gt; Germany &gt; Berlin"/>
    <s v="Corporate"/>
    <s v="Marketplace"/>
    <s v="Marketplace"/>
    <x v="0"/>
    <s v="Monitors"/>
    <s v="Low"/>
    <s v="MON-2842"/>
    <n v="20.149999999999999"/>
    <n v="39.74"/>
    <n v="39.74"/>
    <x v="113"/>
    <s v="OK"/>
    <n v="0.151"/>
    <n v="18"/>
    <n v="607.30668000000003"/>
    <n v="362.7"/>
    <n v="244.60668000000004"/>
    <n v="0.4027729120318585"/>
    <d v="2023-01-02T00:00:00"/>
    <s v="Jan-2023"/>
    <n v="0"/>
    <n v="0"/>
    <n v="0"/>
  </r>
  <r>
    <s v="ORD-2024-855600"/>
    <d v="2024-04-29T00:00:00"/>
    <s v="Apr-2024"/>
    <s v="2024-Q2"/>
    <d v="2024-05-19T00:00:00"/>
    <n v="20"/>
    <s v="ACHIEVED"/>
    <x v="3"/>
    <s v="Germany"/>
    <s v="Frankfurt"/>
    <s v="Europe &gt; Germany &gt; Frankfurt"/>
    <s v="Enterprise"/>
    <s v="Marketplace"/>
    <s v="Marketplace"/>
    <x v="0"/>
    <s v="Laptops"/>
    <s v="High"/>
    <s v="LAP-5009"/>
    <n v="668.97"/>
    <n v="1667.44"/>
    <n v="1667.44"/>
    <x v="149"/>
    <s v="OK"/>
    <n v="3.4000000000000002E-2"/>
    <n v="15"/>
    <n v="24161.205600000001"/>
    <n v="10034.550000000001"/>
    <n v="14126.6556"/>
    <n v="0.58468339013679016"/>
    <d v="2023-01-02T00:00:00"/>
    <s v="Jan-2023"/>
    <n v="0"/>
    <n v="0"/>
    <n v="0"/>
  </r>
  <r>
    <s v="ORD-2025-184754"/>
    <d v="2025-06-27T00:00:00"/>
    <s v="Jun-2025"/>
    <s v="2025-Q2"/>
    <d v="2025-07-05T00:00:00"/>
    <n v="8"/>
    <s v="ACHIEVED"/>
    <x v="3"/>
    <s v="Germany"/>
    <s v="Munich"/>
    <s v="Europe &gt; Germany &gt; Munich"/>
    <s v="Small Business"/>
    <s v="Direct"/>
    <s v="Direct"/>
    <x v="4"/>
    <s v="Monitors"/>
    <s v="Low"/>
    <s v="MON-7626"/>
    <n v="314.93"/>
    <n v="687.95"/>
    <n v="687.95"/>
    <x v="130"/>
    <s v="OK"/>
    <n v="0.20499999999999999"/>
    <n v="8"/>
    <n v="4375.3620000000001"/>
    <n v="2519.44"/>
    <n v="1855.922"/>
    <n v="0.424175645352316"/>
    <d v="2023-01-02T00:00:00"/>
    <s v="Jan-2023"/>
    <n v="0"/>
    <n v="0"/>
    <n v="0"/>
  </r>
  <r>
    <s v="ORD-2023-521280"/>
    <d v="2023-05-27T00:00:00"/>
    <s v="May-2023"/>
    <s v="2023-Q2"/>
    <d v="2023-06-19T00:00:00"/>
    <n v="23"/>
    <s v="ACHIEVED"/>
    <x v="3"/>
    <s v="Germany"/>
    <s v="Berlin"/>
    <s v="Europe &gt; Germany &gt; Berlin"/>
    <s v="Education"/>
    <s v="Retail"/>
    <s v="Retail"/>
    <x v="7"/>
    <s v="Accessories"/>
    <s v="High"/>
    <s v="ACC-1882"/>
    <n v="1471.58"/>
    <n v="2576.65"/>
    <n v="2576.65"/>
    <x v="98"/>
    <s v="OK"/>
    <n v="4.0000000000000001E-3"/>
    <n v="7"/>
    <n v="17964.4038"/>
    <n v="10301.06"/>
    <n v="7663.3438000000006"/>
    <n v="0.4265849223451546"/>
    <d v="2023-01-02T00:00:00"/>
    <s v="Jan-2023"/>
    <n v="0"/>
    <n v="0"/>
    <n v="0"/>
  </r>
  <r>
    <s v="ORD-2024-745822"/>
    <d v="2024-03-31T00:00:00"/>
    <s v="Mar-2024"/>
    <s v="2024-Q1"/>
    <d v="2024-04-17T00:00:00"/>
    <n v="17"/>
    <s v="ACHIEVED"/>
    <x v="3"/>
    <s v="Germany"/>
    <s v="Frankfurt"/>
    <s v="Europe &gt; Germany &gt; Frankfurt"/>
    <s v="Education"/>
    <s v="Direct"/>
    <s v="Direct"/>
    <x v="15"/>
    <s v="Monitors"/>
    <s v="Medium"/>
    <s v="MON-8651"/>
    <n v="1025.51"/>
    <n v="1436.54"/>
    <n v="1436.54"/>
    <x v="114"/>
    <s v="OK"/>
    <n v="0.13900000000000001"/>
    <n v="28"/>
    <n v="34632.106319999999"/>
    <n v="28714.28"/>
    <n v="5917.8263200000001"/>
    <n v="0.17087688127656453"/>
    <d v="2023-01-02T00:00:00"/>
    <s v="Jan-2023"/>
    <n v="0"/>
    <n v="0"/>
    <n v="0"/>
  </r>
  <r>
    <s v="ORD-2025-678328"/>
    <d v="2025-06-24T00:00:00"/>
    <s v="Jun-2025"/>
    <s v="2025-Q2"/>
    <d v="2025-07-14T00:00:00"/>
    <n v="20"/>
    <s v="ACHIEVED"/>
    <x v="3"/>
    <s v="Germany"/>
    <s v="Berlin"/>
    <s v="Europe &gt; Germany &gt; Berlin"/>
    <s v="Corporate"/>
    <s v="Direct"/>
    <s v="Direct"/>
    <x v="7"/>
    <s v="Accessories"/>
    <s v="Medium"/>
    <s v="ACC-8094"/>
    <n v="385.08"/>
    <n v="893.19"/>
    <n v="893.19"/>
    <x v="113"/>
    <s v="OK"/>
    <n v="0.151"/>
    <n v="8"/>
    <n v="6066.54648"/>
    <n v="3080.64"/>
    <n v="2985.9064800000001"/>
    <n v="0.49219213762621666"/>
    <d v="2023-01-02T00:00:00"/>
    <s v="Jan-2023"/>
    <n v="0"/>
    <n v="0"/>
    <n v="0"/>
  </r>
  <r>
    <s v="ORD-2024-366010"/>
    <d v="2024-01-13T00:00:00"/>
    <s v="Jan-2024"/>
    <s v="2024-Q1"/>
    <d v="2024-02-05T00:00:00"/>
    <n v="23"/>
    <s v="ACHIEVED"/>
    <x v="3"/>
    <s v="Germany"/>
    <s v="Frankfurt"/>
    <s v="Europe &gt; Germany &gt; Frankfurt"/>
    <s v="Education"/>
    <s v="Direct"/>
    <s v="Direct"/>
    <x v="6"/>
    <s v="Laptops"/>
    <s v="Medium"/>
    <s v="LAP-9931"/>
    <n v="1017.93"/>
    <n v="1529.14"/>
    <n v="1529.14"/>
    <x v="146"/>
    <s v="OK"/>
    <n v="0.155"/>
    <n v="12"/>
    <n v="15505.479600000001"/>
    <n v="12215.16"/>
    <n v="3290.3196000000007"/>
    <n v="0.21220366508366503"/>
    <d v="2023-01-02T00:00:00"/>
    <s v="Jan-2023"/>
    <n v="0"/>
    <n v="0"/>
    <n v="0"/>
  </r>
  <r>
    <s v="ORD-2025-541048"/>
    <d v="2025-04-04T00:00:00"/>
    <s v="Apr-2025"/>
    <s v="2025-Q2"/>
    <d v="2025-04-13T00:00:00"/>
    <n v="9"/>
    <s v="ACHIEVED"/>
    <x v="3"/>
    <s v="Germany"/>
    <s v="Munich"/>
    <s v="Europe &gt; Germany &gt; Munich"/>
    <s v="Consumer"/>
    <s v="Marketplace"/>
    <s v="Marketplace"/>
    <x v="8"/>
    <s v="Phones"/>
    <s v="Low"/>
    <s v="PHN-3803"/>
    <n v="7.02"/>
    <n v="6.28"/>
    <n v="6.28"/>
    <x v="11"/>
    <s v="OK"/>
    <n v="0.13400000000000001"/>
    <n v="14"/>
    <n v="76.138720000000006"/>
    <n v="98.28"/>
    <n v="-22.141279999999995"/>
    <n v="-0.29080184169106066"/>
    <d v="2023-01-02T00:00:00"/>
    <s v="Jan-2023"/>
    <n v="0"/>
    <n v="0"/>
    <n v="0"/>
  </r>
  <r>
    <s v="ORD-2025-398335"/>
    <d v="2025-06-01T00:00:00"/>
    <s v="Jun-2025"/>
    <s v="2025-Q2"/>
    <d v="2025-06-27T00:00:00"/>
    <n v="26"/>
    <s v="ACHIEVED"/>
    <x v="3"/>
    <s v="Germany"/>
    <s v="Munich"/>
    <s v="Europe &gt; Germany &gt; Munich"/>
    <s v="Consumer"/>
    <s v="Distributor"/>
    <s v="Distributor"/>
    <x v="11"/>
    <s v="Laptops"/>
    <s v="High"/>
    <s v="LAP-1619"/>
    <n v="1362.31"/>
    <n v="3294.57"/>
    <n v="3294.57"/>
    <x v="150"/>
    <s v="OK"/>
    <n v="0.113"/>
    <n v="7"/>
    <n v="20455.985130000001"/>
    <n v="9536.17"/>
    <n v="10919.815130000001"/>
    <n v="0.5338200561157721"/>
    <d v="2023-01-02T00:00:00"/>
    <s v="Jan-2023"/>
    <n v="0"/>
    <n v="0"/>
    <n v="0"/>
  </r>
  <r>
    <s v="ORD-2024-819979"/>
    <d v="2024-05-28T00:00:00"/>
    <s v="May-2024"/>
    <s v="2024-Q2"/>
    <d v="2024-06-18T00:00:00"/>
    <n v="21"/>
    <s v="ACHIEVED"/>
    <x v="3"/>
    <s v="Germany"/>
    <s v="Frankfurt"/>
    <s v="Europe &gt; Germany &gt; Frankfurt"/>
    <s v="Small Business"/>
    <s v="Online"/>
    <s v="Online"/>
    <x v="11"/>
    <s v="Phones"/>
    <s v="High"/>
    <s v="PHN-9399"/>
    <n v="986.85"/>
    <n v="2422.1"/>
    <n v="2422.1"/>
    <x v="151"/>
    <s v="OK"/>
    <n v="7.5999999999999998E-2"/>
    <n v="10"/>
    <n v="22380.204000000002"/>
    <n v="9868.5"/>
    <n v="12511.704000000002"/>
    <n v="0.55905227673527913"/>
    <d v="2023-01-02T00:00:00"/>
    <s v="Jan-2023"/>
    <n v="0"/>
    <n v="0"/>
    <n v="0"/>
  </r>
  <r>
    <s v="ORD-2023-212701"/>
    <d v="2023-12-02T00:00:00"/>
    <s v="Dec-2023"/>
    <s v="2023-Q4"/>
    <d v="2023-12-16T00:00:00"/>
    <n v="14"/>
    <s v="ACHIEVED"/>
    <x v="3"/>
    <s v="Germany"/>
    <s v="Frankfurt"/>
    <s v="Europe &gt; Germany &gt; Frankfurt"/>
    <s v="Education"/>
    <s v="Direct"/>
    <s v="Direct"/>
    <x v="5"/>
    <s v="Monitors"/>
    <s v="Medium"/>
    <s v="MON-4278"/>
    <n v="879.08"/>
    <n v="1093.3900000000001"/>
    <n v="1093.3900000000001"/>
    <x v="150"/>
    <s v="OK"/>
    <n v="0.113"/>
    <n v="17"/>
    <n v="16487.22781"/>
    <n v="14944.36"/>
    <n v="1542.8678099999997"/>
    <n v="9.3579577341935186E-2"/>
    <d v="2023-01-02T00:00:00"/>
    <s v="Jan-2023"/>
    <n v="0"/>
    <n v="0"/>
    <n v="0"/>
  </r>
  <r>
    <s v="ORD-2025-677880"/>
    <d v="2025-08-21T00:00:00"/>
    <s v="Aug-2025"/>
    <s v="2025-Q3"/>
    <d v="2025-09-14T00:00:00"/>
    <n v="24"/>
    <s v="ACHIEVED"/>
    <x v="3"/>
    <s v="Germany"/>
    <s v="Berlin"/>
    <s v="Europe &gt; Germany &gt; Berlin"/>
    <s v="Non-Profit"/>
    <s v="Online"/>
    <s v="Online"/>
    <x v="1"/>
    <s v="Monitors"/>
    <s v="High"/>
    <s v="MON-9662"/>
    <n v="1397.67"/>
    <n v="3131.37"/>
    <n v="3131.37"/>
    <x v="71"/>
    <s v="OK"/>
    <n v="0.10299999999999999"/>
    <n v="20"/>
    <n v="56176.777799999996"/>
    <n v="27953.4"/>
    <n v="28223.377799999995"/>
    <n v="0.50240293062874808"/>
    <d v="2023-01-02T00:00:00"/>
    <s v="Jan-2023"/>
    <n v="0"/>
    <n v="0"/>
    <n v="0"/>
  </r>
  <r>
    <s v="ORD-2023-933238"/>
    <d v="2023-03-17T00:00:00"/>
    <s v="Mar-2023"/>
    <s v="2023-Q1"/>
    <d v="2023-04-06T00:00:00"/>
    <n v="20"/>
    <s v="ACHIEVED"/>
    <x v="3"/>
    <s v="Germany"/>
    <s v="Munich"/>
    <s v="Europe &gt; Germany &gt; Munich"/>
    <s v="Consumer"/>
    <s v="Retail"/>
    <s v="Retail"/>
    <x v="7"/>
    <s v="Phones"/>
    <s v="Medium"/>
    <s v="PHN-8483"/>
    <n v="692.18"/>
    <n v="1159.3499999999999"/>
    <n v="1159.3499999999999"/>
    <x v="0"/>
    <s v="OK"/>
    <n v="0.112"/>
    <n v="2"/>
    <n v="2059.0056"/>
    <n v="1384.36"/>
    <n v="674.64560000000006"/>
    <n v="0.32765602968734037"/>
    <d v="2023-01-02T00:00:00"/>
    <s v="Jan-2023"/>
    <n v="0"/>
    <n v="0"/>
    <n v="0"/>
  </r>
  <r>
    <s v="ORD-2024-749242"/>
    <d v="2024-01-16T00:00:00"/>
    <s v="Jan-2024"/>
    <s v="2024-Q1"/>
    <d v="2024-02-11T00:00:00"/>
    <n v="26"/>
    <s v="ACHIEVED"/>
    <x v="3"/>
    <s v="Germany"/>
    <s v="Frankfurt"/>
    <s v="Europe &gt; Germany &gt; Frankfurt"/>
    <s v="Non-Profit"/>
    <s v="Distributor"/>
    <s v="Distributor"/>
    <x v="11"/>
    <s v="Monitors"/>
    <s v="Medium"/>
    <s v="MON-4195"/>
    <n v="504.93"/>
    <n v="819.06"/>
    <n v="819.06"/>
    <x v="48"/>
    <s v="OK"/>
    <n v="0.22600000000000001"/>
    <n v="15"/>
    <n v="9509.2865999999995"/>
    <n v="7573.95"/>
    <n v="1935.3365999999996"/>
    <n v="0.20352069312959814"/>
    <d v="2023-01-02T00:00:00"/>
    <s v="Jan-2023"/>
    <n v="0"/>
    <n v="0"/>
    <n v="0"/>
  </r>
  <r>
    <s v="ORD-2024-381197"/>
    <d v="2024-11-01T00:00:00"/>
    <s v="Nov-2024"/>
    <s v="2024-Q4"/>
    <d v="2024-11-12T00:00:00"/>
    <n v="11"/>
    <s v="ACHIEVED"/>
    <x v="3"/>
    <s v="Germany"/>
    <s v="Frankfurt"/>
    <s v="Europe &gt; Germany &gt; Frankfurt"/>
    <s v="Consumer"/>
    <s v="Online"/>
    <s v="Online"/>
    <x v="6"/>
    <s v="Printers"/>
    <s v="Medium"/>
    <s v="PRN-2409"/>
    <n v="599.84"/>
    <n v="1330.85"/>
    <n v="1330.85"/>
    <x v="72"/>
    <s v="OK"/>
    <n v="0.115"/>
    <n v="11"/>
    <n v="12955.824749999998"/>
    <n v="6598.2400000000007"/>
    <n v="6357.5847499999973"/>
    <n v="0.49071246892252063"/>
    <d v="2023-01-02T00:00:00"/>
    <s v="Jan-2023"/>
    <n v="0"/>
    <n v="0"/>
    <n v="0"/>
  </r>
  <r>
    <s v="ORD-2024-745424"/>
    <d v="2024-08-22T00:00:00"/>
    <s v="Aug-2024"/>
    <s v="2024-Q3"/>
    <d v="2024-09-04T00:00:00"/>
    <n v="13"/>
    <s v="ACHIEVED"/>
    <x v="3"/>
    <s v="Germany"/>
    <s v="Frankfurt"/>
    <s v="Europe &gt; Germany &gt; Frankfurt"/>
    <s v="Non-Profit"/>
    <s v="Retail"/>
    <s v="Retail"/>
    <x v="10"/>
    <s v="Printers"/>
    <s v="Low"/>
    <s v="PRN-4892"/>
    <n v="90.04"/>
    <n v="194.62"/>
    <n v="194.62"/>
    <x v="56"/>
    <s v="OK"/>
    <n v="4.2999999999999997E-2"/>
    <n v="32"/>
    <n v="5960.04288"/>
    <n v="2881.28"/>
    <n v="3078.7628799999998"/>
    <n v="0.51656723650954672"/>
    <d v="2023-01-02T00:00:00"/>
    <s v="Jan-2023"/>
    <n v="0"/>
    <n v="0"/>
    <n v="0"/>
  </r>
  <r>
    <s v="ORD-2023-191563"/>
    <d v="2023-11-30T00:00:00"/>
    <s v="Nov-2023"/>
    <s v="2023-Q4"/>
    <d v="2023-12-10T00:00:00"/>
    <n v="10"/>
    <s v="ACHIEVED"/>
    <x v="3"/>
    <s v="Germany"/>
    <s v="Munich"/>
    <s v="Europe &gt; Germany &gt; Munich"/>
    <s v="Small Business"/>
    <s v="Direct"/>
    <s v="Direct"/>
    <x v="8"/>
    <s v="Laptops"/>
    <s v="Low"/>
    <s v="LAP-4899"/>
    <n v="174.74"/>
    <n v="415.96"/>
    <n v="415.96"/>
    <x v="152"/>
    <s v="OK"/>
    <n v="0.125"/>
    <n v="21"/>
    <n v="7643.2649999999994"/>
    <n v="3669.54"/>
    <n v="3973.7249999999995"/>
    <n v="0.51989889137691803"/>
    <d v="2023-01-02T00:00:00"/>
    <s v="Jan-2023"/>
    <n v="0"/>
    <n v="0"/>
    <n v="0"/>
  </r>
  <r>
    <s v="ORD-2024-356812"/>
    <d v="2024-03-07T00:00:00"/>
    <s v="Mar-2024"/>
    <s v="2024-Q1"/>
    <d v="2024-04-03T00:00:00"/>
    <n v="27"/>
    <s v="ACHIEVED"/>
    <x v="3"/>
    <s v="Germany"/>
    <s v="Frankfurt"/>
    <s v="Europe &gt; Germany &gt; Frankfurt"/>
    <s v="Corporate"/>
    <s v="Direct"/>
    <s v="Direct"/>
    <x v="13"/>
    <s v="Printers"/>
    <s v="Medium"/>
    <s v="PRN-6911"/>
    <n v="738.16"/>
    <n v="956.49"/>
    <n v="956.49"/>
    <x v="153"/>
    <s v="OK"/>
    <n v="0.152"/>
    <n v="5"/>
    <n v="4055.5175999999997"/>
    <n v="3690.7999999999997"/>
    <n v="364.71759999999995"/>
    <n v="8.9931208780847108E-2"/>
    <d v="2023-01-02T00:00:00"/>
    <s v="Jan-2023"/>
    <n v="0"/>
    <n v="0"/>
    <n v="0"/>
  </r>
  <r>
    <s v="ORD-2025-795385"/>
    <d v="2025-06-01T00:00:00"/>
    <s v="Jun-2025"/>
    <s v="2025-Q2"/>
    <d v="2025-06-05T00:00:00"/>
    <n v="4"/>
    <s v="NOT ACHIEVED"/>
    <x v="3"/>
    <s v="Germany"/>
    <s v="Munich"/>
    <s v="Europe &gt; Germany &gt; Munich"/>
    <s v="Enterprise"/>
    <s v="Direct"/>
    <s v="Direct"/>
    <x v="13"/>
    <s v="Components"/>
    <s v="High"/>
    <s v="CMP-4159"/>
    <n v="1171.42"/>
    <n v="2187.8000000000002"/>
    <n v="2187.8000000000002"/>
    <x v="154"/>
    <s v="OK"/>
    <n v="0.23"/>
    <n v="15"/>
    <n v="25269.09"/>
    <n v="17571.300000000003"/>
    <n v="7697.7899999999972"/>
    <n v="0.30463265594447592"/>
    <d v="2023-01-02T00:00:00"/>
    <s v="Jan-2023"/>
    <n v="0"/>
    <n v="0"/>
    <n v="0"/>
  </r>
  <r>
    <s v="ORD-2025-947929"/>
    <d v="2025-03-23T00:00:00"/>
    <s v="Mar-2025"/>
    <s v="2025-Q1"/>
    <d v="2025-04-02T00:00:00"/>
    <n v="10"/>
    <s v="ACHIEVED"/>
    <x v="3"/>
    <s v="Germany"/>
    <s v="Berlin"/>
    <s v="Europe &gt; Germany &gt; Berlin"/>
    <s v="Enterprise"/>
    <s v="Online"/>
    <s v="Online"/>
    <x v="11"/>
    <s v="Printers"/>
    <s v="Medium"/>
    <s v="PRN-3159"/>
    <n v="663.61"/>
    <n v="1002.11"/>
    <n v="1002.11"/>
    <x v="155"/>
    <s v="OK"/>
    <n v="4.5999999999999999E-2"/>
    <n v="17"/>
    <n v="16252.219979999998"/>
    <n v="11281.37"/>
    <n v="4970.8499799999972"/>
    <n v="0.30585667595670812"/>
    <d v="2023-01-02T00:00:00"/>
    <s v="Jan-2023"/>
    <n v="0"/>
    <n v="0"/>
    <n v="0"/>
  </r>
  <r>
    <s v="ORD-2023-799597"/>
    <d v="2023-03-14T00:00:00"/>
    <s v="Mar-2023"/>
    <s v="2023-Q1"/>
    <d v="2023-03-18T00:00:00"/>
    <n v="4"/>
    <s v="NOT ACHIEVED"/>
    <x v="3"/>
    <s v="Germany"/>
    <s v="Frankfurt"/>
    <s v="Europe &gt; Germany &gt; Frankfurt"/>
    <s v="Enterprise"/>
    <s v="Direct"/>
    <s v="Direct"/>
    <x v="1"/>
    <s v="Components"/>
    <s v="Low"/>
    <s v="CMP-8675"/>
    <n v="472.33"/>
    <n v="360.34"/>
    <n v="360.34"/>
    <x v="156"/>
    <s v="OK"/>
    <n v="0.16500000000000001"/>
    <n v="14"/>
    <n v="4212.3745999999992"/>
    <n v="6612.62"/>
    <n v="-2400.2454000000007"/>
    <n v="-0.56980815523861561"/>
    <d v="2023-01-02T00:00:00"/>
    <s v="Jan-2023"/>
    <n v="0"/>
    <n v="0"/>
    <n v="0"/>
  </r>
  <r>
    <s v="ORD-2023-609394"/>
    <d v="2023-04-16T00:00:00"/>
    <s v="Apr-2023"/>
    <s v="2023-Q2"/>
    <d v="2023-04-19T00:00:00"/>
    <n v="3"/>
    <s v="NOT ACHIEVED"/>
    <x v="3"/>
    <s v="Germany"/>
    <s v="Munich"/>
    <s v="Europe &gt; Germany &gt; Munich"/>
    <s v="Corporate"/>
    <s v="Direct"/>
    <s v="Direct"/>
    <x v="6"/>
    <s v="Accessories"/>
    <s v="Low"/>
    <s v="ACC-1731"/>
    <n v="553.61"/>
    <n v="699.47"/>
    <n v="699.47"/>
    <x v="94"/>
    <s v="OK"/>
    <n v="0.02"/>
    <n v="33"/>
    <n v="22620.859800000002"/>
    <n v="18269.13"/>
    <n v="4351.729800000001"/>
    <n v="0.19237685209472014"/>
    <d v="2023-01-02T00:00:00"/>
    <s v="Jan-2023"/>
    <n v="0"/>
    <n v="0"/>
    <n v="0"/>
  </r>
  <r>
    <s v="ORD-2025-252117"/>
    <d v="2025-04-28T00:00:00"/>
    <s v="Apr-2025"/>
    <s v="2025-Q2"/>
    <d v="2025-05-19T00:00:00"/>
    <n v="21"/>
    <s v="ACHIEVED"/>
    <x v="3"/>
    <s v="Germany"/>
    <s v="Berlin"/>
    <s v="Europe &gt; Germany &gt; Berlin"/>
    <s v="Corporate"/>
    <s v="Distributor"/>
    <s v="Distributor"/>
    <x v="6"/>
    <s v="Phones"/>
    <s v="Low"/>
    <s v="PHN-2462"/>
    <n v="350.76"/>
    <n v="492.18"/>
    <n v="492.18"/>
    <x v="144"/>
    <s v="OK"/>
    <n v="5.2999999999999999E-2"/>
    <n v="11"/>
    <n v="5127.0390600000001"/>
    <n v="3858.3599999999997"/>
    <n v="1268.6790600000004"/>
    <n v="0.24744868239798437"/>
    <d v="2023-01-02T00:00:00"/>
    <s v="Jan-2023"/>
    <n v="0"/>
    <n v="0"/>
    <n v="0"/>
  </r>
  <r>
    <s v="ORD-2023-349264"/>
    <d v="2023-06-01T00:00:00"/>
    <s v="Jun-2023"/>
    <s v="2023-Q2"/>
    <d v="2023-06-08T00:00:00"/>
    <n v="7"/>
    <s v="ACHIEVED"/>
    <x v="3"/>
    <s v="Germany"/>
    <s v="Frankfurt"/>
    <s v="Europe &gt; Germany &gt; Frankfurt"/>
    <s v="Consumer"/>
    <s v="Online"/>
    <s v="Online"/>
    <x v="1"/>
    <s v="Phones"/>
    <s v="Medium"/>
    <s v="PHN-1924"/>
    <n v="804.17"/>
    <n v="1072.29"/>
    <n v="1072.29"/>
    <x v="39"/>
    <s v="OK"/>
    <n v="3.2000000000000001E-2"/>
    <n v="5"/>
    <n v="5189.8836000000001"/>
    <n v="4020.85"/>
    <n v="1169.0336000000002"/>
    <n v="0.2252523736755869"/>
    <d v="2023-01-02T00:00:00"/>
    <s v="Jan-2023"/>
    <n v="0"/>
    <n v="0"/>
    <n v="0"/>
  </r>
  <r>
    <s v="ORD-2024-402240"/>
    <d v="2024-05-01T00:00:00"/>
    <s v="May-2024"/>
    <s v="2024-Q2"/>
    <d v="2024-05-26T00:00:00"/>
    <n v="25"/>
    <s v="ACHIEVED"/>
    <x v="3"/>
    <s v="Germany"/>
    <s v="Berlin"/>
    <s v="Europe &gt; Germany &gt; Berlin"/>
    <s v="Non-Profit"/>
    <s v="Retail"/>
    <s v="Retail"/>
    <x v="6"/>
    <s v="Networking"/>
    <s v="High"/>
    <s v="NET-4228"/>
    <n v="930.71"/>
    <n v="1625.42"/>
    <n v="1625.42"/>
    <x v="129"/>
    <s v="OK"/>
    <n v="0.13800000000000001"/>
    <n v="7"/>
    <n v="9807.7842799999999"/>
    <n v="6514.97"/>
    <n v="3292.8142799999996"/>
    <n v="0.33573477821231196"/>
    <d v="2023-01-02T00:00:00"/>
    <s v="Jan-2023"/>
    <n v="0"/>
    <n v="0"/>
    <n v="0"/>
  </r>
  <r>
    <s v="ORD-2025-926547"/>
    <d v="2025-03-11T00:00:00"/>
    <s v="Mar-2025"/>
    <s v="2025-Q1"/>
    <d v="2025-03-26T00:00:00"/>
    <n v="15"/>
    <s v="ACHIEVED"/>
    <x v="3"/>
    <s v="Germany"/>
    <s v="Berlin"/>
    <s v="Europe &gt; Germany &gt; Berlin"/>
    <s v="Small Business"/>
    <s v="Online"/>
    <s v="Online"/>
    <x v="12"/>
    <s v="Phones"/>
    <s v="Low"/>
    <s v="PHN-3007"/>
    <n v="116.97"/>
    <n v="140.82"/>
    <n v="140.82"/>
    <x v="157"/>
    <s v="OK"/>
    <n v="0.122"/>
    <n v="5"/>
    <n v="618.19979999999987"/>
    <n v="584.85"/>
    <n v="33.349799999999846"/>
    <n v="5.3946636669891926E-2"/>
    <d v="2023-01-02T00:00:00"/>
    <s v="Jan-2023"/>
    <n v="0"/>
    <n v="0"/>
    <n v="0"/>
  </r>
  <r>
    <s v="ORD-2023-811823"/>
    <d v="2023-01-26T00:00:00"/>
    <s v="Jan-2023"/>
    <s v="2023-Q1"/>
    <d v="2023-02-15T00:00:00"/>
    <n v="20"/>
    <s v="ACHIEVED"/>
    <x v="3"/>
    <s v="Germany"/>
    <s v="Berlin"/>
    <s v="Europe &gt; Germany &gt; Berlin"/>
    <s v="Small Business"/>
    <s v="Online"/>
    <s v="Online"/>
    <x v="7"/>
    <s v="Networking"/>
    <s v="Low"/>
    <s v="NET-8787"/>
    <n v="492.62"/>
    <n v="366.7"/>
    <n v="366.7"/>
    <x v="51"/>
    <s v="OK"/>
    <n v="8.8999999999999996E-2"/>
    <n v="10"/>
    <n v="3340.6370000000002"/>
    <n v="4926.2"/>
    <n v="-1585.5629999999996"/>
    <n v="-0.47462894052840809"/>
    <d v="2023-01-02T00:00:00"/>
    <s v="Jan-2023"/>
    <n v="0"/>
    <n v="0"/>
    <n v="0"/>
  </r>
  <r>
    <s v="ORD-2023-453699"/>
    <d v="2023-07-01T00:00:00"/>
    <s v="Jul-2023"/>
    <s v="2023-Q3"/>
    <d v="2023-07-08T00:00:00"/>
    <n v="7"/>
    <s v="ACHIEVED"/>
    <x v="3"/>
    <s v="Germany"/>
    <s v="Frankfurt"/>
    <s v="Europe &gt; Germany &gt; Frankfurt"/>
    <s v="Small Business"/>
    <s v="Distributor"/>
    <s v="Distributor"/>
    <x v="5"/>
    <s v="Laptops"/>
    <s v="Medium"/>
    <s v="LAP-4666"/>
    <n v="460.21"/>
    <n v="1139.1500000000001"/>
    <n v="1139.1500000000001"/>
    <x v="72"/>
    <s v="OK"/>
    <n v="0.115"/>
    <n v="14"/>
    <n v="14114.068500000001"/>
    <n v="6442.94"/>
    <n v="7671.1285000000016"/>
    <n v="0.54350937151821255"/>
    <d v="2023-01-02T00:00:00"/>
    <s v="Jan-2023"/>
    <n v="0"/>
    <n v="0"/>
    <n v="0"/>
  </r>
  <r>
    <s v="ORD-2023-472078"/>
    <d v="2023-02-28T00:00:00"/>
    <s v="Feb-2023"/>
    <s v="2023-Q1"/>
    <d v="2023-03-06T00:00:00"/>
    <n v="6"/>
    <s v="NOT ACHIEVED"/>
    <x v="3"/>
    <s v="Germany"/>
    <s v="Frankfurt"/>
    <s v="Europe &gt; Germany &gt; Frankfurt"/>
    <s v="Small Business"/>
    <s v="Marketplace"/>
    <s v="Marketplace"/>
    <x v="14"/>
    <s v="Printers"/>
    <s v="Medium"/>
    <s v="PRN-9624"/>
    <n v="880.02"/>
    <n v="1251.21"/>
    <n v="1251.21"/>
    <x v="42"/>
    <s v="OK"/>
    <n v="0.123"/>
    <n v="29"/>
    <n v="31822.023930000003"/>
    <n v="25520.579999999998"/>
    <n v="6301.4439300000049"/>
    <n v="0.19802146915172672"/>
    <d v="2023-01-02T00:00:00"/>
    <s v="Jan-2023"/>
    <n v="0"/>
    <n v="0"/>
    <n v="0"/>
  </r>
  <r>
    <s v="ORD-2025-337268"/>
    <d v="2025-02-16T00:00:00"/>
    <s v="Feb-2025"/>
    <s v="2025-Q1"/>
    <d v="2025-03-17T00:00:00"/>
    <n v="29"/>
    <s v="ACHIEVED"/>
    <x v="3"/>
    <s v="Germany"/>
    <s v="Munich"/>
    <s v="Europe &gt; Germany &gt; Munich"/>
    <s v="Consumer"/>
    <s v="Retail"/>
    <s v="Retail"/>
    <x v="10"/>
    <s v="Accessories"/>
    <s v="Medium"/>
    <s v="ACC-5150"/>
    <n v="730.42"/>
    <n v="956.7"/>
    <n v="956.7"/>
    <x v="41"/>
    <s v="OK"/>
    <n v="4.2000000000000003E-2"/>
    <n v="22"/>
    <n v="20163.409200000002"/>
    <n v="16069.24"/>
    <n v="4094.1692000000021"/>
    <n v="0.20304945256975698"/>
    <d v="2023-01-02T00:00:00"/>
    <s v="Jan-2023"/>
    <n v="0"/>
    <n v="0"/>
    <n v="0"/>
  </r>
  <r>
    <s v="ORD-2023-961864"/>
    <d v="2023-12-07T00:00:00"/>
    <s v="Dec-2023"/>
    <s v="2023-Q4"/>
    <d v="2024-01-02T00:00:00"/>
    <n v="26"/>
    <s v="ACHIEVED"/>
    <x v="3"/>
    <s v="Germany"/>
    <s v="Frankfurt"/>
    <s v="Europe &gt; Germany &gt; Frankfurt"/>
    <s v="Enterprise"/>
    <s v="Distributor"/>
    <s v="Distributor"/>
    <x v="11"/>
    <s v="Components"/>
    <s v="High"/>
    <s v="CMP-1940"/>
    <n v="1071.99"/>
    <n v="2397.3000000000002"/>
    <n v="2397.3000000000002"/>
    <x v="158"/>
    <s v="OK"/>
    <n v="6.2E-2"/>
    <n v="18"/>
    <n v="40476.013200000001"/>
    <n v="19295.82"/>
    <n v="21180.193200000002"/>
    <n v="0.52327765324476183"/>
    <d v="2023-01-02T00:00:00"/>
    <s v="Jan-2023"/>
    <n v="0"/>
    <n v="0"/>
    <n v="0"/>
  </r>
  <r>
    <s v="ORD-2024-336584"/>
    <d v="2024-12-27T00:00:00"/>
    <s v="Dec-2024"/>
    <s v="2024-Q4"/>
    <d v="2025-01-14T00:00:00"/>
    <n v="18"/>
    <s v="ACHIEVED"/>
    <x v="2"/>
    <s v="India"/>
    <s v="Bengaluru"/>
    <s v="Asia &gt; India &gt; Bengaluru"/>
    <s v="Small Business"/>
    <s v="Marketplace"/>
    <s v="Marketplace"/>
    <x v="11"/>
    <s v="Monitors"/>
    <s v="Medium"/>
    <s v="MON-8629"/>
    <n v="586.07000000000005"/>
    <n v="845.97"/>
    <n v="845.97"/>
    <x v="7"/>
    <s v="OK"/>
    <n v="0.14699999999999999"/>
    <n v="4"/>
    <n v="2886.4496399999998"/>
    <n v="2344.2800000000002"/>
    <n v="542.16963999999962"/>
    <n v="0.18783270370862928"/>
    <d v="2023-01-02T00:00:00"/>
    <s v="Jan-2023"/>
    <n v="0"/>
    <n v="0"/>
    <n v="0"/>
  </r>
  <r>
    <s v="ORD-2024-170313"/>
    <d v="2024-12-27T00:00:00"/>
    <s v="Dec-2024"/>
    <s v="2024-Q4"/>
    <d v="2025-01-15T00:00:00"/>
    <n v="19"/>
    <s v="ACHIEVED"/>
    <x v="2"/>
    <s v="India"/>
    <s v="Delhi"/>
    <s v="Asia &gt; India &gt; Delhi"/>
    <s v="Non-Profit"/>
    <s v="Distributor"/>
    <s v="Distributor"/>
    <x v="4"/>
    <s v="Components"/>
    <s v="Low"/>
    <s v="CMP-6919"/>
    <n v="495.59"/>
    <n v="631.78"/>
    <n v="631.78"/>
    <x v="159"/>
    <s v="OK"/>
    <n v="8.6999999999999994E-2"/>
    <n v="17"/>
    <n v="9805.8573800000013"/>
    <n v="8425.0299999999988"/>
    <n v="1380.8273800000024"/>
    <n v="0.14081658813601899"/>
    <d v="2023-01-02T00:00:00"/>
    <s v="Jan-2023"/>
    <n v="0"/>
    <n v="0"/>
    <n v="0"/>
  </r>
  <r>
    <s v="ORD-2023-864121"/>
    <d v="2023-03-27T00:00:00"/>
    <s v="Mar-2023"/>
    <s v="2023-Q1"/>
    <d v="2023-04-22T00:00:00"/>
    <n v="26"/>
    <s v="ACHIEVED"/>
    <x v="2"/>
    <s v="India"/>
    <s v="Delhi"/>
    <s v="Asia &gt; India &gt; Delhi"/>
    <s v="Non-Profit"/>
    <s v="Marketplace"/>
    <s v="Marketplace"/>
    <x v="2"/>
    <s v="Printers"/>
    <s v="Low"/>
    <s v="PRN-4506"/>
    <n v="178.53"/>
    <n v="199.37"/>
    <n v="199.37"/>
    <x v="111"/>
    <s v="OK"/>
    <n v="0.10100000000000001"/>
    <n v="37"/>
    <n v="6631.6443100000006"/>
    <n v="6605.61"/>
    <n v="26.034310000000914"/>
    <n v="3.9257699573457538E-3"/>
    <d v="2023-01-02T00:00:00"/>
    <s v="Jan-2023"/>
    <n v="0"/>
    <n v="0"/>
    <n v="0"/>
  </r>
  <r>
    <s v="ORD-2023-308124"/>
    <d v="2023-04-19T00:00:00"/>
    <s v="Apr-2023"/>
    <s v="2023-Q2"/>
    <d v="2023-04-30T00:00:00"/>
    <n v="11"/>
    <s v="ACHIEVED"/>
    <x v="2"/>
    <s v="India"/>
    <s v="Delhi"/>
    <s v="Asia &gt; India &gt; Delhi"/>
    <s v="Small Business"/>
    <s v="Retail"/>
    <s v="Retail"/>
    <x v="1"/>
    <s v="Networking"/>
    <s v="Medium"/>
    <s v="NET-2062"/>
    <n v="826.55"/>
    <n v="1397.05"/>
    <n v="1397.05"/>
    <x v="68"/>
    <s v="OK"/>
    <n v="0.16900000000000001"/>
    <n v="28"/>
    <n v="32506.559399999998"/>
    <n v="23143.399999999998"/>
    <n v="9363.1594000000005"/>
    <n v="0.28803907804527601"/>
    <d v="2023-01-02T00:00:00"/>
    <s v="Jan-2023"/>
    <n v="0"/>
    <n v="0"/>
    <n v="0"/>
  </r>
  <r>
    <s v="ORD-2024-260775"/>
    <d v="2024-10-17T00:00:00"/>
    <s v="Oct-2024"/>
    <s v="2024-Q4"/>
    <d v="2024-11-06T00:00:00"/>
    <n v="20"/>
    <s v="ACHIEVED"/>
    <x v="2"/>
    <s v="India"/>
    <s v="Bengaluru"/>
    <s v="Asia &gt; India &gt; Bengaluru"/>
    <s v="Enterprise"/>
    <s v="Distributor"/>
    <s v="Distributor"/>
    <x v="7"/>
    <s v="Monitors"/>
    <s v="Low"/>
    <s v="MON-4330"/>
    <n v="72.94"/>
    <n v="106.3"/>
    <n v="106.3"/>
    <x v="160"/>
    <s v="OK"/>
    <n v="0.29499999999999998"/>
    <n v="8"/>
    <n v="599.53200000000004"/>
    <n v="583.52"/>
    <n v="16.012000000000057"/>
    <n v="2.6707498515508857E-2"/>
    <d v="2023-01-02T00:00:00"/>
    <s v="Jan-2023"/>
    <n v="0"/>
    <n v="0"/>
    <n v="0"/>
  </r>
  <r>
    <s v="ORD-2024-247979"/>
    <d v="2024-11-02T00:00:00"/>
    <s v="Nov-2024"/>
    <s v="2024-Q4"/>
    <d v="2024-11-18T00:00:00"/>
    <n v="16"/>
    <s v="ACHIEVED"/>
    <x v="2"/>
    <s v="India"/>
    <s v="Mumbai"/>
    <s v="Asia &gt; India &gt; Mumbai"/>
    <s v="Small Business"/>
    <s v="Distributor"/>
    <s v="Distributor"/>
    <x v="7"/>
    <s v="Monitors"/>
    <s v="High"/>
    <s v="MON-5188"/>
    <n v="1233.58"/>
    <n v="1912.51"/>
    <n v="1912.51"/>
    <x v="161"/>
    <s v="OK"/>
    <n v="0.255"/>
    <n v="51"/>
    <n v="72665.817450000002"/>
    <n v="62912.579999999994"/>
    <n v="9753.2374500000078"/>
    <n v="0.134220432553601"/>
    <d v="2023-01-02T00:00:00"/>
    <s v="Jan-2023"/>
    <n v="0"/>
    <n v="0"/>
    <n v="0"/>
  </r>
  <r>
    <s v="ORD-2023-722117"/>
    <d v="2023-09-18T00:00:00"/>
    <s v="Sep-2023"/>
    <s v="2023-Q3"/>
    <d v="2023-10-08T00:00:00"/>
    <n v="20"/>
    <s v="ACHIEVED"/>
    <x v="2"/>
    <s v="India"/>
    <s v="Delhi"/>
    <s v="Asia &gt; India &gt; Delhi"/>
    <s v="Small Business"/>
    <s v="Direct"/>
    <s v="Direct"/>
    <x v="6"/>
    <s v="Components"/>
    <s v="Medium"/>
    <s v="CMP-1009"/>
    <n v="825.64"/>
    <n v="1108.43"/>
    <n v="1108.43"/>
    <x v="133"/>
    <s v="OK"/>
    <n v="0.114"/>
    <n v="7"/>
    <n v="6874.4828600000001"/>
    <n v="5779.48"/>
    <n v="1095.0028600000005"/>
    <n v="0.15928512475773349"/>
    <d v="2023-01-02T00:00:00"/>
    <s v="Jan-2023"/>
    <n v="0"/>
    <n v="0"/>
    <n v="0"/>
  </r>
  <r>
    <s v="ORD-2024-604471"/>
    <d v="2024-01-21T00:00:00"/>
    <s v="Jan-2024"/>
    <s v="2024-Q1"/>
    <d v="2024-01-25T00:00:00"/>
    <n v="4"/>
    <s v="NOT ACHIEVED"/>
    <x v="2"/>
    <s v="India"/>
    <s v="Delhi"/>
    <s v="Asia &gt; India &gt; Delhi"/>
    <s v="Consumer"/>
    <s v="Direct"/>
    <s v="Direct"/>
    <x v="0"/>
    <s v="Monitors"/>
    <s v="Medium"/>
    <s v="MON-8973"/>
    <n v="523.70000000000005"/>
    <n v="1109.92"/>
    <n v="1109.92"/>
    <x v="162"/>
    <s v="OK"/>
    <n v="0.03"/>
    <n v="11"/>
    <n v="11842.8464"/>
    <n v="5760.7000000000007"/>
    <n v="6082.1463999999996"/>
    <n v="0.51357133197302973"/>
    <d v="2023-01-02T00:00:00"/>
    <s v="Jan-2023"/>
    <n v="0"/>
    <n v="0"/>
    <n v="0"/>
  </r>
  <r>
    <s v="ORD-2025-526752"/>
    <d v="2025-06-09T00:00:00"/>
    <s v="Jun-2025"/>
    <s v="2025-Q2"/>
    <d v="2025-06-25T00:00:00"/>
    <n v="16"/>
    <s v="ACHIEVED"/>
    <x v="2"/>
    <s v="India"/>
    <s v="Hyderabad"/>
    <s v="Asia &gt; India &gt; Hyderabad"/>
    <s v="Enterprise"/>
    <s v="Distributor"/>
    <s v="Distributor"/>
    <x v="13"/>
    <s v="Phones"/>
    <s v="Medium"/>
    <s v="PHN-3482"/>
    <n v="527.33000000000004"/>
    <n v="911.72"/>
    <n v="911.72"/>
    <x v="140"/>
    <s v="OK"/>
    <n v="0.14399999999999999"/>
    <n v="25"/>
    <n v="19510.808000000001"/>
    <n v="13183.250000000002"/>
    <n v="6327.5579999999991"/>
    <n v="0.32431040272652978"/>
    <d v="2023-01-02T00:00:00"/>
    <s v="Jan-2023"/>
    <n v="0"/>
    <n v="0"/>
    <n v="0"/>
  </r>
  <r>
    <s v="ORD-2025-262491"/>
    <d v="2025-08-01T00:00:00"/>
    <s v="Aug-2025"/>
    <s v="2025-Q3"/>
    <d v="2025-08-16T00:00:00"/>
    <n v="15"/>
    <s v="ACHIEVED"/>
    <x v="2"/>
    <s v="India"/>
    <s v="Unkown"/>
    <s v="Asia &gt; India &gt; Unkown"/>
    <s v="Enterprise"/>
    <s v="Direct"/>
    <s v="Direct"/>
    <x v="7"/>
    <s v="Monitors"/>
    <s v="Low"/>
    <s v="MON-1822"/>
    <n v="24.44"/>
    <n v="28.69"/>
    <n v="28.69"/>
    <x v="139"/>
    <s v="OK"/>
    <n v="0.14599999999999999"/>
    <n v="6"/>
    <n v="147.00756000000001"/>
    <n v="146.64000000000001"/>
    <n v="0.36755999999999744"/>
    <n v="2.5002795774584476E-3"/>
    <d v="2023-01-02T00:00:00"/>
    <s v="Jan-2023"/>
    <n v="0"/>
    <n v="0"/>
    <n v="0"/>
  </r>
  <r>
    <s v="ORD-2024-851883"/>
    <d v="2024-01-13T00:00:00"/>
    <s v="Jan-2024"/>
    <s v="2024-Q1"/>
    <d v="2024-01-22T00:00:00"/>
    <n v="9"/>
    <s v="ACHIEVED"/>
    <x v="2"/>
    <s v="India"/>
    <s v="Mumbai"/>
    <s v="Asia &gt; India &gt; Mumbai"/>
    <s v="Enterprise"/>
    <s v="Marketplace"/>
    <s v="Marketplace"/>
    <x v="2"/>
    <s v="Components"/>
    <s v="Low"/>
    <s v="CMP-8141"/>
    <n v="313.60000000000002"/>
    <n v="334.28"/>
    <n v="334.28"/>
    <x v="26"/>
    <s v="OK"/>
    <n v="0.14000000000000001"/>
    <n v="22"/>
    <n v="6324.5775999999996"/>
    <n v="6899.2000000000007"/>
    <n v="-574.62240000000111"/>
    <n v="-9.0855458868905517E-2"/>
    <d v="2023-01-02T00:00:00"/>
    <s v="Jan-2023"/>
    <n v="0"/>
    <n v="0"/>
    <n v="0"/>
  </r>
  <r>
    <s v="ORD-2023-906481"/>
    <d v="2023-05-02T00:00:00"/>
    <s v="May-2023"/>
    <s v="2023-Q2"/>
    <d v="2023-05-18T00:00:00"/>
    <n v="16"/>
    <s v="ACHIEVED"/>
    <x v="2"/>
    <s v="India"/>
    <s v="Delhi"/>
    <s v="Asia &gt; India &gt; Delhi"/>
    <s v="Small Business"/>
    <s v="Marketplace"/>
    <s v="Marketplace"/>
    <x v="3"/>
    <s v="Monitors"/>
    <s v="High"/>
    <s v="MON-2266"/>
    <n v="1463.92"/>
    <n v="2252.2399999999998"/>
    <n v="2252.2399999999998"/>
    <x v="20"/>
    <s v="OK"/>
    <n v="0.11799999999999999"/>
    <n v="44"/>
    <n v="87404.929919999995"/>
    <n v="64412.480000000003"/>
    <n v="22992.449919999992"/>
    <n v="0.26305667130040061"/>
    <d v="2023-01-02T00:00:00"/>
    <s v="Jan-2023"/>
    <n v="0"/>
    <n v="0"/>
    <n v="0"/>
  </r>
  <r>
    <s v="ORD-2024-553449"/>
    <d v="2024-08-27T00:00:00"/>
    <s v="Aug-2024"/>
    <s v="2024-Q3"/>
    <d v="2024-09-18T00:00:00"/>
    <n v="22"/>
    <s v="ACHIEVED"/>
    <x v="2"/>
    <s v="India"/>
    <s v="Delhi"/>
    <s v="Asia &gt; India &gt; Delhi"/>
    <s v="Consumer"/>
    <s v="Direct"/>
    <s v="Direct"/>
    <x v="6"/>
    <s v="Components"/>
    <s v="High"/>
    <s v="CMP-3875"/>
    <n v="896.75"/>
    <n v="1651.14"/>
    <n v="1651.14"/>
    <x v="120"/>
    <s v="OK"/>
    <n v="2.5000000000000001E-2"/>
    <n v="15"/>
    <n v="24147.922500000001"/>
    <n v="13451.25"/>
    <n v="10696.672500000001"/>
    <n v="0.44296450346815552"/>
    <d v="2023-01-02T00:00:00"/>
    <s v="Jan-2023"/>
    <n v="0"/>
    <n v="0"/>
    <n v="0"/>
  </r>
  <r>
    <s v="ORD-2023-848013"/>
    <d v="2023-02-20T00:00:00"/>
    <s v="Feb-2023"/>
    <s v="2023-Q1"/>
    <d v="2023-03-04T00:00:00"/>
    <n v="12"/>
    <s v="ACHIEVED"/>
    <x v="2"/>
    <s v="India"/>
    <s v="Delhi"/>
    <s v="Asia &gt; India &gt; Delhi"/>
    <s v="Consumer"/>
    <s v="Distributor"/>
    <s v="Distributor"/>
    <x v="13"/>
    <s v="Monitors"/>
    <s v="Low"/>
    <s v="MON-9906"/>
    <n v="299.75"/>
    <n v="523.01"/>
    <n v="523.01"/>
    <x v="23"/>
    <s v="OK"/>
    <n v="0.157"/>
    <n v="50"/>
    <n v="22044.871499999997"/>
    <n v="14987.5"/>
    <n v="7057.3714999999975"/>
    <n v="0.32013665854210122"/>
    <d v="2023-01-02T00:00:00"/>
    <s v="Jan-2023"/>
    <n v="0"/>
    <n v="0"/>
    <n v="0"/>
  </r>
  <r>
    <s v="ORD-2023-304451"/>
    <d v="2023-10-07T00:00:00"/>
    <s v="Oct-2023"/>
    <s v="2023-Q4"/>
    <d v="2023-10-23T00:00:00"/>
    <n v="16"/>
    <s v="ACHIEVED"/>
    <x v="2"/>
    <s v="India"/>
    <s v="Hyderabad"/>
    <s v="Asia &gt; India &gt; Hyderabad"/>
    <s v="Consumer"/>
    <s v="Retail"/>
    <s v="Retail"/>
    <x v="4"/>
    <s v="Monitors"/>
    <s v="Medium"/>
    <s v="MON-7602"/>
    <n v="906.81"/>
    <n v="1395.56"/>
    <n v="1395.56"/>
    <x v="163"/>
    <s v="OK"/>
    <n v="0.185"/>
    <n v="6"/>
    <n v="6824.2884000000004"/>
    <n v="5440.86"/>
    <n v="1383.4284000000007"/>
    <n v="0.20272126834498974"/>
    <d v="2023-01-02T00:00:00"/>
    <s v="Jan-2023"/>
    <n v="0"/>
    <n v="0"/>
    <n v="0"/>
  </r>
  <r>
    <s v="ORD-2023-431328"/>
    <d v="2023-12-20T00:00:00"/>
    <s v="Dec-2023"/>
    <s v="2023-Q4"/>
    <d v="2024-01-14T00:00:00"/>
    <n v="25"/>
    <s v="ACHIEVED"/>
    <x v="2"/>
    <s v="India"/>
    <s v="Mumbai"/>
    <s v="Asia &gt; India &gt; Mumbai"/>
    <s v="Non-Profit"/>
    <s v="Marketplace"/>
    <s v="Marketplace"/>
    <x v="10"/>
    <s v="Monitors"/>
    <s v="Medium"/>
    <s v="MON-1572"/>
    <n v="1085.6099999999999"/>
    <n v="1246.4100000000001"/>
    <n v="1246.4100000000001"/>
    <x v="150"/>
    <s v="OK"/>
    <n v="0.113"/>
    <n v="7"/>
    <n v="7738.9596900000006"/>
    <n v="7599.2699999999995"/>
    <n v="139.68969000000106"/>
    <n v="1.8050189637310417E-2"/>
    <d v="2023-01-02T00:00:00"/>
    <s v="Jan-2023"/>
    <n v="0"/>
    <n v="0"/>
    <n v="0"/>
  </r>
  <r>
    <s v="ORD-2023-964434"/>
    <d v="2023-11-28T00:00:00"/>
    <s v="Nov-2023"/>
    <s v="2023-Q4"/>
    <d v="2023-12-07T00:00:00"/>
    <n v="9"/>
    <s v="ACHIEVED"/>
    <x v="2"/>
    <s v="India"/>
    <s v="Delhi"/>
    <s v="Asia &gt; India &gt; Delhi"/>
    <s v="Enterprise"/>
    <s v="Marketplace"/>
    <s v="Marketplace"/>
    <x v="10"/>
    <s v="Phones"/>
    <s v="Medium"/>
    <s v="PHN-2447"/>
    <n v="699.33"/>
    <n v="873.75"/>
    <n v="873.75"/>
    <x v="164"/>
    <s v="OK"/>
    <n v="0.23499999999999999"/>
    <n v="10"/>
    <n v="6684.1875"/>
    <n v="6993.3"/>
    <n v="-309.11250000000018"/>
    <n v="-4.6245336475076469E-2"/>
    <d v="2023-01-02T00:00:00"/>
    <s v="Jan-2023"/>
    <n v="0"/>
    <n v="0"/>
    <n v="0"/>
  </r>
  <r>
    <s v="ORD-2023-517216"/>
    <d v="2023-09-19T00:00:00"/>
    <s v="Sep-2023"/>
    <s v="2023-Q3"/>
    <d v="2023-10-08T00:00:00"/>
    <n v="19"/>
    <s v="ACHIEVED"/>
    <x v="2"/>
    <s v="India"/>
    <s v="Bengaluru"/>
    <s v="Asia &gt; India &gt; Bengaluru"/>
    <s v="Education"/>
    <s v="Direct"/>
    <s v="Direct"/>
    <x v="2"/>
    <s v="Printers"/>
    <s v="Low"/>
    <s v="PRN-5005"/>
    <n v="385.32"/>
    <n v="606.76"/>
    <n v="606.76"/>
    <x v="165"/>
    <s v="OK"/>
    <n v="8.5999999999999993E-2"/>
    <n v="8"/>
    <n v="4436.6291200000005"/>
    <n v="3082.56"/>
    <n v="1354.0691200000006"/>
    <n v="0.30520223425842735"/>
    <d v="2023-01-02T00:00:00"/>
    <s v="Jan-2023"/>
    <n v="0"/>
    <n v="0"/>
    <n v="0"/>
  </r>
  <r>
    <s v="ORD-2023-474313"/>
    <d v="2023-10-05T00:00:00"/>
    <s v="Oct-2023"/>
    <s v="2023-Q4"/>
    <d v="2023-10-06T00:00:00"/>
    <n v="1"/>
    <s v="NOT ACHIEVED"/>
    <x v="2"/>
    <s v="India"/>
    <s v="Bengaluru"/>
    <s v="Asia &gt; India &gt; Bengaluru"/>
    <s v="Non-Profit"/>
    <s v="Online"/>
    <s v="Online"/>
    <x v="12"/>
    <s v="Components"/>
    <s v="High"/>
    <s v="CMP-4807"/>
    <n v="1470.26"/>
    <n v="2562.5500000000002"/>
    <n v="2562.5500000000002"/>
    <x v="96"/>
    <s v="OK"/>
    <n v="0.17299999999999999"/>
    <n v="9"/>
    <n v="19073.059649999999"/>
    <n v="13232.34"/>
    <n v="5840.7196499999991"/>
    <n v="0.30622877279157462"/>
    <d v="2023-01-02T00:00:00"/>
    <s v="Jan-2023"/>
    <n v="0"/>
    <n v="0"/>
    <n v="0"/>
  </r>
  <r>
    <s v="ORD-2025-484073"/>
    <d v="2025-02-19T00:00:00"/>
    <s v="Feb-2025"/>
    <s v="2025-Q1"/>
    <d v="2025-03-09T00:00:00"/>
    <n v="18"/>
    <s v="ACHIEVED"/>
    <x v="2"/>
    <s v="India"/>
    <s v="Delhi"/>
    <s v="Asia &gt; India &gt; Delhi"/>
    <s v="Small Business"/>
    <s v="Direct"/>
    <s v="Direct"/>
    <x v="7"/>
    <s v="Monitors"/>
    <s v="Low"/>
    <s v="MON-1436"/>
    <n v="325.87"/>
    <n v="538.79"/>
    <n v="538.79"/>
    <x v="128"/>
    <s v="OK"/>
    <n v="0.17399999999999999"/>
    <n v="16"/>
    <n v="7120.6486400000003"/>
    <n v="5213.92"/>
    <n v="1906.7286400000003"/>
    <n v="0.26777457172778013"/>
    <d v="2023-01-02T00:00:00"/>
    <s v="Jan-2023"/>
    <n v="0"/>
    <n v="0"/>
    <n v="0"/>
  </r>
  <r>
    <s v="ORD-2023-211715"/>
    <d v="2023-10-30T00:00:00"/>
    <s v="Oct-2023"/>
    <s v="2023-Q4"/>
    <d v="2023-11-14T00:00:00"/>
    <n v="15"/>
    <s v="ACHIEVED"/>
    <x v="2"/>
    <s v="India"/>
    <s v="Bengaluru"/>
    <s v="Asia &gt; India &gt; Bengaluru"/>
    <s v="Corporate"/>
    <s v="Online"/>
    <s v="Online"/>
    <x v="8"/>
    <s v="Laptops"/>
    <s v="High"/>
    <s v="LAP-2378"/>
    <n v="953.46"/>
    <n v="2066.75"/>
    <n v="2066.75"/>
    <x v="129"/>
    <s v="OK"/>
    <n v="0.13800000000000001"/>
    <n v="5"/>
    <n v="8907.6924999999992"/>
    <n v="4767.3"/>
    <n v="4140.392499999999"/>
    <n v="0.46481089238318446"/>
    <d v="2023-01-02T00:00:00"/>
    <s v="Jan-2023"/>
    <n v="0"/>
    <n v="0"/>
    <n v="0"/>
  </r>
  <r>
    <s v="ORD-2025-983096"/>
    <d v="2025-05-17T00:00:00"/>
    <s v="May-2025"/>
    <s v="2025-Q2"/>
    <d v="2025-05-28T00:00:00"/>
    <n v="11"/>
    <s v="ACHIEVED"/>
    <x v="2"/>
    <s v="India"/>
    <s v="Bengaluru"/>
    <s v="Asia &gt; India &gt; Bengaluru"/>
    <s v="Corporate"/>
    <s v="Distributor"/>
    <s v="Distributor"/>
    <x v="6"/>
    <s v="Laptops"/>
    <s v="Medium"/>
    <s v="LAP-9016"/>
    <n v="623.4"/>
    <n v="1100.0899999999999"/>
    <n v="1100.0899999999999"/>
    <x v="133"/>
    <s v="OK"/>
    <n v="0.114"/>
    <n v="12"/>
    <n v="11696.156879999999"/>
    <n v="7480.7999999999993"/>
    <n v="4215.3568799999994"/>
    <n v="0.36040529579490388"/>
    <d v="2023-01-02T00:00:00"/>
    <s v="Jan-2023"/>
    <n v="0"/>
    <n v="0"/>
    <n v="0"/>
  </r>
  <r>
    <s v="ORD-2024-862371"/>
    <d v="2024-09-07T00:00:00"/>
    <s v="Sep-2024"/>
    <s v="2024-Q3"/>
    <d v="2024-09-07T00:00:00"/>
    <n v="0"/>
    <s v="NOT ACHIEVED"/>
    <x v="2"/>
    <s v="India"/>
    <s v="Mumbai"/>
    <s v="Asia &gt; India &gt; Mumbai"/>
    <s v="Education"/>
    <s v="Distributor"/>
    <s v="Distributor"/>
    <x v="6"/>
    <s v="Networking"/>
    <s v="High"/>
    <s v="NET-9835"/>
    <n v="1066.6500000000001"/>
    <n v="2569.77"/>
    <n v="2569.77"/>
    <x v="11"/>
    <s v="OK"/>
    <n v="0.13400000000000001"/>
    <n v="9"/>
    <n v="20028.787380000002"/>
    <n v="9599.85"/>
    <n v="10428.937380000001"/>
    <n v="0.52069739331368348"/>
    <d v="2023-01-02T00:00:00"/>
    <s v="Jan-2023"/>
    <n v="0"/>
    <n v="0"/>
    <n v="0"/>
  </r>
  <r>
    <s v="ORD-2024-153053"/>
    <d v="2024-01-12T00:00:00"/>
    <s v="Jan-2024"/>
    <s v="2024-Q1"/>
    <d v="2024-01-29T00:00:00"/>
    <n v="17"/>
    <s v="ACHIEVED"/>
    <x v="2"/>
    <s v="India"/>
    <s v="Hyderabad"/>
    <s v="Asia &gt; India &gt; Hyderabad"/>
    <s v="Small Business"/>
    <s v="Direct"/>
    <s v="Direct"/>
    <x v="6"/>
    <s v="Components"/>
    <s v="Low"/>
    <s v="CMP-5138"/>
    <n v="310.02"/>
    <n v="619.51"/>
    <n v="619.51"/>
    <x v="41"/>
    <s v="OK"/>
    <n v="4.2000000000000003E-2"/>
    <n v="4"/>
    <n v="2373.9623200000001"/>
    <n v="1240.08"/>
    <n v="1133.8823200000002"/>
    <n v="0.47763282106347843"/>
    <d v="2023-01-02T00:00:00"/>
    <s v="Jan-2023"/>
    <n v="0"/>
    <n v="0"/>
    <n v="0"/>
  </r>
  <r>
    <s v="ORD-2023-944052"/>
    <d v="2023-08-30T00:00:00"/>
    <s v="Aug-2023"/>
    <s v="2023-Q3"/>
    <d v="2023-09-03T00:00:00"/>
    <n v="4"/>
    <s v="NOT ACHIEVED"/>
    <x v="2"/>
    <s v="India"/>
    <s v="Delhi"/>
    <s v="Asia &gt; India &gt; Delhi"/>
    <s v="Small Business"/>
    <s v="Marketplace"/>
    <s v="Marketplace"/>
    <x v="10"/>
    <s v="Accessories"/>
    <s v="High"/>
    <s v="ACC-3068"/>
    <n v="1082.25"/>
    <n v="2433.34"/>
    <n v="2433.34"/>
    <x v="166"/>
    <s v="OK"/>
    <n v="0.27"/>
    <n v="4"/>
    <n v="7105.3528000000006"/>
    <n v="4329"/>
    <n v="2776.3528000000006"/>
    <n v="0.3907410199251472"/>
    <d v="2023-01-02T00:00:00"/>
    <s v="Jan-2023"/>
    <n v="0"/>
    <n v="0"/>
    <n v="0"/>
  </r>
  <r>
    <s v="ORD-2025-323492"/>
    <d v="2025-04-27T00:00:00"/>
    <s v="Apr-2025"/>
    <s v="2025-Q2"/>
    <d v="2025-05-27T00:00:00"/>
    <n v="30"/>
    <s v="ACHIEVED"/>
    <x v="2"/>
    <s v="India"/>
    <s v="Unkown"/>
    <s v="Asia &gt; India &gt; Unkown"/>
    <s v="Enterprise"/>
    <s v="Marketplace"/>
    <s v="Marketplace"/>
    <x v="15"/>
    <s v="Phones"/>
    <s v="Medium"/>
    <s v="PHN-3854"/>
    <n v="481.32"/>
    <n v="1135.99"/>
    <n v="1135.99"/>
    <x v="167"/>
    <s v="OK"/>
    <n v="0.14499999999999999"/>
    <n v="5"/>
    <n v="4856.35725"/>
    <n v="2406.6"/>
    <n v="2449.7572500000001"/>
    <n v="0.50444337677175621"/>
    <d v="2023-01-02T00:00:00"/>
    <s v="Jan-2023"/>
    <n v="0"/>
    <n v="0"/>
    <n v="0"/>
  </r>
  <r>
    <s v="ORD-2024-647473"/>
    <d v="2024-02-17T00:00:00"/>
    <s v="Feb-2024"/>
    <s v="2024-Q1"/>
    <d v="2024-03-04T00:00:00"/>
    <n v="16"/>
    <s v="ACHIEVED"/>
    <x v="2"/>
    <s v="India"/>
    <s v="Delhi"/>
    <s v="Asia &gt; India &gt; Delhi"/>
    <s v="Small Business"/>
    <s v="Marketplace"/>
    <s v="Marketplace"/>
    <x v="8"/>
    <s v="Phones"/>
    <s v="High"/>
    <s v="PHN-1717"/>
    <n v="1231.8"/>
    <n v="2015.99"/>
    <n v="2015.99"/>
    <x v="168"/>
    <s v="OK"/>
    <n v="0.26100000000000001"/>
    <n v="6"/>
    <n v="8938.8996600000009"/>
    <n v="7390.7999999999993"/>
    <n v="1548.0996600000017"/>
    <n v="0.17318682599464391"/>
    <d v="2023-01-02T00:00:00"/>
    <s v="Jan-2023"/>
    <n v="0"/>
    <n v="0"/>
    <n v="0"/>
  </r>
  <r>
    <s v="ORD-2025-480172"/>
    <d v="2025-06-17T00:00:00"/>
    <s v="Jun-2025"/>
    <s v="2025-Q2"/>
    <d v="2025-07-05T00:00:00"/>
    <n v="18"/>
    <s v="ACHIEVED"/>
    <x v="2"/>
    <s v="India"/>
    <s v="Delhi"/>
    <s v="Asia &gt; India &gt; Delhi"/>
    <s v="Consumer"/>
    <s v="Marketplace"/>
    <s v="Marketplace"/>
    <x v="10"/>
    <s v="Laptops"/>
    <s v="High"/>
    <s v="LAP-1990"/>
    <n v="982.93"/>
    <n v="2299.3000000000002"/>
    <n v="2299.3000000000002"/>
    <x v="150"/>
    <s v="OK"/>
    <n v="0.113"/>
    <n v="6"/>
    <n v="12236.874600000001"/>
    <n v="5897.58"/>
    <n v="6339.2946000000011"/>
    <n v="0.51804850562087157"/>
    <d v="2023-01-02T00:00:00"/>
    <s v="Jan-2023"/>
    <n v="0"/>
    <n v="0"/>
    <n v="0"/>
  </r>
  <r>
    <s v="ORD-2025-624006"/>
    <d v="2025-03-15T00:00:00"/>
    <s v="Mar-2025"/>
    <s v="2025-Q1"/>
    <d v="2025-03-29T00:00:00"/>
    <n v="14"/>
    <s v="ACHIEVED"/>
    <x v="2"/>
    <s v="India"/>
    <s v="Mumbai"/>
    <s v="Asia &gt; India &gt; Mumbai"/>
    <s v="Enterprise"/>
    <s v="Direct"/>
    <s v="Direct"/>
    <x v="0"/>
    <s v="Components"/>
    <s v="High"/>
    <s v="CMP-3259"/>
    <n v="935.83"/>
    <n v="2303.46"/>
    <n v="2303.46"/>
    <x v="126"/>
    <s v="OK"/>
    <n v="0.105"/>
    <n v="9"/>
    <n v="18554.370299999999"/>
    <n v="8422.4700000000012"/>
    <n v="10131.900299999998"/>
    <n v="0.54606543559174292"/>
    <d v="2023-01-02T00:00:00"/>
    <s v="Jan-2023"/>
    <n v="0"/>
    <n v="0"/>
    <n v="0"/>
  </r>
  <r>
    <s v="ORD-2023-676553"/>
    <d v="2023-05-20T00:00:00"/>
    <s v="May-2023"/>
    <s v="2023-Q2"/>
    <d v="2023-06-19T00:00:00"/>
    <n v="30"/>
    <s v="ACHIEVED"/>
    <x v="2"/>
    <s v="India"/>
    <s v="Delhi"/>
    <s v="Asia &gt; India &gt; Delhi"/>
    <s v="Non-Profit"/>
    <s v="Marketplace"/>
    <s v="Marketplace"/>
    <x v="15"/>
    <s v="Laptops"/>
    <s v="Medium"/>
    <s v="LAP-2806"/>
    <n v="1161.2"/>
    <n v="878.73"/>
    <n v="878.73"/>
    <x v="46"/>
    <s v="OK"/>
    <n v="0.19"/>
    <n v="31"/>
    <n v="22064.910300000003"/>
    <n v="35997.200000000004"/>
    <n v="-13932.289700000001"/>
    <n v="-0.63142290227212028"/>
    <d v="2023-01-02T00:00:00"/>
    <s v="Jan-2023"/>
    <n v="0"/>
    <n v="0"/>
    <n v="0"/>
  </r>
  <r>
    <s v="ORD-2025-866565"/>
    <d v="2025-05-12T00:00:00"/>
    <s v="May-2025"/>
    <s v="2025-Q2"/>
    <d v="2025-05-26T00:00:00"/>
    <n v="14"/>
    <s v="ACHIEVED"/>
    <x v="2"/>
    <s v="India"/>
    <s v="Hyderabad"/>
    <s v="Asia &gt; India &gt; Hyderabad"/>
    <s v="Corporate"/>
    <s v="Marketplace"/>
    <s v="Marketplace"/>
    <x v="4"/>
    <s v="Printers"/>
    <s v="Low"/>
    <s v="PRN-8850"/>
    <n v="320.12"/>
    <n v="594.41999999999996"/>
    <n v="594.41999999999996"/>
    <x v="75"/>
    <s v="OK"/>
    <n v="0.104"/>
    <n v="18"/>
    <n v="9586.8057599999993"/>
    <n v="5762.16"/>
    <n v="3824.6457599999994"/>
    <n v="0.39894891538931104"/>
    <d v="2023-01-02T00:00:00"/>
    <s v="Jan-2023"/>
    <n v="0"/>
    <n v="0"/>
    <n v="0"/>
  </r>
  <r>
    <s v="ORD-2024-390951"/>
    <d v="2024-12-20T00:00:00"/>
    <s v="Dec-2024"/>
    <s v="2024-Q4"/>
    <d v="2025-01-14T00:00:00"/>
    <n v="25"/>
    <s v="ACHIEVED"/>
    <x v="2"/>
    <s v="India"/>
    <s v="Delhi"/>
    <s v="Asia &gt; India &gt; Delhi"/>
    <s v="Small Business"/>
    <s v="Retail"/>
    <s v="Retail"/>
    <x v="13"/>
    <s v="Printers"/>
    <s v="High"/>
    <s v="PRN-9378"/>
    <n v="1361.34"/>
    <n v="1737.9"/>
    <n v="1737.9"/>
    <x v="169"/>
    <s v="OK"/>
    <n v="7.6999999999999999E-2"/>
    <n v="14"/>
    <n v="22457.143800000002"/>
    <n v="19058.759999999998"/>
    <n v="3398.3838000000032"/>
    <n v="0.15132751654731813"/>
    <d v="2023-01-02T00:00:00"/>
    <s v="Jan-2023"/>
    <n v="0"/>
    <n v="0"/>
    <n v="0"/>
  </r>
  <r>
    <s v="ORD-2025-512310"/>
    <d v="2025-03-08T00:00:00"/>
    <s v="Mar-2025"/>
    <s v="2025-Q1"/>
    <d v="2025-03-15T00:00:00"/>
    <n v="7"/>
    <s v="ACHIEVED"/>
    <x v="2"/>
    <s v="India"/>
    <s v="Bengaluru"/>
    <s v="Asia &gt; India &gt; Bengaluru"/>
    <s v="Corporate"/>
    <s v="Distributor"/>
    <s v="Distributor"/>
    <x v="3"/>
    <s v="Laptops"/>
    <s v="Low"/>
    <s v="LAP-8119"/>
    <n v="475.66"/>
    <n v="529.14"/>
    <n v="529.14"/>
    <x v="66"/>
    <s v="OK"/>
    <n v="0.19600000000000001"/>
    <n v="11"/>
    <n v="4679.7141600000004"/>
    <n v="5232.26"/>
    <n v="-552.54583999999977"/>
    <n v="-0.11807256193613323"/>
    <d v="2023-01-02T00:00:00"/>
    <s v="Jan-2023"/>
    <n v="0"/>
    <n v="0"/>
    <n v="0"/>
  </r>
  <r>
    <s v="ORD-2024-465898"/>
    <d v="2024-06-06T00:00:00"/>
    <s v="Jun-2024"/>
    <s v="2024-Q2"/>
    <d v="2024-06-24T00:00:00"/>
    <n v="18"/>
    <s v="ACHIEVED"/>
    <x v="2"/>
    <s v="India"/>
    <s v="Bengaluru"/>
    <s v="Asia &gt; India &gt; Bengaluru"/>
    <s v="Small Business"/>
    <s v="Direct"/>
    <s v="Direct"/>
    <x v="15"/>
    <s v="Networking"/>
    <s v="High"/>
    <s v="NET-6578"/>
    <n v="1253.25"/>
    <n v="3087.13"/>
    <n v="3087.13"/>
    <x v="12"/>
    <s v="OK"/>
    <n v="7.1999999999999995E-2"/>
    <n v="11"/>
    <n v="31513.423040000001"/>
    <n v="13785.75"/>
    <n v="17727.673040000001"/>
    <n v="0.562543555408064"/>
    <d v="2023-01-02T00:00:00"/>
    <s v="Jan-2023"/>
    <n v="0"/>
    <n v="0"/>
    <n v="0"/>
  </r>
  <r>
    <s v="ORD-2024-655710"/>
    <d v="2024-11-30T00:00:00"/>
    <s v="Nov-2024"/>
    <s v="2024-Q4"/>
    <d v="2024-12-10T00:00:00"/>
    <n v="10"/>
    <s v="ACHIEVED"/>
    <x v="2"/>
    <s v="India"/>
    <s v="Hyderabad"/>
    <s v="Asia &gt; India &gt; Hyderabad"/>
    <s v="Small Business"/>
    <s v="Retail"/>
    <s v="Retail"/>
    <x v="8"/>
    <s v="Accessories"/>
    <s v="Medium"/>
    <s v="ACC-1075"/>
    <n v="851.49"/>
    <n v="901.79"/>
    <n v="901.79"/>
    <x v="57"/>
    <s v="OK"/>
    <n v="0.245"/>
    <n v="16"/>
    <n v="10893.6232"/>
    <n v="13623.84"/>
    <n v="-2730.2168000000001"/>
    <n v="-0.25062522816100341"/>
    <d v="2023-01-02T00:00:00"/>
    <s v="Jan-2023"/>
    <n v="0"/>
    <n v="0"/>
    <n v="0"/>
  </r>
  <r>
    <s v="ORD-2025-411385"/>
    <d v="2025-06-05T00:00:00"/>
    <s v="Jun-2025"/>
    <s v="2025-Q2"/>
    <d v="2025-06-14T00:00:00"/>
    <n v="9"/>
    <s v="ACHIEVED"/>
    <x v="2"/>
    <s v="India"/>
    <s v="Delhi"/>
    <s v="Asia &gt; India &gt; Delhi"/>
    <s v="Non-Profit"/>
    <s v="Retail"/>
    <s v="Retail"/>
    <x v="1"/>
    <s v="Accessories"/>
    <s v="Low"/>
    <s v="ACC-2902"/>
    <n v="618.69000000000005"/>
    <n v="796.15"/>
    <n v="796.15"/>
    <x v="123"/>
    <s v="OK"/>
    <n v="0.09"/>
    <n v="11"/>
    <n v="7969.4615000000003"/>
    <n v="6805.59"/>
    <n v="1163.8715000000002"/>
    <n v="0.14604142325049191"/>
    <d v="2023-01-02T00:00:00"/>
    <s v="Jan-2023"/>
    <n v="0"/>
    <n v="0"/>
    <n v="0"/>
  </r>
  <r>
    <s v="ORD-2025-831576"/>
    <d v="2025-09-15T00:00:00"/>
    <s v="Sep-2025"/>
    <s v="2025-Q3"/>
    <d v="2025-09-25T00:00:00"/>
    <n v="10"/>
    <s v="ACHIEVED"/>
    <x v="2"/>
    <s v="India"/>
    <s v="Delhi"/>
    <s v="Asia &gt; India &gt; Delhi"/>
    <s v="Consumer"/>
    <s v="Retail"/>
    <s v="Retail"/>
    <x v="1"/>
    <s v="Phones"/>
    <s v="Medium"/>
    <s v="PHN-2859"/>
    <n v="1488.91"/>
    <n v="1483.74"/>
    <n v="1483.74"/>
    <x v="6"/>
    <s v="OK"/>
    <n v="0.16800000000000001"/>
    <n v="24"/>
    <n v="29627.320319999999"/>
    <n v="35733.840000000004"/>
    <n v="-6106.5196800000049"/>
    <n v="-0.20611110333450519"/>
    <d v="2023-01-02T00:00:00"/>
    <s v="Jan-2023"/>
    <n v="0"/>
    <n v="0"/>
    <n v="0"/>
  </r>
  <r>
    <s v="ORD-2024-515105"/>
    <d v="2024-02-27T00:00:00"/>
    <s v="Feb-2024"/>
    <s v="2024-Q1"/>
    <d v="2024-03-26T00:00:00"/>
    <n v="28"/>
    <s v="ACHIEVED"/>
    <x v="2"/>
    <s v="India"/>
    <s v="Mumbai"/>
    <s v="Asia &gt; India &gt; Mumbai"/>
    <s v="Education"/>
    <s v="Marketplace"/>
    <s v="Marketplace"/>
    <x v="4"/>
    <s v="Laptops"/>
    <s v="High"/>
    <s v="LAP-8469"/>
    <n v="1035.19"/>
    <n v="2322.6999999999998"/>
    <n v="2322.6999999999998"/>
    <x v="96"/>
    <s v="OK"/>
    <n v="0.17299999999999999"/>
    <n v="8"/>
    <n v="15366.983199999999"/>
    <n v="8281.52"/>
    <n v="7085.4631999999983"/>
    <n v="0.46108355217047409"/>
    <d v="2023-01-02T00:00:00"/>
    <s v="Jan-2023"/>
    <n v="0"/>
    <n v="0"/>
    <n v="0"/>
  </r>
  <r>
    <s v="ORD-2024-993481"/>
    <d v="2024-08-18T00:00:00"/>
    <s v="Aug-2024"/>
    <s v="2024-Q3"/>
    <d v="2024-09-12T00:00:00"/>
    <n v="25"/>
    <s v="ACHIEVED"/>
    <x v="2"/>
    <s v="India"/>
    <s v="Mumbai"/>
    <s v="Asia &gt; India &gt; Mumbai"/>
    <s v="Consumer"/>
    <s v="Marketplace"/>
    <s v="Marketplace"/>
    <x v="0"/>
    <s v="Phones"/>
    <s v="Medium"/>
    <s v="PHN-3077"/>
    <n v="1154.03"/>
    <n v="1590.36"/>
    <n v="1590.36"/>
    <x v="35"/>
    <s v="OK"/>
    <n v="0.3"/>
    <n v="18"/>
    <n v="20038.536"/>
    <n v="20772.54"/>
    <n v="-734.00400000000081"/>
    <n v="-3.6629622044245191E-2"/>
    <d v="2023-01-02T00:00:00"/>
    <s v="Jan-2023"/>
    <n v="0"/>
    <n v="0"/>
    <n v="0"/>
  </r>
  <r>
    <s v="ORD-2025-673091"/>
    <d v="2025-05-07T00:00:00"/>
    <s v="May-2025"/>
    <s v="2025-Q2"/>
    <d v="2025-05-13T00:00:00"/>
    <n v="6"/>
    <s v="NOT ACHIEVED"/>
    <x v="2"/>
    <s v="India"/>
    <s v="Bengaluru"/>
    <s v="Asia &gt; India &gt; Bengaluru"/>
    <s v="Enterprise"/>
    <s v="Direct"/>
    <s v="Direct"/>
    <x v="2"/>
    <s v="Phones"/>
    <s v="High"/>
    <s v="PHN-5683"/>
    <n v="935.98"/>
    <n v="2077.69"/>
    <n v="2077.69"/>
    <x v="25"/>
    <s v="OK"/>
    <n v="0.17499999999999999"/>
    <n v="24"/>
    <n v="41138.261999999995"/>
    <n v="22463.52"/>
    <n v="18674.741999999995"/>
    <n v="0.45395067978321491"/>
    <d v="2023-01-02T00:00:00"/>
    <s v="Jan-2023"/>
    <n v="0"/>
    <n v="0"/>
    <n v="0"/>
  </r>
  <r>
    <s v="ORD-2024-972318"/>
    <d v="2024-12-24T00:00:00"/>
    <s v="Dec-2024"/>
    <s v="2024-Q4"/>
    <d v="2025-01-13T00:00:00"/>
    <n v="20"/>
    <s v="ACHIEVED"/>
    <x v="2"/>
    <s v="India"/>
    <s v="Bengaluru"/>
    <s v="Asia &gt; India &gt; Bengaluru"/>
    <s v="Corporate"/>
    <s v="Marketplace"/>
    <s v="Marketplace"/>
    <x v="14"/>
    <s v="Networking"/>
    <s v="Low"/>
    <s v="NET-9832"/>
    <n v="126.15"/>
    <n v="284.23"/>
    <n v="284.23"/>
    <x v="150"/>
    <s v="OK"/>
    <n v="0.113"/>
    <n v="22"/>
    <n v="5546.4642200000008"/>
    <n v="2775.3"/>
    <n v="2771.1642200000006"/>
    <n v="0.49962716968541088"/>
    <d v="2023-01-02T00:00:00"/>
    <s v="Jan-2023"/>
    <n v="0"/>
    <n v="0"/>
    <n v="0"/>
  </r>
  <r>
    <s v="ORD-2024-446030"/>
    <d v="2024-03-23T00:00:00"/>
    <s v="Mar-2024"/>
    <s v="2024-Q1"/>
    <d v="2024-03-26T00:00:00"/>
    <n v="3"/>
    <s v="NOT ACHIEVED"/>
    <x v="2"/>
    <s v="India"/>
    <s v="Bengaluru"/>
    <s v="Asia &gt; India &gt; Bengaluru"/>
    <s v="Education"/>
    <s v="Direct"/>
    <s v="Direct"/>
    <x v="4"/>
    <s v="Phones"/>
    <s v="Low"/>
    <s v="PHN-4346"/>
    <n v="382.21"/>
    <n v="571.89"/>
    <n v="571.89"/>
    <x v="99"/>
    <s v="OK"/>
    <n v="0.14799999999999999"/>
    <n v="26"/>
    <n v="12668.50728"/>
    <n v="9937.4599999999991"/>
    <n v="2731.0472800000007"/>
    <n v="0.2155776698578809"/>
    <d v="2023-01-02T00:00:00"/>
    <s v="Jan-2023"/>
    <n v="0"/>
    <n v="0"/>
    <n v="0"/>
  </r>
  <r>
    <s v="ORD-2023-842820"/>
    <d v="2023-09-20T00:00:00"/>
    <s v="Sep-2023"/>
    <s v="2023-Q3"/>
    <d v="2023-09-28T00:00:00"/>
    <n v="8"/>
    <s v="ACHIEVED"/>
    <x v="2"/>
    <s v="India"/>
    <s v="Unkown"/>
    <s v="Asia &gt; India &gt; Unkown"/>
    <s v="Corporate"/>
    <n v="0"/>
    <n v="0"/>
    <x v="6"/>
    <s v="Accessories"/>
    <s v="High"/>
    <s v="ACC-1375"/>
    <n v="1362.06"/>
    <n v="3398.37"/>
    <n v="3398.37"/>
    <x v="23"/>
    <s v="OK"/>
    <n v="0.157"/>
    <n v="11"/>
    <n v="31513.085009999999"/>
    <n v="14982.66"/>
    <n v="16530.425009999999"/>
    <n v="0.52455749745714919"/>
    <d v="2023-01-02T00:00:00"/>
    <s v="Jan-2023"/>
    <n v="0"/>
    <n v="0"/>
    <n v="0"/>
  </r>
  <r>
    <s v="ORD-2023-109927"/>
    <d v="2023-07-22T00:00:00"/>
    <s v="Jul-2023"/>
    <s v="2023-Q3"/>
    <d v="2023-07-27T00:00:00"/>
    <n v="5"/>
    <s v="NOT ACHIEVED"/>
    <x v="2"/>
    <s v="India"/>
    <s v="Delhi"/>
    <s v="Asia &gt; India &gt; Delhi"/>
    <s v="Small Business"/>
    <s v="Distributor"/>
    <s v="Distributor"/>
    <x v="11"/>
    <s v="Printers"/>
    <s v="High"/>
    <s v="PRN-2301"/>
    <n v="946.99"/>
    <n v="2132.19"/>
    <n v="2132.19"/>
    <x v="156"/>
    <s v="OK"/>
    <n v="0.16500000000000001"/>
    <n v="7"/>
    <n v="12462.65055"/>
    <n v="6628.93"/>
    <n v="5833.72055"/>
    <n v="0.46809629513362228"/>
    <d v="2023-01-02T00:00:00"/>
    <s v="Jan-2023"/>
    <n v="0"/>
    <n v="0"/>
    <n v="0"/>
  </r>
  <r>
    <s v="ORD-2024-851993"/>
    <d v="2024-05-01T00:00:00"/>
    <s v="May-2024"/>
    <s v="2024-Q2"/>
    <d v="2024-05-16T00:00:00"/>
    <n v="15"/>
    <s v="ACHIEVED"/>
    <x v="2"/>
    <s v="India"/>
    <s v="Bengaluru"/>
    <s v="Asia &gt; India &gt; Bengaluru"/>
    <s v="Small Business"/>
    <s v="Retail"/>
    <s v="Retail"/>
    <x v="10"/>
    <s v="Components"/>
    <s v="High"/>
    <s v="CMP-6811"/>
    <n v="901.19"/>
    <n v="2125.44"/>
    <n v="2125.44"/>
    <x v="88"/>
    <s v="OK"/>
    <n v="7.0999999999999994E-2"/>
    <n v="12"/>
    <n v="23694.405119999999"/>
    <n v="10814.28"/>
    <n v="12880.125119999999"/>
    <n v="0.54359352154100415"/>
    <d v="2023-01-02T00:00:00"/>
    <s v="Jan-2023"/>
    <n v="0"/>
    <n v="0"/>
    <n v="0"/>
  </r>
  <r>
    <s v="ORD-2023-728177"/>
    <d v="2023-12-18T00:00:00"/>
    <s v="Dec-2023"/>
    <s v="2023-Q4"/>
    <d v="2024-01-14T00:00:00"/>
    <n v="27"/>
    <s v="ACHIEVED"/>
    <x v="2"/>
    <s v="India"/>
    <s v="Mumbai"/>
    <s v="Asia &gt; India &gt; Mumbai"/>
    <s v="Consumer"/>
    <s v="Distributor"/>
    <s v="Distributor"/>
    <x v="14"/>
    <s v="Networking"/>
    <s v="High"/>
    <s v="NET-6014"/>
    <n v="1408.3"/>
    <n v="2193.13"/>
    <n v="2193.13"/>
    <x v="88"/>
    <s v="OK"/>
    <n v="7.0999999999999994E-2"/>
    <n v="7"/>
    <n v="14261.92439"/>
    <n v="9858.1"/>
    <n v="4403.8243899999998"/>
    <n v="0.30878191957656281"/>
    <d v="2023-01-02T00:00:00"/>
    <s v="Jan-2023"/>
    <n v="0"/>
    <n v="0"/>
    <n v="0"/>
  </r>
  <r>
    <s v="ORD-2024-578646"/>
    <d v="2024-05-27T00:00:00"/>
    <s v="May-2024"/>
    <s v="2024-Q2"/>
    <d v="2024-06-17T00:00:00"/>
    <n v="21"/>
    <s v="ACHIEVED"/>
    <x v="2"/>
    <s v="India"/>
    <s v="Delhi"/>
    <s v="Asia &gt; India &gt; Delhi"/>
    <s v="Small Business"/>
    <s v="Online"/>
    <s v="Online"/>
    <x v="15"/>
    <s v="Accessories"/>
    <s v="Low"/>
    <s v="ACC-7240"/>
    <n v="465.02"/>
    <n v="651.55999999999995"/>
    <n v="651.55999999999995"/>
    <x v="41"/>
    <s v="OK"/>
    <n v="4.2000000000000003E-2"/>
    <n v="19"/>
    <n v="11859.695119999998"/>
    <n v="8835.3799999999992"/>
    <n v="3024.3151199999993"/>
    <n v="0.25500783025187918"/>
    <d v="2023-01-02T00:00:00"/>
    <s v="Jan-2023"/>
    <n v="0"/>
    <n v="0"/>
    <n v="0"/>
  </r>
  <r>
    <s v="ORD-2023-573656"/>
    <d v="2023-05-02T00:00:00"/>
    <s v="May-2023"/>
    <s v="2023-Q2"/>
    <d v="2023-05-16T00:00:00"/>
    <n v="14"/>
    <s v="ACHIEVED"/>
    <x v="2"/>
    <s v="India"/>
    <s v="Bengaluru"/>
    <s v="Asia &gt; India &gt; Bengaluru"/>
    <s v="Non-Profit"/>
    <s v="Retail"/>
    <s v="Retail"/>
    <x v="10"/>
    <s v="Monitors"/>
    <s v="Medium"/>
    <s v="MON-4830"/>
    <n v="475.37"/>
    <n v="963.73"/>
    <n v="963.73"/>
    <x v="49"/>
    <s v="OK"/>
    <n v="4.1000000000000002E-2"/>
    <n v="22"/>
    <n v="20332.775539999999"/>
    <n v="10458.14"/>
    <n v="9874.6355399999993"/>
    <n v="0.48565113604750881"/>
    <d v="2023-01-02T00:00:00"/>
    <s v="Jan-2023"/>
    <n v="0"/>
    <n v="0"/>
    <n v="0"/>
  </r>
  <r>
    <s v="ORD-2024-776337"/>
    <d v="2024-11-12T00:00:00"/>
    <s v="Nov-2024"/>
    <s v="2024-Q4"/>
    <d v="2024-11-21T00:00:00"/>
    <n v="9"/>
    <s v="ACHIEVED"/>
    <x v="2"/>
    <s v="India"/>
    <s v="Mumbai"/>
    <s v="Asia &gt; India &gt; Mumbai"/>
    <s v="Corporate"/>
    <s v="Direct"/>
    <s v="Direct"/>
    <x v="15"/>
    <s v="Laptops"/>
    <s v="High"/>
    <s v="LAP-5078"/>
    <n v="903.41"/>
    <n v="1860.41"/>
    <n v="1860.41"/>
    <x v="14"/>
    <s v="OK"/>
    <n v="0.108"/>
    <n v="5"/>
    <n v="8297.4286000000011"/>
    <n v="4517.05"/>
    <n v="3780.3786000000009"/>
    <n v="0.455608451996803"/>
    <d v="2023-01-02T00:00:00"/>
    <s v="Jan-2023"/>
    <n v="0"/>
    <n v="0"/>
    <n v="0"/>
  </r>
  <r>
    <s v="ORD-2023-913592"/>
    <d v="2023-05-10T00:00:00"/>
    <s v="May-2023"/>
    <s v="2023-Q2"/>
    <d v="2023-05-14T00:00:00"/>
    <n v="4"/>
    <s v="NOT ACHIEVED"/>
    <x v="2"/>
    <s v="India"/>
    <s v="Delhi"/>
    <s v="Asia &gt; India &gt; Delhi"/>
    <s v="Non-Profit"/>
    <s v="Distributor"/>
    <s v="Distributor"/>
    <x v="0"/>
    <s v="Monitors"/>
    <s v="Medium"/>
    <s v="MON-2465"/>
    <n v="622.6"/>
    <n v="833.69"/>
    <n v="833.69"/>
    <x v="170"/>
    <s v="OK"/>
    <n v="0.20899999999999999"/>
    <n v="14"/>
    <n v="9232.2830599999998"/>
    <n v="8716.4"/>
    <n v="515.88306000000011"/>
    <n v="5.5878167582959715E-2"/>
    <d v="2023-01-02T00:00:00"/>
    <s v="Jan-2023"/>
    <n v="0"/>
    <n v="0"/>
    <n v="0"/>
  </r>
  <r>
    <s v="ORD-2025-137394"/>
    <d v="2025-01-04T00:00:00"/>
    <s v="Jan-2025"/>
    <s v="2025-Q1"/>
    <d v="2025-01-05T00:00:00"/>
    <n v="1"/>
    <s v="NOT ACHIEVED"/>
    <x v="2"/>
    <s v="India"/>
    <s v="Delhi"/>
    <s v="Asia &gt; India &gt; Delhi"/>
    <s v="Education"/>
    <s v="Retail"/>
    <s v="Retail"/>
    <x v="12"/>
    <s v="Components"/>
    <s v="High"/>
    <s v="CMP-1156"/>
    <n v="1428.33"/>
    <n v="3028.05"/>
    <n v="3028.05"/>
    <x v="3"/>
    <s v="OK"/>
    <n v="0"/>
    <n v="11"/>
    <n v="33308.550000000003"/>
    <n v="15711.63"/>
    <n v="17596.920000000006"/>
    <n v="0.52830039134096207"/>
    <d v="2023-01-02T00:00:00"/>
    <s v="Jan-2023"/>
    <n v="0"/>
    <n v="0"/>
    <n v="0"/>
  </r>
  <r>
    <s v="ORD-2025-635337"/>
    <d v="2025-08-05T00:00:00"/>
    <s v="Aug-2025"/>
    <s v="2025-Q3"/>
    <d v="2025-08-28T00:00:00"/>
    <n v="23"/>
    <s v="ACHIEVED"/>
    <x v="2"/>
    <s v="India"/>
    <s v="Mumbai"/>
    <s v="Asia &gt; India &gt; Mumbai"/>
    <s v="Non-Profit"/>
    <s v="Distributor"/>
    <s v="Distributor"/>
    <x v="5"/>
    <s v="Laptops"/>
    <s v="Medium"/>
    <s v="LAP-3905"/>
    <n v="638.54"/>
    <n v="987.24"/>
    <n v="987.24"/>
    <x v="3"/>
    <s v="OK"/>
    <n v="0"/>
    <n v="11"/>
    <n v="10859.64"/>
    <n v="7023.94"/>
    <n v="3835.7"/>
    <n v="0.35320692030306716"/>
    <d v="2023-01-02T00:00:00"/>
    <s v="Jan-2023"/>
    <n v="0"/>
    <n v="0"/>
    <n v="0"/>
  </r>
  <r>
    <s v="ORD-2023-472050"/>
    <d v="2023-05-10T00:00:00"/>
    <s v="May-2023"/>
    <s v="2023-Q2"/>
    <d v="2023-05-27T00:00:00"/>
    <n v="17"/>
    <s v="ACHIEVED"/>
    <x v="2"/>
    <s v="India"/>
    <s v="Mumbai"/>
    <s v="Asia &gt; India &gt; Mumbai"/>
    <s v="Consumer"/>
    <s v="Retail"/>
    <s v="Retail"/>
    <x v="13"/>
    <s v="Laptops"/>
    <s v="High"/>
    <s v="LAP-6499"/>
    <n v="1286.1600000000001"/>
    <n v="3101.11"/>
    <n v="3101.11"/>
    <x v="171"/>
    <s v="OK"/>
    <n v="0.1"/>
    <n v="23"/>
    <n v="64192.976999999999"/>
    <n v="29581.68"/>
    <n v="34611.296999999999"/>
    <n v="0.53917575749758417"/>
    <d v="2023-01-02T00:00:00"/>
    <s v="Jan-2023"/>
    <n v="0"/>
    <n v="0"/>
    <n v="0"/>
  </r>
  <r>
    <s v="ORD-2023-957692"/>
    <d v="2023-05-07T00:00:00"/>
    <s v="May-2023"/>
    <s v="2023-Q2"/>
    <d v="2023-05-20T00:00:00"/>
    <n v="13"/>
    <s v="ACHIEVED"/>
    <x v="2"/>
    <s v="India"/>
    <s v="Mumbai"/>
    <s v="Asia &gt; India &gt; Mumbai"/>
    <s v="Enterprise"/>
    <s v="Retail"/>
    <s v="Retail"/>
    <x v="14"/>
    <s v="Accessories"/>
    <s v="High"/>
    <s v="ACC-9283"/>
    <n v="1443.28"/>
    <n v="2580.5700000000002"/>
    <n v="2580.5700000000002"/>
    <x v="3"/>
    <s v="OK"/>
    <n v="0"/>
    <n v="18"/>
    <n v="46450.26"/>
    <n v="25979.040000000001"/>
    <n v="20471.22"/>
    <n v="0.4407127107577008"/>
    <d v="2023-01-02T00:00:00"/>
    <s v="Jan-2023"/>
    <n v="0"/>
    <n v="0"/>
    <n v="0"/>
  </r>
  <r>
    <s v="ORD-2024-872291"/>
    <d v="2024-01-08T00:00:00"/>
    <s v="Jan-2024"/>
    <s v="2024-Q1"/>
    <d v="2024-01-12T00:00:00"/>
    <n v="4"/>
    <s v="NOT ACHIEVED"/>
    <x v="2"/>
    <s v="India"/>
    <s v="Bengaluru"/>
    <s v="Asia &gt; India &gt; Bengaluru"/>
    <s v="Corporate"/>
    <s v="Direct"/>
    <s v="Direct"/>
    <x v="11"/>
    <s v="Printers"/>
    <s v="Low"/>
    <s v="PRN-6585"/>
    <n v="802.32"/>
    <n v="602.34"/>
    <n v="602.34"/>
    <x v="172"/>
    <s v="OK"/>
    <n v="0.12"/>
    <n v="25"/>
    <n v="13251.48"/>
    <n v="20058"/>
    <n v="-6806.52"/>
    <n v="-0.51364224977134632"/>
    <d v="2023-01-02T00:00:00"/>
    <s v="Jan-2023"/>
    <n v="0"/>
    <n v="0"/>
    <n v="0"/>
  </r>
  <r>
    <s v="ORD-2023-868460"/>
    <d v="2023-06-01T00:00:00"/>
    <s v="Jun-2023"/>
    <s v="2023-Q2"/>
    <d v="2023-06-01T00:00:00"/>
    <n v="0"/>
    <s v="NOT ACHIEVED"/>
    <x v="2"/>
    <s v="India"/>
    <s v="Bengaluru"/>
    <s v="Asia &gt; India &gt; Bengaluru"/>
    <s v="Corporate"/>
    <s v="Retail"/>
    <s v="Retail"/>
    <x v="11"/>
    <s v="Accessories"/>
    <s v="Medium"/>
    <s v="ACC-4587"/>
    <n v="669.37"/>
    <n v="997.2"/>
    <n v="997.2"/>
    <x v="17"/>
    <s v="OK"/>
    <n v="8.2000000000000003E-2"/>
    <n v="5"/>
    <n v="4577.1480000000001"/>
    <n v="3346.85"/>
    <n v="1230.2980000000002"/>
    <n v="0.26879139586484863"/>
    <d v="2023-01-02T00:00:00"/>
    <s v="Jan-2023"/>
    <n v="0"/>
    <n v="0"/>
    <n v="0"/>
  </r>
  <r>
    <s v="ORD-2025-177994"/>
    <d v="2025-03-24T00:00:00"/>
    <s v="Mar-2025"/>
    <s v="2025-Q1"/>
    <d v="2025-04-04T00:00:00"/>
    <n v="11"/>
    <s v="ACHIEVED"/>
    <x v="2"/>
    <s v="India"/>
    <s v="Mumbai"/>
    <s v="Asia &gt; India &gt; Mumbai"/>
    <s v="Education"/>
    <s v="Marketplace"/>
    <s v="Marketplace"/>
    <x v="2"/>
    <s v="Phones"/>
    <s v="Low"/>
    <s v="PHN-4395"/>
    <n v="23.83"/>
    <n v="47.29"/>
    <n v="47.29"/>
    <x v="105"/>
    <s v="OK"/>
    <n v="6.4000000000000001E-2"/>
    <n v="19"/>
    <n v="841.00536"/>
    <n v="452.77"/>
    <n v="388.23536000000001"/>
    <n v="0.46163244429262618"/>
    <d v="2023-01-02T00:00:00"/>
    <s v="Jan-2023"/>
    <n v="0"/>
    <n v="0"/>
    <n v="0"/>
  </r>
  <r>
    <s v="ORD-2024-817997"/>
    <d v="2024-07-28T00:00:00"/>
    <s v="Jul-2024"/>
    <s v="2024-Q3"/>
    <d v="2024-08-23T00:00:00"/>
    <n v="26"/>
    <s v="ACHIEVED"/>
    <x v="2"/>
    <s v="India"/>
    <s v="Hyderabad"/>
    <s v="Asia &gt; India &gt; Hyderabad"/>
    <s v="Corporate"/>
    <s v="Retail"/>
    <s v="Retail"/>
    <x v="2"/>
    <s v="Networking"/>
    <s v="Medium"/>
    <s v="NET-4675"/>
    <n v="1339.24"/>
    <n v="1558.89"/>
    <n v="1558.89"/>
    <x v="173"/>
    <s v="OK"/>
    <n v="0.192"/>
    <n v="24"/>
    <n v="30229.994880000002"/>
    <n v="32141.760000000002"/>
    <n v="-1911.76512"/>
    <n v="-6.3240669659021781E-2"/>
    <d v="2023-01-02T00:00:00"/>
    <s v="Jan-2023"/>
    <n v="0"/>
    <n v="0"/>
    <n v="0"/>
  </r>
  <r>
    <s v="ORD-2023-561823"/>
    <d v="2023-11-19T00:00:00"/>
    <s v="Nov-2023"/>
    <s v="2023-Q4"/>
    <d v="2023-12-12T00:00:00"/>
    <n v="23"/>
    <s v="ACHIEVED"/>
    <x v="2"/>
    <s v="India"/>
    <s v="Delhi"/>
    <s v="Asia &gt; India &gt; Delhi"/>
    <s v="Small Business"/>
    <s v="Direct"/>
    <s v="Direct"/>
    <x v="0"/>
    <s v="Networking"/>
    <s v="High"/>
    <s v="NET-2460"/>
    <n v="1349.04"/>
    <n v="2636.6"/>
    <n v="2636.6"/>
    <x v="133"/>
    <s v="OK"/>
    <n v="0.114"/>
    <n v="14"/>
    <n v="32704.386400000003"/>
    <n v="18886.559999999998"/>
    <n v="13817.826400000005"/>
    <n v="0.42250682312143928"/>
    <d v="2023-01-02T00:00:00"/>
    <s v="Jan-2023"/>
    <n v="0"/>
    <n v="0"/>
    <n v="0"/>
  </r>
  <r>
    <s v="ORD-2023-249805"/>
    <d v="2023-12-22T00:00:00"/>
    <s v="Dec-2023"/>
    <s v="2023-Q4"/>
    <d v="2024-01-16T00:00:00"/>
    <n v="25"/>
    <s v="ACHIEVED"/>
    <x v="2"/>
    <s v="India"/>
    <s v="Hyderabad"/>
    <s v="Asia &gt; India &gt; Hyderabad"/>
    <s v="Small Business"/>
    <s v="Retail"/>
    <s v="Retail"/>
    <x v="1"/>
    <s v="Components"/>
    <s v="Medium"/>
    <s v="CMP-1555"/>
    <n v="1346.81"/>
    <n v="978.09"/>
    <n v="978.09"/>
    <x v="22"/>
    <s v="OK"/>
    <n v="0.159"/>
    <n v="17"/>
    <n v="13983.752729999998"/>
    <n v="22895.77"/>
    <n v="-8912.0172700000021"/>
    <n v="-0.6373122753293996"/>
    <d v="2023-01-02T00:00:00"/>
    <s v="Jan-2023"/>
    <n v="0"/>
    <n v="0"/>
    <n v="0"/>
  </r>
  <r>
    <s v="ORD-2023-824839"/>
    <d v="2023-12-06T00:00:00"/>
    <s v="Dec-2023"/>
    <s v="2023-Q4"/>
    <d v="2023-12-31T00:00:00"/>
    <n v="25"/>
    <s v="ACHIEVED"/>
    <x v="2"/>
    <s v="Japan"/>
    <s v="Osaka"/>
    <s v="Asia &gt; Japan &gt; Osaka"/>
    <s v="Consumer"/>
    <s v="Retail"/>
    <s v="Retail"/>
    <x v="10"/>
    <s v="Printers"/>
    <s v="Low"/>
    <s v="PRN-8041"/>
    <n v="663.03"/>
    <n v="813.51"/>
    <n v="813.51"/>
    <x v="61"/>
    <s v="OK"/>
    <n v="0.10199999999999999"/>
    <n v="15"/>
    <n v="10957.9797"/>
    <n v="9945.4499999999989"/>
    <n v="1012.529700000001"/>
    <n v="9.2401129379715952E-2"/>
    <d v="2023-01-02T00:00:00"/>
    <s v="Jan-2023"/>
    <n v="0"/>
    <n v="0"/>
    <n v="0"/>
  </r>
  <r>
    <s v="ORD-2025-515515"/>
    <d v="2025-01-03T00:00:00"/>
    <s v="Jan-2025"/>
    <s v="2025-Q1"/>
    <d v="2025-01-23T00:00:00"/>
    <n v="20"/>
    <s v="ACHIEVED"/>
    <x v="2"/>
    <s v="Japan"/>
    <s v="Osaka"/>
    <s v="Asia &gt; Japan &gt; Osaka"/>
    <s v="Corporate"/>
    <s v="Distributor"/>
    <s v="Distributor"/>
    <x v="8"/>
    <s v="Phones"/>
    <s v="Low"/>
    <s v="PHN-7019"/>
    <n v="908.6"/>
    <n v="691.37"/>
    <n v="691.37"/>
    <x v="174"/>
    <s v="OK"/>
    <n v="0.25"/>
    <n v="20"/>
    <n v="10370.549999999999"/>
    <n v="18172"/>
    <n v="-7801.4500000000007"/>
    <n v="-0.75226964818645115"/>
    <d v="2023-01-02T00:00:00"/>
    <s v="Jan-2023"/>
    <n v="0"/>
    <n v="0"/>
    <n v="0"/>
  </r>
  <r>
    <s v="ORD-2025-233883"/>
    <d v="2025-09-08T00:00:00"/>
    <s v="Sep-2025"/>
    <s v="2025-Q3"/>
    <d v="2025-09-16T00:00:00"/>
    <n v="8"/>
    <s v="ACHIEVED"/>
    <x v="2"/>
    <s v="Japan"/>
    <s v="Osaka"/>
    <s v="Asia &gt; Japan &gt; Osaka"/>
    <s v="Corporate"/>
    <s v="Distributor"/>
    <s v="Distributor"/>
    <x v="0"/>
    <s v="Phones"/>
    <s v="High"/>
    <s v="PHN-1197"/>
    <n v="1225.57"/>
    <n v="2705.57"/>
    <n v="2705.57"/>
    <x v="175"/>
    <s v="OK"/>
    <n v="0.183"/>
    <n v="16"/>
    <n v="35367.211040000002"/>
    <n v="19609.12"/>
    <n v="15758.091040000003"/>
    <n v="0.44555650775453404"/>
    <d v="2023-01-02T00:00:00"/>
    <s v="Jan-2023"/>
    <n v="0"/>
    <n v="0"/>
    <n v="0"/>
  </r>
  <r>
    <s v="ORD-2025-779574"/>
    <d v="2025-09-10T00:00:00"/>
    <s v="Sep-2025"/>
    <s v="2025-Q3"/>
    <d v="2025-09-12T00:00:00"/>
    <n v="2"/>
    <s v="NOT ACHIEVED"/>
    <x v="2"/>
    <s v="Japan"/>
    <s v="Tokyo"/>
    <s v="Asia &gt; Japan &gt; Tokyo"/>
    <s v="Consumer"/>
    <s v="Online"/>
    <s v="Online"/>
    <x v="7"/>
    <s v="Components"/>
    <s v="High"/>
    <s v="CMP-6971"/>
    <n v="1470.15"/>
    <n v="2593.7800000000002"/>
    <n v="2593.7800000000002"/>
    <x v="176"/>
    <s v="OK"/>
    <n v="0.11"/>
    <n v="12"/>
    <n v="27701.570400000001"/>
    <n v="17641.800000000003"/>
    <n v="10059.770399999998"/>
    <n v="0.36314801849645306"/>
    <d v="2023-01-02T00:00:00"/>
    <s v="Jan-2023"/>
    <n v="0"/>
    <n v="0"/>
    <n v="0"/>
  </r>
  <r>
    <s v="ORD-2024-347736"/>
    <d v="2024-05-22T00:00:00"/>
    <s v="May-2024"/>
    <s v="2024-Q2"/>
    <d v="2024-06-06T00:00:00"/>
    <n v="15"/>
    <s v="ACHIEVED"/>
    <x v="2"/>
    <s v="Japan"/>
    <s v="Nagoya"/>
    <s v="Asia &gt; Japan &gt; Nagoya"/>
    <s v="Corporate"/>
    <s v="Distributor"/>
    <s v="Distributor"/>
    <x v="0"/>
    <s v="Monitors"/>
    <s v="Medium"/>
    <s v="MON-6870"/>
    <n v="673.88"/>
    <n v="1228.01"/>
    <n v="1228.01"/>
    <x v="126"/>
    <s v="OK"/>
    <n v="0.105"/>
    <n v="13"/>
    <n v="14287.896349999999"/>
    <n v="8760.44"/>
    <n v="5527.4563499999986"/>
    <n v="0.38686285332689996"/>
    <d v="2023-01-02T00:00:00"/>
    <s v="Jan-2023"/>
    <n v="0"/>
    <n v="0"/>
    <n v="0"/>
  </r>
  <r>
    <s v="ORD-2023-258768"/>
    <d v="2023-06-29T00:00:00"/>
    <s v="Jun-2023"/>
    <s v="2023-Q2"/>
    <d v="2023-07-02T00:00:00"/>
    <n v="3"/>
    <s v="NOT ACHIEVED"/>
    <x v="2"/>
    <s v="Japan"/>
    <s v="Nagoya"/>
    <s v="Asia &gt; Japan &gt; Nagoya"/>
    <s v="Education"/>
    <s v="Marketplace"/>
    <s v="Marketplace"/>
    <x v="8"/>
    <s v="Monitors"/>
    <s v="Low"/>
    <s v="MON-2990"/>
    <n v="55.65"/>
    <n v="83.57"/>
    <n v="83.57"/>
    <x v="102"/>
    <s v="OK"/>
    <n v="6.6000000000000003E-2"/>
    <n v="8"/>
    <n v="624.43503999999996"/>
    <n v="445.2"/>
    <n v="179.23503999999997"/>
    <n v="0.2870355257449998"/>
    <d v="2023-01-02T00:00:00"/>
    <s v="Jan-2023"/>
    <n v="0"/>
    <n v="0"/>
    <n v="0"/>
  </r>
  <r>
    <s v="ORD-2025-626047"/>
    <d v="2025-04-28T00:00:00"/>
    <s v="Apr-2025"/>
    <s v="2025-Q2"/>
    <d v="2025-05-15T00:00:00"/>
    <n v="17"/>
    <s v="ACHIEVED"/>
    <x v="2"/>
    <s v="Japan"/>
    <s v="Nagoya"/>
    <s v="Asia &gt; Japan &gt; Nagoya"/>
    <s v="Education"/>
    <s v="Direct"/>
    <s v="Direct"/>
    <x v="5"/>
    <s v="Networking"/>
    <s v="Medium"/>
    <s v="NET-1966"/>
    <n v="691.19"/>
    <n v="1284.3"/>
    <n v="1284.3"/>
    <x v="76"/>
    <s v="OK"/>
    <n v="7.3999999999999996E-2"/>
    <n v="7"/>
    <n v="8324.8326000000015"/>
    <n v="4838.33"/>
    <n v="3486.5026000000016"/>
    <n v="0.41880753253825198"/>
    <d v="2023-01-02T00:00:00"/>
    <s v="Jan-2023"/>
    <n v="0"/>
    <n v="0"/>
    <n v="0"/>
  </r>
  <r>
    <s v="ORD-2024-792558"/>
    <d v="2024-10-16T00:00:00"/>
    <s v="Oct-2024"/>
    <s v="2024-Q4"/>
    <d v="2024-11-08T00:00:00"/>
    <n v="23"/>
    <s v="ACHIEVED"/>
    <x v="2"/>
    <s v="Japan"/>
    <s v="Osaka"/>
    <s v="Asia &gt; Japan &gt; Osaka"/>
    <s v="Small Business"/>
    <s v="Retail"/>
    <s v="Retail"/>
    <x v="2"/>
    <s v="Networking"/>
    <s v="Low"/>
    <s v="NET-6387"/>
    <n v="82.14"/>
    <n v="166.04"/>
    <n v="166.04"/>
    <x v="3"/>
    <s v="OK"/>
    <n v="0"/>
    <n v="10"/>
    <n v="1660.3999999999999"/>
    <n v="821.4"/>
    <n v="838.99999999999989"/>
    <n v="0.50529992772825827"/>
    <d v="2023-01-02T00:00:00"/>
    <s v="Jan-2023"/>
    <n v="0"/>
    <n v="0"/>
    <n v="0"/>
  </r>
  <r>
    <s v="ORD-2023-975863"/>
    <d v="2023-11-20T00:00:00"/>
    <s v="Nov-2023"/>
    <s v="2023-Q4"/>
    <d v="2023-12-05T00:00:00"/>
    <n v="15"/>
    <s v="ACHIEVED"/>
    <x v="2"/>
    <s v="Japan"/>
    <s v="Tokyo"/>
    <s v="Asia &gt; Japan &gt; Tokyo"/>
    <s v="Enterprise"/>
    <s v="Retail"/>
    <s v="Retail"/>
    <x v="10"/>
    <s v="Networking"/>
    <s v="Low"/>
    <s v="NET-3033"/>
    <n v="354.24"/>
    <n v="249.87"/>
    <n v="249.87"/>
    <x v="3"/>
    <s v="OK"/>
    <n v="0"/>
    <n v="6"/>
    <n v="1499.22"/>
    <n v="2125.44"/>
    <n v="-626.22"/>
    <n v="-0.41769720254532355"/>
    <d v="2023-01-02T00:00:00"/>
    <s v="Jan-2023"/>
    <n v="0"/>
    <n v="0"/>
    <n v="0"/>
  </r>
  <r>
    <s v="ORD-2023-596758"/>
    <d v="2023-12-07T00:00:00"/>
    <s v="Dec-2023"/>
    <s v="2023-Q4"/>
    <d v="2023-12-12T00:00:00"/>
    <n v="5"/>
    <s v="NOT ACHIEVED"/>
    <x v="2"/>
    <s v="Japan"/>
    <s v="Tokyo"/>
    <s v="Asia &gt; Japan &gt; Tokyo"/>
    <s v="Non-Profit"/>
    <s v="Marketplace"/>
    <s v="Marketplace"/>
    <x v="15"/>
    <s v="Printers"/>
    <s v="Medium"/>
    <s v="PRN-8175"/>
    <n v="1097.5899999999999"/>
    <n v="845.55"/>
    <n v="845.55"/>
    <x v="9"/>
    <s v="OK"/>
    <n v="0.184"/>
    <n v="6"/>
    <n v="4139.8127999999997"/>
    <n v="6585.5399999999991"/>
    <n v="-2445.7271999999994"/>
    <n v="-0.59078207594314402"/>
    <d v="2023-01-02T00:00:00"/>
    <s v="Jan-2023"/>
    <n v="0"/>
    <n v="0"/>
    <n v="0"/>
  </r>
  <r>
    <s v="ORD-2024-136321"/>
    <d v="2024-08-07T00:00:00"/>
    <s v="Aug-2024"/>
    <s v="2024-Q3"/>
    <d v="2024-08-17T00:00:00"/>
    <n v="10"/>
    <s v="ACHIEVED"/>
    <x v="2"/>
    <s v="Japan"/>
    <s v="Osaka"/>
    <s v="Asia &gt; Japan &gt; Osaka"/>
    <s v="Consumer"/>
    <s v="Online"/>
    <s v="Online"/>
    <x v="3"/>
    <s v="Networking"/>
    <s v="Low"/>
    <s v="NET-7924"/>
    <n v="436.58"/>
    <n v="527.48"/>
    <n v="527.48"/>
    <x v="40"/>
    <s v="OK"/>
    <n v="0.111"/>
    <n v="19"/>
    <n v="8909.6646800000017"/>
    <n v="8295.02"/>
    <n v="614.64468000000124"/>
    <n v="6.8986286473802644E-2"/>
    <d v="2023-01-02T00:00:00"/>
    <s v="Jan-2023"/>
    <n v="0"/>
    <n v="0"/>
    <n v="0"/>
  </r>
  <r>
    <s v="ORD-2023-240507"/>
    <d v="2023-03-25T00:00:00"/>
    <s v="Mar-2023"/>
    <s v="2023-Q1"/>
    <d v="2023-03-26T00:00:00"/>
    <n v="1"/>
    <s v="NOT ACHIEVED"/>
    <x v="2"/>
    <s v="Japan"/>
    <s v="Osaka"/>
    <s v="Asia &gt; Japan &gt; Osaka"/>
    <s v="Small Business"/>
    <s v="Distributor"/>
    <s v="Distributor"/>
    <x v="12"/>
    <s v="Monitors"/>
    <s v="Low"/>
    <s v="MON-9227"/>
    <n v="135.12"/>
    <n v="301.7"/>
    <n v="301.7"/>
    <x v="26"/>
    <s v="OK"/>
    <n v="0.14000000000000001"/>
    <n v="47"/>
    <n v="12194.714"/>
    <n v="6350.64"/>
    <n v="5844.0739999999996"/>
    <n v="0.47923009920527859"/>
    <d v="2023-01-02T00:00:00"/>
    <s v="Jan-2023"/>
    <n v="0"/>
    <n v="0"/>
    <n v="0"/>
  </r>
  <r>
    <s v="ORD-2024-605629"/>
    <d v="2024-07-15T00:00:00"/>
    <s v="Jul-2024"/>
    <s v="2024-Q3"/>
    <d v="2024-07-15T00:00:00"/>
    <n v="0"/>
    <s v="NOT ACHIEVED"/>
    <x v="2"/>
    <s v="Japan"/>
    <s v="Tokyo"/>
    <s v="Asia &gt; Japan &gt; Tokyo"/>
    <s v="Small Business"/>
    <s v="Marketplace"/>
    <s v="Marketplace"/>
    <x v="4"/>
    <s v="Accessories"/>
    <s v="Medium"/>
    <s v="ACC-2735"/>
    <n v="801.77"/>
    <n v="1218.92"/>
    <n v="1218.92"/>
    <x v="119"/>
    <s v="OK"/>
    <n v="0.254"/>
    <n v="16"/>
    <n v="14549.029120000001"/>
    <n v="12828.32"/>
    <n v="1720.7091200000013"/>
    <n v="0.11826968698788344"/>
    <d v="2023-01-02T00:00:00"/>
    <s v="Jan-2023"/>
    <n v="0"/>
    <n v="0"/>
    <n v="0"/>
  </r>
  <r>
    <s v="ORD-2023-450877"/>
    <d v="2023-09-21T00:00:00"/>
    <s v="Sep-2023"/>
    <s v="2023-Q3"/>
    <d v="2023-10-10T00:00:00"/>
    <n v="19"/>
    <s v="ACHIEVED"/>
    <x v="2"/>
    <s v="Japan"/>
    <s v="Tokyo"/>
    <s v="Asia &gt; Japan &gt; Tokyo"/>
    <s v="Education"/>
    <s v="Online"/>
    <s v="Online"/>
    <x v="14"/>
    <s v="Components"/>
    <s v="High"/>
    <s v="CMP-5211"/>
    <n v="845.63"/>
    <n v="2062.12"/>
    <n v="2062.12"/>
    <x v="11"/>
    <s v="OK"/>
    <n v="0.13400000000000001"/>
    <n v="5"/>
    <n v="8928.9795999999988"/>
    <n v="4228.1499999999996"/>
    <n v="4700.8295999999991"/>
    <n v="0.52646884757133949"/>
    <d v="2023-01-02T00:00:00"/>
    <s v="Jan-2023"/>
    <n v="0"/>
    <n v="0"/>
    <n v="0"/>
  </r>
  <r>
    <s v="ORD-2025-898843"/>
    <d v="2025-02-02T00:00:00"/>
    <s v="Feb-2025"/>
    <s v="2025-Q1"/>
    <d v="2025-03-04T00:00:00"/>
    <n v="30"/>
    <s v="ACHIEVED"/>
    <x v="2"/>
    <s v="Japan"/>
    <s v="Osaka"/>
    <s v="Asia &gt; Japan &gt; Osaka"/>
    <s v="Education"/>
    <s v="Distributor"/>
    <s v="Distributor"/>
    <x v="10"/>
    <s v="Accessories"/>
    <s v="High"/>
    <s v="ACC-9591"/>
    <n v="766.59"/>
    <n v="1912.8"/>
    <n v="1912.8"/>
    <x v="66"/>
    <s v="OK"/>
    <n v="0.19600000000000001"/>
    <n v="5"/>
    <n v="7689.4560000000001"/>
    <n v="3832.9500000000003"/>
    <n v="3856.5059999999999"/>
    <n v="0.50153170783472845"/>
    <d v="2023-01-02T00:00:00"/>
    <s v="Jan-2023"/>
    <n v="0"/>
    <n v="0"/>
    <n v="0"/>
  </r>
  <r>
    <s v="ORD-2024-668926"/>
    <d v="2024-10-23T00:00:00"/>
    <s v="Oct-2024"/>
    <s v="2024-Q4"/>
    <d v="2024-11-14T00:00:00"/>
    <n v="22"/>
    <s v="ACHIEVED"/>
    <x v="2"/>
    <s v="Japan"/>
    <s v="Osaka"/>
    <s v="Asia &gt; Japan &gt; Osaka"/>
    <s v="Non-Profit"/>
    <s v="Direct"/>
    <s v="Direct"/>
    <x v="6"/>
    <s v="Phones"/>
    <s v="Medium"/>
    <s v="PHN-9789"/>
    <n v="1406.4"/>
    <n v="1564.76"/>
    <n v="1564.76"/>
    <x v="163"/>
    <s v="OK"/>
    <n v="0.185"/>
    <n v="17"/>
    <n v="21679.749799999998"/>
    <n v="23908.800000000003"/>
    <n v="-2229.0502000000051"/>
    <n v="-0.10281715520536151"/>
    <d v="2023-01-02T00:00:00"/>
    <s v="Jan-2023"/>
    <n v="0"/>
    <n v="0"/>
    <n v="0"/>
  </r>
  <r>
    <s v="ORD-2024-197852"/>
    <d v="2024-02-29T00:00:00"/>
    <s v="Feb-2024"/>
    <s v="2024-Q1"/>
    <d v="2024-03-30T00:00:00"/>
    <n v="30"/>
    <s v="ACHIEVED"/>
    <x v="2"/>
    <s v="Japan"/>
    <s v="Nagoya"/>
    <s v="Asia &gt; Japan &gt; Nagoya"/>
    <s v="Small Business"/>
    <s v="Direct"/>
    <s v="Direct"/>
    <x v="12"/>
    <s v="Networking"/>
    <s v="Low"/>
    <s v="NET-7588"/>
    <n v="231.11"/>
    <n v="318.17"/>
    <n v="318.17"/>
    <x v="177"/>
    <s v="OK"/>
    <n v="0.20100000000000001"/>
    <n v="60"/>
    <n v="15253.069799999999"/>
    <n v="13866.6"/>
    <n v="1386.4697999999989"/>
    <n v="9.0897754889969692E-2"/>
    <d v="2023-01-02T00:00:00"/>
    <s v="Jan-2023"/>
    <n v="0"/>
    <n v="0"/>
    <n v="0"/>
  </r>
  <r>
    <s v="ORD-2023-290237"/>
    <d v="2023-07-30T00:00:00"/>
    <s v="Jul-2023"/>
    <s v="2023-Q3"/>
    <d v="2023-08-07T00:00:00"/>
    <n v="8"/>
    <s v="ACHIEVED"/>
    <x v="2"/>
    <s v="Japan"/>
    <s v="Nagoya"/>
    <s v="Asia &gt; Japan &gt; Nagoya"/>
    <s v="Education"/>
    <s v="Marketplace"/>
    <s v="Marketplace"/>
    <x v="1"/>
    <s v="Networking"/>
    <s v="High"/>
    <s v="NET-1645"/>
    <n v="1352.44"/>
    <n v="2698.01"/>
    <n v="2698.01"/>
    <x v="59"/>
    <s v="OK"/>
    <n v="0.13100000000000001"/>
    <n v="13"/>
    <n v="30479.418970000002"/>
    <n v="17581.72"/>
    <n v="12897.698970000001"/>
    <n v="0.42316091992090887"/>
    <d v="2023-01-02T00:00:00"/>
    <s v="Jan-2023"/>
    <n v="0"/>
    <n v="0"/>
    <n v="0"/>
  </r>
  <r>
    <s v="ORD-2024-569164"/>
    <d v="2024-09-05T00:00:00"/>
    <s v="Sep-2024"/>
    <s v="2024-Q3"/>
    <d v="2024-09-25T00:00:00"/>
    <n v="20"/>
    <s v="ACHIEVED"/>
    <x v="2"/>
    <s v="Japan"/>
    <s v="Osaka"/>
    <s v="Asia &gt; Japan &gt; Osaka"/>
    <s v="Enterprise"/>
    <s v="Distributor"/>
    <s v="Distributor"/>
    <x v="14"/>
    <s v="Monitors"/>
    <s v="Low"/>
    <s v="MON-5249"/>
    <n v="195.54"/>
    <n v="405.97"/>
    <n v="405.97"/>
    <x v="90"/>
    <s v="OK"/>
    <n v="0.187"/>
    <n v="16"/>
    <n v="5280.8577599999999"/>
    <n v="3128.64"/>
    <n v="2152.21776"/>
    <n v="0.40755079152141377"/>
    <d v="2023-01-02T00:00:00"/>
    <s v="Jan-2023"/>
    <n v="0"/>
    <n v="0"/>
    <n v="0"/>
  </r>
  <r>
    <s v="ORD-2024-281211"/>
    <d v="2024-01-11T00:00:00"/>
    <s v="Jan-2024"/>
    <s v="2024-Q1"/>
    <d v="2024-02-02T00:00:00"/>
    <n v="22"/>
    <s v="ACHIEVED"/>
    <x v="2"/>
    <s v="Japan"/>
    <s v="Nagoya"/>
    <s v="Asia &gt; Japan &gt; Nagoya"/>
    <s v="Small Business"/>
    <s v="Online"/>
    <s v="Online"/>
    <x v="9"/>
    <s v="Printers"/>
    <s v="Medium"/>
    <s v="PRN-7816"/>
    <n v="1237.68"/>
    <n v="1432.8"/>
    <n v="1432.8"/>
    <x v="141"/>
    <s v="OK"/>
    <n v="6.8000000000000005E-2"/>
    <n v="13"/>
    <n v="17359.804799999998"/>
    <n v="16089.84"/>
    <n v="1269.9647999999979"/>
    <n v="7.315547695559331E-2"/>
    <d v="2023-01-02T00:00:00"/>
    <s v="Jan-2023"/>
    <n v="0"/>
    <n v="0"/>
    <n v="0"/>
  </r>
  <r>
    <s v="ORD-2025-646342"/>
    <d v="2025-08-02T00:00:00"/>
    <s v="Aug-2025"/>
    <s v="2025-Q3"/>
    <d v="2025-08-08T00:00:00"/>
    <n v="6"/>
    <s v="NOT ACHIEVED"/>
    <x v="2"/>
    <s v="Japan"/>
    <s v="Osaka"/>
    <s v="Asia &gt; Japan &gt; Osaka"/>
    <s v="Consumer"/>
    <s v="Direct"/>
    <s v="Direct"/>
    <x v="5"/>
    <s v="Laptops"/>
    <s v="High"/>
    <s v="LAP-4828"/>
    <n v="1225.94"/>
    <n v="1793.08"/>
    <n v="1793.08"/>
    <x v="83"/>
    <s v="OK"/>
    <n v="0.13600000000000001"/>
    <n v="22"/>
    <n v="34082.864639999993"/>
    <n v="26970.68"/>
    <n v="7112.1846399999922"/>
    <n v="0.20867332353434462"/>
    <d v="2023-01-02T00:00:00"/>
    <s v="Jan-2023"/>
    <n v="0"/>
    <n v="0"/>
    <n v="0"/>
  </r>
  <r>
    <s v="ORD-2025-248586"/>
    <d v="2025-09-12T00:00:00"/>
    <s v="Sep-2025"/>
    <s v="2025-Q3"/>
    <d v="2025-09-30T00:00:00"/>
    <n v="18"/>
    <s v="ACHIEVED"/>
    <x v="2"/>
    <s v="Japan"/>
    <s v="Nagoya"/>
    <s v="Asia &gt; Japan &gt; Nagoya"/>
    <s v="Non-Profit"/>
    <s v="Marketplace"/>
    <s v="Marketplace"/>
    <x v="8"/>
    <s v="Monitors"/>
    <s v="High"/>
    <s v="MON-2998"/>
    <n v="1212.99"/>
    <n v="1653.64"/>
    <n v="1653.64"/>
    <x v="178"/>
    <s v="OK"/>
    <n v="0.107"/>
    <n v="8"/>
    <n v="11813.604160000001"/>
    <n v="9703.92"/>
    <n v="2109.6841600000007"/>
    <n v="0.17858090819931455"/>
    <d v="2023-01-02T00:00:00"/>
    <s v="Jan-2023"/>
    <n v="0"/>
    <n v="0"/>
    <n v="0"/>
  </r>
  <r>
    <s v="ORD-2024-350100"/>
    <d v="2024-10-27T00:00:00"/>
    <s v="Oct-2024"/>
    <s v="2024-Q4"/>
    <d v="2024-11-20T00:00:00"/>
    <n v="24"/>
    <s v="ACHIEVED"/>
    <x v="2"/>
    <s v="Japan"/>
    <s v="Nagoya"/>
    <s v="Asia &gt; Japan &gt; Nagoya"/>
    <s v="Non-Profit"/>
    <s v="Online"/>
    <s v="Online"/>
    <x v="15"/>
    <s v="Monitors"/>
    <s v="Low"/>
    <s v="MON-8939"/>
    <n v="317.25"/>
    <n v="758.92"/>
    <n v="758.92"/>
    <x v="144"/>
    <s v="OK"/>
    <n v="5.2999999999999999E-2"/>
    <n v="9"/>
    <n v="6468.2751599999992"/>
    <n v="2855.25"/>
    <n v="3613.0251599999992"/>
    <n v="0.5585762928489888"/>
    <d v="2023-01-02T00:00:00"/>
    <s v="Jan-2023"/>
    <n v="0"/>
    <n v="0"/>
    <n v="0"/>
  </r>
  <r>
    <s v="ORD-2025-685236"/>
    <d v="2025-03-14T00:00:00"/>
    <s v="Mar-2025"/>
    <s v="2025-Q1"/>
    <d v="2025-03-29T00:00:00"/>
    <n v="15"/>
    <s v="ACHIEVED"/>
    <x v="2"/>
    <s v="Japan"/>
    <s v="Tokyo"/>
    <s v="Asia &gt; Japan &gt; Tokyo"/>
    <s v="Non-Profit"/>
    <s v="Direct"/>
    <s v="Direct"/>
    <x v="15"/>
    <s v="Networking"/>
    <s v="High"/>
    <s v="NET-8430"/>
    <n v="1106.96"/>
    <n v="2726.62"/>
    <n v="2726.62"/>
    <x v="35"/>
    <s v="OK"/>
    <n v="0.3"/>
    <n v="7"/>
    <n v="13360.438"/>
    <n v="7748.72"/>
    <n v="5611.7179999999998"/>
    <n v="0.42002500217432992"/>
    <d v="2023-01-02T00:00:00"/>
    <s v="Jan-2023"/>
    <n v="0"/>
    <n v="0"/>
    <n v="0"/>
  </r>
  <r>
    <s v="ORD-2023-610470"/>
    <d v="2023-06-24T00:00:00"/>
    <s v="Jun-2023"/>
    <s v="2023-Q2"/>
    <d v="2023-07-21T00:00:00"/>
    <n v="27"/>
    <s v="ACHIEVED"/>
    <x v="2"/>
    <s v="Japan"/>
    <s v="Nagoya"/>
    <s v="Asia &gt; Japan &gt; Nagoya"/>
    <s v="Consumer"/>
    <s v="Marketplace"/>
    <s v="Marketplace"/>
    <x v="2"/>
    <s v="Phones"/>
    <s v="Low"/>
    <s v="PHN-6818"/>
    <n v="554.76"/>
    <n v="728.69"/>
    <n v="728.69"/>
    <x v="179"/>
    <s v="OK"/>
    <n v="0.22"/>
    <n v="7"/>
    <n v="3978.6474000000003"/>
    <n v="3883.3199999999997"/>
    <n v="95.32740000000058"/>
    <n v="2.395975074343119E-2"/>
    <d v="2023-01-02T00:00:00"/>
    <s v="Jan-2023"/>
    <n v="0"/>
    <n v="0"/>
    <n v="0"/>
  </r>
  <r>
    <s v="ORD-2025-487025"/>
    <d v="2025-04-11T00:00:00"/>
    <s v="Apr-2025"/>
    <s v="2025-Q2"/>
    <d v="2025-05-04T00:00:00"/>
    <n v="23"/>
    <s v="ACHIEVED"/>
    <x v="2"/>
    <s v="Japan"/>
    <s v="Osaka"/>
    <s v="Asia &gt; Japan &gt; Osaka"/>
    <s v="Small Business"/>
    <s v="Online"/>
    <s v="Online"/>
    <x v="13"/>
    <s v="Components"/>
    <s v="Medium"/>
    <s v="CMP-3743"/>
    <n v="786.2"/>
    <n v="1075.3"/>
    <n v="1075.3"/>
    <x v="135"/>
    <s v="OK"/>
    <n v="0.08"/>
    <n v="9"/>
    <n v="8903.4839999999986"/>
    <n v="7075.8"/>
    <n v="1827.6839999999984"/>
    <n v="0.20527739478163815"/>
    <d v="2023-01-02T00:00:00"/>
    <s v="Jan-2023"/>
    <n v="0"/>
    <n v="0"/>
    <n v="0"/>
  </r>
  <r>
    <s v="ORD-2025-415018"/>
    <d v="2025-01-22T00:00:00"/>
    <s v="Jan-2025"/>
    <s v="2025-Q1"/>
    <d v="2025-02-04T00:00:00"/>
    <n v="13"/>
    <s v="ACHIEVED"/>
    <x v="2"/>
    <s v="Japan"/>
    <s v="Tokyo"/>
    <s v="Asia &gt; Japan &gt; Tokyo"/>
    <s v="Small Business"/>
    <s v="Distributor"/>
    <s v="Distributor"/>
    <x v="10"/>
    <s v="Printers"/>
    <s v="Low"/>
    <s v="PRN-2991"/>
    <n v="122.29"/>
    <n v="224.95"/>
    <n v="224.95"/>
    <x v="180"/>
    <s v="OK"/>
    <n v="0.153"/>
    <n v="28"/>
    <n v="5334.9141999999993"/>
    <n v="3424.1200000000003"/>
    <n v="1910.7941999999989"/>
    <n v="0.3581677471026618"/>
    <d v="2023-01-02T00:00:00"/>
    <s v="Jan-2023"/>
    <n v="0"/>
    <n v="0"/>
    <n v="0"/>
  </r>
  <r>
    <s v="ORD-2023-363031"/>
    <d v="2023-05-06T00:00:00"/>
    <s v="May-2023"/>
    <s v="2023-Q2"/>
    <d v="2023-05-14T00:00:00"/>
    <n v="8"/>
    <s v="ACHIEVED"/>
    <x v="2"/>
    <s v="Japan"/>
    <s v="Osaka"/>
    <s v="Asia &gt; Japan &gt; Osaka"/>
    <s v="Enterprise"/>
    <s v="Marketplace"/>
    <s v="Marketplace"/>
    <x v="6"/>
    <s v="Phones"/>
    <s v="Low"/>
    <s v="PHN-6131"/>
    <n v="291.18"/>
    <n v="479.54"/>
    <n v="479.54"/>
    <x v="181"/>
    <s v="OK"/>
    <n v="0.14099999999999999"/>
    <n v="22"/>
    <n v="9062.34692"/>
    <n v="6405.96"/>
    <n v="2656.3869199999999"/>
    <n v="0.29312350801066001"/>
    <d v="2023-01-02T00:00:00"/>
    <s v="Jan-2023"/>
    <n v="0"/>
    <n v="0"/>
    <n v="0"/>
  </r>
  <r>
    <s v="ORD-2024-892908"/>
    <d v="2024-07-13T00:00:00"/>
    <s v="Jul-2024"/>
    <s v="2024-Q3"/>
    <d v="2024-07-18T00:00:00"/>
    <n v="5"/>
    <s v="NOT ACHIEVED"/>
    <x v="2"/>
    <s v="Japan"/>
    <s v="Nagoya"/>
    <s v="Asia &gt; Japan &gt; Nagoya"/>
    <s v="Small Business"/>
    <s v="Marketplace"/>
    <s v="Marketplace"/>
    <x v="8"/>
    <s v="Networking"/>
    <s v="Low"/>
    <s v="NET-9575"/>
    <n v="105.13"/>
    <n v="244.13"/>
    <n v="244.13"/>
    <x v="88"/>
    <s v="OK"/>
    <n v="7.0999999999999994E-2"/>
    <n v="14"/>
    <n v="3175.1547799999998"/>
    <n v="1471.82"/>
    <n v="1703.3347799999999"/>
    <n v="0.53645724319618837"/>
    <d v="2023-01-02T00:00:00"/>
    <s v="Jan-2023"/>
    <n v="0"/>
    <n v="0"/>
    <n v="0"/>
  </r>
  <r>
    <s v="ORD-2023-573146"/>
    <d v="2023-12-01T00:00:00"/>
    <s v="Dec-2023"/>
    <s v="2023-Q4"/>
    <d v="2023-12-18T00:00:00"/>
    <n v="17"/>
    <s v="ACHIEVED"/>
    <x v="2"/>
    <s v="Japan"/>
    <s v="Nagoya"/>
    <s v="Asia &gt; Japan &gt; Nagoya"/>
    <s v="Small Business"/>
    <s v="Direct"/>
    <s v="Direct"/>
    <x v="5"/>
    <s v="Laptops"/>
    <s v="High"/>
    <s v="LAP-3604"/>
    <n v="1495.79"/>
    <n v="2783.12"/>
    <n v="2783.12"/>
    <x v="94"/>
    <s v="OK"/>
    <n v="0.02"/>
    <n v="5"/>
    <n v="13637.287999999999"/>
    <n v="7478.95"/>
    <n v="6158.3379999999988"/>
    <n v="0.45158084217331185"/>
    <d v="2023-01-02T00:00:00"/>
    <s v="Jan-2023"/>
    <n v="0"/>
    <n v="0"/>
    <n v="0"/>
  </r>
  <r>
    <s v="ORD-2024-915495"/>
    <d v="2024-08-08T00:00:00"/>
    <s v="Aug-2024"/>
    <s v="2024-Q3"/>
    <d v="2024-08-20T00:00:00"/>
    <n v="12"/>
    <s v="ACHIEVED"/>
    <x v="2"/>
    <s v="Japan"/>
    <s v="Osaka"/>
    <s v="Asia &gt; Japan &gt; Osaka"/>
    <s v="Small Business"/>
    <s v="Retail"/>
    <s v="Retail"/>
    <x v="15"/>
    <s v="Networking"/>
    <s v="High"/>
    <s v="NET-8957"/>
    <n v="1233.3599999999999"/>
    <n v="2120.4"/>
    <n v="2120.4"/>
    <x v="182"/>
    <s v="OK"/>
    <n v="0.17899999999999999"/>
    <n v="20"/>
    <n v="34816.968000000001"/>
    <n v="24667.199999999997"/>
    <n v="10149.768000000004"/>
    <n v="0.29151785991244278"/>
    <d v="2023-01-02T00:00:00"/>
    <s v="Jan-2023"/>
    <n v="0"/>
    <n v="0"/>
    <n v="0"/>
  </r>
  <r>
    <s v="ORD-2025-125517"/>
    <d v="2025-03-21T00:00:00"/>
    <s v="Mar-2025"/>
    <s v="2025-Q1"/>
    <d v="2025-04-09T00:00:00"/>
    <n v="19"/>
    <s v="ACHIEVED"/>
    <x v="2"/>
    <s v="Japan"/>
    <s v="Tokyo"/>
    <s v="Asia &gt; Japan &gt; Tokyo"/>
    <s v="Small Business"/>
    <s v="Distributor"/>
    <s v="Distributor"/>
    <x v="11"/>
    <s v="Components"/>
    <s v="Medium"/>
    <s v="CMP-7055"/>
    <n v="1055.45"/>
    <n v="1210.04"/>
    <n v="1210.04"/>
    <x v="91"/>
    <s v="OK"/>
    <n v="8.9999999999999993E-3"/>
    <n v="18"/>
    <n v="21584.693520000001"/>
    <n v="18998.100000000002"/>
    <n v="2586.5935199999985"/>
    <n v="0.1198346188053727"/>
    <d v="2023-01-02T00:00:00"/>
    <s v="Jan-2023"/>
    <n v="0"/>
    <n v="0"/>
    <n v="0"/>
  </r>
  <r>
    <s v="ORD-2025-486350"/>
    <d v="2025-05-27T00:00:00"/>
    <s v="May-2025"/>
    <s v="2025-Q2"/>
    <d v="2025-06-08T00:00:00"/>
    <n v="12"/>
    <s v="ACHIEVED"/>
    <x v="2"/>
    <s v="Japan"/>
    <s v="Osaka"/>
    <s v="Asia &gt; Japan &gt; Osaka"/>
    <s v="Corporate"/>
    <s v="Retail"/>
    <s v="Retail"/>
    <x v="15"/>
    <s v="Accessories"/>
    <s v="Medium"/>
    <s v="ACC-1249"/>
    <n v="653.6"/>
    <n v="842.09"/>
    <n v="842.09"/>
    <x v="132"/>
    <s v="OK"/>
    <n v="9.8000000000000004E-2"/>
    <n v="19"/>
    <n v="14431.738420000001"/>
    <n v="12418.4"/>
    <n v="2013.3384200000019"/>
    <n v="0.13950768517324622"/>
    <d v="2023-01-02T00:00:00"/>
    <s v="Jan-2023"/>
    <n v="0"/>
    <n v="0"/>
    <n v="0"/>
  </r>
  <r>
    <s v="ORD-2024-102866"/>
    <d v="2024-12-12T00:00:00"/>
    <s v="Dec-2024"/>
    <s v="2024-Q4"/>
    <d v="2024-12-20T00:00:00"/>
    <n v="8"/>
    <s v="ACHIEVED"/>
    <x v="2"/>
    <s v="Japan"/>
    <s v="Tokyo"/>
    <s v="Asia &gt; Japan &gt; Tokyo"/>
    <s v="Corporate"/>
    <s v="Retail"/>
    <s v="Retail"/>
    <x v="6"/>
    <s v="Laptops"/>
    <s v="Medium"/>
    <s v="LAP-8347"/>
    <n v="1202.47"/>
    <n v="1444.72"/>
    <n v="1444.72"/>
    <x v="54"/>
    <s v="OK"/>
    <n v="0.24099999999999999"/>
    <n v="17"/>
    <n v="18641.222160000001"/>
    <n v="20441.990000000002"/>
    <n v="-1800.7678400000004"/>
    <n v="-9.6601382921343834E-2"/>
    <d v="2023-01-02T00:00:00"/>
    <s v="Jan-2023"/>
    <n v="0"/>
    <n v="0"/>
    <n v="0"/>
  </r>
  <r>
    <s v="ORD-2024-542244"/>
    <d v="2024-08-30T00:00:00"/>
    <s v="Aug-2024"/>
    <s v="2024-Q3"/>
    <d v="2024-09-05T00:00:00"/>
    <n v="6"/>
    <s v="NOT ACHIEVED"/>
    <x v="2"/>
    <s v="Japan"/>
    <s v="Nagoya"/>
    <s v="Asia &gt; Japan &gt; Nagoya"/>
    <s v="Education"/>
    <s v="Online"/>
    <s v="Online"/>
    <x v="5"/>
    <s v="Laptops"/>
    <s v="Medium"/>
    <s v="LAP-7009"/>
    <n v="466.16"/>
    <n v="876.81"/>
    <n v="876.81"/>
    <x v="54"/>
    <s v="OK"/>
    <n v="0.24099999999999999"/>
    <n v="8"/>
    <n v="5323.9903199999999"/>
    <n v="3729.28"/>
    <n v="1594.7103199999997"/>
    <n v="0.29953291124691594"/>
    <d v="2023-01-02T00:00:00"/>
    <s v="Jan-2023"/>
    <n v="0"/>
    <n v="0"/>
    <n v="0"/>
  </r>
  <r>
    <s v="ORD-2023-623293"/>
    <d v="2023-10-12T00:00:00"/>
    <s v="Oct-2023"/>
    <s v="2023-Q4"/>
    <d v="2023-10-29T00:00:00"/>
    <n v="17"/>
    <s v="ACHIEVED"/>
    <x v="2"/>
    <s v="Japan"/>
    <s v="Nagoya"/>
    <s v="Asia &gt; Japan &gt; Nagoya"/>
    <s v="Non-Profit"/>
    <s v="Direct"/>
    <s v="Direct"/>
    <x v="15"/>
    <s v="Phones"/>
    <s v="High"/>
    <s v="PHN-8478"/>
    <n v="1102.19"/>
    <n v="1711.16"/>
    <n v="1711.16"/>
    <x v="113"/>
    <s v="OK"/>
    <n v="0.151"/>
    <n v="10"/>
    <n v="14527.748400000002"/>
    <n v="11021.900000000001"/>
    <n v="3505.8484000000008"/>
    <n v="0.24132083675127525"/>
    <d v="2023-01-02T00:00:00"/>
    <s v="Jan-2023"/>
    <n v="0"/>
    <n v="0"/>
    <n v="0"/>
  </r>
  <r>
    <s v="ORD-2023-752962"/>
    <d v="2023-04-21T00:00:00"/>
    <s v="Apr-2023"/>
    <s v="2023-Q2"/>
    <d v="2023-04-26T00:00:00"/>
    <n v="5"/>
    <s v="NOT ACHIEVED"/>
    <x v="2"/>
    <s v="Japan"/>
    <s v="Nagoya"/>
    <s v="Asia &gt; Japan &gt; Nagoya"/>
    <s v="Small Business"/>
    <s v="Direct"/>
    <s v="Direct"/>
    <x v="13"/>
    <s v="Components"/>
    <s v="Medium"/>
    <s v="CMP-8604"/>
    <n v="607.04"/>
    <n v="1229.3399999999999"/>
    <n v="1229.3399999999999"/>
    <x v="7"/>
    <s v="OK"/>
    <n v="0.14699999999999999"/>
    <n v="7"/>
    <n v="7340.3891399999993"/>
    <n v="4249.28"/>
    <n v="3091.1091399999996"/>
    <n v="0.42110970972310058"/>
    <d v="2023-01-02T00:00:00"/>
    <s v="Jan-2023"/>
    <n v="0"/>
    <n v="0"/>
    <n v="0"/>
  </r>
  <r>
    <s v="ORD-2023-580751"/>
    <d v="2023-12-24T00:00:00"/>
    <s v="Dec-2023"/>
    <s v="2023-Q4"/>
    <d v="2024-01-13T00:00:00"/>
    <n v="20"/>
    <s v="ACHIEVED"/>
    <x v="2"/>
    <s v="Japan"/>
    <s v="Nagoya"/>
    <s v="Asia &gt; Japan &gt; Nagoya"/>
    <s v="Education"/>
    <s v="Direct"/>
    <s v="Direct"/>
    <x v="6"/>
    <s v="Laptops"/>
    <s v="Medium"/>
    <s v="LAP-1946"/>
    <n v="625.37"/>
    <n v="1319.04"/>
    <n v="1319.04"/>
    <x v="76"/>
    <s v="OK"/>
    <n v="7.3999999999999996E-2"/>
    <n v="8"/>
    <n v="9771.4483199999995"/>
    <n v="5002.96"/>
    <n v="4768.4883199999995"/>
    <n v="0.48800220436513547"/>
    <d v="2023-01-02T00:00:00"/>
    <s v="Jan-2023"/>
    <n v="0"/>
    <n v="0"/>
    <n v="0"/>
  </r>
  <r>
    <s v="ORD-2025-417942"/>
    <d v="2025-06-09T00:00:00"/>
    <s v="Jun-2025"/>
    <s v="2025-Q2"/>
    <d v="2025-06-24T00:00:00"/>
    <n v="15"/>
    <s v="ACHIEVED"/>
    <x v="2"/>
    <s v="Japan"/>
    <s v="Nagoya"/>
    <s v="Asia &gt; Japan &gt; Nagoya"/>
    <s v="Corporate"/>
    <s v="Direct"/>
    <s v="Direct"/>
    <x v="6"/>
    <s v="Phones"/>
    <s v="Low"/>
    <s v="PHN-5675"/>
    <n v="400.39"/>
    <n v="712.75"/>
    <n v="712.75"/>
    <x v="72"/>
    <s v="OK"/>
    <n v="0.115"/>
    <n v="19"/>
    <n v="11984.891250000001"/>
    <n v="7607.41"/>
    <n v="4377.4812500000007"/>
    <n v="0.36524997671547504"/>
    <d v="2023-01-02T00:00:00"/>
    <s v="Jan-2023"/>
    <n v="0"/>
    <n v="0"/>
    <n v="0"/>
  </r>
  <r>
    <s v="ORD-2023-539967"/>
    <d v="2023-07-09T00:00:00"/>
    <s v="Jul-2023"/>
    <s v="2023-Q3"/>
    <d v="2023-07-19T00:00:00"/>
    <n v="10"/>
    <s v="ACHIEVED"/>
    <x v="2"/>
    <s v="Japan"/>
    <s v="Tokyo"/>
    <s v="Asia &gt; Japan &gt; Tokyo"/>
    <s v="Enterprise"/>
    <s v="Distributor"/>
    <s v="Distributor"/>
    <x v="5"/>
    <s v="Components"/>
    <s v="Low"/>
    <s v="CMP-6649"/>
    <n v="141.26"/>
    <n v="206.88"/>
    <n v="206.88"/>
    <x v="178"/>
    <s v="OK"/>
    <n v="0.107"/>
    <n v="9"/>
    <n v="1662.6945600000001"/>
    <n v="1271.3399999999999"/>
    <n v="391.35456000000022"/>
    <n v="0.23537369365062469"/>
    <d v="2023-01-02T00:00:00"/>
    <s v="Jan-2023"/>
    <n v="0"/>
    <n v="0"/>
    <n v="0"/>
  </r>
  <r>
    <s v="ORD-2025-496178"/>
    <d v="2025-07-27T00:00:00"/>
    <s v="Jul-2025"/>
    <s v="2025-Q3"/>
    <d v="2025-08-15T00:00:00"/>
    <n v="19"/>
    <s v="ACHIEVED"/>
    <x v="2"/>
    <s v="Japan"/>
    <s v="Tokyo"/>
    <s v="Asia &gt; Japan &gt; Tokyo"/>
    <s v="Small Business"/>
    <s v="Marketplace"/>
    <s v="Marketplace"/>
    <x v="2"/>
    <s v="Components"/>
    <s v="Low"/>
    <s v="CMP-5658"/>
    <n v="275.43"/>
    <n v="608.36"/>
    <n v="608.36"/>
    <x v="183"/>
    <s v="OK"/>
    <n v="0.25700000000000001"/>
    <n v="4"/>
    <n v="1808.04592"/>
    <n v="1101.72"/>
    <n v="706.32592"/>
    <n v="0.39065706915231446"/>
    <d v="2023-01-02T00:00:00"/>
    <s v="Jan-2023"/>
    <n v="0"/>
    <n v="0"/>
    <n v="0"/>
  </r>
  <r>
    <s v="ORD-2024-105586"/>
    <d v="2024-01-02T00:00:00"/>
    <s v="Jan-2024"/>
    <s v="2024-Q1"/>
    <d v="2024-01-15T00:00:00"/>
    <n v="13"/>
    <s v="ACHIEVED"/>
    <x v="2"/>
    <s v="Japan"/>
    <s v="Nagoya"/>
    <s v="Asia &gt; Japan &gt; Nagoya"/>
    <s v="Small Business"/>
    <s v="Marketplace"/>
    <s v="Marketplace"/>
    <x v="4"/>
    <s v="Networking"/>
    <s v="High"/>
    <s v="NET-1893"/>
    <n v="1219.06"/>
    <n v="2738.69"/>
    <n v="2738.69"/>
    <x v="151"/>
    <s v="OK"/>
    <n v="7.5999999999999998E-2"/>
    <n v="16"/>
    <n v="40488.792960000006"/>
    <n v="19504.96"/>
    <n v="20983.832960000007"/>
    <n v="0.51826274447673737"/>
    <d v="2023-01-02T00:00:00"/>
    <s v="Jan-2023"/>
    <n v="0"/>
    <n v="0"/>
    <n v="0"/>
  </r>
  <r>
    <s v="ORD-2024-207792"/>
    <d v="2024-09-03T00:00:00"/>
    <s v="Sep-2024"/>
    <s v="2024-Q3"/>
    <d v="2024-09-07T00:00:00"/>
    <n v="4"/>
    <s v="NOT ACHIEVED"/>
    <x v="2"/>
    <s v="Japan"/>
    <s v="Tokyo"/>
    <s v="Asia &gt; Japan &gt; Tokyo"/>
    <s v="Small Business"/>
    <s v="Distributor"/>
    <s v="Distributor"/>
    <x v="5"/>
    <s v="Printers"/>
    <s v="Low"/>
    <s v="PRN-3917"/>
    <n v="43.23"/>
    <n v="94.78"/>
    <n v="94.78"/>
    <x v="184"/>
    <s v="OK"/>
    <n v="9.0999999999999998E-2"/>
    <n v="55"/>
    <n v="4738.5261"/>
    <n v="2377.6499999999996"/>
    <n v="2360.8761000000004"/>
    <n v="0.49823005090127082"/>
    <d v="2023-01-02T00:00:00"/>
    <s v="Jan-2023"/>
    <n v="0"/>
    <n v="0"/>
    <n v="0"/>
  </r>
  <r>
    <s v="ORD-2025-254721"/>
    <d v="2025-05-15T00:00:00"/>
    <s v="May-2025"/>
    <s v="2025-Q2"/>
    <d v="2025-06-05T00:00:00"/>
    <n v="21"/>
    <s v="ACHIEVED"/>
    <x v="2"/>
    <s v="Japan"/>
    <s v="Osaka"/>
    <s v="Asia &gt; Japan &gt; Osaka"/>
    <s v="Enterprise"/>
    <s v="Direct"/>
    <s v="Direct"/>
    <x v="15"/>
    <s v="Phones"/>
    <s v="High"/>
    <s v="PHN-6480"/>
    <n v="1466.5"/>
    <n v="2778.74"/>
    <n v="2778.74"/>
    <x v="28"/>
    <s v="OK"/>
    <n v="0.13500000000000001"/>
    <n v="4"/>
    <n v="9614.4403999999995"/>
    <n v="5866"/>
    <n v="3748.4403999999995"/>
    <n v="0.38987608680792279"/>
    <d v="2023-01-02T00:00:00"/>
    <s v="Jan-2023"/>
    <n v="0"/>
    <n v="0"/>
    <n v="0"/>
  </r>
  <r>
    <s v="ORD-2025-703623"/>
    <d v="2025-07-23T00:00:00"/>
    <s v="Jul-2025"/>
    <s v="2025-Q3"/>
    <d v="2025-08-19T00:00:00"/>
    <n v="27"/>
    <s v="ACHIEVED"/>
    <x v="2"/>
    <s v="Japan"/>
    <s v="Nagoya"/>
    <s v="Asia &gt; Japan &gt; Nagoya"/>
    <s v="Consumer"/>
    <s v="Marketplace"/>
    <s v="Marketplace"/>
    <x v="6"/>
    <s v="Accessories"/>
    <s v="Low"/>
    <s v="ACC-1596"/>
    <n v="896.09"/>
    <n v="744.27"/>
    <n v="744.27"/>
    <x v="185"/>
    <s v="OK"/>
    <n v="8.3000000000000004E-2"/>
    <n v="11"/>
    <n v="7507.4514899999995"/>
    <n v="9856.99"/>
    <n v="-2349.5385100000003"/>
    <n v="-0.31296086469950679"/>
    <d v="2023-01-02T00:00:00"/>
    <s v="Jan-2023"/>
    <n v="0"/>
    <n v="0"/>
    <n v="0"/>
  </r>
  <r>
    <s v="ORD-2023-568013"/>
    <d v="2023-09-30T00:00:00"/>
    <s v="Sep-2023"/>
    <s v="2023-Q3"/>
    <d v="2023-10-30T00:00:00"/>
    <n v="30"/>
    <s v="ACHIEVED"/>
    <x v="2"/>
    <s v="Japan"/>
    <s v="Tokyo"/>
    <s v="Asia &gt; Japan &gt; Tokyo"/>
    <s v="Enterprise"/>
    <s v="Online"/>
    <s v="Online"/>
    <x v="14"/>
    <s v="Printers"/>
    <s v="Medium"/>
    <s v="PRN-1786"/>
    <n v="649.13"/>
    <n v="975.43"/>
    <n v="975.43"/>
    <x v="23"/>
    <s v="OK"/>
    <n v="0.157"/>
    <n v="27"/>
    <n v="22201.762229999997"/>
    <n v="17526.509999999998"/>
    <n v="4675.2522299999982"/>
    <n v="0.21058023149543473"/>
    <d v="2023-01-02T00:00:00"/>
    <s v="Jan-2023"/>
    <n v="0"/>
    <n v="0"/>
    <n v="0"/>
  </r>
  <r>
    <s v="ORD-2024-532184"/>
    <d v="2024-01-25T00:00:00"/>
    <s v="Jan-2024"/>
    <s v="2024-Q1"/>
    <d v="2024-02-08T00:00:00"/>
    <n v="14"/>
    <s v="ACHIEVED"/>
    <x v="2"/>
    <s v="Japan"/>
    <s v="Osaka"/>
    <s v="Asia &gt; Japan &gt; Osaka"/>
    <s v="Consumer"/>
    <s v="Marketplace"/>
    <s v="Marketplace"/>
    <x v="12"/>
    <s v="Networking"/>
    <s v="Medium"/>
    <s v="NET-9569"/>
    <n v="937.16"/>
    <n v="1069.77"/>
    <n v="1069.77"/>
    <x v="122"/>
    <s v="OK"/>
    <n v="3.7999999999999999E-2"/>
    <n v="9"/>
    <n v="9262.0686600000008"/>
    <n v="8434.44"/>
    <n v="827.62866000000031"/>
    <n v="8.9356783066645962E-2"/>
    <d v="2023-01-02T00:00:00"/>
    <s v="Jan-2023"/>
    <n v="0"/>
    <n v="0"/>
    <n v="0"/>
  </r>
  <r>
    <s v="ORD-2023-139236"/>
    <d v="2023-03-03T00:00:00"/>
    <s v="Mar-2023"/>
    <s v="2023-Q1"/>
    <d v="2023-03-20T00:00:00"/>
    <n v="17"/>
    <s v="ACHIEVED"/>
    <x v="2"/>
    <s v="Japan"/>
    <s v="Nagoya"/>
    <s v="Asia &gt; Japan &gt; Nagoya"/>
    <s v="Small Business"/>
    <s v="Online"/>
    <s v="Online"/>
    <x v="14"/>
    <s v="Networking"/>
    <s v="High"/>
    <s v="NET-7349"/>
    <n v="1171.17"/>
    <n v="2030.64"/>
    <n v="2030.64"/>
    <x v="23"/>
    <s v="OK"/>
    <n v="0.157"/>
    <n v="11"/>
    <n v="18830.12472"/>
    <n v="12882.87"/>
    <n v="5947.254719999999"/>
    <n v="0.31583724528830415"/>
    <d v="2023-01-02T00:00:00"/>
    <s v="Jan-2023"/>
    <n v="0"/>
    <n v="0"/>
    <n v="0"/>
  </r>
  <r>
    <s v="ORD-2024-536442"/>
    <d v="2024-08-31T00:00:00"/>
    <s v="Aug-2024"/>
    <s v="2024-Q3"/>
    <d v="2024-09-26T00:00:00"/>
    <n v="26"/>
    <s v="ACHIEVED"/>
    <x v="2"/>
    <s v="Japan"/>
    <s v="Tokyo"/>
    <s v="Asia &gt; Japan &gt; Tokyo"/>
    <s v="Education"/>
    <s v="Online"/>
    <s v="Online"/>
    <x v="12"/>
    <s v="Phones"/>
    <s v="High"/>
    <s v="PHN-6111"/>
    <n v="1189.03"/>
    <n v="2949.62"/>
    <n v="2949.62"/>
    <x v="152"/>
    <s v="OK"/>
    <n v="0.125"/>
    <n v="13"/>
    <n v="33551.927499999998"/>
    <n v="15457.39"/>
    <n v="18094.537499999999"/>
    <n v="0.53929949330034765"/>
    <d v="2023-01-02T00:00:00"/>
    <s v="Jan-2023"/>
    <n v="0"/>
    <n v="0"/>
    <n v="0"/>
  </r>
  <r>
    <s v="ORD-2025-169093"/>
    <d v="2025-04-13T00:00:00"/>
    <s v="Apr-2025"/>
    <s v="2025-Q2"/>
    <d v="2025-04-14T00:00:00"/>
    <n v="1"/>
    <s v="NOT ACHIEVED"/>
    <x v="2"/>
    <s v="Japan"/>
    <s v="Osaka"/>
    <s v="Asia &gt; Japan &gt; Osaka"/>
    <s v="Enterprise"/>
    <s v="Online"/>
    <s v="Online"/>
    <x v="4"/>
    <s v="Components"/>
    <s v="Low"/>
    <s v="CMP-6495"/>
    <n v="138.9"/>
    <n v="289.92"/>
    <n v="289.92"/>
    <x v="147"/>
    <s v="OK"/>
    <n v="2.9000000000000001E-2"/>
    <n v="12"/>
    <n v="3378.1478400000001"/>
    <n v="1666.8000000000002"/>
    <n v="1711.3478399999999"/>
    <n v="0.50659353025828491"/>
    <d v="2023-01-02T00:00:00"/>
    <s v="Jan-2023"/>
    <n v="0"/>
    <n v="0"/>
    <n v="0"/>
  </r>
  <r>
    <s v="ORD-2024-594527"/>
    <d v="2024-09-06T00:00:00"/>
    <s v="Sep-2024"/>
    <s v="2024-Q3"/>
    <d v="2024-09-11T00:00:00"/>
    <n v="5"/>
    <s v="NOT ACHIEVED"/>
    <x v="2"/>
    <s v="Japan"/>
    <s v="Osaka"/>
    <s v="Asia &gt; Japan &gt; Osaka"/>
    <s v="Corporate"/>
    <s v="Direct"/>
    <s v="Direct"/>
    <x v="1"/>
    <s v="Laptops"/>
    <s v="High"/>
    <s v="LAP-4483"/>
    <n v="1368.17"/>
    <n v="2307.75"/>
    <n v="2307.75"/>
    <x v="186"/>
    <s v="OK"/>
    <n v="0.16300000000000001"/>
    <n v="21"/>
    <n v="40563.321749999996"/>
    <n v="28731.57"/>
    <n v="11831.751749999996"/>
    <n v="0.29168596750831921"/>
    <d v="2023-01-02T00:00:00"/>
    <s v="Jan-2023"/>
    <n v="0"/>
    <n v="0"/>
    <n v="0"/>
  </r>
  <r>
    <s v="ORD-2024-572312"/>
    <d v="2024-06-16T00:00:00"/>
    <s v="Jun-2024"/>
    <s v="2024-Q2"/>
    <d v="2024-06-21T00:00:00"/>
    <n v="5"/>
    <s v="NOT ACHIEVED"/>
    <x v="2"/>
    <s v="Japan"/>
    <s v="Tokyo"/>
    <s v="Asia &gt; Japan &gt; Tokyo"/>
    <s v="Small Business"/>
    <s v="Distributor"/>
    <s v="Distributor"/>
    <x v="8"/>
    <s v="Phones"/>
    <s v="High"/>
    <s v="PHN-9677"/>
    <n v="1367.13"/>
    <n v="3062.01"/>
    <n v="3062.01"/>
    <x v="71"/>
    <s v="OK"/>
    <n v="0.10299999999999999"/>
    <n v="25"/>
    <n v="68665.574250000005"/>
    <n v="34178.25"/>
    <n v="34487.324250000005"/>
    <n v="0.50225057645971705"/>
    <d v="2023-01-02T00:00:00"/>
    <s v="Jan-2023"/>
    <n v="0"/>
    <n v="0"/>
    <n v="0"/>
  </r>
  <r>
    <s v="ORD-2024-947056"/>
    <d v="2024-07-31T00:00:00"/>
    <s v="Jul-2024"/>
    <s v="2024-Q3"/>
    <d v="2024-08-15T00:00:00"/>
    <n v="15"/>
    <s v="ACHIEVED"/>
    <x v="2"/>
    <s v="Japan"/>
    <s v="Tokyo"/>
    <s v="Asia &gt; Japan &gt; Tokyo"/>
    <s v="Corporate"/>
    <s v="Marketplace"/>
    <s v="Marketplace"/>
    <x v="8"/>
    <s v="Monitors"/>
    <s v="Medium"/>
    <s v="MON-1564"/>
    <n v="1252.52"/>
    <n v="1417.24"/>
    <n v="1417.24"/>
    <x v="173"/>
    <s v="OK"/>
    <n v="0.192"/>
    <n v="5"/>
    <n v="5725.6496000000006"/>
    <n v="6262.6"/>
    <n v="-536.95039999999972"/>
    <n v="-9.3779821943696953E-2"/>
    <d v="2023-01-02T00:00:00"/>
    <s v="Jan-2023"/>
    <n v="0"/>
    <n v="0"/>
    <n v="0"/>
  </r>
  <r>
    <s v="ORD-2025-683247"/>
    <d v="2025-03-10T00:00:00"/>
    <s v="Mar-2025"/>
    <s v="2025-Q1"/>
    <d v="2025-04-04T00:00:00"/>
    <n v="25"/>
    <s v="ACHIEVED"/>
    <x v="2"/>
    <s v="Japan"/>
    <s v="Osaka"/>
    <s v="Asia &gt; Japan &gt; Osaka"/>
    <s v="Corporate"/>
    <s v="Direct"/>
    <s v="Direct"/>
    <x v="15"/>
    <s v="Printers"/>
    <s v="Medium"/>
    <s v="PRN-9867"/>
    <n v="783.72"/>
    <n v="1355.94"/>
    <n v="1355.94"/>
    <x v="90"/>
    <s v="OK"/>
    <n v="0.187"/>
    <n v="4"/>
    <n v="4409.5168800000001"/>
    <n v="3134.88"/>
    <n v="1274.63688"/>
    <n v="0.28906497348525856"/>
    <d v="2023-01-02T00:00:00"/>
    <s v="Jan-2023"/>
    <n v="0"/>
    <n v="0"/>
    <n v="0"/>
  </r>
  <r>
    <s v="ORD-2025-752192"/>
    <d v="2025-05-16T00:00:00"/>
    <s v="May-2025"/>
    <s v="2025-Q2"/>
    <d v="2025-05-18T00:00:00"/>
    <n v="2"/>
    <s v="NOT ACHIEVED"/>
    <x v="2"/>
    <s v="Japan"/>
    <s v="Tokyo"/>
    <s v="Asia &gt; Japan &gt; Tokyo"/>
    <s v="Enterprise"/>
    <s v="Retail"/>
    <s v="Retail"/>
    <x v="2"/>
    <s v="Printers"/>
    <s v="High"/>
    <s v="PRN-6131"/>
    <n v="1144.3800000000001"/>
    <n v="2755.04"/>
    <n v="2755.04"/>
    <x v="109"/>
    <s v="OK"/>
    <n v="0.15"/>
    <n v="17"/>
    <n v="39810.328000000001"/>
    <n v="19454.460000000003"/>
    <n v="20355.867999999999"/>
    <n v="0.51132128326096682"/>
    <d v="2023-01-02T00:00:00"/>
    <s v="Jan-2023"/>
    <n v="0"/>
    <n v="0"/>
    <n v="0"/>
  </r>
  <r>
    <s v="ORD-2023-107265"/>
    <d v="2023-04-22T00:00:00"/>
    <s v="Apr-2023"/>
    <s v="2023-Q2"/>
    <d v="2023-05-14T00:00:00"/>
    <n v="22"/>
    <s v="ACHIEVED"/>
    <x v="2"/>
    <s v="Japan"/>
    <s v="Nagoya"/>
    <s v="Asia &gt; Japan &gt; Nagoya"/>
    <s v="Enterprise"/>
    <s v="Retail"/>
    <s v="Retail"/>
    <x v="1"/>
    <s v="Accessories"/>
    <s v="Medium"/>
    <s v="ACC-7713"/>
    <n v="1209.22"/>
    <n v="1404.33"/>
    <n v="1404.33"/>
    <x v="71"/>
    <s v="OK"/>
    <n v="0.10299999999999999"/>
    <n v="11"/>
    <n v="13856.52411"/>
    <n v="13301.42"/>
    <n v="555.10411000000022"/>
    <n v="4.0060848275751328E-2"/>
    <d v="2023-01-02T00:00:00"/>
    <s v="Jan-2023"/>
    <n v="0"/>
    <n v="0"/>
    <n v="0"/>
  </r>
  <r>
    <s v="ORD-2025-532859"/>
    <d v="2025-03-11T00:00:00"/>
    <s v="Mar-2025"/>
    <s v="2025-Q1"/>
    <d v="2025-03-27T00:00:00"/>
    <n v="16"/>
    <s v="ACHIEVED"/>
    <x v="2"/>
    <s v="Japan"/>
    <s v="Tokyo"/>
    <s v="Asia &gt; Japan &gt; Tokyo"/>
    <s v="Enterprise"/>
    <s v="Distributor"/>
    <s v="Distributor"/>
    <x v="6"/>
    <s v="Printers"/>
    <s v="High"/>
    <s v="PRN-5264"/>
    <n v="1317.58"/>
    <n v="1897.74"/>
    <n v="1897.74"/>
    <x v="187"/>
    <s v="OK"/>
    <n v="8.1000000000000003E-2"/>
    <n v="6"/>
    <n v="10464.138360000001"/>
    <n v="7905.48"/>
    <n v="2558.6583600000013"/>
    <n v="0.24451687009230266"/>
    <d v="2023-01-02T00:00:00"/>
    <s v="Jan-2023"/>
    <n v="0"/>
    <n v="0"/>
    <n v="0"/>
  </r>
  <r>
    <s v="ORD-2023-455933"/>
    <d v="2023-11-19T00:00:00"/>
    <s v="Nov-2023"/>
    <s v="2023-Q4"/>
    <d v="2023-12-19T00:00:00"/>
    <n v="30"/>
    <s v="ACHIEVED"/>
    <x v="2"/>
    <s v="Japan"/>
    <s v="Nagoya"/>
    <s v="Asia &gt; Japan &gt; Nagoya"/>
    <s v="Consumer"/>
    <s v="Retail"/>
    <s v="Retail"/>
    <x v="9"/>
    <s v="Phones"/>
    <s v="High"/>
    <s v="PHN-9184"/>
    <n v="807.11"/>
    <n v="1853.86"/>
    <n v="1853.86"/>
    <x v="114"/>
    <s v="OK"/>
    <n v="0.13900000000000001"/>
    <n v="8"/>
    <n v="12769.38768"/>
    <n v="6456.88"/>
    <n v="6312.5076799999997"/>
    <n v="0.49434693645388639"/>
    <d v="2023-01-02T00:00:00"/>
    <s v="Jan-2023"/>
    <n v="0"/>
    <n v="0"/>
    <n v="0"/>
  </r>
  <r>
    <s v="ORD-2025-728935"/>
    <d v="2025-02-28T00:00:00"/>
    <s v="Feb-2025"/>
    <s v="2025-Q1"/>
    <d v="2025-03-10T00:00:00"/>
    <n v="10"/>
    <s v="ACHIEVED"/>
    <x v="2"/>
    <s v="Japan"/>
    <s v="Osaka"/>
    <s v="Asia &gt; Japan &gt; Osaka"/>
    <s v="Education"/>
    <s v="Distributor"/>
    <s v="Distributor"/>
    <x v="5"/>
    <s v="Laptops"/>
    <s v="Low"/>
    <s v="LAP-3017"/>
    <n v="51.86"/>
    <n v="45.98"/>
    <n v="45.98"/>
    <x v="96"/>
    <s v="OK"/>
    <n v="0.17299999999999999"/>
    <n v="7"/>
    <n v="266.17821999999995"/>
    <n v="363.02"/>
    <n v="-96.841780000000028"/>
    <n v="-0.3638230806412337"/>
    <d v="2023-01-02T00:00:00"/>
    <s v="Jan-2023"/>
    <n v="0"/>
    <n v="0"/>
    <n v="0"/>
  </r>
  <r>
    <s v="ORD-2023-373538"/>
    <d v="2023-02-28T00:00:00"/>
    <s v="Feb-2023"/>
    <s v="2023-Q1"/>
    <d v="2023-03-25T00:00:00"/>
    <n v="25"/>
    <s v="ACHIEVED"/>
    <x v="0"/>
    <s v="Kenya"/>
    <s v="Nairobi"/>
    <s v="Africa &gt; Kenya &gt; Nairobi"/>
    <s v="Corporate"/>
    <s v="Retail"/>
    <s v="Retail"/>
    <x v="12"/>
    <s v="Networking"/>
    <s v="Low"/>
    <s v="NET-9666"/>
    <n v="1460.76"/>
    <n v="0"/>
    <n v="0"/>
    <x v="59"/>
    <s v="OK"/>
    <n v="0.13100000000000001"/>
    <n v="12"/>
    <n v="0"/>
    <n v="17529.12"/>
    <n v="-17529.12"/>
    <n v="0"/>
    <d v="2023-01-02T00:00:00"/>
    <s v="Jan-2023"/>
    <n v="0"/>
    <n v="0"/>
    <n v="0"/>
  </r>
  <r>
    <s v="ORD-2023-937291"/>
    <d v="2023-04-23T00:00:00"/>
    <s v="Apr-2023"/>
    <s v="2023-Q2"/>
    <d v="2023-04-28T00:00:00"/>
    <n v="5"/>
    <s v="NOT ACHIEVED"/>
    <x v="0"/>
    <s v="Kenya"/>
    <s v="Nairobi"/>
    <s v="Africa &gt; Kenya &gt; Nairobi"/>
    <s v="Small Business"/>
    <s v="Direct"/>
    <s v="Direct"/>
    <x v="11"/>
    <s v="Laptops"/>
    <s v="Medium"/>
    <s v="LAP-1698"/>
    <n v="756.51"/>
    <n v="850.8"/>
    <n v="850.8"/>
    <x v="76"/>
    <s v="OK"/>
    <n v="7.3999999999999996E-2"/>
    <n v="9"/>
    <n v="7090.5672000000004"/>
    <n v="6808.59"/>
    <n v="281.97720000000027"/>
    <n v="3.9767932810791252E-2"/>
    <d v="2023-01-02T00:00:00"/>
    <s v="Jan-2023"/>
    <n v="0"/>
    <n v="0"/>
    <n v="0"/>
  </r>
  <r>
    <s v="ORD-2024-798002"/>
    <d v="2024-07-25T00:00:00"/>
    <s v="Jul-2024"/>
    <s v="2024-Q3"/>
    <d v="2024-07-30T00:00:00"/>
    <n v="5"/>
    <s v="NOT ACHIEVED"/>
    <x v="0"/>
    <s v="Kenya"/>
    <s v="Mombasa"/>
    <s v="Africa &gt; Kenya &gt; Mombasa"/>
    <s v="Non-Profit"/>
    <s v="Direct"/>
    <s v="Direct"/>
    <x v="2"/>
    <s v="Laptops"/>
    <s v="High"/>
    <s v="LAP-9815"/>
    <n v="1494.4"/>
    <n v="3661.07"/>
    <n v="3661.07"/>
    <x v="12"/>
    <s v="OK"/>
    <n v="7.1999999999999995E-2"/>
    <n v="7"/>
    <n v="23782.310720000001"/>
    <n v="10460.800000000001"/>
    <n v="13321.51072"/>
    <n v="0.56014366630897339"/>
    <d v="2023-01-02T00:00:00"/>
    <s v="Jan-2023"/>
    <n v="0"/>
    <n v="0"/>
    <n v="0"/>
  </r>
  <r>
    <s v="ORD-2024-855073"/>
    <d v="2024-07-19T00:00:00"/>
    <s v="Jul-2024"/>
    <s v="2024-Q3"/>
    <d v="2024-07-19T00:00:00"/>
    <n v="0"/>
    <s v="NOT ACHIEVED"/>
    <x v="0"/>
    <s v="Kenya"/>
    <s v="Kisumu"/>
    <s v="Africa &gt; Kenya &gt; Kisumu"/>
    <s v="Small Business"/>
    <s v="Retail"/>
    <s v="Retail"/>
    <x v="1"/>
    <s v="Phones"/>
    <s v="Low"/>
    <s v="PHN-6854"/>
    <n v="857.24"/>
    <n v="758.23"/>
    <n v="758.23"/>
    <x v="152"/>
    <s v="OK"/>
    <n v="0.125"/>
    <n v="6"/>
    <n v="3980.7075"/>
    <n v="5143.4400000000005"/>
    <n v="-1162.7325000000005"/>
    <n v="-0.29209192084572921"/>
    <d v="2023-01-02T00:00:00"/>
    <s v="Jan-2023"/>
    <n v="0"/>
    <n v="0"/>
    <n v="0"/>
  </r>
  <r>
    <s v="ORD-2023-897079"/>
    <d v="2023-04-14T00:00:00"/>
    <s v="Apr-2023"/>
    <s v="2023-Q2"/>
    <d v="2023-05-14T00:00:00"/>
    <n v="30"/>
    <s v="ACHIEVED"/>
    <x v="0"/>
    <s v="Kenya"/>
    <s v="Nakuru"/>
    <s v="Africa &gt; Kenya &gt; Nakuru"/>
    <s v="Consumer"/>
    <s v="Marketplace"/>
    <s v="Marketplace"/>
    <x v="13"/>
    <s v="Phones"/>
    <s v="Low"/>
    <s v="PHN-1784"/>
    <n v="209.25"/>
    <n v="434.8"/>
    <n v="434.8"/>
    <x v="3"/>
    <s v="OK"/>
    <n v="0"/>
    <n v="9"/>
    <n v="3913.2000000000003"/>
    <n v="1883.25"/>
    <n v="2029.9500000000003"/>
    <n v="0.51874425022999082"/>
    <d v="2023-01-02T00:00:00"/>
    <s v="Jan-2023"/>
    <n v="0"/>
    <n v="0"/>
    <n v="0"/>
  </r>
  <r>
    <s v="ORD-2024-998320"/>
    <d v="2024-10-25T00:00:00"/>
    <s v="Oct-2024"/>
    <s v="2024-Q4"/>
    <d v="2024-11-14T00:00:00"/>
    <n v="20"/>
    <s v="ACHIEVED"/>
    <x v="0"/>
    <s v="Kenya"/>
    <s v="Mombasa"/>
    <s v="Africa &gt; Kenya &gt; Mombasa"/>
    <s v="Corporate"/>
    <s v="Direct"/>
    <s v="Direct"/>
    <x v="15"/>
    <s v="Printers"/>
    <s v="High"/>
    <s v="PRN-3143"/>
    <n v="1396.48"/>
    <n v="3204.5"/>
    <n v="3204.5"/>
    <x v="35"/>
    <s v="OK"/>
    <n v="0.3"/>
    <n v="14"/>
    <n v="31404.1"/>
    <n v="19550.72"/>
    <n v="11853.379999999997"/>
    <n v="0.3774468938769141"/>
    <d v="2023-01-02T00:00:00"/>
    <s v="Jan-2023"/>
    <n v="0"/>
    <n v="0"/>
    <n v="0"/>
  </r>
  <r>
    <s v="ORD-2023-419187"/>
    <d v="2023-03-31T00:00:00"/>
    <s v="Mar-2023"/>
    <s v="2023-Q1"/>
    <d v="2023-04-05T00:00:00"/>
    <n v="5"/>
    <s v="NOT ACHIEVED"/>
    <x v="0"/>
    <s v="Kenya"/>
    <s v="Nakuru"/>
    <s v="Africa &gt; Kenya &gt; Nakuru"/>
    <s v="Education"/>
    <s v="Marketplace"/>
    <s v="Marketplace"/>
    <x v="6"/>
    <s v="Laptops"/>
    <s v="Low"/>
    <s v="LAP-7819"/>
    <n v="533.26"/>
    <n v="385.72"/>
    <n v="385.72"/>
    <x v="3"/>
    <s v="OK"/>
    <n v="0"/>
    <n v="15"/>
    <n v="5785.8"/>
    <n v="7998.9"/>
    <n v="-2213.0999999999995"/>
    <n v="-0.38250544436378708"/>
    <d v="2023-01-02T00:00:00"/>
    <s v="Jan-2023"/>
    <n v="0"/>
    <n v="0"/>
    <n v="0"/>
  </r>
  <r>
    <s v="ORD-2025-762301"/>
    <d v="2025-05-02T00:00:00"/>
    <s v="May-2025"/>
    <s v="2025-Q2"/>
    <d v="2025-05-13T00:00:00"/>
    <n v="11"/>
    <s v="ACHIEVED"/>
    <x v="0"/>
    <s v="Kenya"/>
    <s v="Nakuru"/>
    <s v="Africa &gt; Kenya &gt; Nakuru"/>
    <s v="Small Business"/>
    <s v="Online"/>
    <s v="Online"/>
    <x v="1"/>
    <s v="Accessories"/>
    <s v="Medium"/>
    <s v="ACC-2252"/>
    <n v="1057.5999999999999"/>
    <n v="1437.06"/>
    <n v="1437.06"/>
    <x v="130"/>
    <s v="OK"/>
    <n v="0.20499999999999999"/>
    <n v="4"/>
    <n v="4569.8508000000002"/>
    <n v="4230.3999999999996"/>
    <n v="339.45080000000053"/>
    <n v="7.4280499485891424E-2"/>
    <d v="2023-01-02T00:00:00"/>
    <s v="Jan-2023"/>
    <n v="0"/>
    <n v="0"/>
    <n v="0"/>
  </r>
  <r>
    <s v="ORD-2025-863978"/>
    <d v="2025-08-07T00:00:00"/>
    <s v="Aug-2025"/>
    <s v="2025-Q3"/>
    <d v="2025-08-19T00:00:00"/>
    <n v="12"/>
    <s v="ACHIEVED"/>
    <x v="0"/>
    <s v="Kenya"/>
    <s v="Nakuru"/>
    <s v="Africa &gt; Kenya &gt; Nakuru"/>
    <s v="Corporate"/>
    <n v="0"/>
    <n v="0"/>
    <x v="13"/>
    <s v="Components"/>
    <s v="Low"/>
    <s v="CMP-2854"/>
    <n v="601.51"/>
    <n v="679.35"/>
    <n v="679.35"/>
    <x v="117"/>
    <s v="OK"/>
    <n v="0.188"/>
    <n v="3"/>
    <n v="1654.8966000000003"/>
    <n v="1804.53"/>
    <n v="-149.63339999999971"/>
    <n v="-9.0418579626062243E-2"/>
    <d v="2023-01-02T00:00:00"/>
    <s v="Jan-2023"/>
    <n v="0"/>
    <n v="0"/>
    <n v="0"/>
  </r>
  <r>
    <s v="ORD-2025-725646"/>
    <d v="2025-09-10T00:00:00"/>
    <s v="Sep-2025"/>
    <s v="2025-Q3"/>
    <d v="2025-09-30T00:00:00"/>
    <n v="20"/>
    <s v="ACHIEVED"/>
    <x v="0"/>
    <s v="Kenya"/>
    <s v="Mombasa"/>
    <s v="Africa &gt; Kenya &gt; Mombasa"/>
    <s v="Corporate"/>
    <s v="Direct"/>
    <s v="Direct"/>
    <x v="10"/>
    <s v="Phones"/>
    <s v="Medium"/>
    <s v="PHN-6954"/>
    <n v="1009.48"/>
    <n v="1088.81"/>
    <n v="1088.81"/>
    <x v="81"/>
    <s v="OK"/>
    <n v="0.16"/>
    <n v="6"/>
    <n v="5487.6023999999998"/>
    <n v="6056.88"/>
    <n v="-569.27760000000035"/>
    <n v="-0.10373885688219693"/>
    <d v="2023-01-02T00:00:00"/>
    <s v="Jan-2023"/>
    <n v="0"/>
    <n v="0"/>
    <n v="0"/>
  </r>
  <r>
    <s v="ORD-2025-662997"/>
    <d v="2025-03-31T00:00:00"/>
    <s v="Mar-2025"/>
    <s v="2025-Q1"/>
    <d v="2025-04-04T00:00:00"/>
    <n v="4"/>
    <s v="NOT ACHIEVED"/>
    <x v="0"/>
    <s v="Kenya"/>
    <s v="Nakuru"/>
    <s v="Africa &gt; Kenya &gt; Nakuru"/>
    <s v="Corporate"/>
    <s v="Direct"/>
    <s v="Direct"/>
    <x v="0"/>
    <s v="Laptops"/>
    <s v="High"/>
    <s v="LAP-7136"/>
    <n v="862.08"/>
    <n v="1952.83"/>
    <n v="1952.83"/>
    <x v="3"/>
    <s v="OK"/>
    <n v="0"/>
    <n v="7"/>
    <n v="13669.81"/>
    <n v="6034.56"/>
    <n v="7635.2499999999991"/>
    <n v="0.5585483631447693"/>
    <d v="2023-01-02T00:00:00"/>
    <s v="Jan-2023"/>
    <n v="0"/>
    <n v="0"/>
    <n v="0"/>
  </r>
  <r>
    <s v="ORD-2023-251563"/>
    <d v="2023-05-11T00:00:00"/>
    <s v="May-2023"/>
    <s v="2023-Q2"/>
    <d v="2023-06-07T00:00:00"/>
    <n v="27"/>
    <s v="ACHIEVED"/>
    <x v="0"/>
    <s v="Kenya"/>
    <s v="Mombasa"/>
    <s v="Africa &gt; Kenya &gt; Mombasa"/>
    <s v="Corporate"/>
    <s v="Online"/>
    <s v="Online"/>
    <x v="2"/>
    <s v="Phones"/>
    <s v="Low"/>
    <s v="PHN-8970"/>
    <n v="12.85"/>
    <n v="15.41"/>
    <n v="15.41"/>
    <x v="79"/>
    <s v="OK"/>
    <n v="0.13700000000000001"/>
    <n v="39"/>
    <n v="518.65436999999997"/>
    <n v="501.15"/>
    <n v="17.504369999999994"/>
    <n v="3.3749585489851353E-2"/>
    <d v="2023-01-02T00:00:00"/>
    <s v="Jan-2023"/>
    <n v="0"/>
    <n v="0"/>
    <n v="0"/>
  </r>
  <r>
    <s v="ORD-2024-166150"/>
    <d v="2024-06-02T00:00:00"/>
    <s v="Jun-2024"/>
    <s v="2024-Q2"/>
    <d v="2024-06-08T00:00:00"/>
    <n v="6"/>
    <s v="NOT ACHIEVED"/>
    <x v="0"/>
    <s v="Kenya"/>
    <s v="Kisumu"/>
    <s v="Africa &gt; Kenya &gt; Kisumu"/>
    <s v="Consumer"/>
    <s v="Marketplace"/>
    <s v="Marketplace"/>
    <x v="1"/>
    <s v="Accessories"/>
    <s v="Low"/>
    <s v="ACC-9820"/>
    <n v="292.94"/>
    <n v="356.55"/>
    <n v="356.55"/>
    <x v="188"/>
    <s v="OK"/>
    <n v="0.22900000000000001"/>
    <n v="2"/>
    <n v="549.80010000000004"/>
    <n v="585.88"/>
    <n v="-36.079899999999952"/>
    <n v="-6.5623669402751925E-2"/>
    <d v="2023-01-02T00:00:00"/>
    <s v="Jan-2023"/>
    <n v="0"/>
    <n v="0"/>
    <n v="0"/>
  </r>
  <r>
    <s v="ORD-2023-178249"/>
    <d v="2023-12-29T00:00:00"/>
    <s v="Dec-2023"/>
    <s v="2023-Q4"/>
    <d v="2024-01-20T00:00:00"/>
    <n v="22"/>
    <s v="ACHIEVED"/>
    <x v="0"/>
    <s v="Kenya"/>
    <s v="Kisumu"/>
    <s v="Africa &gt; Kenya &gt; Kisumu"/>
    <s v="Corporate"/>
    <s v="Direct"/>
    <s v="Direct"/>
    <x v="10"/>
    <s v="Phones"/>
    <s v="High"/>
    <s v="PHN-7924"/>
    <n v="1395.49"/>
    <n v="1679.42"/>
    <n v="1679.42"/>
    <x v="64"/>
    <s v="OK"/>
    <n v="0.20300000000000001"/>
    <n v="12"/>
    <n v="16061.972879999999"/>
    <n v="16745.88"/>
    <n v="-683.90712000000167"/>
    <n v="-4.2579272490964493E-2"/>
    <d v="2023-01-02T00:00:00"/>
    <s v="Jan-2023"/>
    <n v="0"/>
    <n v="0"/>
    <n v="0"/>
  </r>
  <r>
    <s v="ORD-2023-613287"/>
    <d v="2023-03-31T00:00:00"/>
    <s v="Mar-2023"/>
    <s v="2023-Q1"/>
    <d v="2023-04-12T00:00:00"/>
    <n v="12"/>
    <s v="ACHIEVED"/>
    <x v="0"/>
    <s v="Kenya"/>
    <s v="Mombasa"/>
    <s v="Africa &gt; Kenya &gt; Mombasa"/>
    <s v="Small Business"/>
    <s v="Online"/>
    <s v="Online"/>
    <x v="0"/>
    <s v="Phones"/>
    <s v="Low"/>
    <s v="PHN-8014"/>
    <n v="304.22000000000003"/>
    <n v="393.31"/>
    <n v="393.31"/>
    <x v="189"/>
    <s v="OK"/>
    <n v="0.26500000000000001"/>
    <n v="15"/>
    <n v="4336.2427499999994"/>
    <n v="4563.3"/>
    <n v="-227.05725000000075"/>
    <n v="-5.2362670424759034E-2"/>
    <d v="2023-01-02T00:00:00"/>
    <s v="Jan-2023"/>
    <n v="0"/>
    <n v="0"/>
    <n v="0"/>
  </r>
  <r>
    <s v="ORD-2025-244832"/>
    <d v="2025-09-11T00:00:00"/>
    <s v="Sep-2025"/>
    <s v="2025-Q3"/>
    <d v="2025-09-28T00:00:00"/>
    <n v="17"/>
    <s v="ACHIEVED"/>
    <x v="0"/>
    <s v="Kenya"/>
    <s v="Nairobi"/>
    <s v="Africa &gt; Kenya &gt; Nairobi"/>
    <s v="Non-Profit"/>
    <s v="Distributor"/>
    <s v="Distributor"/>
    <x v="2"/>
    <s v="Laptops"/>
    <s v="Low"/>
    <s v="LAP-3278"/>
    <n v="891.46"/>
    <n v="728.61"/>
    <n v="728.61"/>
    <x v="163"/>
    <s v="OK"/>
    <n v="0.185"/>
    <n v="6"/>
    <n v="3562.9028999999996"/>
    <n v="5348.76"/>
    <n v="-1785.8571000000006"/>
    <n v="-0.50123653383874167"/>
    <d v="2023-01-02T00:00:00"/>
    <s v="Jan-2023"/>
    <n v="0"/>
    <n v="0"/>
    <n v="0"/>
  </r>
  <r>
    <s v="ORD-2024-201376"/>
    <d v="2024-02-18T00:00:00"/>
    <s v="Feb-2024"/>
    <s v="2024-Q1"/>
    <d v="2024-03-04T00:00:00"/>
    <n v="15"/>
    <s v="ACHIEVED"/>
    <x v="0"/>
    <s v="Kenya"/>
    <s v="Kisumu"/>
    <s v="Africa &gt; Kenya &gt; Kisumu"/>
    <s v="Education"/>
    <s v="Direct"/>
    <s v="Direct"/>
    <x v="3"/>
    <s v="Printers"/>
    <s v="High"/>
    <s v="PRN-7089"/>
    <n v="928.68"/>
    <n v="2145.17"/>
    <n v="2145.17"/>
    <x v="83"/>
    <s v="OK"/>
    <n v="0.13600000000000001"/>
    <n v="16"/>
    <n v="29654.83008"/>
    <n v="14858.88"/>
    <n v="14795.950080000001"/>
    <n v="0.49893896003062177"/>
    <d v="2023-01-02T00:00:00"/>
    <s v="Jan-2023"/>
    <n v="0"/>
    <n v="0"/>
    <n v="0"/>
  </r>
  <r>
    <s v="ORD-2023-842488"/>
    <d v="2023-10-31T00:00:00"/>
    <s v="Oct-2023"/>
    <s v="2023-Q4"/>
    <d v="2023-11-02T00:00:00"/>
    <n v="2"/>
    <s v="NOT ACHIEVED"/>
    <x v="0"/>
    <s v="Kenya"/>
    <s v="Kisumu"/>
    <s v="Africa &gt; Kenya &gt; Kisumu"/>
    <s v="Education"/>
    <s v="Retail"/>
    <s v="Retail"/>
    <x v="7"/>
    <s v="Accessories"/>
    <s v="Medium"/>
    <s v="ACC-4124"/>
    <n v="867.89"/>
    <n v="1349.94"/>
    <n v="1349.94"/>
    <x v="9"/>
    <s v="OK"/>
    <n v="0.184"/>
    <n v="10"/>
    <n v="11015.510400000003"/>
    <n v="8678.9"/>
    <n v="2336.6104000000032"/>
    <n v="0.21212003031652557"/>
    <d v="2023-01-02T00:00:00"/>
    <s v="Jan-2023"/>
    <n v="0"/>
    <n v="0"/>
    <n v="0"/>
  </r>
  <r>
    <s v="ORD-2024-968374"/>
    <d v="2024-02-11T00:00:00"/>
    <s v="Feb-2024"/>
    <s v="2024-Q1"/>
    <d v="2024-03-03T00:00:00"/>
    <n v="21"/>
    <s v="ACHIEVED"/>
    <x v="0"/>
    <s v="Kenya"/>
    <s v="Kisumu"/>
    <s v="Africa &gt; Kenya &gt; Kisumu"/>
    <s v="Enterprise"/>
    <s v="Online"/>
    <s v="Online"/>
    <x v="6"/>
    <s v="Phones"/>
    <s v="Medium"/>
    <s v="PHN-5082"/>
    <n v="516.86"/>
    <n v="852.54"/>
    <n v="852.54"/>
    <x v="34"/>
    <s v="OK"/>
    <n v="5.0999999999999997E-2"/>
    <n v="14"/>
    <n v="11326.846439999999"/>
    <n v="7236.04"/>
    <n v="4090.8064399999994"/>
    <n v="0.36116022775355994"/>
    <d v="2023-01-02T00:00:00"/>
    <s v="Jan-2023"/>
    <n v="0"/>
    <n v="0"/>
    <n v="0"/>
  </r>
  <r>
    <s v="ORD-2023-586275"/>
    <d v="2023-01-20T00:00:00"/>
    <s v="Jan-2023"/>
    <s v="2023-Q1"/>
    <d v="2023-02-03T00:00:00"/>
    <n v="14"/>
    <s v="ACHIEVED"/>
    <x v="0"/>
    <s v="Kenya"/>
    <s v="Kisumu"/>
    <s v="Africa &gt; Kenya &gt; Kisumu"/>
    <s v="Corporate"/>
    <s v="Retail"/>
    <s v="Retail"/>
    <x v="13"/>
    <s v="Networking"/>
    <s v="Medium"/>
    <s v="NET-6036"/>
    <n v="884.36"/>
    <n v="1545.34"/>
    <n v="1545.34"/>
    <x v="107"/>
    <s v="OK"/>
    <n v="0.24299999999999999"/>
    <n v="41"/>
    <n v="47962.717579999997"/>
    <n v="36258.76"/>
    <n v="11703.957579999995"/>
    <n v="0.24402198562827965"/>
    <d v="2023-01-02T00:00:00"/>
    <s v="Jan-2023"/>
    <n v="0"/>
    <n v="0"/>
    <n v="0"/>
  </r>
  <r>
    <s v="ORD-2025-146850"/>
    <d v="2025-01-21T00:00:00"/>
    <s v="Jan-2025"/>
    <s v="2025-Q1"/>
    <d v="2025-02-14T00:00:00"/>
    <n v="24"/>
    <s v="ACHIEVED"/>
    <x v="0"/>
    <s v="Kenya"/>
    <s v="Nairobi"/>
    <s v="Africa &gt; Kenya &gt; Nairobi"/>
    <s v="Small Business"/>
    <s v="Retail"/>
    <s v="Retail"/>
    <x v="2"/>
    <s v="Accessories"/>
    <s v="High"/>
    <s v="ACC-1659"/>
    <n v="1030.44"/>
    <n v="2562.84"/>
    <n v="2562.84"/>
    <x v="99"/>
    <s v="OK"/>
    <n v="0.14799999999999999"/>
    <n v="13"/>
    <n v="28386.015839999996"/>
    <n v="13395.720000000001"/>
    <n v="14990.295839999995"/>
    <n v="0.52808734852027039"/>
    <d v="2023-01-02T00:00:00"/>
    <s v="Jan-2023"/>
    <n v="0"/>
    <n v="0"/>
    <n v="0"/>
  </r>
  <r>
    <s v="ORD-2024-687100"/>
    <d v="2024-09-10T00:00:00"/>
    <s v="Sep-2024"/>
    <s v="2024-Q3"/>
    <d v="2024-10-07T00:00:00"/>
    <n v="27"/>
    <s v="ACHIEVED"/>
    <x v="0"/>
    <s v="Kenya"/>
    <s v="Kisumu"/>
    <s v="Africa &gt; Kenya &gt; Kisumu"/>
    <s v="Consumer"/>
    <s v="Retail"/>
    <s v="Retail"/>
    <x v="10"/>
    <s v="Printers"/>
    <s v="High"/>
    <s v="PRN-6068"/>
    <n v="1248.3900000000001"/>
    <n v="1805.11"/>
    <n v="1805.11"/>
    <x v="64"/>
    <s v="OK"/>
    <n v="0.20300000000000001"/>
    <n v="11"/>
    <n v="15825.399369999997"/>
    <n v="13732.29"/>
    <n v="2093.1093699999965"/>
    <n v="0.13226265707820786"/>
    <d v="2023-01-02T00:00:00"/>
    <s v="Jan-2023"/>
    <n v="0"/>
    <n v="0"/>
    <n v="0"/>
  </r>
  <r>
    <s v="ORD-2025-564184"/>
    <d v="2025-01-29T00:00:00"/>
    <s v="Jan-2025"/>
    <s v="2025-Q1"/>
    <d v="2025-02-06T00:00:00"/>
    <n v="8"/>
    <s v="ACHIEVED"/>
    <x v="0"/>
    <s v="Kenya"/>
    <s v="Kisumu"/>
    <s v="Africa &gt; Kenya &gt; Kisumu"/>
    <s v="Education"/>
    <s v="Retail"/>
    <s v="Retail"/>
    <x v="6"/>
    <s v="Phones"/>
    <s v="High"/>
    <s v="PHN-1671"/>
    <n v="1445.27"/>
    <n v="2691.45"/>
    <n v="2691.45"/>
    <x v="3"/>
    <s v="OK"/>
    <n v="0"/>
    <n v="9"/>
    <n v="24223.05"/>
    <n v="13007.43"/>
    <n v="11215.619999999999"/>
    <n v="0.46301436028906351"/>
    <d v="2023-01-02T00:00:00"/>
    <s v="Jan-2023"/>
    <n v="0"/>
    <n v="0"/>
    <n v="0"/>
  </r>
  <r>
    <s v="ORD-2025-762212"/>
    <d v="2025-08-25T00:00:00"/>
    <s v="Aug-2025"/>
    <s v="2025-Q3"/>
    <d v="2025-09-24T00:00:00"/>
    <n v="30"/>
    <s v="ACHIEVED"/>
    <x v="0"/>
    <s v="Kenya"/>
    <s v="Nairobi"/>
    <s v="Africa &gt; Kenya &gt; Nairobi"/>
    <s v="Consumer"/>
    <s v="Direct"/>
    <s v="Direct"/>
    <x v="6"/>
    <s v="Components"/>
    <s v="Medium"/>
    <s v="CMP-4970"/>
    <n v="589.14"/>
    <n v="1300.58"/>
    <n v="1300.58"/>
    <x v="190"/>
    <s v="OK"/>
    <n v="5.5E-2"/>
    <n v="11"/>
    <n v="13519.529099999998"/>
    <n v="6480.54"/>
    <n v="7038.989099999998"/>
    <n v="0.52065342275863724"/>
    <d v="2023-01-02T00:00:00"/>
    <s v="Jan-2023"/>
    <n v="0"/>
    <n v="0"/>
    <n v="0"/>
  </r>
  <r>
    <s v="ORD-2023-949710"/>
    <d v="2023-03-07T00:00:00"/>
    <s v="Mar-2023"/>
    <s v="2023-Q1"/>
    <d v="2023-04-01T00:00:00"/>
    <n v="25"/>
    <s v="ACHIEVED"/>
    <x v="0"/>
    <s v="Kenya"/>
    <s v="Nairobi"/>
    <s v="Africa &gt; Kenya &gt; Nairobi"/>
    <s v="Consumer"/>
    <s v="Marketplace"/>
    <s v="Marketplace"/>
    <x v="14"/>
    <s v="Printers"/>
    <s v="Medium"/>
    <s v="PRN-7049"/>
    <n v="1024.0999999999999"/>
    <n v="918.19"/>
    <n v="918.19"/>
    <x v="191"/>
    <s v="OK"/>
    <n v="0.189"/>
    <n v="10"/>
    <n v="7446.5209000000004"/>
    <n v="10241"/>
    <n v="-2794.4790999999996"/>
    <n v="-0.37527311579827827"/>
    <d v="2023-01-02T00:00:00"/>
    <s v="Jan-2023"/>
    <n v="0"/>
    <n v="0"/>
    <n v="0"/>
  </r>
  <r>
    <s v="ORD-2024-805860"/>
    <d v="2024-09-13T00:00:00"/>
    <s v="Sep-2024"/>
    <s v="2024-Q3"/>
    <d v="2024-10-02T00:00:00"/>
    <n v="19"/>
    <s v="ACHIEVED"/>
    <x v="0"/>
    <s v="Kenya"/>
    <s v="Mombasa"/>
    <s v="Africa &gt; Kenya &gt; Mombasa"/>
    <s v="Small Business"/>
    <s v="Retail"/>
    <s v="Retail"/>
    <x v="13"/>
    <s v="Phones"/>
    <s v="High"/>
    <s v="PHN-8804"/>
    <n v="1338.99"/>
    <n v="1765.76"/>
    <n v="1765.76"/>
    <x v="115"/>
    <s v="OK"/>
    <n v="0.126"/>
    <n v="24"/>
    <n v="37038.581760000001"/>
    <n v="32135.760000000002"/>
    <n v="4902.8217599999989"/>
    <n v="0.1323706666677725"/>
    <d v="2023-01-02T00:00:00"/>
    <s v="Jan-2023"/>
    <n v="0"/>
    <n v="0"/>
    <n v="0"/>
  </r>
  <r>
    <s v="ORD-2024-320972"/>
    <d v="2024-11-08T00:00:00"/>
    <s v="Nov-2024"/>
    <s v="2024-Q4"/>
    <d v="2024-11-08T00:00:00"/>
    <n v="0"/>
    <s v="NOT ACHIEVED"/>
    <x v="0"/>
    <s v="Kenya"/>
    <s v="Nakuru"/>
    <s v="Africa &gt; Kenya &gt; Nakuru"/>
    <s v="Enterprise"/>
    <s v="Marketplace"/>
    <s v="Marketplace"/>
    <x v="13"/>
    <s v="Networking"/>
    <s v="Medium"/>
    <s v="NET-2628"/>
    <n v="803.28"/>
    <n v="1009"/>
    <n v="1009"/>
    <x v="176"/>
    <s v="OK"/>
    <n v="0.11"/>
    <n v="4"/>
    <n v="3592.04"/>
    <n v="3213.12"/>
    <n v="378.92000000000007"/>
    <n v="0.10548880302001093"/>
    <d v="2023-01-02T00:00:00"/>
    <s v="Jan-2023"/>
    <n v="0"/>
    <n v="0"/>
    <n v="0"/>
  </r>
  <r>
    <s v="ORD-2023-274037"/>
    <d v="2023-08-15T00:00:00"/>
    <s v="Aug-2023"/>
    <s v="2023-Q3"/>
    <d v="2023-08-25T00:00:00"/>
    <n v="10"/>
    <s v="ACHIEVED"/>
    <x v="0"/>
    <s v="Kenya"/>
    <s v="Nairobi"/>
    <s v="Africa &gt; Kenya &gt; Nairobi"/>
    <s v="Small Business"/>
    <s v="Retail"/>
    <s v="Retail"/>
    <x v="5"/>
    <s v="Phones"/>
    <s v="Low"/>
    <s v="PHN-1234"/>
    <n v="91.85"/>
    <n v="111.29"/>
    <n v="111.29"/>
    <x v="3"/>
    <s v="OK"/>
    <n v="0"/>
    <n v="6"/>
    <n v="667.74"/>
    <n v="551.09999999999991"/>
    <n v="116.6400000000001"/>
    <n v="0.17467876718483258"/>
    <d v="2023-01-02T00:00:00"/>
    <s v="Jan-2023"/>
    <n v="0"/>
    <n v="0"/>
    <n v="0"/>
  </r>
  <r>
    <s v="ORD-2024-878493"/>
    <d v="2024-06-19T00:00:00"/>
    <s v="Jun-2024"/>
    <s v="2024-Q2"/>
    <d v="2024-06-20T00:00:00"/>
    <n v="1"/>
    <s v="NOT ACHIEVED"/>
    <x v="0"/>
    <s v="Kenya"/>
    <s v="Kisumu"/>
    <s v="Africa &gt; Kenya &gt; Kisumu"/>
    <s v="Small Business"/>
    <s v="Direct"/>
    <s v="Direct"/>
    <x v="2"/>
    <s v="Laptops"/>
    <s v="Low"/>
    <s v="LAP-4607"/>
    <n v="231.63"/>
    <n v="537.39"/>
    <n v="537.39"/>
    <x v="135"/>
    <s v="OK"/>
    <n v="0.08"/>
    <n v="12"/>
    <n v="5932.7856000000002"/>
    <n v="2779.56"/>
    <n v="3153.2256000000002"/>
    <n v="0.53149158129024587"/>
    <d v="2023-01-02T00:00:00"/>
    <s v="Jan-2023"/>
    <n v="0"/>
    <n v="0"/>
    <n v="0"/>
  </r>
  <r>
    <s v="ORD-2023-835010"/>
    <d v="2023-03-23T00:00:00"/>
    <s v="Mar-2023"/>
    <s v="2023-Q1"/>
    <d v="2023-04-15T00:00:00"/>
    <n v="23"/>
    <s v="ACHIEVED"/>
    <x v="0"/>
    <s v="Kenya"/>
    <s v="Mombasa"/>
    <s v="Africa &gt; Kenya &gt; Mombasa"/>
    <s v="Small Business"/>
    <s v="Retail"/>
    <s v="Retail"/>
    <x v="0"/>
    <s v="Accessories"/>
    <s v="Medium"/>
    <s v="ACC-2988"/>
    <n v="875.36"/>
    <n v="1178.6199999999999"/>
    <n v="1178.6199999999999"/>
    <x v="113"/>
    <s v="OK"/>
    <n v="0.151"/>
    <n v="53"/>
    <n v="53034.364139999991"/>
    <n v="46394.080000000002"/>
    <n v="6640.2841399999888"/>
    <n v="0.12520719815685888"/>
    <d v="2023-01-02T00:00:00"/>
    <s v="Jan-2023"/>
    <n v="0"/>
    <n v="0"/>
    <n v="0"/>
  </r>
  <r>
    <s v="ORD-2023-536542"/>
    <d v="2023-06-10T00:00:00"/>
    <s v="Jun-2023"/>
    <s v="2023-Q2"/>
    <d v="2023-06-18T00:00:00"/>
    <n v="8"/>
    <s v="ACHIEVED"/>
    <x v="0"/>
    <s v="Kenya"/>
    <s v="Nakuru"/>
    <s v="Africa &gt; Kenya &gt; Nakuru"/>
    <s v="Enterprise"/>
    <s v="Direct"/>
    <s v="Direct"/>
    <x v="15"/>
    <s v="Phones"/>
    <s v="Medium"/>
    <s v="PHN-2337"/>
    <n v="894.23"/>
    <n v="1421.55"/>
    <n v="1421.55"/>
    <x v="4"/>
    <s v="OK"/>
    <n v="0.109"/>
    <n v="3"/>
    <n v="3799.8031499999997"/>
    <n v="2682.69"/>
    <n v="1117.1131499999997"/>
    <n v="0.29399237431549574"/>
    <d v="2023-01-02T00:00:00"/>
    <s v="Jan-2023"/>
    <n v="0"/>
    <n v="0"/>
    <n v="0"/>
  </r>
  <r>
    <s v="ORD-2023-261081"/>
    <d v="2023-07-24T00:00:00"/>
    <s v="Jul-2023"/>
    <s v="2023-Q3"/>
    <d v="2023-08-19T00:00:00"/>
    <n v="26"/>
    <s v="ACHIEVED"/>
    <x v="0"/>
    <s v="Kenya"/>
    <s v="Nairobi"/>
    <s v="Africa &gt; Kenya &gt; Nairobi"/>
    <s v="Enterprise"/>
    <s v="Distributor"/>
    <s v="Distributor"/>
    <x v="13"/>
    <s v="Accessories"/>
    <s v="High"/>
    <s v="ACC-1238"/>
    <n v="661.45"/>
    <n v="1634.86"/>
    <n v="1634.86"/>
    <x v="35"/>
    <s v="OK"/>
    <n v="0.3"/>
    <n v="24"/>
    <n v="27465.647999999997"/>
    <n v="15874.800000000001"/>
    <n v="11590.847999999996"/>
    <n v="0.42201254454291404"/>
    <d v="2023-01-02T00:00:00"/>
    <s v="Jan-2023"/>
    <n v="0"/>
    <n v="0"/>
    <n v="0"/>
  </r>
  <r>
    <s v="ORD-2024-333192"/>
    <d v="2024-10-29T00:00:00"/>
    <s v="Oct-2024"/>
    <s v="2024-Q4"/>
    <d v="2024-11-04T00:00:00"/>
    <n v="6"/>
    <s v="NOT ACHIEVED"/>
    <x v="0"/>
    <s v="Kenya"/>
    <s v="Nairobi"/>
    <s v="Africa &gt; Kenya &gt; Nairobi"/>
    <s v="Corporate"/>
    <s v="Distributor"/>
    <s v="Distributor"/>
    <x v="13"/>
    <s v="Printers"/>
    <s v="High"/>
    <s v="PRN-4893"/>
    <n v="805.81"/>
    <n v="1823.04"/>
    <n v="1823.04"/>
    <x v="3"/>
    <s v="OK"/>
    <n v="0"/>
    <n v="11"/>
    <n v="20053.439999999999"/>
    <n v="8863.91"/>
    <n v="11189.529999999999"/>
    <n v="0.55798556257679477"/>
    <d v="2023-01-02T00:00:00"/>
    <s v="Jan-2023"/>
    <n v="0"/>
    <n v="0"/>
    <n v="0"/>
  </r>
  <r>
    <s v="ORD-2024-819778"/>
    <d v="2024-06-02T00:00:00"/>
    <s v="Jun-2024"/>
    <s v="2024-Q2"/>
    <d v="2024-06-15T00:00:00"/>
    <n v="13"/>
    <s v="ACHIEVED"/>
    <x v="0"/>
    <s v="Kenya"/>
    <s v="Mombasa"/>
    <s v="Africa &gt; Kenya &gt; Mombasa"/>
    <s v="Education"/>
    <s v="Online"/>
    <s v="Online"/>
    <x v="7"/>
    <s v="Phones"/>
    <s v="High"/>
    <s v="PHN-6866"/>
    <n v="1295.18"/>
    <n v="3024.03"/>
    <n v="3024.03"/>
    <x v="173"/>
    <s v="OK"/>
    <n v="0.192"/>
    <n v="8"/>
    <n v="19547.329920000004"/>
    <n v="10361.44"/>
    <n v="9185.8899200000033"/>
    <n v="0.46993067378483178"/>
    <d v="2023-01-02T00:00:00"/>
    <s v="Jan-2023"/>
    <n v="0"/>
    <n v="0"/>
    <n v="0"/>
  </r>
  <r>
    <s v="ORD-2025-608069"/>
    <d v="2025-04-12T00:00:00"/>
    <s v="Apr-2025"/>
    <s v="2025-Q2"/>
    <d v="2025-04-30T00:00:00"/>
    <n v="18"/>
    <s v="ACHIEVED"/>
    <x v="0"/>
    <s v="Kenya"/>
    <s v="Kisumu"/>
    <s v="Africa &gt; Kenya &gt; Kisumu"/>
    <s v="Corporate"/>
    <s v="Marketplace"/>
    <s v="Marketplace"/>
    <x v="8"/>
    <s v="Networking"/>
    <s v="Medium"/>
    <s v="NET-3432"/>
    <n v="1119.04"/>
    <n v="1299.02"/>
    <n v="1299.02"/>
    <x v="120"/>
    <s v="OK"/>
    <n v="2.5000000000000001E-2"/>
    <n v="14"/>
    <n v="17731.623"/>
    <n v="15666.56"/>
    <n v="2065.0630000000001"/>
    <n v="0.11646215352085933"/>
    <d v="2023-01-02T00:00:00"/>
    <s v="Jan-2023"/>
    <n v="0"/>
    <n v="0"/>
    <n v="0"/>
  </r>
  <r>
    <s v="ORD-2023-378104"/>
    <d v="2023-10-18T00:00:00"/>
    <s v="Oct-2023"/>
    <s v="2023-Q4"/>
    <d v="2023-10-20T00:00:00"/>
    <n v="2"/>
    <s v="NOT ACHIEVED"/>
    <x v="0"/>
    <s v="Kenya"/>
    <s v="Kisumu"/>
    <s v="Africa &gt; Kenya &gt; Kisumu"/>
    <s v="Consumer"/>
    <s v="Retail"/>
    <s v="Retail"/>
    <x v="2"/>
    <s v="Phones"/>
    <s v="Medium"/>
    <s v="PHN-8891"/>
    <n v="774.12"/>
    <n v="908.3"/>
    <n v="908.3"/>
    <x v="3"/>
    <s v="OK"/>
    <n v="0"/>
    <n v="30"/>
    <n v="27249"/>
    <n v="23223.599999999999"/>
    <n v="4025.4000000000015"/>
    <n v="0.14772652207420461"/>
    <d v="2023-01-02T00:00:00"/>
    <s v="Jan-2023"/>
    <n v="0"/>
    <n v="0"/>
    <n v="0"/>
  </r>
  <r>
    <s v="ORD-2023-156396"/>
    <d v="2023-02-21T00:00:00"/>
    <s v="Feb-2023"/>
    <s v="2023-Q1"/>
    <d v="2023-03-12T00:00:00"/>
    <n v="19"/>
    <s v="ACHIEVED"/>
    <x v="0"/>
    <s v="Kenya"/>
    <s v="Nakuru"/>
    <s v="Africa &gt; Kenya &gt; Nakuru"/>
    <s v="Corporate"/>
    <s v="Online"/>
    <s v="Online"/>
    <x v="8"/>
    <s v="Networking"/>
    <s v="Low"/>
    <s v="NET-2499"/>
    <n v="352.65"/>
    <n v="485.86"/>
    <n v="485.86"/>
    <x v="49"/>
    <s v="OK"/>
    <n v="4.1000000000000002E-2"/>
    <n v="6"/>
    <n v="2795.6384399999997"/>
    <n v="2115.8999999999996"/>
    <n v="679.73844000000008"/>
    <n v="0.24314247159943908"/>
    <d v="2023-01-02T00:00:00"/>
    <s v="Jan-2023"/>
    <n v="0"/>
    <n v="0"/>
    <n v="0"/>
  </r>
  <r>
    <s v="ORD-2024-508213"/>
    <d v="2024-11-22T00:00:00"/>
    <s v="Nov-2024"/>
    <s v="2024-Q4"/>
    <d v="2024-12-15T00:00:00"/>
    <n v="23"/>
    <s v="ACHIEVED"/>
    <x v="0"/>
    <s v="Kenya"/>
    <s v="Mombasa"/>
    <s v="Africa &gt; Kenya &gt; Mombasa"/>
    <s v="Non-Profit"/>
    <s v="Distributor"/>
    <s v="Distributor"/>
    <x v="0"/>
    <s v="Components"/>
    <s v="High"/>
    <s v="CMP-3938"/>
    <n v="1335.76"/>
    <n v="2665.91"/>
    <n v="2665.91"/>
    <x v="121"/>
    <s v="OK"/>
    <n v="0.21099999999999999"/>
    <n v="40"/>
    <n v="84136.119600000005"/>
    <n v="53430.400000000001"/>
    <n v="30705.719600000004"/>
    <n v="0.36495288522909253"/>
    <d v="2023-01-02T00:00:00"/>
    <s v="Jan-2023"/>
    <n v="0"/>
    <n v="0"/>
    <n v="0"/>
  </r>
  <r>
    <s v="ORD-2023-931633"/>
    <d v="2023-05-14T00:00:00"/>
    <s v="May-2023"/>
    <s v="2023-Q2"/>
    <d v="2023-05-22T00:00:00"/>
    <n v="8"/>
    <s v="ACHIEVED"/>
    <x v="0"/>
    <s v="Kenya"/>
    <s v="Mombasa"/>
    <s v="Africa &gt; Kenya &gt; Mombasa"/>
    <s v="Small Business"/>
    <s v="Distributor"/>
    <s v="Distributor"/>
    <x v="8"/>
    <s v="Printers"/>
    <s v="Medium"/>
    <s v="PRN-9488"/>
    <n v="432.01"/>
    <n v="913.78"/>
    <n v="913.78"/>
    <x v="192"/>
    <s v="OK"/>
    <n v="4.9000000000000002E-2"/>
    <n v="12"/>
    <n v="10428.057360000001"/>
    <n v="5184.12"/>
    <n v="5243.9373600000008"/>
    <n v="0.50286809699711899"/>
    <d v="2023-01-02T00:00:00"/>
    <s v="Jan-2023"/>
    <n v="0"/>
    <n v="0"/>
    <n v="0"/>
  </r>
  <r>
    <s v="ORD-2024-647571"/>
    <d v="2024-02-06T00:00:00"/>
    <s v="Feb-2024"/>
    <s v="2024-Q1"/>
    <d v="2024-02-28T00:00:00"/>
    <n v="22"/>
    <s v="ACHIEVED"/>
    <x v="0"/>
    <s v="Kenya"/>
    <s v="Kisumu"/>
    <s v="Africa &gt; Kenya &gt; Kisumu"/>
    <s v="Non-Profit"/>
    <s v="Online"/>
    <s v="Online"/>
    <x v="3"/>
    <s v="Monitors"/>
    <s v="Medium"/>
    <s v="MON-2462"/>
    <n v="834.93"/>
    <n v="1588.53"/>
    <n v="1588.53"/>
    <x v="115"/>
    <s v="OK"/>
    <n v="0.126"/>
    <n v="6"/>
    <n v="8330.2513199999994"/>
    <n v="5009.58"/>
    <n v="3320.6713199999995"/>
    <n v="0.39862798761274343"/>
    <d v="2023-01-02T00:00:00"/>
    <s v="Jan-2023"/>
    <n v="0"/>
    <n v="0"/>
    <n v="0"/>
  </r>
  <r>
    <s v="ORD-2024-833375"/>
    <d v="2024-04-24T00:00:00"/>
    <s v="Apr-2024"/>
    <s v="2024-Q2"/>
    <d v="2024-05-10T00:00:00"/>
    <n v="16"/>
    <s v="ACHIEVED"/>
    <x v="0"/>
    <s v="Kenya"/>
    <s v="Kisumu"/>
    <s v="Africa &gt; Kenya &gt; Kisumu"/>
    <s v="Non-Profit"/>
    <s v="Online"/>
    <s v="Online"/>
    <x v="5"/>
    <s v="Monitors"/>
    <s v="Medium"/>
    <s v="MON-6190"/>
    <n v="513.30999999999995"/>
    <n v="1186.26"/>
    <n v="1186.26"/>
    <x v="2"/>
    <s v="OK"/>
    <n v="9.4E-2"/>
    <n v="15"/>
    <n v="16121.273400000002"/>
    <n v="7699.65"/>
    <n v="8421.6234000000022"/>
    <n v="0.52239194702820446"/>
    <d v="2023-01-02T00:00:00"/>
    <s v="Jan-2023"/>
    <n v="0"/>
    <n v="0"/>
    <n v="0"/>
  </r>
  <r>
    <s v="ORD-2024-364080"/>
    <d v="2024-04-16T00:00:00"/>
    <s v="Apr-2024"/>
    <s v="2024-Q2"/>
    <d v="2024-04-27T00:00:00"/>
    <n v="11"/>
    <s v="ACHIEVED"/>
    <x v="0"/>
    <s v="Kenya"/>
    <s v="Nakuru"/>
    <s v="Africa &gt; Kenya &gt; Nakuru"/>
    <s v="Enterprise"/>
    <s v="Online"/>
    <s v="Online"/>
    <x v="14"/>
    <s v="Printers"/>
    <s v="Medium"/>
    <s v="PRN-2641"/>
    <n v="401.3"/>
    <n v="826.47"/>
    <n v="826.47"/>
    <x v="65"/>
    <s v="OK"/>
    <n v="0.22500000000000001"/>
    <n v="13"/>
    <n v="8326.6852500000005"/>
    <n v="5216.9000000000005"/>
    <n v="3109.7852499999999"/>
    <n v="0.37347217489696755"/>
    <d v="2023-01-02T00:00:00"/>
    <s v="Jan-2023"/>
    <n v="0"/>
    <n v="0"/>
    <n v="0"/>
  </r>
  <r>
    <s v="ORD-2024-713332"/>
    <d v="2024-06-05T00:00:00"/>
    <s v="Jun-2024"/>
    <s v="2024-Q2"/>
    <d v="2024-06-23T00:00:00"/>
    <n v="18"/>
    <s v="ACHIEVED"/>
    <x v="0"/>
    <s v="Kenya"/>
    <s v="Nairobi"/>
    <s v="Africa &gt; Kenya &gt; Nairobi"/>
    <s v="Consumer"/>
    <s v="Distributor"/>
    <s v="Distributor"/>
    <x v="14"/>
    <s v="Laptops"/>
    <s v="Medium"/>
    <s v="LAP-1739"/>
    <n v="1208.74"/>
    <n v="1594.78"/>
    <n v="1594.78"/>
    <x v="193"/>
    <s v="OK"/>
    <n v="5.8999999999999997E-2"/>
    <n v="39"/>
    <n v="58526.83122"/>
    <n v="47140.86"/>
    <n v="11385.971219999999"/>
    <n v="0.1945427589817838"/>
    <d v="2023-01-02T00:00:00"/>
    <s v="Jan-2023"/>
    <n v="0"/>
    <n v="0"/>
    <n v="0"/>
  </r>
  <r>
    <s v="ORD-2023-286720"/>
    <d v="2023-07-08T00:00:00"/>
    <s v="Jul-2023"/>
    <s v="2023-Q3"/>
    <d v="2023-07-09T00:00:00"/>
    <n v="1"/>
    <s v="NOT ACHIEVED"/>
    <x v="0"/>
    <s v="Kenya"/>
    <s v="Nairobi"/>
    <s v="Africa &gt; Kenya &gt; Nairobi"/>
    <s v="Consumer"/>
    <s v="Online"/>
    <s v="Online"/>
    <x v="14"/>
    <s v="Laptops"/>
    <s v="High"/>
    <s v="LAP-1989"/>
    <n v="1258.72"/>
    <n v="2797.41"/>
    <n v="2797.41"/>
    <x v="3"/>
    <s v="OK"/>
    <n v="0"/>
    <n v="7"/>
    <n v="19581.87"/>
    <n v="8811.0400000000009"/>
    <n v="10770.829999999998"/>
    <n v="0.55004093071805704"/>
    <d v="2023-01-02T00:00:00"/>
    <s v="Jan-2023"/>
    <n v="0"/>
    <n v="0"/>
    <n v="0"/>
  </r>
  <r>
    <s v="ORD-2025-332931"/>
    <d v="2025-02-15T00:00:00"/>
    <s v="Feb-2025"/>
    <s v="2025-Q1"/>
    <d v="2025-03-01T00:00:00"/>
    <n v="14"/>
    <s v="ACHIEVED"/>
    <x v="0"/>
    <s v="Kenya"/>
    <s v="Mombasa"/>
    <s v="Africa &gt; Kenya &gt; Mombasa"/>
    <s v="Education"/>
    <s v="Direct"/>
    <s v="Direct"/>
    <x v="10"/>
    <s v="Accessories"/>
    <s v="Medium"/>
    <s v="ACC-5144"/>
    <n v="1162.8599999999999"/>
    <n v="1447.68"/>
    <n v="1447.68"/>
    <x v="159"/>
    <s v="OK"/>
    <n v="8.6999999999999994E-2"/>
    <n v="12"/>
    <n v="15860.782080000001"/>
    <n v="13954.32"/>
    <n v="1906.4620800000012"/>
    <n v="0.12019975247021369"/>
    <d v="2023-01-02T00:00:00"/>
    <s v="Jan-2023"/>
    <n v="0"/>
    <n v="0"/>
    <n v="0"/>
  </r>
  <r>
    <s v="ORD-2024-555229"/>
    <d v="2024-05-18T00:00:00"/>
    <s v="May-2024"/>
    <s v="2024-Q2"/>
    <d v="2024-05-22T00:00:00"/>
    <n v="4"/>
    <s v="NOT ACHIEVED"/>
    <x v="0"/>
    <s v="Kenya"/>
    <s v="Nairobi"/>
    <s v="Africa &gt; Kenya &gt; Nairobi"/>
    <s v="Corporate"/>
    <s v="Direct"/>
    <s v="Direct"/>
    <x v="15"/>
    <s v="Accessories"/>
    <s v="High"/>
    <s v="ACC-7354"/>
    <n v="857.42"/>
    <n v="1658.92"/>
    <n v="1658.92"/>
    <x v="157"/>
    <s v="OK"/>
    <n v="0.122"/>
    <n v="9"/>
    <n v="13108.78584"/>
    <n v="7716.78"/>
    <n v="5392.0058400000007"/>
    <n v="0.41132763215544305"/>
    <d v="2023-01-02T00:00:00"/>
    <s v="Jan-2023"/>
    <n v="0"/>
    <n v="0"/>
    <n v="0"/>
  </r>
  <r>
    <s v="ORD-2024-331226"/>
    <d v="2024-11-30T00:00:00"/>
    <s v="Nov-2024"/>
    <s v="2024-Q4"/>
    <d v="2024-12-19T00:00:00"/>
    <n v="19"/>
    <s v="ACHIEVED"/>
    <x v="0"/>
    <s v="Kenya"/>
    <s v="Kisumu"/>
    <s v="Africa &gt; Kenya &gt; Kisumu"/>
    <s v="Corporate"/>
    <s v="Online"/>
    <s v="Online"/>
    <x v="10"/>
    <s v="Phones"/>
    <s v="High"/>
    <s v="PHN-1919"/>
    <n v="1195.98"/>
    <n v="1841.9"/>
    <n v="1841.9"/>
    <x v="190"/>
    <s v="OK"/>
    <n v="5.5E-2"/>
    <n v="19"/>
    <n v="33071.3145"/>
    <n v="22723.62"/>
    <n v="10347.694500000001"/>
    <n v="0.31289032977506842"/>
    <d v="2023-01-02T00:00:00"/>
    <s v="Jan-2023"/>
    <n v="0"/>
    <n v="0"/>
    <n v="0"/>
  </r>
  <r>
    <s v="ORD-2024-979401"/>
    <d v="2024-02-08T00:00:00"/>
    <s v="Feb-2024"/>
    <s v="2024-Q1"/>
    <d v="2024-02-09T00:00:00"/>
    <n v="1"/>
    <s v="NOT ACHIEVED"/>
    <x v="0"/>
    <s v="Kenya"/>
    <s v="Mombasa"/>
    <s v="Africa &gt; Kenya &gt; Mombasa"/>
    <s v="Corporate"/>
    <s v="Direct"/>
    <s v="Direct"/>
    <x v="8"/>
    <s v="Components"/>
    <s v="Medium"/>
    <s v="CMP-5911"/>
    <n v="1233.52"/>
    <n v="1543.76"/>
    <n v="1543.76"/>
    <x v="115"/>
    <s v="OK"/>
    <n v="0.126"/>
    <n v="13"/>
    <n v="17540.201120000002"/>
    <n v="16035.76"/>
    <n v="1504.4411200000013"/>
    <n v="8.5771030201277493E-2"/>
    <d v="2023-01-02T00:00:00"/>
    <s v="Jan-2023"/>
    <n v="0"/>
    <n v="0"/>
    <n v="0"/>
  </r>
  <r>
    <s v="ORD-2025-155182"/>
    <d v="2025-07-11T00:00:00"/>
    <s v="Jul-2025"/>
    <s v="2025-Q3"/>
    <d v="2025-08-03T00:00:00"/>
    <n v="23"/>
    <s v="ACHIEVED"/>
    <x v="0"/>
    <s v="Kenya"/>
    <s v="Nakuru"/>
    <s v="Africa &gt; Kenya &gt; Nakuru"/>
    <s v="Small Business"/>
    <s v="Retail"/>
    <s v="Retail"/>
    <x v="0"/>
    <s v="Phones"/>
    <s v="Low"/>
    <s v="PHN-7636"/>
    <n v="389.93"/>
    <n v="486.13"/>
    <n v="486.13"/>
    <x v="43"/>
    <s v="OK"/>
    <n v="0.13200000000000001"/>
    <n v="17"/>
    <n v="7173.3342799999991"/>
    <n v="6628.81"/>
    <n v="544.52427999999873"/>
    <n v="7.5909508569562828E-2"/>
    <d v="2023-01-02T00:00:00"/>
    <s v="Jan-2023"/>
    <n v="0"/>
    <n v="0"/>
    <n v="0"/>
  </r>
  <r>
    <s v="ORD-2024-689872"/>
    <d v="2024-08-03T00:00:00"/>
    <s v="Aug-2024"/>
    <s v="2024-Q3"/>
    <d v="2024-08-09T00:00:00"/>
    <n v="6"/>
    <s v="NOT ACHIEVED"/>
    <x v="0"/>
    <s v="Kenya"/>
    <s v="Mombasa"/>
    <s v="Africa &gt; Kenya &gt; Mombasa"/>
    <s v="Consumer"/>
    <s v="Marketplace"/>
    <s v="Marketplace"/>
    <x v="15"/>
    <s v="Laptops"/>
    <s v="Medium"/>
    <s v="LAP-1969"/>
    <n v="643.21"/>
    <n v="1112.81"/>
    <n v="1112.81"/>
    <x v="181"/>
    <s v="OK"/>
    <n v="0.14099999999999999"/>
    <n v="4"/>
    <n v="3823.6151599999998"/>
    <n v="2572.84"/>
    <n v="1250.7751599999997"/>
    <n v="0.32711847496702562"/>
    <d v="2023-01-02T00:00:00"/>
    <s v="Jan-2023"/>
    <n v="0"/>
    <n v="0"/>
    <n v="0"/>
  </r>
  <r>
    <s v="ORD-2024-442776"/>
    <d v="2024-06-30T00:00:00"/>
    <s v="Jun-2024"/>
    <s v="2024-Q2"/>
    <d v="2024-07-21T00:00:00"/>
    <n v="21"/>
    <s v="ACHIEVED"/>
    <x v="0"/>
    <s v="Kenya"/>
    <s v="Kisumu"/>
    <s v="Africa &gt; Kenya &gt; Kisumu"/>
    <s v="Small Business"/>
    <s v="Retail"/>
    <s v="Retail"/>
    <x v="3"/>
    <s v="Laptops"/>
    <s v="High"/>
    <s v="LAP-6577"/>
    <n v="753.43"/>
    <n v="1787.2"/>
    <n v="1787.2"/>
    <x v="142"/>
    <s v="OK"/>
    <n v="7.2999999999999995E-2"/>
    <n v="9"/>
    <n v="14910.609600000002"/>
    <n v="6780.87"/>
    <n v="8129.7396000000017"/>
    <n v="0.54523187301476939"/>
    <d v="2023-01-02T00:00:00"/>
    <s v="Jan-2023"/>
    <n v="0"/>
    <n v="0"/>
    <n v="0"/>
  </r>
  <r>
    <s v="ORD-2024-266562"/>
    <d v="2024-11-27T00:00:00"/>
    <s v="Nov-2024"/>
    <s v="2024-Q4"/>
    <d v="2024-12-24T00:00:00"/>
    <n v="27"/>
    <s v="ACHIEVED"/>
    <x v="0"/>
    <s v="Kenya"/>
    <s v="Mombasa"/>
    <s v="Africa &gt; Kenya &gt; Mombasa"/>
    <s v="Corporate"/>
    <s v="Distributor"/>
    <s v="Distributor"/>
    <x v="6"/>
    <s v="Printers"/>
    <s v="Low"/>
    <s v="PRN-5569"/>
    <n v="143.33000000000001"/>
    <n v="233.51"/>
    <n v="233.51"/>
    <x v="186"/>
    <s v="OK"/>
    <n v="0.16300000000000001"/>
    <n v="14"/>
    <n v="2736.27018"/>
    <n v="2006.6200000000001"/>
    <n v="729.65017999999986"/>
    <n v="0.26665867476580835"/>
    <d v="2023-01-02T00:00:00"/>
    <s v="Jan-2023"/>
    <n v="0"/>
    <n v="0"/>
    <n v="0"/>
  </r>
  <r>
    <s v="ORD-2024-341535"/>
    <d v="2024-06-25T00:00:00"/>
    <s v="Jun-2024"/>
    <s v="2024-Q2"/>
    <d v="2024-06-30T00:00:00"/>
    <n v="5"/>
    <s v="NOT ACHIEVED"/>
    <x v="0"/>
    <s v="Kenya"/>
    <s v="Kisumu"/>
    <s v="Africa &gt; Kenya &gt; Kisumu"/>
    <s v="Education"/>
    <s v="Direct"/>
    <s v="Direct"/>
    <x v="13"/>
    <s v="Networking"/>
    <s v="High"/>
    <s v="NET-5987"/>
    <n v="1323.55"/>
    <n v="3230.35"/>
    <n v="3230.35"/>
    <x v="194"/>
    <s v="OK"/>
    <n v="2.1999999999999999E-2"/>
    <n v="26"/>
    <n v="82141.339799999987"/>
    <n v="34412.299999999996"/>
    <n v="47729.039799999991"/>
    <n v="0.58105991351263542"/>
    <d v="2023-01-02T00:00:00"/>
    <s v="Jan-2023"/>
    <n v="0"/>
    <n v="0"/>
    <n v="0"/>
  </r>
  <r>
    <s v="ORD-2023-755337"/>
    <d v="2023-09-08T00:00:00"/>
    <s v="Sep-2023"/>
    <s v="2023-Q3"/>
    <d v="2023-09-14T00:00:00"/>
    <n v="6"/>
    <s v="NOT ACHIEVED"/>
    <x v="0"/>
    <s v="Kenya"/>
    <s v="Nakuru"/>
    <s v="Africa &gt; Kenya &gt; Nakuru"/>
    <s v="Education"/>
    <s v="Direct"/>
    <s v="Direct"/>
    <x v="12"/>
    <s v="Accessories"/>
    <s v="Low"/>
    <s v="ACC-4766"/>
    <n v="251.03"/>
    <n v="411.48"/>
    <n v="411.48"/>
    <x v="156"/>
    <s v="OK"/>
    <n v="0.16500000000000001"/>
    <n v="3"/>
    <n v="1030.7574"/>
    <n v="753.09"/>
    <n v="277.66739999999993"/>
    <n v="0.26938191275658069"/>
    <d v="2023-01-02T00:00:00"/>
    <s v="Jan-2023"/>
    <n v="0"/>
    <n v="0"/>
    <n v="0"/>
  </r>
  <r>
    <s v="ORD-2025-649633"/>
    <d v="2025-07-19T00:00:00"/>
    <s v="Jul-2025"/>
    <s v="2025-Q3"/>
    <d v="2025-07-31T00:00:00"/>
    <n v="12"/>
    <s v="ACHIEVED"/>
    <x v="0"/>
    <s v="Kenya"/>
    <s v="Nairobi"/>
    <s v="Africa &gt; Kenya &gt; Nairobi"/>
    <s v="Small Business"/>
    <s v="Marketplace"/>
    <s v="Marketplace"/>
    <x v="7"/>
    <s v="Accessories"/>
    <s v="Medium"/>
    <s v="ACC-1028"/>
    <n v="619.64"/>
    <n v="861.16"/>
    <n v="861.16"/>
    <x v="150"/>
    <s v="OK"/>
    <n v="0.113"/>
    <n v="14"/>
    <n v="10693.88488"/>
    <n v="8674.9599999999991"/>
    <n v="2018.9248800000005"/>
    <n v="0.18879246435276761"/>
    <d v="2023-01-02T00:00:00"/>
    <s v="Jan-2023"/>
    <n v="0"/>
    <n v="0"/>
    <n v="0"/>
  </r>
  <r>
    <s v="ORD-2024-358795"/>
    <d v="2024-10-23T00:00:00"/>
    <s v="Oct-2024"/>
    <s v="2024-Q4"/>
    <d v="2024-10-28T00:00:00"/>
    <n v="5"/>
    <s v="NOT ACHIEVED"/>
    <x v="0"/>
    <s v="Nigeria"/>
    <s v="Port Harcourt"/>
    <s v="Africa &gt; Nigeria &gt; Port Harcourt"/>
    <s v="Education"/>
    <s v="Online"/>
    <s v="Online"/>
    <x v="2"/>
    <s v="Printers"/>
    <s v="Low"/>
    <s v="PRN-9322"/>
    <n v="1084.3900000000001"/>
    <n v="759.33"/>
    <n v="759.33"/>
    <x v="195"/>
    <s v="OK"/>
    <n v="0.23699999999999999"/>
    <n v="31"/>
    <n v="17960.432489999999"/>
    <n v="33616.090000000004"/>
    <n v="-15655.657510000005"/>
    <n v="-0.87167486187856302"/>
    <d v="2023-01-02T00:00:00"/>
    <s v="Jan-2023"/>
    <s v="Medium/High cutoff"/>
    <n v="1620.05"/>
    <n v="0"/>
  </r>
  <r>
    <s v="ORD-2025-168148"/>
    <d v="2025-03-29T00:00:00"/>
    <s v="Mar-2025"/>
    <s v="2025-Q1"/>
    <d v="2025-04-02T00:00:00"/>
    <n v="4"/>
    <s v="NOT ACHIEVED"/>
    <x v="0"/>
    <s v="Nigeria"/>
    <s v="Lagos"/>
    <s v="Africa &gt; Nigeria &gt; Lagos"/>
    <s v="Non-Profit"/>
    <s v="Marketplace"/>
    <s v="Marketplace"/>
    <x v="4"/>
    <s v="Phones"/>
    <s v="Low"/>
    <s v="PHN-4556"/>
    <n v="259.93"/>
    <n v="255.94"/>
    <n v="255.94"/>
    <x v="12"/>
    <s v="OK"/>
    <n v="7.1999999999999995E-2"/>
    <n v="22"/>
    <n v="5225.2710400000005"/>
    <n v="5718.46"/>
    <n v="-493.1889599999995"/>
    <n v="-9.4385335463861311E-2"/>
    <d v="2023-01-02T00:00:00"/>
    <s v="Jan-2023"/>
    <n v="0"/>
    <n v="0"/>
    <n v="0"/>
  </r>
  <r>
    <s v="ORD-2023-112666"/>
    <d v="2023-01-15T00:00:00"/>
    <s v="Jan-2023"/>
    <s v="2023-Q1"/>
    <d v="2023-01-20T00:00:00"/>
    <n v="5"/>
    <s v="NOT ACHIEVED"/>
    <x v="0"/>
    <s v="Nigeria"/>
    <s v="Abuja"/>
    <s v="Africa &gt; Nigeria &gt; Abuja"/>
    <s v="Education"/>
    <s v="Online"/>
    <s v="Online"/>
    <x v="7"/>
    <s v="Printers"/>
    <s v="Low"/>
    <s v="PRN-6276"/>
    <n v="28.38"/>
    <n v="47.22"/>
    <n v="47.22"/>
    <x v="101"/>
    <s v="OK"/>
    <n v="0.19400000000000001"/>
    <n v="18"/>
    <n v="685.06776000000002"/>
    <n v="510.84"/>
    <n v="174.22776000000005"/>
    <n v="0.25432193743871417"/>
    <d v="2023-01-02T00:00:00"/>
    <s v="Jan-2023"/>
    <n v="0"/>
    <n v="0"/>
    <n v="0"/>
  </r>
  <r>
    <s v="ORD-2024-589570"/>
    <d v="2024-05-04T00:00:00"/>
    <s v="May-2024"/>
    <s v="2024-Q2"/>
    <d v="2024-05-29T00:00:00"/>
    <n v="25"/>
    <s v="ACHIEVED"/>
    <x v="0"/>
    <s v="Nigeria"/>
    <s v="Abuja"/>
    <s v="Africa &gt; Nigeria &gt; Abuja"/>
    <s v="Non-Profit"/>
    <s v="Marketplace"/>
    <s v="Marketplace"/>
    <x v="7"/>
    <s v="Monitors"/>
    <s v="High"/>
    <s v="MON-6892"/>
    <n v="1295.3399999999999"/>
    <n v="2530.81"/>
    <n v="2530.81"/>
    <x v="196"/>
    <s v="OK"/>
    <n v="3.1E-2"/>
    <n v="6"/>
    <n v="14714.12934"/>
    <n v="7772.0399999999991"/>
    <n v="6942.0893400000004"/>
    <n v="0.4717974933880798"/>
    <d v="2023-01-02T00:00:00"/>
    <s v="Jan-2023"/>
    <n v="0"/>
    <n v="0"/>
    <n v="0"/>
  </r>
  <r>
    <s v="ORD-2025-580047"/>
    <d v="2025-06-14T00:00:00"/>
    <s v="Jun-2025"/>
    <s v="2025-Q2"/>
    <d v="2025-06-29T00:00:00"/>
    <n v="15"/>
    <s v="ACHIEVED"/>
    <x v="0"/>
    <s v="Nigeria"/>
    <s v="Port Harcourt"/>
    <s v="Africa &gt; Nigeria &gt; Port Harcourt"/>
    <s v="Consumer"/>
    <s v="Marketplace"/>
    <s v="Marketplace"/>
    <x v="13"/>
    <s v="Accessories"/>
    <s v="Medium"/>
    <s v="ACC-3961"/>
    <n v="730.99"/>
    <n v="1242.8399999999999"/>
    <n v="1242.8399999999999"/>
    <x v="172"/>
    <s v="OK"/>
    <n v="0.12"/>
    <n v="10"/>
    <n v="10936.992"/>
    <n v="7309.9"/>
    <n v="3627.0920000000006"/>
    <n v="0.33163524303574515"/>
    <d v="2023-01-02T00:00:00"/>
    <s v="Jan-2023"/>
    <n v="0"/>
    <n v="0"/>
    <n v="0"/>
  </r>
  <r>
    <s v="ORD-2024-599522"/>
    <d v="2024-04-19T00:00:00"/>
    <s v="Apr-2024"/>
    <s v="2024-Q2"/>
    <d v="2024-05-06T00:00:00"/>
    <n v="17"/>
    <s v="ACHIEVED"/>
    <x v="0"/>
    <s v="Nigeria"/>
    <s v="Port Harcourt"/>
    <s v="Africa &gt; Nigeria &gt; Port Harcourt"/>
    <s v="Non-Profit"/>
    <s v="Online"/>
    <s v="Online"/>
    <x v="1"/>
    <s v="Printers"/>
    <s v="Medium"/>
    <s v="PRN-7303"/>
    <n v="865.33"/>
    <n v="1395.64"/>
    <n v="1395.64"/>
    <x v="25"/>
    <s v="OK"/>
    <n v="0.17499999999999999"/>
    <n v="13"/>
    <n v="14968.239"/>
    <n v="11249.29"/>
    <n v="3718.9489999999987"/>
    <n v="0.24845601409758347"/>
    <d v="2023-01-02T00:00:00"/>
    <s v="Jan-2023"/>
    <n v="0"/>
    <n v="0"/>
    <n v="0"/>
  </r>
  <r>
    <s v="ORD-2023-128295"/>
    <d v="2023-06-23T00:00:00"/>
    <s v="Jun-2023"/>
    <s v="2023-Q2"/>
    <d v="2023-07-03T00:00:00"/>
    <n v="10"/>
    <s v="ACHIEVED"/>
    <x v="0"/>
    <s v="Nigeria"/>
    <s v="Abuja"/>
    <s v="Africa &gt; Nigeria &gt; Abuja"/>
    <s v="Consumer"/>
    <s v="Online"/>
    <s v="Online"/>
    <x v="2"/>
    <s v="Printers"/>
    <s v="Low"/>
    <s v="PRN-2542"/>
    <n v="337.75"/>
    <n v="548.89"/>
    <n v="548.89"/>
    <x v="3"/>
    <s v="OK"/>
    <n v="0"/>
    <n v="13"/>
    <n v="7135.57"/>
    <n v="4390.75"/>
    <n v="2744.8199999999997"/>
    <n v="0.38466723751571352"/>
    <d v="2023-01-02T00:00:00"/>
    <s v="Jan-2023"/>
    <n v="0"/>
    <n v="0"/>
    <n v="0"/>
  </r>
  <r>
    <s v="ORD-2024-966651"/>
    <d v="2024-10-14T00:00:00"/>
    <s v="Oct-2024"/>
    <s v="2024-Q4"/>
    <d v="2024-11-08T00:00:00"/>
    <n v="25"/>
    <s v="ACHIEVED"/>
    <x v="0"/>
    <s v="Nigeria"/>
    <s v="Lagos"/>
    <s v="Africa &gt; Nigeria &gt; Lagos"/>
    <s v="Enterprise"/>
    <s v="Online"/>
    <s v="Online"/>
    <x v="7"/>
    <s v="Networking"/>
    <s v="High"/>
    <s v="NET-5268"/>
    <n v="859.35"/>
    <n v="1825.61"/>
    <n v="1825.61"/>
    <x v="90"/>
    <s v="OK"/>
    <n v="0.187"/>
    <n v="24"/>
    <n v="35621.302319999995"/>
    <n v="20624.400000000001"/>
    <n v="14996.902319999994"/>
    <n v="0.42100937762681989"/>
    <d v="2023-01-02T00:00:00"/>
    <s v="Jan-2023"/>
    <n v="0"/>
    <n v="0"/>
    <n v="0"/>
  </r>
  <r>
    <s v="ORD-2024-997336"/>
    <d v="2024-10-04T00:00:00"/>
    <s v="Oct-2024"/>
    <s v="2024-Q4"/>
    <d v="2024-11-02T00:00:00"/>
    <n v="29"/>
    <s v="ACHIEVED"/>
    <x v="0"/>
    <s v="Nigeria"/>
    <s v="Abuja"/>
    <s v="Africa &gt; Nigeria &gt; Abuja"/>
    <s v="Corporate"/>
    <s v="Distributor"/>
    <s v="Distributor"/>
    <x v="8"/>
    <s v="Accessories"/>
    <s v="Medium"/>
    <s v="ACC-9038"/>
    <n v="412.09"/>
    <n v="968.94"/>
    <n v="968.94"/>
    <x v="104"/>
    <s v="OK"/>
    <n v="9.9000000000000005E-2"/>
    <n v="23"/>
    <n v="20079.343620000003"/>
    <n v="9478.07"/>
    <n v="10601.273620000004"/>
    <n v="0.52796913189137418"/>
    <d v="2023-01-02T00:00:00"/>
    <s v="Jan-2023"/>
    <n v="0"/>
    <n v="0"/>
    <n v="0"/>
  </r>
  <r>
    <s v="ORD-2024-638884"/>
    <d v="2024-05-28T00:00:00"/>
    <s v="May-2024"/>
    <s v="2024-Q2"/>
    <d v="2024-06-02T00:00:00"/>
    <n v="5"/>
    <s v="NOT ACHIEVED"/>
    <x v="0"/>
    <s v="Nigeria"/>
    <s v="Abuja"/>
    <s v="Africa &gt; Nigeria &gt; Abuja"/>
    <s v="Enterprise"/>
    <s v="Online"/>
    <s v="Online"/>
    <x v="8"/>
    <s v="Accessories"/>
    <s v="High"/>
    <s v="ACC-5177"/>
    <n v="1227.08"/>
    <n v="1896.62"/>
    <n v="1896.62"/>
    <x v="3"/>
    <s v="OK"/>
    <n v="0"/>
    <n v="18"/>
    <n v="34139.159999999996"/>
    <n v="22087.439999999999"/>
    <n v="12051.719999999998"/>
    <n v="0.353017473189147"/>
    <d v="2023-01-02T00:00:00"/>
    <s v="Jan-2023"/>
    <n v="0"/>
    <n v="0"/>
    <n v="0"/>
  </r>
  <r>
    <s v="ORD-2025-501927"/>
    <d v="2025-03-03T00:00:00"/>
    <s v="Mar-2025"/>
    <s v="2025-Q1"/>
    <d v="2025-03-24T00:00:00"/>
    <n v="21"/>
    <s v="ACHIEVED"/>
    <x v="0"/>
    <s v="Nigeria"/>
    <s v="Abuja"/>
    <s v="Africa &gt; Nigeria &gt; Abuja"/>
    <s v="Enterprise"/>
    <s v="Direct"/>
    <s v="Direct"/>
    <x v="15"/>
    <s v="Accessories"/>
    <s v="Low"/>
    <s v="ACC-4056"/>
    <n v="555.95000000000005"/>
    <n v="468.09"/>
    <n v="468.09"/>
    <x v="10"/>
    <s v="OK"/>
    <n v="0.14199999999999999"/>
    <n v="11"/>
    <n v="4417.8334199999999"/>
    <n v="6115.4500000000007"/>
    <n v="-1697.6165800000008"/>
    <n v="-0.38426450674095375"/>
    <d v="2023-01-02T00:00:00"/>
    <s v="Jan-2023"/>
    <n v="0"/>
    <n v="0"/>
    <n v="0"/>
  </r>
  <r>
    <s v="ORD-2023-334213"/>
    <d v="2023-08-19T00:00:00"/>
    <s v="Aug-2023"/>
    <s v="2023-Q3"/>
    <d v="2023-08-23T00:00:00"/>
    <n v="4"/>
    <s v="NOT ACHIEVED"/>
    <x v="0"/>
    <s v="Nigeria"/>
    <s v="Abuja"/>
    <s v="Africa &gt; Nigeria &gt; Abuja"/>
    <s v="Small Business"/>
    <s v="Online"/>
    <s v="Online"/>
    <x v="2"/>
    <s v="Monitors"/>
    <s v="Medium"/>
    <s v="MON-5517"/>
    <n v="790.63"/>
    <n v="1382.31"/>
    <n v="1382.31"/>
    <x v="111"/>
    <s v="OK"/>
    <n v="0.10100000000000001"/>
    <n v="7"/>
    <n v="8698.8768300000011"/>
    <n v="5534.41"/>
    <n v="3164.4668300000012"/>
    <n v="0.36377878338116448"/>
    <d v="2023-01-02T00:00:00"/>
    <s v="Jan-2023"/>
    <n v="0"/>
    <n v="0"/>
    <n v="0"/>
  </r>
  <r>
    <s v="ORD-2024-640340"/>
    <d v="2024-10-22T00:00:00"/>
    <s v="Oct-2024"/>
    <s v="2024-Q4"/>
    <d v="2024-10-29T00:00:00"/>
    <n v="7"/>
    <s v="ACHIEVED"/>
    <x v="0"/>
    <s v="Nigeria"/>
    <s v="Port Harcourt"/>
    <s v="Africa &gt; Nigeria &gt; Port Harcourt"/>
    <s v="Enterprise"/>
    <s v="Distributor"/>
    <s v="Distributor"/>
    <x v="13"/>
    <s v="Monitors"/>
    <s v="Medium"/>
    <s v="MON-8758"/>
    <n v="1023.06"/>
    <n v="1355.61"/>
    <n v="1355.61"/>
    <x v="180"/>
    <s v="OK"/>
    <n v="0.153"/>
    <n v="23"/>
    <n v="26408.63841"/>
    <n v="23530.379999999997"/>
    <n v="2878.2584100000022"/>
    <n v="0.10898927711888809"/>
    <d v="2023-01-02T00:00:00"/>
    <s v="Jan-2023"/>
    <n v="0"/>
    <n v="0"/>
    <n v="0"/>
  </r>
  <r>
    <s v="ORD-2025-629393"/>
    <d v="2025-07-21T00:00:00"/>
    <s v="Jul-2025"/>
    <s v="2025-Q3"/>
    <d v="2025-08-07T00:00:00"/>
    <n v="17"/>
    <s v="ACHIEVED"/>
    <x v="0"/>
    <s v="Nigeria"/>
    <s v="Lagos"/>
    <s v="Africa &gt; Nigeria &gt; Lagos"/>
    <s v="Enterprise"/>
    <s v="Direct"/>
    <s v="Direct"/>
    <x v="13"/>
    <s v="Accessories"/>
    <s v="High"/>
    <s v="ACC-8999"/>
    <n v="1204.95"/>
    <n v="2065.73"/>
    <n v="2065.73"/>
    <x v="83"/>
    <s v="OK"/>
    <n v="0.13600000000000001"/>
    <n v="10"/>
    <n v="17847.907199999998"/>
    <n v="12049.5"/>
    <n v="5798.4071999999978"/>
    <n v="0.32487882949100039"/>
    <d v="2023-01-02T00:00:00"/>
    <s v="Jan-2023"/>
    <n v="0"/>
    <n v="0"/>
    <n v="0"/>
  </r>
  <r>
    <s v="ORD-2024-423853"/>
    <d v="2024-09-03T00:00:00"/>
    <s v="Sep-2024"/>
    <s v="2024-Q3"/>
    <d v="2024-09-08T00:00:00"/>
    <n v="5"/>
    <s v="NOT ACHIEVED"/>
    <x v="0"/>
    <s v="Nigeria"/>
    <s v="Lagos"/>
    <s v="Africa &gt; Nigeria &gt; Lagos"/>
    <s v="Small Business"/>
    <s v="Direct"/>
    <s v="Direct"/>
    <x v="3"/>
    <s v="Printers"/>
    <s v="Low"/>
    <s v="PRN-1141"/>
    <n v="197.63"/>
    <n v="325.79000000000002"/>
    <n v="325.79000000000002"/>
    <x v="197"/>
    <s v="OK"/>
    <n v="0.11600000000000001"/>
    <n v="10"/>
    <n v="2879.9836"/>
    <n v="1976.3"/>
    <n v="903.68360000000007"/>
    <n v="0.31378081458519419"/>
    <d v="2023-01-02T00:00:00"/>
    <s v="Jan-2023"/>
    <n v="0"/>
    <n v="0"/>
    <n v="0"/>
  </r>
  <r>
    <s v="ORD-2024-853298"/>
    <d v="2024-03-06T00:00:00"/>
    <s v="Mar-2024"/>
    <s v="2024-Q1"/>
    <d v="2024-03-26T00:00:00"/>
    <n v="20"/>
    <s v="ACHIEVED"/>
    <x v="0"/>
    <s v="Nigeria"/>
    <s v="Port Harcourt"/>
    <s v="Africa &gt; Nigeria &gt; Port Harcourt"/>
    <s v="Consumer"/>
    <s v="Marketplace"/>
    <s v="Marketplace"/>
    <x v="12"/>
    <s v="Phones"/>
    <s v="Low"/>
    <s v="PHN-4741"/>
    <n v="65.64"/>
    <n v="151.88"/>
    <n v="151.88"/>
    <x v="198"/>
    <s v="OK"/>
    <n v="0.16700000000000001"/>
    <n v="23"/>
    <n v="2909.8689199999999"/>
    <n v="1509.72"/>
    <n v="1400.1489199999999"/>
    <n v="0.48117250587356353"/>
    <d v="2023-01-02T00:00:00"/>
    <s v="Jan-2023"/>
    <n v="0"/>
    <n v="0"/>
    <n v="0"/>
  </r>
  <r>
    <s v="ORD-2023-638181"/>
    <d v="2023-05-20T00:00:00"/>
    <s v="May-2023"/>
    <s v="2023-Q2"/>
    <d v="2023-06-07T00:00:00"/>
    <n v="18"/>
    <s v="ACHIEVED"/>
    <x v="0"/>
    <s v="Nigeria"/>
    <s v="Port Harcourt"/>
    <s v="Africa &gt; Nigeria &gt; Port Harcourt"/>
    <s v="Enterprise"/>
    <s v="Distributor"/>
    <s v="Distributor"/>
    <x v="11"/>
    <s v="Components"/>
    <s v="High"/>
    <s v="CMP-4630"/>
    <n v="1120.06"/>
    <n v="2068.21"/>
    <n v="2068.21"/>
    <x v="199"/>
    <s v="OK"/>
    <n v="7.8E-2"/>
    <n v="12"/>
    <n v="22882.675440000003"/>
    <n v="13440.72"/>
    <n v="9441.9554400000034"/>
    <n v="0.41262462795303284"/>
    <d v="2023-01-02T00:00:00"/>
    <s v="Jan-2023"/>
    <n v="0"/>
    <n v="0"/>
    <n v="0"/>
  </r>
  <r>
    <s v="ORD-2025-440093"/>
    <d v="2025-04-16T00:00:00"/>
    <s v="Apr-2025"/>
    <s v="2025-Q2"/>
    <d v="2025-04-26T00:00:00"/>
    <n v="10"/>
    <s v="ACHIEVED"/>
    <x v="0"/>
    <s v="Nigeria"/>
    <s v="Port Harcourt"/>
    <s v="Africa &gt; Nigeria &gt; Port Harcourt"/>
    <s v="Enterprise"/>
    <s v="Marketplace"/>
    <s v="Marketplace"/>
    <x v="8"/>
    <s v="Laptops"/>
    <s v="High"/>
    <s v="LAP-3490"/>
    <n v="1457.44"/>
    <n v="1996.81"/>
    <n v="1996.81"/>
    <x v="115"/>
    <s v="OK"/>
    <n v="0.126"/>
    <n v="23"/>
    <n v="40139.874619999995"/>
    <n v="33521.120000000003"/>
    <n v="6618.7546199999924"/>
    <n v="0.16489225944672353"/>
    <d v="2023-01-02T00:00:00"/>
    <s v="Jan-2023"/>
    <n v="0"/>
    <n v="0"/>
    <n v="0"/>
  </r>
  <r>
    <s v="ORD-2023-632893"/>
    <d v="2023-05-07T00:00:00"/>
    <s v="May-2023"/>
    <s v="2023-Q2"/>
    <d v="2023-05-12T00:00:00"/>
    <n v="5"/>
    <s v="NOT ACHIEVED"/>
    <x v="0"/>
    <s v="Nigeria"/>
    <s v="Port Harcourt"/>
    <s v="Africa &gt; Nigeria &gt; Port Harcourt"/>
    <s v="Non-Profit"/>
    <s v="Marketplace"/>
    <s v="Marketplace"/>
    <x v="1"/>
    <s v="Components"/>
    <s v="High"/>
    <s v="CMP-9392"/>
    <n v="1269.6500000000001"/>
    <n v="2462.77"/>
    <n v="2462.77"/>
    <x v="178"/>
    <s v="OK"/>
    <n v="0.107"/>
    <n v="8"/>
    <n v="17594.028880000002"/>
    <n v="10157.200000000001"/>
    <n v="7436.8288800000009"/>
    <n v="0.42269050089225502"/>
    <d v="2023-01-02T00:00:00"/>
    <s v="Jan-2023"/>
    <n v="0"/>
    <n v="0"/>
    <n v="0"/>
  </r>
  <r>
    <s v="ORD-2025-922513"/>
    <d v="2025-08-28T00:00:00"/>
    <s v="Aug-2025"/>
    <s v="2025-Q3"/>
    <d v="2025-09-02T00:00:00"/>
    <n v="5"/>
    <s v="NOT ACHIEVED"/>
    <x v="0"/>
    <s v="Nigeria"/>
    <s v="Port Harcourt"/>
    <s v="Africa &gt; Nigeria &gt; Port Harcourt"/>
    <s v="Small Business"/>
    <s v="Retail"/>
    <s v="Retail"/>
    <x v="1"/>
    <s v="Accessories"/>
    <s v="Medium"/>
    <s v="ACC-4483"/>
    <n v="521.05999999999995"/>
    <n v="1240.31"/>
    <n v="1240.31"/>
    <x v="139"/>
    <s v="OK"/>
    <n v="0.14599999999999999"/>
    <n v="18"/>
    <n v="19066.045319999997"/>
    <n v="9379.0799999999981"/>
    <n v="9686.9653199999993"/>
    <n v="0.50807417885650974"/>
    <d v="2023-01-02T00:00:00"/>
    <s v="Jan-2023"/>
    <n v="0"/>
    <n v="0"/>
    <n v="0"/>
  </r>
  <r>
    <s v="ORD-2025-944081"/>
    <d v="2025-03-25T00:00:00"/>
    <s v="Mar-2025"/>
    <s v="2025-Q1"/>
    <d v="2025-03-26T00:00:00"/>
    <n v="1"/>
    <s v="NOT ACHIEVED"/>
    <x v="0"/>
    <s v="Nigeria"/>
    <s v="Lagos"/>
    <s v="Africa &gt; Nigeria &gt; Lagos"/>
    <s v="Education"/>
    <s v="Distributor"/>
    <s v="Distributor"/>
    <x v="4"/>
    <s v="Accessories"/>
    <s v="High"/>
    <s v="ACC-9533"/>
    <n v="1450.43"/>
    <n v="1994.67"/>
    <n v="1994.67"/>
    <x v="171"/>
    <s v="OK"/>
    <n v="0.1"/>
    <n v="24"/>
    <n v="43084.872000000003"/>
    <n v="34810.32"/>
    <n v="8274.5520000000033"/>
    <n v="0.19205237513529116"/>
    <d v="2023-01-02T00:00:00"/>
    <s v="Jan-2023"/>
    <n v="0"/>
    <n v="0"/>
    <n v="0"/>
  </r>
  <r>
    <s v="ORD-2023-660608"/>
    <d v="2023-07-25T00:00:00"/>
    <s v="Jul-2023"/>
    <s v="2023-Q3"/>
    <d v="2023-08-10T00:00:00"/>
    <n v="16"/>
    <s v="ACHIEVED"/>
    <x v="0"/>
    <s v="Nigeria"/>
    <s v="Port Harcourt"/>
    <s v="Africa &gt; Nigeria &gt; Port Harcourt"/>
    <s v="Corporate"/>
    <s v="Distributor"/>
    <s v="Distributor"/>
    <x v="12"/>
    <s v="Accessories"/>
    <s v="Low"/>
    <s v="ACC-8178"/>
    <n v="506.83"/>
    <n v="441.74"/>
    <n v="441.74"/>
    <x v="200"/>
    <s v="OK"/>
    <n v="0.24"/>
    <n v="9"/>
    <n v="3021.5016000000001"/>
    <n v="4561.47"/>
    <n v="-1539.9684000000002"/>
    <n v="-0.50966989393618067"/>
    <d v="2023-01-02T00:00:00"/>
    <s v="Jan-2023"/>
    <n v="0"/>
    <n v="0"/>
    <n v="0"/>
  </r>
  <r>
    <s v="ORD-2023-898009"/>
    <d v="2023-05-04T00:00:00"/>
    <s v="May-2023"/>
    <s v="2023-Q2"/>
    <d v="2023-05-16T00:00:00"/>
    <n v="12"/>
    <s v="ACHIEVED"/>
    <x v="0"/>
    <s v="Nigeria"/>
    <s v="Abuja"/>
    <s v="Africa &gt; Nigeria &gt; Abuja"/>
    <s v="Small Business"/>
    <s v="Marketplace"/>
    <s v="Marketplace"/>
    <x v="2"/>
    <s v="Phones"/>
    <s v="Low"/>
    <s v="PHN-1670"/>
    <n v="77.739999999999995"/>
    <n v="147.12"/>
    <n v="147.12"/>
    <x v="3"/>
    <s v="OK"/>
    <n v="0"/>
    <n v="15"/>
    <n v="2206.8000000000002"/>
    <n v="1166.0999999999999"/>
    <n v="1040.7000000000003"/>
    <n v="0.47158781946710177"/>
    <d v="2023-01-02T00:00:00"/>
    <s v="Jan-2023"/>
    <n v="0"/>
    <n v="0"/>
    <n v="0"/>
  </r>
  <r>
    <s v="ORD-2023-208944"/>
    <d v="2023-12-21T00:00:00"/>
    <s v="Dec-2023"/>
    <s v="2023-Q4"/>
    <d v="2024-01-06T00:00:00"/>
    <n v="16"/>
    <s v="ACHIEVED"/>
    <x v="0"/>
    <s v="Nigeria"/>
    <s v="Unkown"/>
    <s v="Africa &gt; Nigeria &gt; Unkown"/>
    <s v="Corporate"/>
    <s v="Marketplace"/>
    <s v="Marketplace"/>
    <x v="3"/>
    <s v="Components"/>
    <s v="High"/>
    <s v="CMP-4792"/>
    <n v="932.61"/>
    <n v="1982.98"/>
    <n v="1982.98"/>
    <x v="140"/>
    <s v="OK"/>
    <n v="0.14399999999999999"/>
    <n v="16"/>
    <n v="27158.894079999998"/>
    <n v="14921.76"/>
    <n v="12237.134079999998"/>
    <n v="0.45057556629345635"/>
    <d v="2023-01-02T00:00:00"/>
    <s v="Jan-2023"/>
    <n v="0"/>
    <n v="0"/>
    <n v="0"/>
  </r>
  <r>
    <s v="ORD-2023-479747"/>
    <d v="2023-07-14T00:00:00"/>
    <s v="Jul-2023"/>
    <s v="2023-Q3"/>
    <d v="2023-07-14T00:00:00"/>
    <n v="0"/>
    <s v="NOT ACHIEVED"/>
    <x v="0"/>
    <s v="Nigeria"/>
    <s v="Lagos"/>
    <s v="Africa &gt; Nigeria &gt; Lagos"/>
    <s v="Education"/>
    <s v="Retail"/>
    <s v="Retail"/>
    <x v="12"/>
    <s v="Accessories"/>
    <s v="Medium"/>
    <s v="ACC-5334"/>
    <n v="956.38"/>
    <n v="1454.22"/>
    <n v="1454.22"/>
    <x v="201"/>
    <s v="OK"/>
    <n v="3.9E-2"/>
    <n v="19"/>
    <n v="26552.60298"/>
    <n v="18171.22"/>
    <n v="8381.3829799999985"/>
    <n v="0.31565202802576603"/>
    <d v="2023-01-02T00:00:00"/>
    <s v="Jan-2023"/>
    <n v="0"/>
    <n v="0"/>
    <n v="0"/>
  </r>
  <r>
    <s v="ORD-2023-159821"/>
    <d v="2023-07-01T00:00:00"/>
    <s v="Jul-2023"/>
    <s v="2023-Q3"/>
    <d v="2023-07-08T00:00:00"/>
    <n v="7"/>
    <s v="ACHIEVED"/>
    <x v="0"/>
    <s v="Nigeria"/>
    <s v="Port Harcourt"/>
    <s v="Africa &gt; Nigeria &gt; Port Harcourt"/>
    <s v="Corporate"/>
    <s v="Retail"/>
    <s v="Retail"/>
    <x v="1"/>
    <s v="Laptops"/>
    <s v="High"/>
    <s v="LAP-3904"/>
    <n v="834.26"/>
    <n v="1780.56"/>
    <n v="1780.56"/>
    <x v="202"/>
    <s v="OK"/>
    <n v="1.4E-2"/>
    <n v="47"/>
    <n v="82514.711519999997"/>
    <n v="39210.22"/>
    <n v="43304.491519999996"/>
    <n v="0.5248093427497933"/>
    <d v="2023-01-02T00:00:00"/>
    <s v="Jan-2023"/>
    <n v="0"/>
    <n v="0"/>
    <n v="0"/>
  </r>
  <r>
    <s v="ORD-2023-545150"/>
    <d v="2023-04-06T00:00:00"/>
    <s v="Apr-2023"/>
    <s v="2023-Q2"/>
    <d v="2023-04-08T00:00:00"/>
    <n v="2"/>
    <s v="NOT ACHIEVED"/>
    <x v="0"/>
    <s v="Nigeria"/>
    <s v="Abuja"/>
    <s v="Africa &gt; Nigeria &gt; Abuja"/>
    <s v="Small Business"/>
    <s v="Marketplace"/>
    <s v="Marketplace"/>
    <x v="3"/>
    <s v="Monitors"/>
    <s v="Medium"/>
    <s v="MON-4373"/>
    <n v="720.35"/>
    <n v="1571.66"/>
    <n v="1571.66"/>
    <x v="178"/>
    <s v="OK"/>
    <n v="0.107"/>
    <n v="23"/>
    <n v="32280.32474"/>
    <n v="16568.05"/>
    <n v="15712.274740000001"/>
    <n v="0.4867446305622265"/>
    <d v="2023-01-02T00:00:00"/>
    <s v="Jan-2023"/>
    <n v="0"/>
    <n v="0"/>
    <n v="0"/>
  </r>
  <r>
    <s v="ORD-2024-527858"/>
    <d v="2024-05-07T00:00:00"/>
    <s v="May-2024"/>
    <s v="2024-Q2"/>
    <d v="2024-05-12T00:00:00"/>
    <n v="5"/>
    <s v="NOT ACHIEVED"/>
    <x v="0"/>
    <s v="Nigeria"/>
    <s v="Abuja"/>
    <s v="Africa &gt; Nigeria &gt; Abuja"/>
    <s v="Non-Profit"/>
    <s v="Distributor"/>
    <s v="Distributor"/>
    <x v="10"/>
    <s v="Laptops"/>
    <s v="Medium"/>
    <s v="LAP-9100"/>
    <n v="1163.99"/>
    <n v="1617.85"/>
    <n v="1617.85"/>
    <x v="143"/>
    <s v="OK"/>
    <n v="0.127"/>
    <n v="14"/>
    <n v="19773.362699999998"/>
    <n v="16295.86"/>
    <n v="3477.5026999999973"/>
    <n v="0.17586804797749436"/>
    <d v="2023-01-02T00:00:00"/>
    <s v="Jan-2023"/>
    <n v="0"/>
    <n v="0"/>
    <n v="0"/>
  </r>
  <r>
    <s v="ORD-2025-881624"/>
    <d v="2025-02-21T00:00:00"/>
    <s v="Feb-2025"/>
    <s v="2025-Q1"/>
    <d v="2025-03-21T00:00:00"/>
    <n v="28"/>
    <s v="ACHIEVED"/>
    <x v="0"/>
    <s v="Nigeria"/>
    <s v="Abuja"/>
    <s v="Africa &gt; Nigeria &gt; Abuja"/>
    <s v="Enterprise"/>
    <s v="Marketplace"/>
    <s v="Marketplace"/>
    <x v="12"/>
    <s v="Phones"/>
    <s v="Medium"/>
    <s v="PHN-5887"/>
    <n v="1437.39"/>
    <n v="1388.31"/>
    <n v="1388.31"/>
    <x v="129"/>
    <s v="OK"/>
    <n v="0.13800000000000001"/>
    <n v="18"/>
    <n v="21541.017959999997"/>
    <n v="25873.02"/>
    <n v="-4332.002040000003"/>
    <n v="-0.20110479681341872"/>
    <d v="2023-01-02T00:00:00"/>
    <s v="Jan-2023"/>
    <n v="0"/>
    <n v="0"/>
    <n v="0"/>
  </r>
  <r>
    <s v="ORD-2023-732585"/>
    <d v="2023-08-25T00:00:00"/>
    <s v="Aug-2023"/>
    <s v="2023-Q3"/>
    <d v="2023-09-16T00:00:00"/>
    <n v="22"/>
    <s v="ACHIEVED"/>
    <x v="0"/>
    <s v="Nigeria"/>
    <s v="Abuja"/>
    <s v="Africa &gt; Nigeria &gt; Abuja"/>
    <s v="Corporate"/>
    <s v="Marketplace"/>
    <s v="Marketplace"/>
    <x v="10"/>
    <s v="Phones"/>
    <s v="High"/>
    <s v="PHN-3971"/>
    <n v="1196.83"/>
    <n v="2513.5100000000002"/>
    <n v="2513.5100000000002"/>
    <x v="185"/>
    <s v="OK"/>
    <n v="8.3000000000000004E-2"/>
    <n v="7"/>
    <n v="16134.22069"/>
    <n v="8377.81"/>
    <n v="7756.4106900000006"/>
    <n v="0.48074281609445374"/>
    <d v="2023-01-02T00:00:00"/>
    <s v="Jan-2023"/>
    <n v="0"/>
    <n v="0"/>
    <n v="0"/>
  </r>
  <r>
    <s v="ORD-2025-650841"/>
    <d v="2025-07-03T00:00:00"/>
    <s v="Jul-2025"/>
    <s v="2025-Q3"/>
    <d v="2025-07-06T00:00:00"/>
    <n v="3"/>
    <s v="NOT ACHIEVED"/>
    <x v="0"/>
    <s v="Nigeria"/>
    <s v="Lagos"/>
    <s v="Africa &gt; Nigeria &gt; Lagos"/>
    <s v="Consumer"/>
    <s v="Online"/>
    <s v="Online"/>
    <x v="9"/>
    <s v="Laptops"/>
    <s v="High"/>
    <s v="LAP-8910"/>
    <n v="1313.3"/>
    <n v="2884.34"/>
    <n v="2884.34"/>
    <x v="23"/>
    <s v="OK"/>
    <n v="0.157"/>
    <n v="42"/>
    <n v="102122.94203999999"/>
    <n v="55158.6"/>
    <n v="46964.342039999996"/>
    <n v="0.45988042551305253"/>
    <d v="2023-01-02T00:00:00"/>
    <s v="Jan-2023"/>
    <n v="0"/>
    <n v="0"/>
    <n v="0"/>
  </r>
  <r>
    <s v="ORD-2025-803803"/>
    <d v="2025-08-28T00:00:00"/>
    <s v="Aug-2025"/>
    <s v="2025-Q3"/>
    <d v="2025-09-05T00:00:00"/>
    <n v="8"/>
    <s v="ACHIEVED"/>
    <x v="0"/>
    <s v="Nigeria"/>
    <s v="Port Harcourt"/>
    <s v="Africa &gt; Nigeria &gt; Port Harcourt"/>
    <s v="Small Business"/>
    <s v="Marketplace"/>
    <s v="Marketplace"/>
    <x v="11"/>
    <s v="Laptops"/>
    <s v="High"/>
    <s v="LAP-7553"/>
    <n v="1271.0999999999999"/>
    <n v="1932.42"/>
    <n v="1932.42"/>
    <x v="174"/>
    <s v="OK"/>
    <n v="0.25"/>
    <n v="21"/>
    <n v="30435.614999999998"/>
    <n v="26693.1"/>
    <n v="3742.5149999999994"/>
    <n v="0.12296498690760807"/>
    <d v="2023-01-02T00:00:00"/>
    <s v="Jan-2023"/>
    <n v="0"/>
    <n v="0"/>
    <n v="0"/>
  </r>
  <r>
    <s v="ORD-2024-837651"/>
    <d v="2024-12-10T00:00:00"/>
    <s v="Dec-2024"/>
    <s v="2024-Q4"/>
    <d v="2024-12-19T00:00:00"/>
    <n v="9"/>
    <s v="ACHIEVED"/>
    <x v="0"/>
    <s v="Nigeria"/>
    <s v="Lagos"/>
    <s v="Africa &gt; Nigeria &gt; Lagos"/>
    <s v="Corporate"/>
    <s v="Retail"/>
    <s v="Retail"/>
    <x v="7"/>
    <s v="Monitors"/>
    <s v="Medium"/>
    <s v="MON-4789"/>
    <n v="488.68"/>
    <n v="984.36"/>
    <n v="984.36"/>
    <x v="193"/>
    <s v="OK"/>
    <n v="5.8999999999999997E-2"/>
    <n v="14"/>
    <n v="12967.958640000001"/>
    <n v="6841.52"/>
    <n v="6126.4386400000003"/>
    <n v="0.47242891576649876"/>
    <d v="2023-01-02T00:00:00"/>
    <s v="Jan-2023"/>
    <n v="0"/>
    <n v="0"/>
    <n v="0"/>
  </r>
  <r>
    <s v="ORD-2024-566589"/>
    <d v="2024-06-11T00:00:00"/>
    <s v="Jun-2024"/>
    <s v="2024-Q2"/>
    <d v="2024-07-09T00:00:00"/>
    <n v="28"/>
    <s v="ACHIEVED"/>
    <x v="0"/>
    <s v="Nigeria"/>
    <s v="Port Harcourt"/>
    <s v="Africa &gt; Nigeria &gt; Port Harcourt"/>
    <s v="Corporate"/>
    <s v="Marketplace"/>
    <s v="Marketplace"/>
    <x v="12"/>
    <s v="Phones"/>
    <s v="Medium"/>
    <s v="PHN-2436"/>
    <n v="895.54"/>
    <n v="1045"/>
    <n v="1045"/>
    <x v="27"/>
    <s v="OK"/>
    <n v="0.216"/>
    <n v="15"/>
    <n v="12289.2"/>
    <n v="13433.099999999999"/>
    <n v="-1143.8999999999978"/>
    <n v="-9.3081730299775234E-2"/>
    <d v="2023-01-02T00:00:00"/>
    <s v="Jan-2023"/>
    <n v="0"/>
    <n v="0"/>
    <n v="0"/>
  </r>
  <r>
    <s v="ORD-2024-787018"/>
    <d v="2024-06-23T00:00:00"/>
    <s v="Jun-2024"/>
    <s v="2024-Q2"/>
    <d v="2024-06-28T00:00:00"/>
    <n v="5"/>
    <s v="NOT ACHIEVED"/>
    <x v="0"/>
    <s v="Nigeria"/>
    <s v="Port Harcourt"/>
    <s v="Africa &gt; Nigeria &gt; Port Harcourt"/>
    <s v="Non-Profit"/>
    <s v="Direct"/>
    <s v="Direct"/>
    <x v="13"/>
    <s v="Accessories"/>
    <s v="Low"/>
    <s v="ACC-7671"/>
    <n v="242.31"/>
    <n v="587.95000000000005"/>
    <n v="587.95000000000005"/>
    <x v="188"/>
    <s v="OK"/>
    <n v="0.22900000000000001"/>
    <n v="6"/>
    <n v="2719.8567000000003"/>
    <n v="1453.8600000000001"/>
    <n v="1265.9967000000001"/>
    <n v="0.46546448568411714"/>
    <d v="2023-01-02T00:00:00"/>
    <s v="Jan-2023"/>
    <n v="0"/>
    <n v="0"/>
    <n v="0"/>
  </r>
  <r>
    <s v="ORD-2024-247032"/>
    <d v="2024-04-21T00:00:00"/>
    <s v="Apr-2024"/>
    <s v="2024-Q2"/>
    <d v="2024-05-19T00:00:00"/>
    <n v="28"/>
    <s v="ACHIEVED"/>
    <x v="0"/>
    <s v="Nigeria"/>
    <s v="Lagos"/>
    <s v="Africa &gt; Nigeria &gt; Lagos"/>
    <s v="Corporate"/>
    <s v="Distributor"/>
    <s v="Distributor"/>
    <x v="1"/>
    <s v="Accessories"/>
    <s v="Low"/>
    <s v="ACC-2990"/>
    <n v="187.22"/>
    <n v="309.47000000000003"/>
    <n v="309.47000000000003"/>
    <x v="3"/>
    <s v="OK"/>
    <n v="0"/>
    <n v="5"/>
    <n v="1547.3500000000001"/>
    <n v="936.1"/>
    <n v="611.25000000000011"/>
    <n v="0.39503021294471197"/>
    <d v="2023-01-02T00:00:00"/>
    <s v="Jan-2023"/>
    <n v="0"/>
    <n v="0"/>
    <n v="0"/>
  </r>
  <r>
    <s v="ORD-2024-310809"/>
    <d v="2024-04-05T00:00:00"/>
    <s v="Apr-2024"/>
    <s v="2024-Q2"/>
    <d v="2024-04-09T00:00:00"/>
    <n v="4"/>
    <s v="NOT ACHIEVED"/>
    <x v="0"/>
    <s v="Nigeria"/>
    <s v="Lagos"/>
    <s v="Africa &gt; Nigeria &gt; Lagos"/>
    <s v="Non-Profit"/>
    <s v="Direct"/>
    <s v="Direct"/>
    <x v="3"/>
    <s v="Components"/>
    <s v="Medium"/>
    <s v="CMP-6529"/>
    <n v="395.07"/>
    <n v="970.27"/>
    <n v="970.27"/>
    <x v="42"/>
    <s v="OK"/>
    <n v="0.123"/>
    <n v="38"/>
    <n v="32335.21802"/>
    <n v="15012.66"/>
    <n v="17322.55802"/>
    <n v="0.53571799049833657"/>
    <d v="2023-01-02T00:00:00"/>
    <s v="Jan-2023"/>
    <n v="0"/>
    <n v="0"/>
    <n v="0"/>
  </r>
  <r>
    <s v="ORD-2025-828263"/>
    <d v="2025-05-17T00:00:00"/>
    <s v="May-2025"/>
    <s v="2025-Q2"/>
    <d v="2025-05-30T00:00:00"/>
    <n v="13"/>
    <s v="ACHIEVED"/>
    <x v="0"/>
    <s v="Nigeria"/>
    <s v="Lagos"/>
    <s v="Africa &gt; Nigeria &gt; Lagos"/>
    <s v="Consumer"/>
    <s v="Distributor"/>
    <s v="Distributor"/>
    <x v="8"/>
    <s v="Accessories"/>
    <s v="Low"/>
    <s v="ACC-3349"/>
    <n v="66.400000000000006"/>
    <n v="141.43"/>
    <n v="141.43"/>
    <x v="178"/>
    <s v="OK"/>
    <n v="0.107"/>
    <n v="8"/>
    <n v="1010.3759200000001"/>
    <n v="531.20000000000005"/>
    <n v="479.17592000000002"/>
    <n v="0.47425508715607551"/>
    <d v="2023-01-02T00:00:00"/>
    <s v="Jan-2023"/>
    <n v="0"/>
    <n v="0"/>
    <n v="0"/>
  </r>
  <r>
    <s v="ORD-2023-125739"/>
    <d v="2023-05-01T00:00:00"/>
    <s v="May-2023"/>
    <s v="2023-Q2"/>
    <d v="2023-05-18T00:00:00"/>
    <n v="17"/>
    <s v="ACHIEVED"/>
    <x v="0"/>
    <s v="Nigeria"/>
    <s v="Port Harcourt"/>
    <s v="Africa &gt; Nigeria &gt; Port Harcourt"/>
    <s v="Corporate"/>
    <s v="Direct"/>
    <s v="Direct"/>
    <x v="8"/>
    <s v="Components"/>
    <s v="Low"/>
    <s v="CMP-5633"/>
    <n v="327.97"/>
    <n v="299.94"/>
    <n v="299.94"/>
    <x v="192"/>
    <s v="OK"/>
    <n v="4.9000000000000002E-2"/>
    <n v="3"/>
    <n v="855.72881999999993"/>
    <n v="983.91000000000008"/>
    <n v="-128.18118000000015"/>
    <n v="-0.14979182306843442"/>
    <d v="2023-01-02T00:00:00"/>
    <s v="Jan-2023"/>
    <n v="0"/>
    <n v="0"/>
    <n v="0"/>
  </r>
  <r>
    <s v="ORD-2025-460466"/>
    <d v="2025-02-07T00:00:00"/>
    <s v="Feb-2025"/>
    <s v="2025-Q1"/>
    <d v="2025-02-16T00:00:00"/>
    <n v="9"/>
    <s v="ACHIEVED"/>
    <x v="0"/>
    <s v="Nigeria"/>
    <s v="Lagos"/>
    <s v="Africa &gt; Nigeria &gt; Lagos"/>
    <s v="Small Business"/>
    <s v="Distributor"/>
    <s v="Distributor"/>
    <x v="0"/>
    <s v="Printers"/>
    <s v="Low"/>
    <s v="PRN-1882"/>
    <n v="90.68"/>
    <n v="118.17"/>
    <n v="118.17"/>
    <x v="28"/>
    <s v="OK"/>
    <n v="0.13500000000000001"/>
    <n v="21"/>
    <n v="2146.5580500000001"/>
    <n v="1904.2800000000002"/>
    <n v="242.27804999999989"/>
    <n v="0.11286815653552899"/>
    <d v="2023-01-02T00:00:00"/>
    <s v="Jan-2023"/>
    <n v="0"/>
    <n v="0"/>
    <n v="0"/>
  </r>
  <r>
    <s v="ORD-2023-960380"/>
    <d v="2023-02-11T00:00:00"/>
    <s v="Feb-2023"/>
    <s v="2023-Q1"/>
    <d v="2023-02-12T00:00:00"/>
    <n v="1"/>
    <s v="NOT ACHIEVED"/>
    <x v="0"/>
    <s v="Nigeria"/>
    <s v="Port Harcourt"/>
    <s v="Africa &gt; Nigeria &gt; Port Harcourt"/>
    <s v="Non-Profit"/>
    <s v="Direct"/>
    <s v="Direct"/>
    <x v="14"/>
    <s v="Accessories"/>
    <s v="Medium"/>
    <s v="ACC-8242"/>
    <n v="944.61"/>
    <n v="839.04"/>
    <n v="839.04"/>
    <x v="193"/>
    <s v="OK"/>
    <n v="5.8999999999999997E-2"/>
    <n v="6"/>
    <n v="4737.2198399999997"/>
    <n v="5667.66"/>
    <n v="-930.44016000000011"/>
    <n v="-0.19641059343363726"/>
    <d v="2023-01-02T00:00:00"/>
    <s v="Jan-2023"/>
    <n v="0"/>
    <n v="0"/>
    <n v="0"/>
  </r>
  <r>
    <s v="ORD-2025-929414"/>
    <d v="2025-06-26T00:00:00"/>
    <s v="Jun-2025"/>
    <s v="2025-Q2"/>
    <d v="2025-07-11T00:00:00"/>
    <n v="15"/>
    <s v="ACHIEVED"/>
    <x v="0"/>
    <s v="Nigeria"/>
    <s v="Port Harcourt"/>
    <s v="Africa &gt; Nigeria &gt; Port Harcourt"/>
    <s v="Small Business"/>
    <s v="Online"/>
    <s v="Online"/>
    <x v="1"/>
    <s v="Laptops"/>
    <s v="High"/>
    <s v="LAP-7523"/>
    <n v="1170.1500000000001"/>
    <n v="2115.19"/>
    <n v="2115.19"/>
    <x v="87"/>
    <s v="OK"/>
    <n v="9.1999999999999998E-2"/>
    <n v="23"/>
    <n v="44173.627960000005"/>
    <n v="26913.45"/>
    <n v="17260.177960000005"/>
    <n v="0.39073489674946776"/>
    <d v="2023-01-02T00:00:00"/>
    <s v="Jan-2023"/>
    <n v="0"/>
    <n v="0"/>
    <n v="0"/>
  </r>
  <r>
    <s v="ORD-2024-243988"/>
    <d v="2024-03-13T00:00:00"/>
    <s v="Mar-2024"/>
    <s v="2024-Q1"/>
    <d v="2024-04-06T00:00:00"/>
    <n v="24"/>
    <s v="ACHIEVED"/>
    <x v="0"/>
    <s v="Nigeria"/>
    <s v="Abuja"/>
    <s v="Africa &gt; Nigeria &gt; Abuja"/>
    <s v="Consumer"/>
    <s v="Distributor"/>
    <s v="Distributor"/>
    <x v="10"/>
    <s v="Components"/>
    <s v="High"/>
    <s v="CMP-9001"/>
    <n v="1232.78"/>
    <n v="1731.75"/>
    <n v="1731.75"/>
    <x v="203"/>
    <s v="OK"/>
    <n v="9.2999999999999999E-2"/>
    <n v="16"/>
    <n v="25131.155999999999"/>
    <n v="19724.48"/>
    <n v="5406.6759999999995"/>
    <n v="0.21513837246484005"/>
    <d v="2023-01-02T00:00:00"/>
    <s v="Jan-2023"/>
    <n v="0"/>
    <n v="0"/>
    <n v="0"/>
  </r>
  <r>
    <s v="ORD-2023-502205"/>
    <d v="2023-10-09T00:00:00"/>
    <s v="Oct-2023"/>
    <s v="2023-Q4"/>
    <d v="2023-10-11T00:00:00"/>
    <n v="2"/>
    <s v="NOT ACHIEVED"/>
    <x v="0"/>
    <s v="Nigeria"/>
    <s v="Port Harcourt"/>
    <s v="Africa &gt; Nigeria &gt; Port Harcourt"/>
    <s v="Education"/>
    <s v="Marketplace"/>
    <s v="Marketplace"/>
    <x v="3"/>
    <s v="Networking"/>
    <s v="Medium"/>
    <s v="NET-8856"/>
    <n v="391.16"/>
    <n v="902.47"/>
    <n v="902.47"/>
    <x v="98"/>
    <s v="OK"/>
    <n v="4.0000000000000001E-3"/>
    <n v="12"/>
    <n v="10786.32144"/>
    <n v="4693.92"/>
    <n v="6092.4014399999996"/>
    <n v="0.56482661618139207"/>
    <d v="2023-01-02T00:00:00"/>
    <s v="Jan-2023"/>
    <n v="0"/>
    <n v="0"/>
    <n v="0"/>
  </r>
  <r>
    <s v="ORD-2025-474710"/>
    <d v="2025-07-24T00:00:00"/>
    <s v="Jul-2025"/>
    <s v="2025-Q3"/>
    <d v="2025-08-06T00:00:00"/>
    <n v="13"/>
    <s v="ACHIEVED"/>
    <x v="0"/>
    <s v="South Africa"/>
    <s v="Johannesburg"/>
    <s v="Africa &gt; South Africa &gt; Johannesburg"/>
    <s v="Education"/>
    <s v="Marketplace"/>
    <s v="Marketplace"/>
    <x v="14"/>
    <s v="Networking"/>
    <s v="High"/>
    <s v="NET-7966"/>
    <n v="1463.9"/>
    <n v="2633.02"/>
    <n v="2633.02"/>
    <x v="89"/>
    <s v="OK"/>
    <n v="8.4000000000000005E-2"/>
    <n v="4"/>
    <n v="9647.3852800000004"/>
    <n v="5855.6"/>
    <n v="3791.7852800000001"/>
    <n v="0.39303761277791527"/>
    <d v="2023-01-02T00:00:00"/>
    <s v="Jan-2023"/>
    <n v="0"/>
    <n v="0"/>
    <n v="0"/>
  </r>
  <r>
    <s v="ORD-2024-167215"/>
    <d v="2024-08-23T00:00:00"/>
    <s v="Aug-2024"/>
    <s v="2024-Q3"/>
    <d v="2024-08-28T00:00:00"/>
    <n v="5"/>
    <s v="NOT ACHIEVED"/>
    <x v="0"/>
    <s v="South Africa"/>
    <s v="Johannesburg"/>
    <s v="Africa &gt; South Africa &gt; Johannesburg"/>
    <s v="Education"/>
    <s v="Retail"/>
    <s v="Retail"/>
    <x v="11"/>
    <s v="Components"/>
    <s v="High"/>
    <s v="CMP-1559"/>
    <n v="1432.52"/>
    <n v="3036.87"/>
    <n v="3036.87"/>
    <x v="3"/>
    <s v="OK"/>
    <n v="0"/>
    <n v="9"/>
    <n v="27331.829999999998"/>
    <n v="12892.68"/>
    <n v="14439.149999999998"/>
    <n v="0.52829064135112791"/>
    <d v="2023-01-02T00:00:00"/>
    <s v="Jan-2023"/>
    <n v="0"/>
    <n v="0"/>
    <n v="0"/>
  </r>
  <r>
    <s v="ORD-2024-296582"/>
    <d v="2024-01-11T00:00:00"/>
    <s v="Jan-2024"/>
    <s v="2024-Q1"/>
    <d v="2024-02-02T00:00:00"/>
    <n v="22"/>
    <s v="ACHIEVED"/>
    <x v="0"/>
    <s v="South Africa"/>
    <s v="Durban"/>
    <s v="Africa &gt; South Africa &gt; Durban"/>
    <s v="Consumer"/>
    <s v="Online"/>
    <s v="Online"/>
    <x v="3"/>
    <s v="Networking"/>
    <s v="High"/>
    <s v="NET-1412"/>
    <n v="1206.2"/>
    <n v="1759.79"/>
    <n v="1759.79"/>
    <x v="3"/>
    <s v="OK"/>
    <n v="0"/>
    <n v="6"/>
    <n v="10558.74"/>
    <n v="7237.2000000000007"/>
    <n v="3321.5399999999991"/>
    <n v="0.31457730751964713"/>
    <d v="2023-01-02T00:00:00"/>
    <s v="Jan-2023"/>
    <n v="0"/>
    <n v="0"/>
    <n v="0"/>
  </r>
  <r>
    <s v="ORD-2023-480975"/>
    <d v="2023-02-15T00:00:00"/>
    <s v="Feb-2023"/>
    <s v="2023-Q1"/>
    <d v="2023-02-26T00:00:00"/>
    <n v="11"/>
    <s v="ACHIEVED"/>
    <x v="0"/>
    <s v="South Africa"/>
    <s v="Johannesburg"/>
    <s v="Africa &gt; South Africa &gt; Johannesburg"/>
    <s v="Non-Profit"/>
    <s v="Retail"/>
    <s v="Retail"/>
    <x v="3"/>
    <s v="Laptops"/>
    <s v="Low"/>
    <s v="LAP-3393"/>
    <n v="498.5"/>
    <n v="755.87"/>
    <n v="755.87"/>
    <x v="204"/>
    <s v="OK"/>
    <n v="0.13"/>
    <n v="40"/>
    <n v="26304.275999999998"/>
    <n v="19940"/>
    <n v="6364.275999999998"/>
    <n v="0.24194834330357537"/>
    <d v="2023-01-02T00:00:00"/>
    <s v="Jan-2023"/>
    <n v="0"/>
    <n v="0"/>
    <n v="0"/>
  </r>
  <r>
    <s v="ORD-2023-749324"/>
    <d v="2023-08-19T00:00:00"/>
    <s v="Aug-2023"/>
    <s v="2023-Q3"/>
    <d v="2023-09-07T00:00:00"/>
    <n v="19"/>
    <s v="ACHIEVED"/>
    <x v="0"/>
    <s v="South Africa"/>
    <s v="Johannesburg"/>
    <s v="Africa &gt; South Africa &gt; Johannesburg"/>
    <s v="Enterprise"/>
    <s v="Retail"/>
    <s v="Retail"/>
    <x v="14"/>
    <s v="Monitors"/>
    <s v="Low"/>
    <s v="MON-2296"/>
    <n v="494.61"/>
    <n v="605.23"/>
    <n v="605.23"/>
    <x v="205"/>
    <s v="OK"/>
    <n v="0.20399999999999999"/>
    <n v="18"/>
    <n v="8671.7354400000004"/>
    <n v="8902.98"/>
    <n v="-231.24455999999918"/>
    <n v="-2.6666468505639647E-2"/>
    <d v="2023-01-02T00:00:00"/>
    <s v="Jan-2023"/>
    <n v="0"/>
    <n v="0"/>
    <n v="0"/>
  </r>
  <r>
    <s v="ORD-2024-939873"/>
    <d v="2024-04-12T00:00:00"/>
    <s v="Apr-2024"/>
    <s v="2024-Q2"/>
    <d v="2024-05-07T00:00:00"/>
    <n v="25"/>
    <s v="ACHIEVED"/>
    <x v="0"/>
    <s v="South Africa"/>
    <s v="Johannesburg"/>
    <s v="Africa &gt; South Africa &gt; Johannesburg"/>
    <s v="Education"/>
    <s v="Distributor"/>
    <s v="Distributor"/>
    <x v="1"/>
    <s v="Laptops"/>
    <s v="Medium"/>
    <s v="LAP-8489"/>
    <n v="1376.51"/>
    <n v="1455.91"/>
    <n v="1455.91"/>
    <x v="163"/>
    <s v="OK"/>
    <n v="0.185"/>
    <n v="17"/>
    <n v="20171.63305"/>
    <n v="23400.67"/>
    <n v="-3229.0369499999979"/>
    <n v="-0.1600781127634085"/>
    <d v="2023-01-02T00:00:00"/>
    <s v="Jan-2023"/>
    <n v="0"/>
    <n v="0"/>
    <n v="0"/>
  </r>
  <r>
    <s v="ORD-2023-382272"/>
    <d v="2023-05-20T00:00:00"/>
    <s v="May-2023"/>
    <s v="2023-Q2"/>
    <d v="2023-05-25T00:00:00"/>
    <n v="5"/>
    <s v="NOT ACHIEVED"/>
    <x v="0"/>
    <s v="South Africa"/>
    <s v="Durban"/>
    <s v="Africa &gt; South Africa &gt; Durban"/>
    <s v="Corporate"/>
    <s v="Distributor"/>
    <s v="Distributor"/>
    <x v="1"/>
    <s v="Components"/>
    <s v="Medium"/>
    <s v="CMP-5208"/>
    <n v="917.88"/>
    <n v="1347.92"/>
    <n v="1347.92"/>
    <x v="35"/>
    <s v="OK"/>
    <n v="0.3"/>
    <n v="5"/>
    <n v="4717.72"/>
    <n v="4589.3999999999996"/>
    <n v="128.32000000000062"/>
    <n v="2.7199579457873848E-2"/>
    <d v="2023-01-02T00:00:00"/>
    <s v="Jan-2023"/>
    <n v="0"/>
    <n v="0"/>
    <n v="0"/>
  </r>
  <r>
    <s v="ORD-2023-159379"/>
    <d v="2023-02-08T00:00:00"/>
    <s v="Feb-2023"/>
    <s v="2023-Q1"/>
    <d v="2023-02-11T00:00:00"/>
    <n v="3"/>
    <s v="NOT ACHIEVED"/>
    <x v="0"/>
    <s v="South Africa"/>
    <s v="Cape Town"/>
    <s v="Africa &gt; South Africa &gt; Cape Town"/>
    <s v="Corporate"/>
    <s v="Direct"/>
    <s v="Direct"/>
    <x v="13"/>
    <s v="Networking"/>
    <s v="High"/>
    <s v="NET-5018"/>
    <n v="1410.05"/>
    <n v="2763.95"/>
    <n v="2763.95"/>
    <x v="112"/>
    <s v="OK"/>
    <n v="0.161"/>
    <n v="26"/>
    <n v="60292.805299999993"/>
    <n v="36661.299999999996"/>
    <n v="23631.505299999997"/>
    <n v="0.39194569206750779"/>
    <d v="2023-01-02T00:00:00"/>
    <s v="Jan-2023"/>
    <n v="0"/>
    <n v="0"/>
    <n v="0"/>
  </r>
  <r>
    <s v="ORD-2023-841426"/>
    <d v="2023-12-22T00:00:00"/>
    <s v="Dec-2023"/>
    <s v="2023-Q4"/>
    <d v="2023-12-23T00:00:00"/>
    <n v="1"/>
    <s v="NOT ACHIEVED"/>
    <x v="0"/>
    <s v="South Africa"/>
    <s v="Cape Town"/>
    <s v="Africa &gt; South Africa &gt; Cape Town"/>
    <s v="Non-Profit"/>
    <s v="Marketplace"/>
    <s v="Marketplace"/>
    <x v="14"/>
    <s v="Components"/>
    <s v="Medium"/>
    <s v="CMP-4531"/>
    <n v="1186.18"/>
    <n v="1285.0899999999999"/>
    <n v="1285.0899999999999"/>
    <x v="45"/>
    <s v="OK"/>
    <n v="7.0000000000000007E-2"/>
    <n v="11"/>
    <n v="13146.470699999998"/>
    <n v="13047.980000000001"/>
    <n v="98.49069999999665"/>
    <n v="7.4917977796121861E-3"/>
    <d v="2023-01-02T00:00:00"/>
    <s v="Jan-2023"/>
    <n v="0"/>
    <n v="0"/>
    <n v="0"/>
  </r>
  <r>
    <s v="ORD-2024-155337"/>
    <d v="2024-05-21T00:00:00"/>
    <s v="May-2024"/>
    <s v="2024-Q2"/>
    <d v="2024-05-27T00:00:00"/>
    <n v="6"/>
    <s v="NOT ACHIEVED"/>
    <x v="0"/>
    <s v="South Africa"/>
    <s v="Johannesburg"/>
    <s v="Africa &gt; South Africa &gt; Johannesburg"/>
    <s v="Non-Profit"/>
    <s v="Online"/>
    <s v="Online"/>
    <x v="13"/>
    <s v="Components"/>
    <s v="Medium"/>
    <s v="CMP-8101"/>
    <n v="1157.51"/>
    <n v="1394.3"/>
    <n v="1394.3"/>
    <x v="206"/>
    <s v="OK"/>
    <n v="0.27800000000000002"/>
    <n v="12"/>
    <n v="12080.215199999999"/>
    <n v="13890.119999999999"/>
    <n v="-1809.9048000000003"/>
    <n v="-0.14982388724333326"/>
    <d v="2023-01-02T00:00:00"/>
    <s v="Jan-2023"/>
    <n v="0"/>
    <n v="0"/>
    <n v="0"/>
  </r>
  <r>
    <s v="ORD-2024-919471"/>
    <d v="2024-06-29T00:00:00"/>
    <s v="Jun-2024"/>
    <s v="2024-Q2"/>
    <d v="2024-07-26T00:00:00"/>
    <n v="27"/>
    <s v="ACHIEVED"/>
    <x v="0"/>
    <s v="South Africa"/>
    <s v="Durban"/>
    <s v="Africa &gt; South Africa &gt; Durban"/>
    <s v="Enterprise"/>
    <s v="Distributor"/>
    <s v="Distributor"/>
    <x v="6"/>
    <s v="Networking"/>
    <s v="Low"/>
    <s v="NET-4241"/>
    <n v="5.36"/>
    <n v="4.37"/>
    <n v="4.37"/>
    <x v="20"/>
    <s v="OK"/>
    <n v="0.11799999999999999"/>
    <n v="9"/>
    <n v="34.689059999999998"/>
    <n v="48.24"/>
    <n v="-13.550940000000004"/>
    <n v="-0.39064016148030545"/>
    <d v="2023-01-02T00:00:00"/>
    <s v="Jan-2023"/>
    <n v="0"/>
    <n v="0"/>
    <n v="0"/>
  </r>
  <r>
    <s v="ORD-2023-825495"/>
    <d v="2023-11-30T00:00:00"/>
    <s v="Nov-2023"/>
    <s v="2023-Q4"/>
    <d v="2023-12-05T00:00:00"/>
    <n v="5"/>
    <s v="NOT ACHIEVED"/>
    <x v="0"/>
    <s v="South Africa"/>
    <s v="Durban"/>
    <s v="Africa &gt; South Africa &gt; Durban"/>
    <s v="Small Business"/>
    <s v="Marketplace"/>
    <s v="Marketplace"/>
    <x v="11"/>
    <s v="Laptops"/>
    <s v="Low"/>
    <s v="LAP-1525"/>
    <n v="275.56"/>
    <n v="630.72"/>
    <n v="630.72"/>
    <x v="178"/>
    <s v="OK"/>
    <n v="0.107"/>
    <n v="23"/>
    <n v="12954.358080000002"/>
    <n v="6337.88"/>
    <n v="6616.4780800000017"/>
    <n v="0.5107530638831933"/>
    <d v="2023-01-02T00:00:00"/>
    <s v="Jan-2023"/>
    <n v="0"/>
    <n v="0"/>
    <n v="0"/>
  </r>
  <r>
    <s v="ORD-2023-497686"/>
    <d v="2023-07-03T00:00:00"/>
    <s v="Jul-2023"/>
    <s v="2023-Q3"/>
    <d v="2023-07-23T00:00:00"/>
    <n v="20"/>
    <s v="ACHIEVED"/>
    <x v="0"/>
    <s v="South Africa"/>
    <s v="Johannesburg"/>
    <s v="Africa &gt; South Africa &gt; Johannesburg"/>
    <s v="Small Business"/>
    <s v="Distributor"/>
    <s v="Distributor"/>
    <x v="8"/>
    <s v="Laptops"/>
    <s v="Medium"/>
    <s v="LAP-6342"/>
    <n v="1001.96"/>
    <n v="1254.95"/>
    <n v="1254.95"/>
    <x v="31"/>
    <s v="OK"/>
    <n v="4.4999999999999998E-2"/>
    <n v="18"/>
    <n v="21572.590500000002"/>
    <n v="18035.28"/>
    <n v="3537.3105000000032"/>
    <n v="0.16397244920585699"/>
    <d v="2023-01-02T00:00:00"/>
    <s v="Jan-2023"/>
    <n v="0"/>
    <n v="0"/>
    <n v="0"/>
  </r>
  <r>
    <s v="ORD-2025-700847"/>
    <d v="2025-05-21T00:00:00"/>
    <s v="May-2025"/>
    <s v="2025-Q2"/>
    <d v="2025-05-26T00:00:00"/>
    <n v="5"/>
    <s v="NOT ACHIEVED"/>
    <x v="0"/>
    <s v="South Africa"/>
    <s v="Johannesburg"/>
    <s v="Africa &gt; South Africa &gt; Johannesburg"/>
    <s v="Non-Profit"/>
    <s v="Distributor"/>
    <s v="Distributor"/>
    <x v="7"/>
    <s v="Laptops"/>
    <s v="High"/>
    <s v="LAP-7099"/>
    <n v="1263.8399999999999"/>
    <n v="2281.7199999999998"/>
    <n v="2281.7199999999998"/>
    <x v="199"/>
    <s v="OK"/>
    <n v="7.8E-2"/>
    <n v="15"/>
    <n v="31556.187599999997"/>
    <n v="18957.599999999999"/>
    <n v="12598.587599999999"/>
    <n v="0.39924301882398494"/>
    <d v="2023-01-02T00:00:00"/>
    <s v="Jan-2023"/>
    <n v="0"/>
    <n v="0"/>
    <n v="0"/>
  </r>
  <r>
    <s v="ORD-2024-970848"/>
    <d v="2024-05-23T00:00:00"/>
    <s v="May-2024"/>
    <s v="2024-Q2"/>
    <d v="2024-06-03T00:00:00"/>
    <n v="11"/>
    <s v="ACHIEVED"/>
    <x v="0"/>
    <s v="South Africa"/>
    <s v="Johannesburg"/>
    <s v="Africa &gt; South Africa &gt; Johannesburg"/>
    <s v="Small Business"/>
    <s v="Distributor"/>
    <s v="Distributor"/>
    <x v="8"/>
    <s v="Printers"/>
    <s v="Low"/>
    <s v="PRN-3785"/>
    <n v="180.89"/>
    <n v="249.57"/>
    <n v="249.57"/>
    <x v="194"/>
    <s v="OK"/>
    <n v="2.1999999999999999E-2"/>
    <n v="8"/>
    <n v="1952.6356799999999"/>
    <n v="1447.12"/>
    <n v="505.51567999999997"/>
    <n v="0.25888888806948362"/>
    <d v="2023-01-02T00:00:00"/>
    <s v="Jan-2023"/>
    <n v="0"/>
    <n v="0"/>
    <n v="0"/>
  </r>
  <r>
    <s v="ORD-2024-686712"/>
    <d v="2024-10-02T00:00:00"/>
    <s v="Oct-2024"/>
    <s v="2024-Q4"/>
    <d v="2024-10-23T00:00:00"/>
    <n v="21"/>
    <s v="ACHIEVED"/>
    <x v="0"/>
    <s v="South Africa"/>
    <s v="Durban"/>
    <s v="Africa &gt; South Africa &gt; Durban"/>
    <s v="Corporate"/>
    <s v="Marketplace"/>
    <s v="Marketplace"/>
    <x v="1"/>
    <s v="Components"/>
    <s v="High"/>
    <s v="CMP-3978"/>
    <n v="1095.6099999999999"/>
    <n v="2366.5100000000002"/>
    <n v="2366.5100000000002"/>
    <x v="153"/>
    <s v="OK"/>
    <n v="0.152"/>
    <n v="9"/>
    <n v="18061.204320000004"/>
    <n v="9860.49"/>
    <n v="8200.7143200000046"/>
    <n v="0.4540513564158607"/>
    <d v="2023-01-02T00:00:00"/>
    <s v="Jan-2023"/>
    <n v="0"/>
    <n v="0"/>
    <n v="0"/>
  </r>
  <r>
    <s v="ORD-2023-713375"/>
    <d v="2023-08-26T00:00:00"/>
    <s v="Aug-2023"/>
    <s v="2023-Q3"/>
    <d v="2023-09-10T00:00:00"/>
    <n v="15"/>
    <s v="ACHIEVED"/>
    <x v="0"/>
    <s v="South Africa"/>
    <s v="Cape Town"/>
    <s v="Africa &gt; South Africa &gt; Cape Town"/>
    <s v="Non-Profit"/>
    <s v="Direct"/>
    <s v="Direct"/>
    <x v="5"/>
    <s v="Components"/>
    <s v="Low"/>
    <s v="CMP-7063"/>
    <n v="241.14"/>
    <n v="496.52"/>
    <n v="496.52"/>
    <x v="203"/>
    <s v="OK"/>
    <n v="9.2999999999999999E-2"/>
    <n v="10"/>
    <n v="4503.4363999999996"/>
    <n v="2411.3999999999996"/>
    <n v="2092.0364"/>
    <n v="0.46454223268257994"/>
    <d v="2023-01-02T00:00:00"/>
    <s v="Jan-2023"/>
    <n v="0"/>
    <n v="0"/>
    <n v="0"/>
  </r>
  <r>
    <s v="ORD-2025-678688"/>
    <d v="2025-07-16T00:00:00"/>
    <s v="Jul-2025"/>
    <s v="2025-Q3"/>
    <d v="2025-07-17T00:00:00"/>
    <n v="1"/>
    <s v="NOT ACHIEVED"/>
    <x v="0"/>
    <s v="South Africa"/>
    <s v="Durban"/>
    <s v="Africa &gt; South Africa &gt; Durban"/>
    <s v="Small Business"/>
    <s v="Distributor"/>
    <s v="Distributor"/>
    <x v="6"/>
    <s v="Networking"/>
    <s v="High"/>
    <s v="NET-1612"/>
    <n v="1198.9000000000001"/>
    <n v="2941.2"/>
    <n v="2941.2"/>
    <x v="34"/>
    <s v="OK"/>
    <n v="5.0999999999999997E-2"/>
    <n v="24"/>
    <n v="66988.771199999988"/>
    <n v="28773.600000000002"/>
    <n v="38215.171199999982"/>
    <n v="0.57047129713583977"/>
    <d v="2023-01-02T00:00:00"/>
    <s v="Jan-2023"/>
    <n v="0"/>
    <n v="0"/>
    <n v="0"/>
  </r>
  <r>
    <s v="ORD-2023-946143"/>
    <d v="2023-03-14T00:00:00"/>
    <s v="Mar-2023"/>
    <s v="2023-Q1"/>
    <d v="2023-03-30T00:00:00"/>
    <n v="16"/>
    <s v="ACHIEVED"/>
    <x v="0"/>
    <s v="South Africa"/>
    <s v="Cape Town"/>
    <s v="Africa &gt; South Africa &gt; Cape Town"/>
    <s v="Consumer"/>
    <s v="Distributor"/>
    <s v="Distributor"/>
    <x v="3"/>
    <s v="Components"/>
    <s v="Medium"/>
    <s v="CMP-8230"/>
    <n v="1309.77"/>
    <n v="1589.07"/>
    <n v="1589.07"/>
    <x v="61"/>
    <s v="OK"/>
    <n v="0.10199999999999999"/>
    <n v="10"/>
    <n v="14269.848599999999"/>
    <n v="13097.7"/>
    <n v="1172.1485999999986"/>
    <n v="8.2141628328137886E-2"/>
    <d v="2023-01-02T00:00:00"/>
    <s v="Jan-2023"/>
    <n v="0"/>
    <n v="0"/>
    <n v="0"/>
  </r>
  <r>
    <s v="ORD-2025-908258"/>
    <d v="2025-06-21T00:00:00"/>
    <s v="Jun-2025"/>
    <s v="2025-Q2"/>
    <d v="2025-06-27T00:00:00"/>
    <n v="6"/>
    <s v="NOT ACHIEVED"/>
    <x v="0"/>
    <s v="South Africa"/>
    <s v="Durban"/>
    <s v="Africa &gt; South Africa &gt; Durban"/>
    <s v="Enterprise"/>
    <s v="Distributor"/>
    <s v="Distributor"/>
    <x v="5"/>
    <s v="Phones"/>
    <s v="Low"/>
    <s v="PHN-3819"/>
    <n v="93.91"/>
    <n v="99.04"/>
    <n v="99.04"/>
    <x v="15"/>
    <s v="OK"/>
    <n v="5.7000000000000002E-2"/>
    <n v="6"/>
    <n v="560.36831999999993"/>
    <n v="563.46"/>
    <n v="-3.0916800000001103"/>
    <n v="-5.5172283829323376E-3"/>
    <d v="2023-01-02T00:00:00"/>
    <s v="Jan-2023"/>
    <n v="0"/>
    <n v="0"/>
    <n v="0"/>
  </r>
  <r>
    <s v="ORD-2024-580808"/>
    <d v="2024-06-16T00:00:00"/>
    <s v="Jun-2024"/>
    <s v="2024-Q2"/>
    <d v="2024-07-03T00:00:00"/>
    <n v="17"/>
    <s v="ACHIEVED"/>
    <x v="0"/>
    <s v="South Africa"/>
    <s v="Johannesburg"/>
    <s v="Africa &gt; South Africa &gt; Johannesburg"/>
    <s v="Enterprise"/>
    <s v="Marketplace"/>
    <s v="Marketplace"/>
    <x v="8"/>
    <s v="Phones"/>
    <s v="High"/>
    <s v="PHN-6832"/>
    <n v="1173.83"/>
    <n v="2328.9"/>
    <n v="2328.9"/>
    <x v="172"/>
    <s v="OK"/>
    <n v="0.12"/>
    <n v="17"/>
    <n v="34840.344000000005"/>
    <n v="19955.11"/>
    <n v="14885.234000000004"/>
    <n v="0.42724130393201637"/>
    <d v="2023-01-02T00:00:00"/>
    <s v="Jan-2023"/>
    <n v="0"/>
    <n v="0"/>
    <n v="0"/>
  </r>
  <r>
    <s v="ORD-2024-277241"/>
    <d v="2024-01-28T00:00:00"/>
    <s v="Jan-2024"/>
    <s v="2024-Q1"/>
    <d v="2024-01-30T00:00:00"/>
    <n v="2"/>
    <s v="NOT ACHIEVED"/>
    <x v="0"/>
    <s v="South Africa"/>
    <s v="Cape Town"/>
    <s v="Africa &gt; South Africa &gt; Cape Town"/>
    <s v="Consumer"/>
    <s v="Direct"/>
    <s v="Direct"/>
    <x v="8"/>
    <s v="Accessories"/>
    <s v="Medium"/>
    <s v="ACC-6223"/>
    <n v="798.45"/>
    <n v="1592.02"/>
    <n v="1592.02"/>
    <x v="102"/>
    <s v="OK"/>
    <n v="6.6000000000000003E-2"/>
    <n v="18"/>
    <n v="26765.040239999998"/>
    <n v="14372.1"/>
    <n v="12392.940239999998"/>
    <n v="0.46302714768494585"/>
    <d v="2023-01-02T00:00:00"/>
    <s v="Jan-2023"/>
    <n v="0"/>
    <n v="0"/>
    <n v="0"/>
  </r>
  <r>
    <s v="ORD-2023-369150"/>
    <d v="2023-07-18T00:00:00"/>
    <s v="Jul-2023"/>
    <s v="2023-Q3"/>
    <d v="2023-08-10T00:00:00"/>
    <n v="23"/>
    <s v="ACHIEVED"/>
    <x v="0"/>
    <s v="South Africa"/>
    <s v="Johannesburg"/>
    <s v="Africa &gt; South Africa &gt; Johannesburg"/>
    <s v="Small Business"/>
    <s v="Retail"/>
    <s v="Retail"/>
    <x v="10"/>
    <s v="Components"/>
    <s v="Medium"/>
    <s v="CMP-8659"/>
    <n v="1271.56"/>
    <n v="995.47"/>
    <n v="995.47"/>
    <x v="173"/>
    <s v="OK"/>
    <n v="0.192"/>
    <n v="13"/>
    <n v="10456.416880000001"/>
    <n v="16530.28"/>
    <n v="-6073.8631199999982"/>
    <n v="-0.58087423155607754"/>
    <d v="2023-01-02T00:00:00"/>
    <s v="Jan-2023"/>
    <n v="0"/>
    <n v="0"/>
    <n v="0"/>
  </r>
  <r>
    <s v="ORD-2024-427031"/>
    <d v="2024-06-08T00:00:00"/>
    <s v="Jun-2024"/>
    <s v="2024-Q2"/>
    <d v="2024-06-24T00:00:00"/>
    <n v="16"/>
    <s v="ACHIEVED"/>
    <x v="0"/>
    <s v="South Africa"/>
    <s v="Durban"/>
    <s v="Africa &gt; South Africa &gt; Durban"/>
    <s v="Education"/>
    <s v="Distributor"/>
    <s v="Distributor"/>
    <x v="15"/>
    <s v="Monitors"/>
    <s v="Low"/>
    <s v="MON-1389"/>
    <n v="597.85"/>
    <n v="741.92"/>
    <n v="741.92"/>
    <x v="196"/>
    <s v="OK"/>
    <n v="3.1E-2"/>
    <n v="7"/>
    <n v="5032.4433599999993"/>
    <n v="4184.95"/>
    <n v="847.49335999999948"/>
    <n v="0.16840594108544515"/>
    <d v="2023-01-02T00:00:00"/>
    <s v="Jan-2023"/>
    <n v="0"/>
    <n v="0"/>
    <n v="0"/>
  </r>
  <r>
    <s v="ORD-2023-144816"/>
    <d v="2023-05-07T00:00:00"/>
    <s v="May-2023"/>
    <s v="2023-Q2"/>
    <d v="2023-05-29T00:00:00"/>
    <n v="22"/>
    <s v="ACHIEVED"/>
    <x v="0"/>
    <s v="South Africa"/>
    <s v="Durban"/>
    <s v="Africa &gt; South Africa &gt; Durban"/>
    <s v="Education"/>
    <s v="Distributor"/>
    <s v="Distributor"/>
    <x v="3"/>
    <s v="Accessories"/>
    <s v="Medium"/>
    <s v="ACC-2364"/>
    <n v="653.86"/>
    <n v="931.84"/>
    <n v="931.84"/>
    <x v="134"/>
    <s v="OK"/>
    <n v="0.121"/>
    <n v="12"/>
    <n v="9829.0483199999999"/>
    <n v="7846.32"/>
    <n v="1982.7283200000002"/>
    <n v="0.20172129136506273"/>
    <d v="2023-01-02T00:00:00"/>
    <s v="Jan-2023"/>
    <n v="0"/>
    <n v="0"/>
    <n v="0"/>
  </r>
  <r>
    <s v="ORD-2023-825084"/>
    <d v="2023-07-14T00:00:00"/>
    <s v="Jul-2023"/>
    <s v="2023-Q3"/>
    <d v="2023-07-21T00:00:00"/>
    <n v="7"/>
    <s v="ACHIEVED"/>
    <x v="0"/>
    <s v="South Africa"/>
    <s v="Durban"/>
    <s v="Africa &gt; South Africa &gt; Durban"/>
    <s v="Enterprise"/>
    <s v="Marketplace"/>
    <s v="Marketplace"/>
    <x v="9"/>
    <s v="Monitors"/>
    <s v="Medium"/>
    <s v="MON-1018"/>
    <n v="620.74"/>
    <n v="1330.07"/>
    <n v="1330.07"/>
    <x v="207"/>
    <s v="OK"/>
    <n v="0.29899999999999999"/>
    <n v="28"/>
    <n v="26106.613960000002"/>
    <n v="17380.72"/>
    <n v="8725.8939600000012"/>
    <n v="0.33424073965967516"/>
    <d v="2023-01-02T00:00:00"/>
    <s v="Jan-2023"/>
    <n v="0"/>
    <n v="0"/>
    <n v="0"/>
  </r>
  <r>
    <s v="ORD-2024-892173"/>
    <d v="2024-01-18T00:00:00"/>
    <s v="Jan-2024"/>
    <s v="2024-Q1"/>
    <d v="2024-02-03T00:00:00"/>
    <n v="16"/>
    <s v="ACHIEVED"/>
    <x v="0"/>
    <s v="South Africa"/>
    <s v="Cape Town"/>
    <s v="Africa &gt; South Africa &gt; Cape Town"/>
    <s v="Non-Profit"/>
    <s v="Distributor"/>
    <s v="Distributor"/>
    <x v="10"/>
    <s v="Printers"/>
    <s v="Medium"/>
    <s v="PRN-6660"/>
    <n v="666.23"/>
    <n v="1382.91"/>
    <n v="1382.91"/>
    <x v="33"/>
    <s v="OK"/>
    <n v="0.17599999999999999"/>
    <n v="13"/>
    <n v="14813.731920000002"/>
    <n v="8660.99"/>
    <n v="6152.7419200000022"/>
    <n v="0.41534043907553048"/>
    <d v="2023-01-02T00:00:00"/>
    <s v="Jan-2023"/>
    <n v="0"/>
    <n v="0"/>
    <n v="0"/>
  </r>
  <r>
    <s v="ORD-2023-281890"/>
    <d v="2023-03-13T00:00:00"/>
    <s v="Mar-2023"/>
    <s v="2023-Q1"/>
    <d v="2023-04-04T00:00:00"/>
    <n v="22"/>
    <s v="ACHIEVED"/>
    <x v="0"/>
    <s v="South Africa"/>
    <s v="Durban"/>
    <s v="Africa &gt; South Africa &gt; Durban"/>
    <s v="Small Business"/>
    <s v="Retail"/>
    <s v="Retail"/>
    <x v="1"/>
    <s v="Components"/>
    <s v="High"/>
    <s v="CMP-2574"/>
    <n v="1113.7"/>
    <n v="1620.6"/>
    <n v="1620.6"/>
    <x v="114"/>
    <s v="OK"/>
    <n v="0.13900000000000001"/>
    <n v="11"/>
    <n v="15348.702599999999"/>
    <n v="12250.7"/>
    <n v="3098.002599999998"/>
    <n v="0.20184133348182787"/>
    <d v="2023-01-02T00:00:00"/>
    <s v="Jan-2023"/>
    <n v="0"/>
    <n v="0"/>
    <n v="0"/>
  </r>
  <r>
    <s v="ORD-2025-636162"/>
    <d v="2025-01-07T00:00:00"/>
    <s v="Jan-2025"/>
    <s v="2025-Q1"/>
    <d v="2025-01-20T00:00:00"/>
    <n v="13"/>
    <s v="ACHIEVED"/>
    <x v="0"/>
    <s v="South Africa"/>
    <s v="Cape Town"/>
    <s v="Africa &gt; South Africa &gt; Cape Town"/>
    <s v="Corporate"/>
    <s v="Direct"/>
    <s v="Direct"/>
    <x v="3"/>
    <s v="Networking"/>
    <s v="Medium"/>
    <s v="NET-7901"/>
    <n v="432.13"/>
    <n v="1034.6600000000001"/>
    <n v="1034.6600000000001"/>
    <x v="87"/>
    <s v="OK"/>
    <n v="9.1999999999999998E-2"/>
    <n v="7"/>
    <n v="6576.298960000001"/>
    <n v="3024.91"/>
    <n v="3551.3889600000011"/>
    <n v="0.54002851476204794"/>
    <d v="2023-01-02T00:00:00"/>
    <s v="Jan-2023"/>
    <n v="0"/>
    <n v="0"/>
    <n v="0"/>
  </r>
  <r>
    <s v="ORD-2023-835226"/>
    <d v="2023-10-26T00:00:00"/>
    <s v="Oct-2023"/>
    <s v="2023-Q4"/>
    <d v="2023-11-05T00:00:00"/>
    <n v="10"/>
    <s v="ACHIEVED"/>
    <x v="0"/>
    <s v="South Africa"/>
    <s v="Cape Town"/>
    <s v="Africa &gt; South Africa &gt; Cape Town"/>
    <s v="Non-Profit"/>
    <s v="Online"/>
    <s v="Online"/>
    <x v="12"/>
    <s v="Laptops"/>
    <s v="Low"/>
    <s v="LAP-7320"/>
    <n v="20.38"/>
    <n v="42.56"/>
    <n v="42.56"/>
    <x v="12"/>
    <s v="OK"/>
    <n v="7.1999999999999995E-2"/>
    <n v="11"/>
    <n v="434.45248000000004"/>
    <n v="224.17999999999998"/>
    <n v="210.27248000000006"/>
    <n v="0.48399419885921713"/>
    <d v="2023-01-02T00:00:00"/>
    <s v="Jan-2023"/>
    <n v="0"/>
    <n v="0"/>
    <n v="0"/>
  </r>
  <r>
    <s v="ORD-2025-485946"/>
    <d v="2025-06-15T00:00:00"/>
    <s v="Jun-2025"/>
    <s v="2025-Q2"/>
    <d v="2025-06-30T00:00:00"/>
    <n v="15"/>
    <s v="ACHIEVED"/>
    <x v="0"/>
    <s v="South Africa"/>
    <s v="Johannesburg"/>
    <s v="Africa &gt; South Africa &gt; Johannesburg"/>
    <s v="Small Business"/>
    <s v="Direct"/>
    <s v="Direct"/>
    <x v="0"/>
    <s v="Monitors"/>
    <s v="Medium"/>
    <s v="MON-5891"/>
    <n v="1487.59"/>
    <n v="1480.83"/>
    <n v="1480.83"/>
    <x v="91"/>
    <s v="OK"/>
    <n v="8.9999999999999993E-3"/>
    <n v="11"/>
    <n v="16142.527829999999"/>
    <n v="16363.49"/>
    <n v="-220.9621700000007"/>
    <n v="-1.3688201273492908E-2"/>
    <d v="2023-01-02T00:00:00"/>
    <s v="Jan-2023"/>
    <n v="0"/>
    <n v="0"/>
    <n v="0"/>
  </r>
  <r>
    <s v="ORD-2025-588029"/>
    <d v="2025-09-14T00:00:00"/>
    <s v="Sep-2025"/>
    <s v="2025-Q3"/>
    <d v="2025-09-23T00:00:00"/>
    <n v="9"/>
    <s v="ACHIEVED"/>
    <x v="0"/>
    <s v="South Africa"/>
    <s v="Durban"/>
    <s v="Africa &gt; South Africa &gt; Durban"/>
    <s v="Non-Profit"/>
    <s v="Online"/>
    <s v="Online"/>
    <x v="14"/>
    <s v="Components"/>
    <s v="High"/>
    <s v="CMP-6898"/>
    <n v="1310.3"/>
    <n v="2875.8"/>
    <n v="2875.8"/>
    <x v="185"/>
    <s v="OK"/>
    <n v="8.3000000000000004E-2"/>
    <n v="5"/>
    <n v="13185.543"/>
    <n v="6551.5"/>
    <n v="6634.0429999999997"/>
    <n v="0.50313005691157353"/>
    <d v="2023-01-02T00:00:00"/>
    <s v="Jan-2023"/>
    <n v="0"/>
    <n v="0"/>
    <n v="0"/>
  </r>
  <r>
    <s v="ORD-2024-972999"/>
    <d v="2024-09-06T00:00:00"/>
    <s v="Sep-2024"/>
    <s v="2024-Q3"/>
    <d v="2024-10-04T00:00:00"/>
    <n v="28"/>
    <s v="ACHIEVED"/>
    <x v="0"/>
    <s v="South Africa"/>
    <s v="Cape Town"/>
    <s v="Africa &gt; South Africa &gt; Cape Town"/>
    <s v="Corporate"/>
    <s v="Marketplace"/>
    <s v="Marketplace"/>
    <x v="14"/>
    <s v="Monitors"/>
    <s v="High"/>
    <s v="MON-3504"/>
    <n v="1174.17"/>
    <n v="1641.61"/>
    <n v="1641.61"/>
    <x v="157"/>
    <s v="OK"/>
    <n v="0.122"/>
    <n v="9"/>
    <n v="12972.00222"/>
    <n v="10567.53"/>
    <n v="2404.4722199999997"/>
    <n v="0.18535860380079394"/>
    <d v="2023-01-02T00:00:00"/>
    <s v="Jan-2023"/>
    <n v="0"/>
    <n v="0"/>
    <n v="0"/>
  </r>
  <r>
    <s v="ORD-2025-473192"/>
    <d v="2025-03-30T00:00:00"/>
    <s v="Mar-2025"/>
    <s v="2025-Q1"/>
    <d v="2025-04-29T00:00:00"/>
    <n v="30"/>
    <s v="ACHIEVED"/>
    <x v="0"/>
    <s v="South Africa"/>
    <s v="Durban"/>
    <s v="Africa &gt; South Africa &gt; Durban"/>
    <s v="Consumer"/>
    <s v="Marketplace"/>
    <s v="Marketplace"/>
    <x v="2"/>
    <s v="Monitors"/>
    <s v="Low"/>
    <s v="MON-7106"/>
    <n v="194.6"/>
    <n v="314.87"/>
    <n v="314.87"/>
    <x v="208"/>
    <s v="OK"/>
    <n v="0.29299999999999998"/>
    <n v="25"/>
    <n v="5565.3272500000003"/>
    <n v="4865"/>
    <n v="700.32725000000028"/>
    <n v="0.1258375686712763"/>
    <d v="2023-01-02T00:00:00"/>
    <s v="Jan-2023"/>
    <n v="0"/>
    <n v="0"/>
    <n v="0"/>
  </r>
  <r>
    <s v="ORD-2023-704111"/>
    <d v="2023-05-17T00:00:00"/>
    <s v="May-2023"/>
    <s v="2023-Q2"/>
    <d v="2023-06-15T00:00:00"/>
    <n v="29"/>
    <s v="ACHIEVED"/>
    <x v="0"/>
    <s v="South Africa"/>
    <s v="Durban"/>
    <s v="Africa &gt; South Africa &gt; Durban"/>
    <s v="Enterprise"/>
    <s v="Retail"/>
    <s v="Retail"/>
    <x v="3"/>
    <s v="Accessories"/>
    <s v="Low"/>
    <s v="ACC-5206"/>
    <n v="40.89"/>
    <n v="62.82"/>
    <n v="62.82"/>
    <x v="30"/>
    <s v="OK"/>
    <n v="0.129"/>
    <n v="17"/>
    <n v="930.17574000000002"/>
    <n v="695.13"/>
    <n v="235.04574000000002"/>
    <n v="0.25268960465470752"/>
    <d v="2023-01-02T00:00:00"/>
    <s v="Jan-2023"/>
    <n v="0"/>
    <n v="0"/>
    <n v="0"/>
  </r>
  <r>
    <s v="ORD-2025-306251"/>
    <d v="2025-04-10T00:00:00"/>
    <s v="Apr-2025"/>
    <s v="2025-Q2"/>
    <d v="2025-04-19T00:00:00"/>
    <n v="9"/>
    <s v="ACHIEVED"/>
    <x v="0"/>
    <s v="South Africa"/>
    <s v="Durban"/>
    <s v="Africa &gt; South Africa &gt; Durban"/>
    <s v="Enterprise"/>
    <n v="0"/>
    <n v="0"/>
    <x v="4"/>
    <s v="Networking"/>
    <s v="Low"/>
    <s v="NET-5270"/>
    <n v="113.74"/>
    <n v="165.7"/>
    <n v="165.7"/>
    <x v="209"/>
    <s v="OK"/>
    <n v="0.124"/>
    <n v="13"/>
    <n v="1886.9915999999998"/>
    <n v="1478.62"/>
    <n v="408.37159999999994"/>
    <n v="0.21641410592394794"/>
    <d v="2023-01-02T00:00:00"/>
    <s v="Jan-2023"/>
    <n v="0"/>
    <n v="0"/>
    <n v="0"/>
  </r>
  <r>
    <s v="ORD-2023-640022"/>
    <d v="2023-08-24T00:00:00"/>
    <s v="Aug-2023"/>
    <s v="2023-Q3"/>
    <d v="2023-09-20T00:00:00"/>
    <n v="27"/>
    <s v="ACHIEVED"/>
    <x v="0"/>
    <s v="South Africa"/>
    <s v="Durban"/>
    <s v="Africa &gt; South Africa &gt; Durban"/>
    <s v="Small Business"/>
    <s v="Marketplace"/>
    <s v="Marketplace"/>
    <x v="13"/>
    <s v="Printers"/>
    <s v="High"/>
    <s v="PRN-4732"/>
    <n v="1399.64"/>
    <n v="3342.11"/>
    <n v="3342.11"/>
    <x v="3"/>
    <s v="OK"/>
    <n v="0"/>
    <n v="10"/>
    <n v="33421.1"/>
    <n v="13996.400000000001"/>
    <n v="19424.699999999997"/>
    <n v="0.58121067229983447"/>
    <d v="2023-01-02T00:00:00"/>
    <s v="Jan-2023"/>
    <n v="0"/>
    <n v="0"/>
    <n v="0"/>
  </r>
  <r>
    <s v="ORD-2023-525643"/>
    <d v="2023-08-17T00:00:00"/>
    <s v="Aug-2023"/>
    <s v="2023-Q3"/>
    <d v="2023-09-03T00:00:00"/>
    <n v="17"/>
    <s v="ACHIEVED"/>
    <x v="0"/>
    <s v="South Africa"/>
    <s v="Durban"/>
    <s v="Africa &gt; South Africa &gt; Durban"/>
    <s v="Enterprise"/>
    <s v="Retail"/>
    <s v="Retail"/>
    <x v="1"/>
    <s v="Phones"/>
    <s v="Medium"/>
    <s v="PHN-8072"/>
    <n v="676.37"/>
    <n v="1276.67"/>
    <n v="1276.67"/>
    <x v="102"/>
    <s v="OK"/>
    <n v="6.6000000000000003E-2"/>
    <n v="10"/>
    <n v="11924.0978"/>
    <n v="6763.7"/>
    <n v="5160.3977999999997"/>
    <n v="0.4327705027712872"/>
    <d v="2023-01-02T00:00:00"/>
    <s v="Jan-2023"/>
    <n v="0"/>
    <n v="0"/>
    <n v="0"/>
  </r>
  <r>
    <s v="ORD-2025-312803"/>
    <d v="2025-06-24T00:00:00"/>
    <s v="Jun-2025"/>
    <s v="2025-Q2"/>
    <d v="2025-07-14T00:00:00"/>
    <n v="20"/>
    <s v="ACHIEVED"/>
    <x v="0"/>
    <s v="South Africa"/>
    <s v="Johannesburg"/>
    <s v="Africa &gt; South Africa &gt; Johannesburg"/>
    <s v="Enterprise"/>
    <s v="Marketplace"/>
    <s v="Marketplace"/>
    <x v="2"/>
    <s v="Laptops"/>
    <s v="High"/>
    <s v="LAP-1308"/>
    <n v="1151.06"/>
    <n v="2821.36"/>
    <n v="2821.36"/>
    <x v="210"/>
    <s v="OK"/>
    <n v="0.248"/>
    <n v="20"/>
    <n v="42433.254400000005"/>
    <n v="23021.199999999997"/>
    <n v="19412.054400000008"/>
    <n v="0.45747267501594235"/>
    <d v="2023-01-02T00:00:00"/>
    <s v="Jan-2023"/>
    <n v="0"/>
    <n v="0"/>
    <n v="0"/>
  </r>
  <r>
    <s v="ORD-2023-621393"/>
    <d v="2023-07-07T00:00:00"/>
    <s v="Jul-2023"/>
    <s v="2023-Q3"/>
    <d v="2023-07-13T00:00:00"/>
    <n v="6"/>
    <s v="NOT ACHIEVED"/>
    <x v="0"/>
    <s v="South Africa"/>
    <s v="Cape Town"/>
    <s v="Africa &gt; South Africa &gt; Cape Town"/>
    <s v="Small Business"/>
    <s v="Marketplace"/>
    <s v="Marketplace"/>
    <x v="6"/>
    <s v="Accessories"/>
    <s v="Medium"/>
    <s v="ACC-9445"/>
    <n v="612.59"/>
    <n v="1424.74"/>
    <n v="1424.74"/>
    <x v="211"/>
    <s v="OK"/>
    <n v="4.3999999999999997E-2"/>
    <n v="15"/>
    <n v="20430.771599999996"/>
    <n v="9188.85"/>
    <n v="11241.921599999996"/>
    <n v="0.55024459281802152"/>
    <d v="2023-01-02T00:00:00"/>
    <s v="Jan-2023"/>
    <n v="0"/>
    <n v="0"/>
    <n v="0"/>
  </r>
  <r>
    <s v="ORD-2023-974506"/>
    <d v="2023-12-28T00:00:00"/>
    <s v="Dec-2023"/>
    <s v="2023-Q4"/>
    <d v="2024-01-01T00:00:00"/>
    <n v="4"/>
    <s v="NOT ACHIEVED"/>
    <x v="0"/>
    <s v="South Africa"/>
    <s v="Cape Town"/>
    <s v="Africa &gt; South Africa &gt; Cape Town"/>
    <s v="Education"/>
    <s v="Distributor"/>
    <s v="Distributor"/>
    <x v="1"/>
    <s v="Printers"/>
    <s v="High"/>
    <s v="PRN-1654"/>
    <n v="1141.8"/>
    <n v="2318.7399999999998"/>
    <n v="2318.7399999999998"/>
    <x v="178"/>
    <s v="OK"/>
    <n v="0.107"/>
    <n v="32"/>
    <n v="66260.314239999992"/>
    <n v="36537.599999999999"/>
    <n v="29722.714239999994"/>
    <n v="0.44857490612468304"/>
    <d v="2023-01-02T00:00:00"/>
    <s v="Jan-2023"/>
    <n v="0"/>
    <n v="0"/>
    <n v="0"/>
  </r>
  <r>
    <s v="ORD-2024-419248"/>
    <d v="2024-03-04T00:00:00"/>
    <s v="Mar-2024"/>
    <s v="2024-Q1"/>
    <d v="2024-03-16T00:00:00"/>
    <n v="12"/>
    <s v="ACHIEVED"/>
    <x v="0"/>
    <s v="South Africa"/>
    <s v="Johannesburg"/>
    <s v="Africa &gt; South Africa &gt; Johannesburg"/>
    <s v="Enterprise"/>
    <s v="Distributor"/>
    <s v="Distributor"/>
    <x v="13"/>
    <s v="Monitors"/>
    <s v="Medium"/>
    <s v="MON-8422"/>
    <n v="441.08"/>
    <n v="1054.29"/>
    <n v="1054.29"/>
    <x v="195"/>
    <s v="OK"/>
    <n v="0.23699999999999999"/>
    <n v="6"/>
    <n v="4826.5396199999996"/>
    <n v="2646.48"/>
    <n v="2180.0596199999995"/>
    <n v="0.45168169985932899"/>
    <d v="2023-01-02T00:00:00"/>
    <s v="Jan-2023"/>
    <n v="0"/>
    <n v="0"/>
    <n v="0"/>
  </r>
  <r>
    <s v="ORD-2023-689428"/>
    <d v="2023-01-07T00:00:00"/>
    <s v="Jan-2023"/>
    <s v="2023-Q1"/>
    <d v="2023-01-30T00:00:00"/>
    <n v="23"/>
    <s v="ACHIEVED"/>
    <x v="0"/>
    <s v="South Africa"/>
    <s v="Cape Town"/>
    <s v="Africa &gt; South Africa &gt; Cape Town"/>
    <s v="Consumer"/>
    <s v="Online"/>
    <s v="Online"/>
    <x v="1"/>
    <s v="Printers"/>
    <s v="Low"/>
    <s v="PRN-4787"/>
    <n v="299.02"/>
    <n v="724.7"/>
    <n v="724.7"/>
    <x v="26"/>
    <s v="OK"/>
    <n v="0.14000000000000001"/>
    <n v="5"/>
    <n v="3116.21"/>
    <n v="1495.1"/>
    <n v="1621.1100000000001"/>
    <n v="0.52021847051386139"/>
    <d v="2023-01-02T00:00:00"/>
    <s v="Jan-2023"/>
    <n v="0"/>
    <n v="0"/>
    <n v="0"/>
  </r>
  <r>
    <s v="ORD-2025-262434"/>
    <d v="2025-06-19T00:00:00"/>
    <s v="Jun-2025"/>
    <s v="2025-Q2"/>
    <d v="2025-06-21T00:00:00"/>
    <n v="2"/>
    <s v="NOT ACHIEVED"/>
    <x v="0"/>
    <s v="South Africa"/>
    <s v="Johannesburg"/>
    <s v="Africa &gt; South Africa &gt; Johannesburg"/>
    <s v="Small Business"/>
    <n v="0"/>
    <n v="0"/>
    <x v="15"/>
    <s v="Phones"/>
    <s v="High"/>
    <s v="PHN-7379"/>
    <n v="1466.27"/>
    <n v="3589.89"/>
    <n v="3589.89"/>
    <x v="212"/>
    <s v="OK"/>
    <n v="9.7000000000000003E-2"/>
    <n v="9"/>
    <n v="29175.036029999999"/>
    <n v="13196.43"/>
    <n v="15978.606029999999"/>
    <n v="0.54768076425234147"/>
    <d v="2023-01-02T00:00:00"/>
    <s v="Jan-2023"/>
    <n v="0"/>
    <n v="0"/>
    <n v="0"/>
  </r>
  <r>
    <s v="ORD-2024-838925"/>
    <d v="2024-01-28T00:00:00"/>
    <s v="Jan-2024"/>
    <s v="2024-Q1"/>
    <d v="2024-02-02T00:00:00"/>
    <n v="5"/>
    <s v="NOT ACHIEVED"/>
    <x v="0"/>
    <s v="South Africa"/>
    <s v="Cape Town"/>
    <s v="Africa &gt; South Africa &gt; Cape Town"/>
    <s v="Enterprise"/>
    <s v="Direct"/>
    <s v="Direct"/>
    <x v="7"/>
    <s v="Components"/>
    <s v="Low"/>
    <s v="CMP-1470"/>
    <n v="109.75"/>
    <n v="124.25"/>
    <n v="124.25"/>
    <x v="172"/>
    <s v="OK"/>
    <n v="0.12"/>
    <n v="19"/>
    <n v="2077.46"/>
    <n v="2085.25"/>
    <n v="-7.7899999999999636"/>
    <n v="-3.7497713554051405E-3"/>
    <d v="2023-01-02T00:00:00"/>
    <s v="Jan-2023"/>
    <n v="0"/>
    <n v="0"/>
    <n v="0"/>
  </r>
  <r>
    <s v="ORD-2025-745263"/>
    <d v="2025-05-21T00:00:00"/>
    <s v="May-2025"/>
    <s v="2025-Q2"/>
    <d v="2025-05-26T00:00:00"/>
    <n v="5"/>
    <s v="NOT ACHIEVED"/>
    <x v="3"/>
    <s v="United Kingdom"/>
    <s v="Birmingham"/>
    <s v="Europe &gt; United Kingdom &gt; Birmingham"/>
    <s v="Enterprise"/>
    <s v="Online"/>
    <s v="Online"/>
    <x v="13"/>
    <s v="Laptops"/>
    <s v="High"/>
    <s v="LAP-3385"/>
    <n v="1015.16"/>
    <n v="2148.14"/>
    <n v="2148.14"/>
    <x v="122"/>
    <s v="OK"/>
    <n v="3.7999999999999999E-2"/>
    <n v="19"/>
    <n v="39263.702919999996"/>
    <n v="19288.04"/>
    <n v="19975.662919999995"/>
    <n v="0.50875647059322227"/>
    <d v="2023-01-02T00:00:00"/>
    <s v="Jan-2023"/>
    <n v="0"/>
    <n v="0"/>
    <n v="0"/>
  </r>
  <r>
    <s v="ORD-2024-629525"/>
    <d v="2024-04-18T00:00:00"/>
    <s v="Apr-2024"/>
    <s v="2024-Q2"/>
    <d v="2024-05-08T00:00:00"/>
    <n v="20"/>
    <s v="ACHIEVED"/>
    <x v="3"/>
    <s v="United Kingdom"/>
    <s v="London"/>
    <s v="Europe &gt; United Kingdom &gt; London"/>
    <s v="Non-Profit"/>
    <n v="0"/>
    <n v="0"/>
    <x v="14"/>
    <s v="Laptops"/>
    <s v="Medium"/>
    <s v="LAP-9932"/>
    <n v="645.33000000000004"/>
    <n v="1321.85"/>
    <n v="1321.85"/>
    <x v="3"/>
    <s v="OK"/>
    <n v="0"/>
    <n v="10"/>
    <n v="13218.5"/>
    <n v="6453.3"/>
    <n v="6765.2"/>
    <n v="0.51179785906116426"/>
    <d v="2023-01-02T00:00:00"/>
    <s v="Jan-2023"/>
    <n v="0"/>
    <n v="0"/>
    <n v="0"/>
  </r>
  <r>
    <s v="ORD-2024-548345"/>
    <d v="2024-05-14T00:00:00"/>
    <s v="May-2024"/>
    <s v="2024-Q2"/>
    <d v="2024-05-28T00:00:00"/>
    <n v="14"/>
    <s v="ACHIEVED"/>
    <x v="3"/>
    <s v="United Kingdom"/>
    <s v="Birmingham"/>
    <s v="Europe &gt; United Kingdom &gt; Birmingham"/>
    <s v="Consumer"/>
    <s v="Retail"/>
    <s v="Retail"/>
    <x v="6"/>
    <s v="Networking"/>
    <s v="High"/>
    <s v="NET-2365"/>
    <n v="1421.14"/>
    <n v="3524"/>
    <n v="3524"/>
    <x v="3"/>
    <s v="OK"/>
    <n v="0"/>
    <n v="31"/>
    <n v="109244"/>
    <n v="44055.340000000004"/>
    <n v="65188.659999999996"/>
    <n v="0.59672531214528945"/>
    <d v="2023-01-02T00:00:00"/>
    <s v="Jan-2023"/>
    <n v="0"/>
    <n v="0"/>
    <n v="0"/>
  </r>
  <r>
    <s v="ORD-2023-548874"/>
    <d v="2023-03-19T00:00:00"/>
    <s v="Mar-2023"/>
    <s v="2023-Q1"/>
    <d v="2023-04-09T00:00:00"/>
    <n v="21"/>
    <s v="ACHIEVED"/>
    <x v="3"/>
    <s v="United Kingdom"/>
    <s v="Manchester"/>
    <s v="Europe &gt; United Kingdom &gt; Manchester"/>
    <s v="Consumer"/>
    <s v="Retail"/>
    <s v="Retail"/>
    <x v="10"/>
    <s v="Accessories"/>
    <s v="Medium"/>
    <s v="ACC-9150"/>
    <n v="1082.17"/>
    <n v="1234.0999999999999"/>
    <n v="1234.0999999999999"/>
    <x v="191"/>
    <s v="OK"/>
    <n v="0.189"/>
    <n v="16"/>
    <n v="16013.681599999998"/>
    <n v="17314.72"/>
    <n v="-1301.0384000000031"/>
    <n v="-8.124542703534228E-2"/>
    <d v="2023-01-02T00:00:00"/>
    <s v="Jan-2023"/>
    <n v="0"/>
    <n v="0"/>
    <n v="0"/>
  </r>
  <r>
    <s v="ORD-2023-290279"/>
    <d v="2023-06-14T00:00:00"/>
    <s v="Jun-2023"/>
    <s v="2023-Q2"/>
    <d v="2023-06-16T00:00:00"/>
    <n v="2"/>
    <s v="NOT ACHIEVED"/>
    <x v="3"/>
    <s v="United Kingdom"/>
    <s v="Manchester"/>
    <s v="Europe &gt; United Kingdom &gt; Manchester"/>
    <s v="Non-Profit"/>
    <s v="Direct"/>
    <s v="Direct"/>
    <x v="3"/>
    <s v="Components"/>
    <s v="Low"/>
    <s v="CMP-5820"/>
    <n v="357.36"/>
    <n v="703.62"/>
    <n v="703.62"/>
    <x v="183"/>
    <s v="OK"/>
    <n v="0.25700000000000001"/>
    <n v="20"/>
    <n v="10455.7932"/>
    <n v="7147.2000000000007"/>
    <n v="3308.5931999999993"/>
    <n v="0.31643636563125593"/>
    <d v="2023-01-02T00:00:00"/>
    <s v="Jan-2023"/>
    <n v="0"/>
    <n v="0"/>
    <n v="0"/>
  </r>
  <r>
    <s v="ORD-2025-330203"/>
    <d v="2025-03-25T00:00:00"/>
    <s v="Mar-2025"/>
    <s v="2025-Q1"/>
    <d v="2025-04-17T00:00:00"/>
    <n v="23"/>
    <s v="ACHIEVED"/>
    <x v="3"/>
    <s v="United Kingdom"/>
    <s v="London"/>
    <s v="Europe &gt; United Kingdom &gt; London"/>
    <s v="Consumer"/>
    <s v="Retail"/>
    <s v="Retail"/>
    <x v="15"/>
    <s v="Networking"/>
    <s v="High"/>
    <s v="NET-7166"/>
    <n v="1421.19"/>
    <n v="1808.26"/>
    <n v="1808.26"/>
    <x v="75"/>
    <s v="OK"/>
    <n v="0.104"/>
    <n v="13"/>
    <n v="21062.61248"/>
    <n v="18475.47"/>
    <n v="2587.1424799999986"/>
    <n v="0.12283103449093123"/>
    <d v="2023-01-02T00:00:00"/>
    <s v="Jan-2023"/>
    <n v="0"/>
    <n v="0"/>
    <n v="0"/>
  </r>
  <r>
    <s v="ORD-2023-868734"/>
    <d v="2023-04-06T00:00:00"/>
    <s v="Apr-2023"/>
    <s v="2023-Q2"/>
    <d v="2023-04-27T00:00:00"/>
    <n v="21"/>
    <s v="ACHIEVED"/>
    <x v="3"/>
    <s v="United Kingdom"/>
    <s v="Manchester"/>
    <s v="Europe &gt; United Kingdom &gt; Manchester"/>
    <s v="Enterprise"/>
    <s v="Distributor"/>
    <s v="Distributor"/>
    <x v="12"/>
    <s v="Printers"/>
    <s v="High"/>
    <s v="PRN-8970"/>
    <n v="1084.79"/>
    <n v="2484.9899999999998"/>
    <n v="2484.9899999999998"/>
    <x v="149"/>
    <s v="OK"/>
    <n v="3.4000000000000002E-2"/>
    <n v="18"/>
    <n v="43209.006119999991"/>
    <n v="19526.22"/>
    <n v="23682.78611999999"/>
    <n v="0.54809837685755114"/>
    <d v="2023-01-02T00:00:00"/>
    <s v="Jan-2023"/>
    <n v="0"/>
    <n v="0"/>
    <n v="0"/>
  </r>
  <r>
    <s v="ORD-2024-286833"/>
    <d v="2024-08-14T00:00:00"/>
    <s v="Aug-2024"/>
    <s v="2024-Q3"/>
    <d v="2024-09-04T00:00:00"/>
    <n v="21"/>
    <s v="ACHIEVED"/>
    <x v="3"/>
    <s v="United Kingdom"/>
    <s v="Manchester"/>
    <s v="Europe &gt; United Kingdom &gt; Manchester"/>
    <s v="Non-Profit"/>
    <s v="Online"/>
    <s v="Online"/>
    <x v="2"/>
    <s v="Phones"/>
    <s v="High"/>
    <s v="PHN-2341"/>
    <n v="1138.8"/>
    <n v="2250.81"/>
    <n v="2250.81"/>
    <x v="42"/>
    <s v="OK"/>
    <n v="0.123"/>
    <n v="12"/>
    <n v="23687.524440000001"/>
    <n v="13665.599999999999"/>
    <n v="10021.924440000003"/>
    <n v="0.42308872188756258"/>
    <d v="2023-01-02T00:00:00"/>
    <s v="Jan-2023"/>
    <n v="0"/>
    <n v="0"/>
    <n v="0"/>
  </r>
  <r>
    <s v="ORD-2024-223618"/>
    <d v="2024-06-10T00:00:00"/>
    <s v="Jun-2024"/>
    <s v="2024-Q2"/>
    <d v="2024-06-11T00:00:00"/>
    <n v="1"/>
    <s v="NOT ACHIEVED"/>
    <x v="3"/>
    <s v="United Kingdom"/>
    <s v="Birmingham"/>
    <s v="Europe &gt; United Kingdom &gt; Birmingham"/>
    <s v="Small Business"/>
    <s v="Marketplace"/>
    <s v="Marketplace"/>
    <x v="13"/>
    <s v="Laptops"/>
    <s v="High"/>
    <s v="LAP-9230"/>
    <n v="1187.1300000000001"/>
    <n v="1795.17"/>
    <n v="1795.17"/>
    <x v="21"/>
    <s v="OK"/>
    <n v="1.2E-2"/>
    <n v="17"/>
    <n v="30151.675319999998"/>
    <n v="20181.210000000003"/>
    <n v="9970.4653199999957"/>
    <n v="0.33067699271046663"/>
    <d v="2023-01-02T00:00:00"/>
    <s v="Jan-2023"/>
    <n v="0"/>
    <n v="0"/>
    <n v="0"/>
  </r>
  <r>
    <s v="ORD-2025-184082"/>
    <d v="2025-06-19T00:00:00"/>
    <s v="Jun-2025"/>
    <s v="2025-Q2"/>
    <d v="2025-07-12T00:00:00"/>
    <n v="23"/>
    <s v="ACHIEVED"/>
    <x v="3"/>
    <s v="United Kingdom"/>
    <s v="Unkown"/>
    <s v="Europe &gt; United Kingdom &gt; Unkown"/>
    <s v="Non-Profit"/>
    <s v="Direct"/>
    <s v="Direct"/>
    <x v="9"/>
    <s v="Networking"/>
    <s v="High"/>
    <s v="NET-6370"/>
    <n v="801.24"/>
    <n v="1959.09"/>
    <n v="1959.09"/>
    <x v="42"/>
    <s v="OK"/>
    <n v="0.123"/>
    <n v="23"/>
    <n v="39516.804389999998"/>
    <n v="18428.52"/>
    <n v="21088.284389999997"/>
    <n v="0.53365358650651762"/>
    <d v="2023-01-02T00:00:00"/>
    <s v="Jan-2023"/>
    <n v="0"/>
    <n v="0"/>
    <n v="0"/>
  </r>
  <r>
    <s v="ORD-2025-537785"/>
    <d v="2025-08-05T00:00:00"/>
    <s v="Aug-2025"/>
    <s v="2025-Q3"/>
    <d v="2025-08-14T00:00:00"/>
    <n v="9"/>
    <s v="ACHIEVED"/>
    <x v="3"/>
    <s v="United Kingdom"/>
    <s v="London"/>
    <s v="Europe &gt; United Kingdom &gt; London"/>
    <s v="Non-Profit"/>
    <s v="Direct"/>
    <s v="Direct"/>
    <x v="11"/>
    <s v="Components"/>
    <s v="Low"/>
    <s v="CMP-6346"/>
    <n v="41.76"/>
    <n v="45.19"/>
    <n v="45.19"/>
    <x v="182"/>
    <s v="OK"/>
    <n v="0.17899999999999999"/>
    <n v="23"/>
    <n v="853.32276999999988"/>
    <n v="960.4799999999999"/>
    <n v="-107.15723000000003"/>
    <n v="-0.12557643340514638"/>
    <d v="2023-01-02T00:00:00"/>
    <s v="Jan-2023"/>
    <n v="0"/>
    <n v="0"/>
    <n v="0"/>
  </r>
  <r>
    <s v="ORD-2023-430904"/>
    <d v="2023-01-27T00:00:00"/>
    <s v="Jan-2023"/>
    <s v="2023-Q1"/>
    <d v="2023-01-31T00:00:00"/>
    <n v="4"/>
    <s v="NOT ACHIEVED"/>
    <x v="3"/>
    <s v="United Kingdom"/>
    <s v="Manchester"/>
    <s v="Europe &gt; United Kingdom &gt; Manchester"/>
    <s v="Enterprise"/>
    <s v="Online"/>
    <s v="Online"/>
    <x v="5"/>
    <s v="Laptops"/>
    <s v="Low"/>
    <s v="LAP-9782"/>
    <n v="941.2"/>
    <n v="668.02"/>
    <n v="668.02"/>
    <x v="179"/>
    <s v="OK"/>
    <n v="0.22"/>
    <n v="16"/>
    <n v="8336.8896000000004"/>
    <n v="15059.2"/>
    <n v="-6722.3104000000003"/>
    <n v="-0.80633314371825193"/>
    <d v="2023-01-02T00:00:00"/>
    <s v="Jan-2023"/>
    <n v="0"/>
    <n v="0"/>
    <n v="0"/>
  </r>
  <r>
    <s v="ORD-2024-942981"/>
    <d v="2024-10-09T00:00:00"/>
    <s v="Oct-2024"/>
    <s v="2024-Q4"/>
    <d v="2024-11-08T00:00:00"/>
    <n v="30"/>
    <s v="ACHIEVED"/>
    <x v="3"/>
    <s v="United Kingdom"/>
    <s v="Manchester"/>
    <s v="Europe &gt; United Kingdom &gt; Manchester"/>
    <s v="Small Business"/>
    <s v="Distributor"/>
    <s v="Distributor"/>
    <x v="2"/>
    <s v="Components"/>
    <s v="Low"/>
    <s v="CMP-1072"/>
    <n v="343.85"/>
    <n v="538.04"/>
    <n v="538.04"/>
    <x v="114"/>
    <s v="OK"/>
    <n v="0.13900000000000001"/>
    <n v="5"/>
    <n v="2316.2621999999997"/>
    <n v="1719.25"/>
    <n v="597.01219999999967"/>
    <n v="0.25774810813732563"/>
    <d v="2023-01-02T00:00:00"/>
    <s v="Jan-2023"/>
    <n v="0"/>
    <n v="0"/>
    <n v="0"/>
  </r>
  <r>
    <s v="ORD-2025-845715"/>
    <d v="2025-04-14T00:00:00"/>
    <s v="Apr-2025"/>
    <s v="2025-Q2"/>
    <d v="2025-05-04T00:00:00"/>
    <n v="20"/>
    <s v="ACHIEVED"/>
    <x v="3"/>
    <s v="United Kingdom"/>
    <s v="Birmingham"/>
    <s v="Europe &gt; United Kingdom &gt; Birmingham"/>
    <s v="Enterprise"/>
    <s v="Marketplace"/>
    <s v="Marketplace"/>
    <x v="3"/>
    <s v="Monitors"/>
    <s v="High"/>
    <s v="MON-6962"/>
    <n v="1413.87"/>
    <n v="3275"/>
    <n v="3275"/>
    <x v="161"/>
    <s v="OK"/>
    <n v="0.255"/>
    <n v="38"/>
    <n v="92715.25"/>
    <n v="53727.06"/>
    <n v="38988.19"/>
    <n v="0.42051539525590453"/>
    <d v="2023-01-02T00:00:00"/>
    <s v="Jan-2023"/>
    <n v="0"/>
    <n v="0"/>
    <n v="0"/>
  </r>
  <r>
    <s v="ORD-2023-664749"/>
    <d v="2023-08-27T00:00:00"/>
    <s v="Aug-2023"/>
    <s v="2023-Q3"/>
    <d v="2023-09-11T00:00:00"/>
    <n v="15"/>
    <s v="ACHIEVED"/>
    <x v="3"/>
    <s v="United Kingdom"/>
    <s v="London"/>
    <s v="Europe &gt; United Kingdom &gt; London"/>
    <s v="Consumer"/>
    <s v="Marketplace"/>
    <s v="Marketplace"/>
    <x v="5"/>
    <s v="Printers"/>
    <s v="High"/>
    <s v="PRN-5107"/>
    <n v="943.79"/>
    <n v="1913.76"/>
    <n v="1913.76"/>
    <x v="184"/>
    <s v="OK"/>
    <n v="9.0999999999999998E-2"/>
    <n v="9"/>
    <n v="15656.47056"/>
    <n v="8494.11"/>
    <n v="7162.3605599999992"/>
    <n v="0.45746967891338081"/>
    <d v="2023-01-02T00:00:00"/>
    <s v="Jan-2023"/>
    <n v="0"/>
    <n v="0"/>
    <n v="0"/>
  </r>
  <r>
    <s v="ORD-2023-197661"/>
    <d v="2023-08-08T00:00:00"/>
    <s v="Aug-2023"/>
    <s v="2023-Q3"/>
    <d v="2023-08-22T00:00:00"/>
    <n v="14"/>
    <s v="ACHIEVED"/>
    <x v="3"/>
    <s v="United Kingdom"/>
    <s v="Birmingham"/>
    <s v="Europe &gt; United Kingdom &gt; Birmingham"/>
    <s v="Non-Profit"/>
    <s v="Direct"/>
    <s v="Direct"/>
    <x v="5"/>
    <s v="Monitors"/>
    <s v="Medium"/>
    <s v="MON-7511"/>
    <n v="446.69"/>
    <n v="967.25"/>
    <n v="967.25"/>
    <x v="2"/>
    <s v="OK"/>
    <n v="9.4E-2"/>
    <n v="10"/>
    <n v="8763.2849999999999"/>
    <n v="4466.8999999999996"/>
    <n v="4296.3850000000002"/>
    <n v="0.49027105702941309"/>
    <d v="2023-01-02T00:00:00"/>
    <s v="Jan-2023"/>
    <n v="0"/>
    <n v="0"/>
    <n v="0"/>
  </r>
  <r>
    <s v="ORD-2025-964661"/>
    <d v="2025-02-04T00:00:00"/>
    <s v="Feb-2025"/>
    <s v="2025-Q1"/>
    <d v="2025-02-25T00:00:00"/>
    <n v="21"/>
    <s v="ACHIEVED"/>
    <x v="3"/>
    <s v="United Kingdom"/>
    <s v="Birmingham"/>
    <s v="Europe &gt; United Kingdom &gt; Birmingham"/>
    <s v="Corporate"/>
    <s v="Marketplace"/>
    <s v="Marketplace"/>
    <x v="14"/>
    <s v="Monitors"/>
    <s v="High"/>
    <s v="MON-4959"/>
    <n v="1016.32"/>
    <n v="2253.42"/>
    <n v="2253.42"/>
    <x v="190"/>
    <s v="OK"/>
    <n v="5.5E-2"/>
    <n v="12"/>
    <n v="25553.782800000001"/>
    <n v="12195.84"/>
    <n v="13357.942800000001"/>
    <n v="0.52273837124419797"/>
    <d v="2023-01-02T00:00:00"/>
    <s v="Jan-2023"/>
    <n v="0"/>
    <n v="0"/>
    <n v="0"/>
  </r>
  <r>
    <s v="ORD-2023-920483"/>
    <d v="2023-07-02T00:00:00"/>
    <s v="Jul-2023"/>
    <s v="2023-Q3"/>
    <d v="2023-08-01T00:00:00"/>
    <n v="30"/>
    <s v="ACHIEVED"/>
    <x v="3"/>
    <s v="United Kingdom"/>
    <s v="Birmingham"/>
    <s v="Europe &gt; United Kingdom &gt; Birmingham"/>
    <s v="Small Business"/>
    <s v="Retail"/>
    <s v="Retail"/>
    <x v="6"/>
    <s v="Components"/>
    <s v="Low"/>
    <s v="CMP-7256"/>
    <n v="137.46"/>
    <n v="188.3"/>
    <n v="188.3"/>
    <x v="122"/>
    <s v="OK"/>
    <n v="3.7999999999999999E-2"/>
    <n v="37"/>
    <n v="6702.3501999999999"/>
    <n v="5086.0200000000004"/>
    <n v="1616.3301999999994"/>
    <n v="0.24115872071262398"/>
    <d v="2023-01-02T00:00:00"/>
    <s v="Jan-2023"/>
    <n v="0"/>
    <n v="0"/>
    <n v="0"/>
  </r>
  <r>
    <s v="ORD-2023-501220"/>
    <d v="2023-04-19T00:00:00"/>
    <s v="Apr-2023"/>
    <s v="2023-Q2"/>
    <d v="2023-05-07T00:00:00"/>
    <n v="18"/>
    <s v="ACHIEVED"/>
    <x v="3"/>
    <s v="United Kingdom"/>
    <s v="Birmingham"/>
    <s v="Europe &gt; United Kingdom &gt; Birmingham"/>
    <s v="Enterprise"/>
    <s v="Retail"/>
    <s v="Retail"/>
    <x v="5"/>
    <s v="Laptops"/>
    <s v="Medium"/>
    <s v="LAP-9766"/>
    <n v="1089.1500000000001"/>
    <n v="1088.2"/>
    <n v="1088.2"/>
    <x v="34"/>
    <s v="OK"/>
    <n v="5.0999999999999997E-2"/>
    <n v="15"/>
    <n v="15490.527"/>
    <n v="16337.250000000002"/>
    <n v="-846.72300000000178"/>
    <n v="-5.4660696824582002E-2"/>
    <d v="2023-01-02T00:00:00"/>
    <s v="Jan-2023"/>
    <n v="0"/>
    <n v="0"/>
    <n v="0"/>
  </r>
  <r>
    <s v="ORD-2023-256951"/>
    <d v="2023-04-19T00:00:00"/>
    <s v="Apr-2023"/>
    <s v="2023-Q2"/>
    <d v="2023-05-07T00:00:00"/>
    <n v="18"/>
    <s v="ACHIEVED"/>
    <x v="3"/>
    <s v="United Kingdom"/>
    <s v="London"/>
    <s v="Europe &gt; United Kingdom &gt; London"/>
    <s v="Non-Profit"/>
    <s v="Direct"/>
    <s v="Direct"/>
    <x v="15"/>
    <s v="Networking"/>
    <s v="Low"/>
    <s v="NET-2439"/>
    <n v="516.96"/>
    <n v="745.38"/>
    <n v="745.38"/>
    <x v="95"/>
    <s v="OK"/>
    <n v="0.19700000000000001"/>
    <n v="4"/>
    <n v="2394.1605599999998"/>
    <n v="2067.84"/>
    <n v="326.32055999999966"/>
    <n v="0.13629852794835101"/>
    <d v="2023-01-02T00:00:00"/>
    <s v="Jan-2023"/>
    <n v="0"/>
    <n v="0"/>
    <n v="0"/>
  </r>
  <r>
    <s v="ORD-2024-500511"/>
    <d v="2024-10-08T00:00:00"/>
    <s v="Oct-2024"/>
    <s v="2024-Q4"/>
    <d v="2024-10-08T00:00:00"/>
    <n v="0"/>
    <s v="NOT ACHIEVED"/>
    <x v="3"/>
    <s v="United Kingdom"/>
    <s v="London"/>
    <s v="Europe &gt; United Kingdom &gt; London"/>
    <s v="Corporate"/>
    <s v="Online"/>
    <s v="Online"/>
    <x v="11"/>
    <s v="Monitors"/>
    <s v="High"/>
    <s v="MON-9733"/>
    <n v="1108.1099999999999"/>
    <n v="2503.79"/>
    <n v="2503.79"/>
    <x v="9"/>
    <s v="OK"/>
    <n v="0.184"/>
    <n v="19"/>
    <n v="38818.760160000005"/>
    <n v="21054.089999999997"/>
    <n v="17764.670160000009"/>
    <n v="0.45763105485025896"/>
    <d v="2023-01-02T00:00:00"/>
    <s v="Jan-2023"/>
    <n v="0"/>
    <n v="0"/>
    <n v="0"/>
  </r>
  <r>
    <s v="ORD-2023-667815"/>
    <d v="2023-10-21T00:00:00"/>
    <s v="Oct-2023"/>
    <s v="2023-Q4"/>
    <d v="2023-11-09T00:00:00"/>
    <n v="19"/>
    <s v="ACHIEVED"/>
    <x v="3"/>
    <s v="United Kingdom"/>
    <s v="London"/>
    <s v="Europe &gt; United Kingdom &gt; London"/>
    <s v="Non-Profit"/>
    <s v="Direct"/>
    <s v="Direct"/>
    <x v="1"/>
    <s v="Accessories"/>
    <s v="High"/>
    <s v="ACC-8557"/>
    <n v="1142.48"/>
    <n v="2105.5300000000002"/>
    <n v="2105.5300000000002"/>
    <x v="80"/>
    <s v="OK"/>
    <n v="0.20699999999999999"/>
    <n v="14"/>
    <n v="23375.594060000003"/>
    <n v="15994.720000000001"/>
    <n v="7380.8740600000019"/>
    <n v="0.31575129346680658"/>
    <d v="2023-01-02T00:00:00"/>
    <s v="Jan-2023"/>
    <n v="0"/>
    <n v="0"/>
    <n v="0"/>
  </r>
  <r>
    <s v="ORD-2023-375011"/>
    <d v="2023-08-23T00:00:00"/>
    <s v="Aug-2023"/>
    <s v="2023-Q3"/>
    <d v="2023-09-22T00:00:00"/>
    <n v="30"/>
    <s v="ACHIEVED"/>
    <x v="3"/>
    <s v="United Kingdom"/>
    <s v="London"/>
    <s v="Europe &gt; United Kingdom &gt; London"/>
    <s v="Consumer"/>
    <s v="Distributor"/>
    <s v="Distributor"/>
    <x v="7"/>
    <s v="Accessories"/>
    <s v="Low"/>
    <s v="ACC-1492"/>
    <n v="209.81"/>
    <n v="523"/>
    <n v="523"/>
    <x v="193"/>
    <s v="OK"/>
    <n v="5.8999999999999997E-2"/>
    <n v="15"/>
    <n v="7382.1450000000004"/>
    <n v="3147.15"/>
    <n v="4234.9950000000008"/>
    <n v="0.57368082041195356"/>
    <d v="2023-01-02T00:00:00"/>
    <s v="Jan-2023"/>
    <n v="0"/>
    <n v="0"/>
    <n v="0"/>
  </r>
  <r>
    <s v="ORD-2025-278048"/>
    <d v="2025-06-22T00:00:00"/>
    <s v="Jun-2025"/>
    <s v="2025-Q2"/>
    <d v="2025-07-08T00:00:00"/>
    <n v="16"/>
    <s v="ACHIEVED"/>
    <x v="3"/>
    <s v="United Kingdom"/>
    <s v="London"/>
    <s v="Europe &gt; United Kingdom &gt; London"/>
    <s v="Education"/>
    <s v="Direct"/>
    <s v="Direct"/>
    <x v="1"/>
    <s v="Phones"/>
    <s v="Medium"/>
    <s v="PHN-5316"/>
    <n v="892.73"/>
    <n v="979.84"/>
    <n v="979.84"/>
    <x v="128"/>
    <s v="OK"/>
    <n v="0.17399999999999999"/>
    <n v="10"/>
    <n v="8093.4784"/>
    <n v="8927.2999999999993"/>
    <n v="-833.82159999999931"/>
    <n v="-0.10302388649112838"/>
    <d v="2023-01-02T00:00:00"/>
    <s v="Jan-2023"/>
    <n v="0"/>
    <n v="0"/>
    <n v="0"/>
  </r>
  <r>
    <s v="ORD-2024-165942"/>
    <d v="2024-12-29T00:00:00"/>
    <s v="Dec-2024"/>
    <s v="2024-Q4"/>
    <d v="2025-01-12T00:00:00"/>
    <n v="14"/>
    <s v="ACHIEVED"/>
    <x v="3"/>
    <s v="United Kingdom"/>
    <s v="Manchester"/>
    <s v="Europe &gt; United Kingdom &gt; Manchester"/>
    <s v="Corporate"/>
    <s v="Direct"/>
    <s v="Direct"/>
    <x v="6"/>
    <s v="Monitors"/>
    <s v="High"/>
    <s v="MON-6310"/>
    <n v="1399.72"/>
    <n v="3149.21"/>
    <n v="3149.21"/>
    <x v="163"/>
    <s v="OK"/>
    <n v="0.185"/>
    <n v="12"/>
    <n v="30799.273800000003"/>
    <n v="16796.64"/>
    <n v="14002.633800000003"/>
    <n v="0.45464168703873797"/>
    <d v="2023-01-02T00:00:00"/>
    <s v="Jan-2023"/>
    <n v="0"/>
    <n v="0"/>
    <n v="0"/>
  </r>
  <r>
    <s v="ORD-2024-925626"/>
    <d v="2024-11-04T00:00:00"/>
    <s v="Nov-2024"/>
    <s v="2024-Q4"/>
    <d v="2024-11-05T00:00:00"/>
    <n v="1"/>
    <s v="NOT ACHIEVED"/>
    <x v="3"/>
    <s v="United Kingdom"/>
    <s v="London"/>
    <s v="Europe &gt; United Kingdom &gt; London"/>
    <s v="Corporate"/>
    <s v="Retail"/>
    <s v="Retail"/>
    <x v="13"/>
    <s v="Printers"/>
    <s v="Medium"/>
    <s v="PRN-2293"/>
    <n v="840.68"/>
    <n v="1493.53"/>
    <n v="1493.53"/>
    <x v="3"/>
    <s v="OK"/>
    <n v="0"/>
    <n v="27"/>
    <n v="40325.31"/>
    <n v="22698.359999999997"/>
    <n v="17626.95"/>
    <n v="0.43711877230454027"/>
    <d v="2023-01-02T00:00:00"/>
    <s v="Jan-2023"/>
    <n v="0"/>
    <n v="0"/>
    <n v="0"/>
  </r>
  <r>
    <s v="ORD-2025-737787"/>
    <d v="2025-09-14T00:00:00"/>
    <s v="Sep-2025"/>
    <s v="2025-Q3"/>
    <d v="2025-09-26T00:00:00"/>
    <n v="12"/>
    <s v="ACHIEVED"/>
    <x v="3"/>
    <s v="United Kingdom"/>
    <s v="London"/>
    <s v="Europe &gt; United Kingdom &gt; London"/>
    <s v="Small Business"/>
    <s v="Direct"/>
    <s v="Direct"/>
    <x v="5"/>
    <s v="Networking"/>
    <s v="Medium"/>
    <s v="NET-9003"/>
    <n v="425.15"/>
    <n v="885.92"/>
    <n v="885.92"/>
    <x v="127"/>
    <s v="OK"/>
    <n v="0.23899999999999999"/>
    <n v="13"/>
    <n v="8764.4065599999994"/>
    <n v="5526.95"/>
    <n v="3237.4565599999996"/>
    <n v="0.3693868532725848"/>
    <d v="2023-01-02T00:00:00"/>
    <s v="Jan-2023"/>
    <n v="0"/>
    <n v="0"/>
    <n v="0"/>
  </r>
  <r>
    <s v="ORD-2023-181257"/>
    <d v="2023-11-15T00:00:00"/>
    <s v="Nov-2023"/>
    <s v="2023-Q4"/>
    <d v="2023-12-06T00:00:00"/>
    <n v="21"/>
    <s v="ACHIEVED"/>
    <x v="3"/>
    <s v="United Kingdom"/>
    <s v="Manchester"/>
    <s v="Europe &gt; United Kingdom &gt; Manchester"/>
    <s v="Education"/>
    <s v="Direct"/>
    <s v="Direct"/>
    <x v="15"/>
    <s v="Accessories"/>
    <s v="Medium"/>
    <s v="ACC-1060"/>
    <n v="1184.99"/>
    <n v="1154.3399999999999"/>
    <n v="1154.3399999999999"/>
    <x v="74"/>
    <s v="OK"/>
    <n v="2.8000000000000001E-2"/>
    <n v="5"/>
    <n v="5610.0923999999995"/>
    <n v="5924.95"/>
    <n v="-314.85760000000028"/>
    <n v="-5.6123424990290764E-2"/>
    <d v="2023-01-02T00:00:00"/>
    <s v="Jan-2023"/>
    <n v="0"/>
    <n v="0"/>
    <n v="0"/>
  </r>
  <r>
    <s v="ORD-2023-735274"/>
    <d v="2023-02-23T00:00:00"/>
    <s v="Feb-2023"/>
    <s v="2023-Q1"/>
    <d v="2023-03-08T00:00:00"/>
    <n v="13"/>
    <s v="ACHIEVED"/>
    <x v="3"/>
    <s v="United Kingdom"/>
    <s v="Manchester"/>
    <s v="Europe &gt; United Kingdom &gt; Manchester"/>
    <s v="Small Business"/>
    <s v="Direct"/>
    <s v="Direct"/>
    <x v="0"/>
    <s v="Printers"/>
    <s v="Low"/>
    <s v="PRN-7410"/>
    <n v="307.37"/>
    <n v="462.61"/>
    <n v="462.61"/>
    <x v="117"/>
    <s v="OK"/>
    <n v="0.188"/>
    <n v="11"/>
    <n v="4132.0325200000007"/>
    <n v="3381.07"/>
    <n v="750.9625200000005"/>
    <n v="0.18174167709599739"/>
    <d v="2023-01-02T00:00:00"/>
    <s v="Jan-2023"/>
    <n v="0"/>
    <n v="0"/>
    <n v="0"/>
  </r>
  <r>
    <s v="ORD-2024-921935"/>
    <d v="2024-01-01T00:00:00"/>
    <s v="Jan-2024"/>
    <s v="2024-Q1"/>
    <d v="2024-01-27T00:00:00"/>
    <n v="26"/>
    <s v="ACHIEVED"/>
    <x v="3"/>
    <s v="United Kingdom"/>
    <s v="Manchester"/>
    <s v="Europe &gt; United Kingdom &gt; Manchester"/>
    <s v="Education"/>
    <s v="Distributor"/>
    <s v="Distributor"/>
    <x v="14"/>
    <s v="Accessories"/>
    <s v="Medium"/>
    <s v="ACC-3103"/>
    <n v="657.45"/>
    <n v="1325.96"/>
    <n v="1325.96"/>
    <x v="198"/>
    <s v="OK"/>
    <n v="0.16700000000000001"/>
    <n v="21"/>
    <n v="23195.01828"/>
    <n v="13806.45"/>
    <n v="9388.5682799999995"/>
    <n v="0.40476658249048808"/>
    <d v="2023-01-02T00:00:00"/>
    <s v="Jan-2023"/>
    <n v="0"/>
    <n v="0"/>
    <n v="0"/>
  </r>
  <r>
    <s v="ORD-2024-704056"/>
    <d v="2024-06-23T00:00:00"/>
    <s v="Jun-2024"/>
    <s v="2024-Q2"/>
    <d v="2024-06-25T00:00:00"/>
    <n v="2"/>
    <s v="NOT ACHIEVED"/>
    <x v="3"/>
    <s v="United Kingdom"/>
    <s v="Birmingham"/>
    <s v="Europe &gt; United Kingdom &gt; Birmingham"/>
    <s v="Small Business"/>
    <s v="Marketplace"/>
    <s v="Marketplace"/>
    <x v="10"/>
    <s v="Accessories"/>
    <s v="High"/>
    <s v="ACC-7838"/>
    <n v="951.44"/>
    <n v="1646.43"/>
    <n v="1646.43"/>
    <x v="176"/>
    <s v="OK"/>
    <n v="0.11"/>
    <n v="24"/>
    <n v="35167.7448"/>
    <n v="22834.560000000001"/>
    <n v="12333.184799999999"/>
    <n v="0.35069592520473475"/>
    <d v="2023-01-02T00:00:00"/>
    <s v="Jan-2023"/>
    <n v="0"/>
    <n v="0"/>
    <n v="0"/>
  </r>
  <r>
    <s v="ORD-2025-591006"/>
    <d v="2025-06-25T00:00:00"/>
    <s v="Jun-2025"/>
    <s v="2025-Q2"/>
    <d v="2025-07-10T00:00:00"/>
    <n v="15"/>
    <s v="ACHIEVED"/>
    <x v="3"/>
    <s v="United Kingdom"/>
    <s v="Birmingham"/>
    <s v="Europe &gt; United Kingdom &gt; Birmingham"/>
    <s v="Non-Profit"/>
    <s v="Marketplace"/>
    <s v="Marketplace"/>
    <x v="14"/>
    <s v="Phones"/>
    <s v="Low"/>
    <s v="PHN-5383"/>
    <n v="546.83000000000004"/>
    <n v="400.84"/>
    <n v="400.84"/>
    <x v="199"/>
    <s v="OK"/>
    <n v="7.8E-2"/>
    <n v="13"/>
    <n v="4804.4682400000002"/>
    <n v="7108.7900000000009"/>
    <n v="-2304.3217600000007"/>
    <n v="-0.47962056254533608"/>
    <d v="2023-01-02T00:00:00"/>
    <s v="Jan-2023"/>
    <n v="0"/>
    <n v="0"/>
    <n v="0"/>
  </r>
  <r>
    <s v="ORD-2023-386663"/>
    <d v="2023-06-05T00:00:00"/>
    <s v="Jun-2023"/>
    <s v="2023-Q2"/>
    <d v="2023-06-28T00:00:00"/>
    <n v="23"/>
    <s v="ACHIEVED"/>
    <x v="3"/>
    <s v="United Kingdom"/>
    <s v="Birmingham"/>
    <s v="Europe &gt; United Kingdom &gt; Birmingham"/>
    <s v="Corporate"/>
    <s v="Direct"/>
    <s v="Direct"/>
    <x v="3"/>
    <s v="Printers"/>
    <s v="Low"/>
    <s v="PRN-3690"/>
    <n v="605.82000000000005"/>
    <n v="771.12"/>
    <n v="771.12"/>
    <x v="43"/>
    <s v="OK"/>
    <n v="0.13200000000000001"/>
    <n v="19"/>
    <n v="12717.311040000001"/>
    <n v="11510.580000000002"/>
    <n v="1206.7310399999988"/>
    <n v="9.4888851597986767E-2"/>
    <d v="2023-01-02T00:00:00"/>
    <s v="Jan-2023"/>
    <n v="0"/>
    <n v="0"/>
    <n v="0"/>
  </r>
  <r>
    <s v="ORD-2025-269934"/>
    <d v="2025-04-04T00:00:00"/>
    <s v="Apr-2025"/>
    <s v="2025-Q2"/>
    <d v="2025-04-10T00:00:00"/>
    <n v="6"/>
    <s v="NOT ACHIEVED"/>
    <x v="3"/>
    <s v="United Kingdom"/>
    <s v="Birmingham"/>
    <s v="Europe &gt; United Kingdom &gt; Birmingham"/>
    <s v="Non-Profit"/>
    <s v="Direct"/>
    <s v="Direct"/>
    <x v="5"/>
    <s v="Printers"/>
    <s v="Low"/>
    <s v="PRN-8657"/>
    <n v="290.14"/>
    <n v="250.73"/>
    <n v="250.73"/>
    <x v="149"/>
    <s v="OK"/>
    <n v="3.4000000000000002E-2"/>
    <n v="17"/>
    <n v="4117.4880599999997"/>
    <n v="4932.38"/>
    <n v="-814.89194000000043"/>
    <n v="-0.19790997038131072"/>
    <d v="2023-01-02T00:00:00"/>
    <s v="Jan-2023"/>
    <n v="0"/>
    <n v="0"/>
    <n v="0"/>
  </r>
  <r>
    <s v="ORD-2025-192876"/>
    <d v="2025-01-31T00:00:00"/>
    <s v="Jan-2025"/>
    <s v="2025-Q1"/>
    <d v="2025-02-17T00:00:00"/>
    <n v="17"/>
    <s v="ACHIEVED"/>
    <x v="3"/>
    <s v="United Kingdom"/>
    <s v="London"/>
    <s v="Europe &gt; United Kingdom &gt; London"/>
    <s v="Enterprise"/>
    <s v="Retail"/>
    <s v="Retail"/>
    <x v="15"/>
    <s v="Components"/>
    <s v="Low"/>
    <s v="CMP-5820"/>
    <n v="378.26"/>
    <n v="541.55999999999995"/>
    <n v="541.55999999999995"/>
    <x v="186"/>
    <s v="OK"/>
    <n v="0.16300000000000001"/>
    <n v="25"/>
    <n v="11332.142999999998"/>
    <n v="9456.5"/>
    <n v="1875.6429999999982"/>
    <n v="0.16551529573885526"/>
    <d v="2023-01-02T00:00:00"/>
    <s v="Jan-2023"/>
    <n v="0"/>
    <n v="0"/>
    <n v="0"/>
  </r>
  <r>
    <s v="ORD-2025-789245"/>
    <d v="2025-07-23T00:00:00"/>
    <s v="Jul-2025"/>
    <s v="2025-Q3"/>
    <d v="2025-08-17T00:00:00"/>
    <n v="25"/>
    <s v="ACHIEVED"/>
    <x v="3"/>
    <s v="United Kingdom"/>
    <s v="Birmingham"/>
    <s v="Europe &gt; United Kingdom &gt; Birmingham"/>
    <s v="Education"/>
    <s v="Online"/>
    <s v="Online"/>
    <x v="12"/>
    <s v="Printers"/>
    <s v="Medium"/>
    <s v="PRN-5876"/>
    <n v="1142.06"/>
    <n v="1455"/>
    <n v="1455"/>
    <x v="199"/>
    <s v="OK"/>
    <n v="7.8E-2"/>
    <n v="28"/>
    <n v="37562.28"/>
    <n v="31977.68"/>
    <n v="5584.5999999999985"/>
    <n v="0.1486757459877302"/>
    <d v="2023-01-02T00:00:00"/>
    <s v="Jan-2023"/>
    <n v="0"/>
    <n v="0"/>
    <n v="0"/>
  </r>
  <r>
    <s v="ORD-2023-927385"/>
    <d v="2023-05-29T00:00:00"/>
    <s v="May-2023"/>
    <s v="2023-Q2"/>
    <d v="2023-06-20T00:00:00"/>
    <n v="22"/>
    <s v="ACHIEVED"/>
    <x v="3"/>
    <s v="United Kingdom"/>
    <s v="London"/>
    <s v="Europe &gt; United Kingdom &gt; London"/>
    <s v="Small Business"/>
    <s v="Direct"/>
    <s v="Direct"/>
    <x v="3"/>
    <s v="Components"/>
    <s v="High"/>
    <s v="CMP-8545"/>
    <n v="1295.3900000000001"/>
    <n v="2905.06"/>
    <n v="2905.06"/>
    <x v="99"/>
    <s v="OK"/>
    <n v="0.14799999999999999"/>
    <n v="8"/>
    <n v="19800.88896"/>
    <n v="10363.120000000001"/>
    <n v="9437.7689599999994"/>
    <n v="0.47663359857556614"/>
    <d v="2023-01-02T00:00:00"/>
    <s v="Jan-2023"/>
    <n v="0"/>
    <n v="0"/>
    <n v="0"/>
  </r>
  <r>
    <s v="ORD-2023-659070"/>
    <d v="2023-10-21T00:00:00"/>
    <s v="Oct-2023"/>
    <s v="2023-Q4"/>
    <d v="2023-10-21T00:00:00"/>
    <n v="0"/>
    <s v="NOT ACHIEVED"/>
    <x v="3"/>
    <s v="United Kingdom"/>
    <s v="Manchester"/>
    <s v="Europe &gt; United Kingdom &gt; Manchester"/>
    <s v="Enterprise"/>
    <s v="Distributor"/>
    <s v="Distributor"/>
    <x v="2"/>
    <s v="Monitors"/>
    <s v="Low"/>
    <s v="MON-8697"/>
    <n v="384.19"/>
    <n v="278.35000000000002"/>
    <n v="278.35000000000002"/>
    <x v="60"/>
    <s v="OK"/>
    <n v="5.6000000000000001E-2"/>
    <n v="10"/>
    <n v="2627.6239999999998"/>
    <n v="3841.9"/>
    <n v="-1214.2760000000003"/>
    <n v="-0.46211938998882657"/>
    <d v="2023-01-02T00:00:00"/>
    <s v="Jan-2023"/>
    <n v="0"/>
    <n v="0"/>
    <n v="0"/>
  </r>
  <r>
    <s v="ORD-2023-780206"/>
    <d v="2023-01-19T00:00:00"/>
    <s v="Jan-2023"/>
    <s v="2023-Q1"/>
    <d v="2023-02-03T00:00:00"/>
    <n v="15"/>
    <s v="ACHIEVED"/>
    <x v="3"/>
    <s v="United Kingdom"/>
    <s v="London"/>
    <s v="Europe &gt; United Kingdom &gt; London"/>
    <s v="Enterprise"/>
    <s v="Distributor"/>
    <s v="Distributor"/>
    <x v="4"/>
    <s v="Accessories"/>
    <s v="High"/>
    <s v="ACC-3645"/>
    <n v="873.06"/>
    <n v="2101.5500000000002"/>
    <n v="2101.5500000000002"/>
    <x v="102"/>
    <s v="OK"/>
    <n v="6.6000000000000003E-2"/>
    <n v="10"/>
    <n v="19628.476999999999"/>
    <n v="8730.5999999999985"/>
    <n v="10897.877"/>
    <n v="0.55520746719167269"/>
    <d v="2023-01-02T00:00:00"/>
    <s v="Jan-2023"/>
    <n v="0"/>
    <n v="0"/>
    <n v="0"/>
  </r>
  <r>
    <s v="ORD-2024-641220"/>
    <d v="2024-05-10T00:00:00"/>
    <s v="May-2024"/>
    <s v="2024-Q2"/>
    <d v="2024-05-16T00:00:00"/>
    <n v="6"/>
    <s v="NOT ACHIEVED"/>
    <x v="3"/>
    <s v="United Kingdom"/>
    <s v="Birmingham"/>
    <s v="Europe &gt; United Kingdom &gt; Birmingham"/>
    <s v="Non-Profit"/>
    <s v="Direct"/>
    <s v="Direct"/>
    <x v="4"/>
    <s v="Laptops"/>
    <s v="Low"/>
    <s v="LAP-1066"/>
    <n v="210.76"/>
    <n v="221.58"/>
    <n v="221.58"/>
    <x v="51"/>
    <s v="OK"/>
    <n v="8.8999999999999996E-2"/>
    <n v="5"/>
    <n v="1009.2969000000002"/>
    <n v="1053.8"/>
    <n v="-44.50309999999979"/>
    <n v="-4.4093170205912434E-2"/>
    <d v="2023-01-02T00:00:00"/>
    <s v="Jan-2023"/>
    <n v="0"/>
    <n v="0"/>
    <n v="0"/>
  </r>
  <r>
    <s v="ORD-2023-569862"/>
    <d v="2023-07-16T00:00:00"/>
    <s v="Jul-2023"/>
    <s v="2023-Q3"/>
    <d v="2023-08-13T00:00:00"/>
    <n v="28"/>
    <s v="ACHIEVED"/>
    <x v="3"/>
    <s v="United Kingdom"/>
    <s v="Manchester"/>
    <s v="Europe &gt; United Kingdom &gt; Manchester"/>
    <s v="Non-Profit"/>
    <s v="Online"/>
    <s v="Online"/>
    <x v="2"/>
    <s v="Laptops"/>
    <s v="High"/>
    <s v="LAP-1178"/>
    <n v="1039.03"/>
    <n v="2545.81"/>
    <n v="2545.81"/>
    <x v="27"/>
    <s v="OK"/>
    <n v="0.216"/>
    <n v="21"/>
    <n v="41914.215840000004"/>
    <n v="21819.63"/>
    <n v="20094.585840000003"/>
    <n v="0.47942172929364774"/>
    <d v="2023-01-02T00:00:00"/>
    <s v="Jan-2023"/>
    <n v="0"/>
    <n v="0"/>
    <n v="0"/>
  </r>
  <r>
    <s v="ORD-2024-973420"/>
    <d v="2024-05-12T00:00:00"/>
    <s v="May-2024"/>
    <s v="2024-Q2"/>
    <d v="2024-05-24T00:00:00"/>
    <n v="12"/>
    <s v="ACHIEVED"/>
    <x v="3"/>
    <s v="United Kingdom"/>
    <s v="Manchester"/>
    <s v="Europe &gt; United Kingdom &gt; Manchester"/>
    <s v="Education"/>
    <s v="Marketplace"/>
    <s v="Marketplace"/>
    <x v="3"/>
    <s v="Printers"/>
    <s v="Low"/>
    <s v="PRN-5813"/>
    <n v="111.02"/>
    <n v="172.88"/>
    <n v="172.88"/>
    <x v="95"/>
    <s v="OK"/>
    <n v="0.19700000000000001"/>
    <n v="29"/>
    <n v="4025.8565599999993"/>
    <n v="3219.58"/>
    <n v="806.27655999999934"/>
    <n v="0.20027453735212053"/>
    <d v="2023-01-02T00:00:00"/>
    <s v="Jan-2023"/>
    <n v="0"/>
    <n v="0"/>
    <n v="0"/>
  </r>
  <r>
    <s v="ORD-2024-728474"/>
    <d v="2024-09-09T00:00:00"/>
    <s v="Sep-2024"/>
    <s v="2024-Q3"/>
    <d v="2024-09-13T00:00:00"/>
    <n v="4"/>
    <s v="NOT ACHIEVED"/>
    <x v="3"/>
    <s v="United Kingdom"/>
    <s v="London"/>
    <s v="Europe &gt; United Kingdom &gt; London"/>
    <s v="Consumer"/>
    <s v="Marketplace"/>
    <s v="Marketplace"/>
    <x v="8"/>
    <s v="Networking"/>
    <s v="Medium"/>
    <s v="NET-1145"/>
    <n v="1133.08"/>
    <n v="976.17"/>
    <n v="976.17"/>
    <x v="41"/>
    <s v="OK"/>
    <n v="4.2000000000000003E-2"/>
    <n v="27"/>
    <n v="25249.613219999999"/>
    <n v="30593.159999999996"/>
    <n v="-5343.5467799999969"/>
    <n v="-0.21162885678452373"/>
    <d v="2023-01-02T00:00:00"/>
    <s v="Jan-2023"/>
    <n v="0"/>
    <n v="0"/>
    <n v="0"/>
  </r>
  <r>
    <s v="ORD-2024-567435"/>
    <d v="2024-04-26T00:00:00"/>
    <s v="Apr-2024"/>
    <s v="2024-Q2"/>
    <d v="2024-05-01T00:00:00"/>
    <n v="5"/>
    <s v="NOT ACHIEVED"/>
    <x v="3"/>
    <s v="United Kingdom"/>
    <s v="London"/>
    <s v="Europe &gt; United Kingdom &gt; London"/>
    <s v="Non-Profit"/>
    <s v="Distributor"/>
    <s v="Distributor"/>
    <x v="5"/>
    <s v="Phones"/>
    <s v="Medium"/>
    <s v="PHN-9107"/>
    <n v="1232.77"/>
    <n v="891.73"/>
    <n v="891.73"/>
    <x v="198"/>
    <s v="OK"/>
    <n v="0.16700000000000001"/>
    <n v="10"/>
    <n v="7428.1108999999988"/>
    <n v="12327.7"/>
    <n v="-4899.589100000002"/>
    <n v="-0.65960096260813805"/>
    <d v="2023-01-02T00:00:00"/>
    <s v="Jan-2023"/>
    <n v="0"/>
    <n v="0"/>
    <n v="0"/>
  </r>
  <r>
    <s v="ORD-2024-964950"/>
    <d v="2024-10-10T00:00:00"/>
    <s v="Oct-2024"/>
    <s v="2024-Q4"/>
    <d v="2024-10-11T00:00:00"/>
    <n v="1"/>
    <s v="NOT ACHIEVED"/>
    <x v="3"/>
    <s v="United Kingdom"/>
    <s v="Manchester"/>
    <s v="Europe &gt; United Kingdom &gt; Manchester"/>
    <s v="Non-Profit"/>
    <s v="Distributor"/>
    <s v="Distributor"/>
    <x v="10"/>
    <s v="Components"/>
    <s v="High"/>
    <s v="CMP-8127"/>
    <n v="1389.46"/>
    <n v="1784.7"/>
    <n v="1784.7"/>
    <x v="139"/>
    <s v="OK"/>
    <n v="0.14599999999999999"/>
    <n v="33"/>
    <n v="50296.415399999998"/>
    <n v="45852.18"/>
    <n v="4444.2353999999978"/>
    <n v="8.8360877503011831E-2"/>
    <d v="2023-01-02T00:00:00"/>
    <s v="Jan-2023"/>
    <n v="0"/>
    <n v="0"/>
    <n v="0"/>
  </r>
  <r>
    <s v="ORD-2024-140633"/>
    <d v="2024-12-07T00:00:00"/>
    <s v="Dec-2024"/>
    <s v="2024-Q4"/>
    <d v="2024-12-26T00:00:00"/>
    <n v="19"/>
    <s v="ACHIEVED"/>
    <x v="3"/>
    <s v="United Kingdom"/>
    <s v="London"/>
    <s v="Europe &gt; United Kingdom &gt; London"/>
    <s v="Enterprise"/>
    <s v="Online"/>
    <s v="Online"/>
    <x v="14"/>
    <s v="Networking"/>
    <s v="High"/>
    <s v="NET-4491"/>
    <n v="1035.24"/>
    <n v="2383.41"/>
    <n v="2383.41"/>
    <x v="38"/>
    <s v="OK"/>
    <n v="0.17"/>
    <n v="15"/>
    <n v="29673.454499999993"/>
    <n v="15528.6"/>
    <n v="14144.854499999992"/>
    <n v="0.47668378145860962"/>
    <d v="2023-01-02T00:00:00"/>
    <s v="Jan-2023"/>
    <n v="0"/>
    <n v="0"/>
    <n v="0"/>
  </r>
  <r>
    <s v="ORD-2025-659650"/>
    <d v="2025-02-04T00:00:00"/>
    <s v="Feb-2025"/>
    <s v="2025-Q1"/>
    <d v="2025-02-08T00:00:00"/>
    <n v="4"/>
    <s v="NOT ACHIEVED"/>
    <x v="3"/>
    <s v="United Kingdom"/>
    <s v="Manchester"/>
    <s v="Europe &gt; United Kingdom &gt; Manchester"/>
    <s v="Enterprise"/>
    <s v="Marketplace"/>
    <s v="Marketplace"/>
    <x v="10"/>
    <s v="Networking"/>
    <s v="Low"/>
    <s v="NET-2502"/>
    <n v="586.21"/>
    <n v="727.22"/>
    <n v="727.22"/>
    <x v="141"/>
    <s v="OK"/>
    <n v="6.8000000000000005E-2"/>
    <n v="15"/>
    <n v="10166.535600000001"/>
    <n v="8793.1500000000015"/>
    <n v="1373.3855999999996"/>
    <n v="0.13508884973559721"/>
    <d v="2023-01-02T00:00:00"/>
    <s v="Jan-2023"/>
    <n v="0"/>
    <n v="0"/>
    <n v="0"/>
  </r>
  <r>
    <s v="ORD-2024-207669"/>
    <d v="2024-01-24T00:00:00"/>
    <s v="Jan-2024"/>
    <s v="2024-Q1"/>
    <d v="2024-02-04T00:00:00"/>
    <n v="11"/>
    <s v="ACHIEVED"/>
    <x v="3"/>
    <s v="United Kingdom"/>
    <s v="Manchester"/>
    <s v="Europe &gt; United Kingdom &gt; Manchester"/>
    <s v="Consumer"/>
    <s v="Retail"/>
    <s v="Retail"/>
    <x v="6"/>
    <s v="Laptops"/>
    <s v="Medium"/>
    <s v="LAP-5689"/>
    <n v="525.34"/>
    <n v="1233.79"/>
    <n v="1233.79"/>
    <x v="82"/>
    <s v="OK"/>
    <n v="0.14299999999999999"/>
    <n v="4"/>
    <n v="4229.4321199999995"/>
    <n v="2101.36"/>
    <n v="2128.0721199999994"/>
    <n v="0.50315788494082736"/>
    <d v="2023-01-02T00:00:00"/>
    <s v="Jan-2023"/>
    <n v="0"/>
    <n v="0"/>
    <n v="0"/>
  </r>
  <r>
    <s v="ORD-2023-173313"/>
    <d v="2023-06-15T00:00:00"/>
    <s v="Jun-2023"/>
    <s v="2023-Q2"/>
    <d v="2023-07-12T00:00:00"/>
    <n v="27"/>
    <s v="ACHIEVED"/>
    <x v="3"/>
    <s v="United Kingdom"/>
    <s v="Manchester"/>
    <s v="Europe &gt; United Kingdom &gt; Manchester"/>
    <s v="Consumer"/>
    <s v="Direct"/>
    <s v="Direct"/>
    <x v="12"/>
    <s v="Accessories"/>
    <s v="Medium"/>
    <s v="ACC-3833"/>
    <n v="751.28"/>
    <n v="1111.8800000000001"/>
    <n v="1111.8800000000001"/>
    <x v="28"/>
    <s v="OK"/>
    <n v="0.13500000000000001"/>
    <n v="7"/>
    <n v="6732.4334000000008"/>
    <n v="5258.96"/>
    <n v="1473.4734000000008"/>
    <n v="0.21886193482433863"/>
    <d v="2023-01-02T00:00:00"/>
    <s v="Jan-2023"/>
    <n v="0"/>
    <n v="0"/>
    <n v="0"/>
  </r>
  <r>
    <s v="ORD-2024-496601"/>
    <d v="2024-11-11T00:00:00"/>
    <s v="Nov-2024"/>
    <s v="2024-Q4"/>
    <d v="2024-11-24T00:00:00"/>
    <n v="13"/>
    <s v="ACHIEVED"/>
    <x v="3"/>
    <s v="United Kingdom"/>
    <s v="London"/>
    <s v="Europe &gt; United Kingdom &gt; London"/>
    <s v="Corporate"/>
    <s v="Retail"/>
    <s v="Retail"/>
    <x v="11"/>
    <s v="Networking"/>
    <s v="Low"/>
    <s v="NET-2932"/>
    <n v="164.53"/>
    <n v="327.72"/>
    <n v="327.72"/>
    <x v="213"/>
    <s v="OK"/>
    <n v="6.7000000000000004E-2"/>
    <n v="14"/>
    <n v="4280.6786400000001"/>
    <n v="2303.42"/>
    <n v="1977.25864"/>
    <n v="0.46190307805960412"/>
    <d v="2023-01-02T00:00:00"/>
    <s v="Jan-2023"/>
    <n v="0"/>
    <n v="0"/>
    <n v="0"/>
  </r>
  <r>
    <s v="ORD-2024-907733"/>
    <d v="2024-03-09T00:00:00"/>
    <s v="Mar-2024"/>
    <s v="2024-Q1"/>
    <d v="2024-03-22T00:00:00"/>
    <n v="13"/>
    <s v="ACHIEVED"/>
    <x v="3"/>
    <s v="United Kingdom"/>
    <s v="Manchester"/>
    <s v="Europe &gt; United Kingdom &gt; Manchester"/>
    <s v="Consumer"/>
    <s v="Online"/>
    <s v="Online"/>
    <x v="11"/>
    <s v="Laptops"/>
    <s v="High"/>
    <s v="LAP-8633"/>
    <n v="985.45"/>
    <n v="1802.44"/>
    <n v="1802.44"/>
    <x v="91"/>
    <s v="OK"/>
    <n v="8.9999999999999993E-3"/>
    <n v="19"/>
    <n v="33938.142760000002"/>
    <n v="18723.55"/>
    <n v="15214.592760000003"/>
    <n v="0.44830363486867486"/>
    <d v="2023-01-02T00:00:00"/>
    <s v="Jan-2023"/>
    <n v="0"/>
    <n v="0"/>
    <n v="0"/>
  </r>
  <r>
    <s v="ORD-2023-294716"/>
    <d v="2023-04-10T00:00:00"/>
    <s v="Apr-2023"/>
    <s v="2023-Q2"/>
    <d v="2023-04-25T00:00:00"/>
    <n v="15"/>
    <s v="ACHIEVED"/>
    <x v="3"/>
    <s v="United Kingdom"/>
    <s v="London"/>
    <s v="Europe &gt; United Kingdom &gt; London"/>
    <s v="Small Business"/>
    <s v="Retail"/>
    <s v="Retail"/>
    <x v="14"/>
    <s v="Printers"/>
    <s v="Medium"/>
    <s v="PRN-5067"/>
    <n v="405.66"/>
    <n v="962.51"/>
    <n v="962.51"/>
    <x v="46"/>
    <s v="OK"/>
    <n v="0.19"/>
    <n v="7"/>
    <n v="5457.4317000000001"/>
    <n v="2839.6200000000003"/>
    <n v="2617.8116999999997"/>
    <n v="0.47967832561239376"/>
    <d v="2023-01-02T00:00:00"/>
    <s v="Jan-2023"/>
    <n v="0"/>
    <n v="0"/>
    <n v="0"/>
  </r>
  <r>
    <s v="ORD-2024-930679"/>
    <d v="2024-12-17T00:00:00"/>
    <s v="Dec-2024"/>
    <s v="2024-Q4"/>
    <d v="2025-01-16T00:00:00"/>
    <n v="30"/>
    <s v="ACHIEVED"/>
    <x v="3"/>
    <s v="United Kingdom"/>
    <s v="Manchester"/>
    <s v="Europe &gt; United Kingdom &gt; Manchester"/>
    <s v="Corporate"/>
    <s v="Retail"/>
    <s v="Retail"/>
    <x v="14"/>
    <s v="Monitors"/>
    <s v="Low"/>
    <s v="MON-4215"/>
    <n v="722.87"/>
    <n v="0"/>
    <n v="0"/>
    <x v="61"/>
    <s v="OK"/>
    <n v="0.10199999999999999"/>
    <n v="28"/>
    <n v="0"/>
    <n v="20240.36"/>
    <n v="-20240.36"/>
    <n v="0"/>
    <d v="2023-01-02T00:00:00"/>
    <s v="Jan-2023"/>
    <n v="0"/>
    <n v="0"/>
    <n v="0"/>
  </r>
  <r>
    <s v="ORD-2025-150713"/>
    <d v="2025-07-11T00:00:00"/>
    <s v="Jul-2025"/>
    <s v="2025-Q3"/>
    <d v="2025-07-16T00:00:00"/>
    <n v="5"/>
    <s v="NOT ACHIEVED"/>
    <x v="3"/>
    <s v="United Kingdom"/>
    <s v="London"/>
    <s v="Europe &gt; United Kingdom &gt; London"/>
    <s v="Enterprise"/>
    <s v="Online"/>
    <s v="Online"/>
    <x v="3"/>
    <s v="Printers"/>
    <s v="Medium"/>
    <s v="PRN-5753"/>
    <n v="930.03"/>
    <n v="1086.68"/>
    <n v="1086.68"/>
    <x v="4"/>
    <s v="OK"/>
    <n v="0.109"/>
    <n v="26"/>
    <n v="25174.028880000002"/>
    <n v="24180.78"/>
    <n v="993.24888000000283"/>
    <n v="3.9455300728168656E-2"/>
    <d v="2023-01-02T00:00:00"/>
    <s v="Jan-2023"/>
    <n v="0"/>
    <n v="0"/>
    <n v="0"/>
  </r>
  <r>
    <s v="ORD-2024-500109"/>
    <d v="2024-05-18T00:00:00"/>
    <s v="May-2024"/>
    <s v="2024-Q2"/>
    <d v="2024-05-23T00:00:00"/>
    <n v="5"/>
    <s v="NOT ACHIEVED"/>
    <x v="1"/>
    <s v="USA"/>
    <s v="Chicago"/>
    <s v="Americas &gt; USA &gt; Chicago"/>
    <s v="Enterprise"/>
    <s v="Retail"/>
    <s v="Retail"/>
    <x v="15"/>
    <s v="Laptops"/>
    <s v="High"/>
    <s v="LAP-4987"/>
    <n v="1274.5899999999999"/>
    <n v="2553.69"/>
    <n v="2553.69"/>
    <x v="47"/>
    <s v="OK"/>
    <n v="0.01"/>
    <n v="8"/>
    <n v="20225.2248"/>
    <n v="10196.719999999999"/>
    <n v="10028.504800000001"/>
    <n v="0.49584145042481803"/>
    <d v="2023-01-02T00:00:00"/>
    <s v="Jan-2023"/>
    <n v="0"/>
    <n v="0"/>
    <n v="0"/>
  </r>
  <r>
    <s v="ORD-2023-651638"/>
    <d v="2023-06-17T00:00:00"/>
    <s v="Jun-2023"/>
    <s v="2023-Q2"/>
    <d v="2023-06-24T00:00:00"/>
    <n v="7"/>
    <s v="ACHIEVED"/>
    <x v="1"/>
    <s v="USA"/>
    <s v="San Francisco"/>
    <s v="Americas &gt; USA &gt; San Francisco"/>
    <s v="Corporate"/>
    <s v="Retail"/>
    <s v="Retail"/>
    <x v="12"/>
    <s v="Printers"/>
    <s v="Low"/>
    <s v="PRN-6536"/>
    <n v="313.99"/>
    <n v="454.42"/>
    <n v="454.42"/>
    <x v="30"/>
    <s v="OK"/>
    <n v="0.129"/>
    <n v="9"/>
    <n v="3562.1983800000003"/>
    <n v="2825.91"/>
    <n v="736.28838000000042"/>
    <n v="0.20669493988147858"/>
    <d v="2023-01-02T00:00:00"/>
    <s v="Jan-2023"/>
    <n v="0"/>
    <n v="0"/>
    <n v="0"/>
  </r>
  <r>
    <s v="ORD-2025-488349"/>
    <d v="2025-04-23T00:00:00"/>
    <s v="Apr-2025"/>
    <s v="2025-Q2"/>
    <d v="2025-04-28T00:00:00"/>
    <n v="5"/>
    <s v="NOT ACHIEVED"/>
    <x v="1"/>
    <s v="USA"/>
    <s v="San Francisco"/>
    <s v="Americas &gt; USA &gt; San Francisco"/>
    <s v="Non-Profit"/>
    <s v="Distributor"/>
    <s v="Distributor"/>
    <x v="14"/>
    <s v="Monitors"/>
    <s v="Low"/>
    <s v="MON-3371"/>
    <n v="23.24"/>
    <n v="44.57"/>
    <n v="44.57"/>
    <x v="97"/>
    <s v="OK"/>
    <n v="0.215"/>
    <n v="15"/>
    <n v="524.81174999999996"/>
    <n v="348.59999999999997"/>
    <n v="176.21174999999999"/>
    <n v="0.33576182316802167"/>
    <d v="2023-01-02T00:00:00"/>
    <s v="Jan-2023"/>
    <n v="0"/>
    <n v="0"/>
    <n v="0"/>
  </r>
  <r>
    <s v="ORD-2025-649239"/>
    <d v="2025-01-17T00:00:00"/>
    <s v="Jan-2025"/>
    <s v="2025-Q1"/>
    <d v="2025-01-24T00:00:00"/>
    <n v="7"/>
    <s v="ACHIEVED"/>
    <x v="1"/>
    <s v="USA"/>
    <s v="Austin"/>
    <s v="Americas &gt; USA &gt; Austin"/>
    <s v="Enterprise"/>
    <s v="Online"/>
    <s v="Online"/>
    <x v="4"/>
    <s v="Accessories"/>
    <s v="Low"/>
    <s v="ACC-4511"/>
    <n v="142.09"/>
    <n v="218.5"/>
    <n v="218.5"/>
    <x v="116"/>
    <s v="OK"/>
    <n v="0.11899999999999999"/>
    <n v="11"/>
    <n v="2117.4834999999998"/>
    <n v="1562.99"/>
    <n v="554.49349999999981"/>
    <n v="0.26186437816398561"/>
    <d v="2023-01-02T00:00:00"/>
    <s v="Jan-2023"/>
    <n v="0"/>
    <n v="0"/>
    <n v="0"/>
  </r>
  <r>
    <s v="ORD-2024-605518"/>
    <d v="2024-05-30T00:00:00"/>
    <s v="May-2024"/>
    <s v="2024-Q2"/>
    <d v="2024-06-13T00:00:00"/>
    <n v="14"/>
    <s v="ACHIEVED"/>
    <x v="1"/>
    <s v="USA"/>
    <s v="San Francisco"/>
    <s v="Americas &gt; USA &gt; San Francisco"/>
    <s v="Small Business"/>
    <s v="Retail"/>
    <s v="Retail"/>
    <x v="8"/>
    <s v="Phones"/>
    <s v="Low"/>
    <s v="PHN-4356"/>
    <n v="157.78"/>
    <n v="361.1"/>
    <n v="361.1"/>
    <x v="90"/>
    <s v="OK"/>
    <n v="0.187"/>
    <n v="9"/>
    <n v="2642.1686999999997"/>
    <n v="1420.02"/>
    <n v="1222.1486999999997"/>
    <n v="0.46255513510549112"/>
    <d v="2023-01-02T00:00:00"/>
    <s v="Jan-2023"/>
    <n v="0"/>
    <n v="0"/>
    <n v="0"/>
  </r>
  <r>
    <s v="ORD-2023-521818"/>
    <d v="2023-01-22T00:00:00"/>
    <s v="Jan-2023"/>
    <s v="2023-Q1"/>
    <d v="2023-01-30T00:00:00"/>
    <n v="8"/>
    <s v="ACHIEVED"/>
    <x v="1"/>
    <s v="USA"/>
    <s v="San Francisco"/>
    <s v="Americas &gt; USA &gt; San Francisco"/>
    <s v="Small Business"/>
    <s v="Online"/>
    <s v="Online"/>
    <x v="1"/>
    <s v="Networking"/>
    <s v="Medium"/>
    <s v="NET-4155"/>
    <n v="413.52"/>
    <n v="1004.34"/>
    <n v="1004.34"/>
    <x v="40"/>
    <s v="OK"/>
    <n v="0.111"/>
    <n v="18"/>
    <n v="16071.44868"/>
    <n v="7443.36"/>
    <n v="8628.0886800000007"/>
    <n v="0.53685817948304593"/>
    <d v="2023-01-02T00:00:00"/>
    <s v="Jan-2023"/>
    <n v="0"/>
    <n v="0"/>
    <n v="0"/>
  </r>
  <r>
    <s v="ORD-2024-164288"/>
    <d v="2024-12-21T00:00:00"/>
    <s v="Dec-2024"/>
    <s v="2024-Q4"/>
    <d v="2024-12-26T00:00:00"/>
    <n v="5"/>
    <s v="NOT ACHIEVED"/>
    <x v="1"/>
    <s v="USA"/>
    <s v="San Francisco"/>
    <s v="Americas &gt; USA &gt; San Francisco"/>
    <s v="Consumer"/>
    <s v="Marketplace"/>
    <s v="Marketplace"/>
    <x v="13"/>
    <s v="Printers"/>
    <s v="Low"/>
    <s v="PRN-4788"/>
    <n v="699.57"/>
    <n v="572.71"/>
    <n v="572.71"/>
    <x v="173"/>
    <s v="OK"/>
    <n v="0.192"/>
    <n v="26"/>
    <n v="12031.491680000001"/>
    <n v="18188.82"/>
    <n v="-6157.3283199999987"/>
    <n v="-0.51176765805651114"/>
    <d v="2023-01-02T00:00:00"/>
    <s v="Jan-2023"/>
    <n v="0"/>
    <n v="0"/>
    <n v="0"/>
  </r>
  <r>
    <s v="ORD-2023-912395"/>
    <d v="2023-07-26T00:00:00"/>
    <s v="Jul-2023"/>
    <s v="2023-Q3"/>
    <d v="2023-08-25T00:00:00"/>
    <n v="30"/>
    <s v="ACHIEVED"/>
    <x v="1"/>
    <s v="USA"/>
    <s v="New York"/>
    <s v="Americas &gt; USA &gt; New York"/>
    <s v="Consumer"/>
    <s v="Retail"/>
    <s v="Retail"/>
    <x v="13"/>
    <s v="Accessories"/>
    <s v="High"/>
    <s v="ACC-7078"/>
    <n v="1261.48"/>
    <n v="1643.18"/>
    <n v="1643.18"/>
    <x v="113"/>
    <s v="OK"/>
    <n v="0.151"/>
    <n v="23"/>
    <n v="32086.37586"/>
    <n v="29014.04"/>
    <n v="3072.3358599999992"/>
    <n v="9.5752037357079045E-2"/>
    <d v="2023-01-02T00:00:00"/>
    <s v="Jan-2023"/>
    <n v="0"/>
    <n v="0"/>
    <n v="0"/>
  </r>
  <r>
    <s v="ORD-2023-286994"/>
    <d v="2023-02-24T00:00:00"/>
    <s v="Feb-2023"/>
    <s v="2023-Q1"/>
    <d v="2023-03-09T00:00:00"/>
    <n v="13"/>
    <s v="ACHIEVED"/>
    <x v="1"/>
    <s v="USA"/>
    <s v="New York"/>
    <s v="Americas &gt; USA &gt; New York"/>
    <s v="Enterprise"/>
    <s v="Online"/>
    <s v="Online"/>
    <x v="13"/>
    <s v="Components"/>
    <s v="Low"/>
    <s v="CMP-1632"/>
    <n v="6.85"/>
    <n v="10.18"/>
    <n v="10.18"/>
    <x v="85"/>
    <s v="OK"/>
    <n v="4.7E-2"/>
    <n v="10"/>
    <n v="97.0154"/>
    <n v="68.5"/>
    <n v="28.5154"/>
    <n v="0.2939265312517394"/>
    <d v="2023-01-02T00:00:00"/>
    <s v="Jan-2023"/>
    <n v="0"/>
    <n v="0"/>
    <n v="0"/>
  </r>
  <r>
    <s v="ORD-2024-212990"/>
    <d v="2024-08-12T00:00:00"/>
    <s v="Aug-2024"/>
    <s v="2024-Q3"/>
    <d v="2024-09-03T00:00:00"/>
    <n v="22"/>
    <s v="ACHIEVED"/>
    <x v="1"/>
    <s v="USA"/>
    <s v="Austin"/>
    <s v="Americas &gt; USA &gt; Austin"/>
    <s v="Consumer"/>
    <s v="Distributor"/>
    <s v="Distributor"/>
    <x v="12"/>
    <s v="Laptops"/>
    <s v="Medium"/>
    <s v="LAP-7979"/>
    <n v="797.8"/>
    <n v="886.22"/>
    <n v="886.22"/>
    <x v="214"/>
    <s v="OK"/>
    <n v="0.23599999999999999"/>
    <n v="36"/>
    <n v="24374.594880000001"/>
    <n v="28720.799999999999"/>
    <n v="-4346.2051199999987"/>
    <n v="-0.17830881462428633"/>
    <d v="2023-01-02T00:00:00"/>
    <s v="Jan-2023"/>
    <n v="0"/>
    <n v="0"/>
    <n v="0"/>
  </r>
  <r>
    <s v="ORD-2023-177794"/>
    <d v="2023-05-04T00:00:00"/>
    <s v="May-2023"/>
    <s v="2023-Q2"/>
    <d v="2023-05-26T00:00:00"/>
    <n v="22"/>
    <s v="ACHIEVED"/>
    <x v="1"/>
    <s v="USA"/>
    <s v="San Francisco"/>
    <s v="Americas &gt; USA &gt; San Francisco"/>
    <s v="Enterprise"/>
    <s v="Online"/>
    <s v="Online"/>
    <x v="2"/>
    <s v="Networking"/>
    <s v="Low"/>
    <s v="NET-5941"/>
    <n v="249.71"/>
    <n v="361.33"/>
    <n v="361.33"/>
    <x v="2"/>
    <s v="OK"/>
    <n v="9.4E-2"/>
    <n v="12"/>
    <n v="3928.3797600000003"/>
    <n v="2996.52"/>
    <n v="931.85976000000028"/>
    <n v="0.23721223937881206"/>
    <d v="2023-01-02T00:00:00"/>
    <s v="Jan-2023"/>
    <n v="0"/>
    <n v="0"/>
    <n v="0"/>
  </r>
  <r>
    <s v="ORD-2023-382017"/>
    <d v="2023-01-13T00:00:00"/>
    <s v="Jan-2023"/>
    <s v="2023-Q1"/>
    <d v="2023-01-19T00:00:00"/>
    <n v="6"/>
    <s v="NOT ACHIEVED"/>
    <x v="1"/>
    <s v="USA"/>
    <s v="Chicago"/>
    <s v="Americas &gt; USA &gt; Chicago"/>
    <s v="Corporate"/>
    <s v="Direct"/>
    <s v="Direct"/>
    <x v="15"/>
    <s v="Phones"/>
    <s v="Medium"/>
    <s v="PHN-3159"/>
    <n v="833.57"/>
    <n v="881.57"/>
    <n v="881.57"/>
    <x v="15"/>
    <s v="OK"/>
    <n v="5.7000000000000002E-2"/>
    <n v="18"/>
    <n v="14963.769179999999"/>
    <n v="15004.26"/>
    <n v="-40.490820000000895"/>
    <n v="-2.7059238560107821E-3"/>
    <d v="2023-01-02T00:00:00"/>
    <s v="Jan-2023"/>
    <n v="0"/>
    <n v="0"/>
    <n v="0"/>
  </r>
  <r>
    <s v="ORD-2024-999607"/>
    <d v="2024-01-12T00:00:00"/>
    <s v="Jan-2024"/>
    <s v="2024-Q1"/>
    <d v="2024-01-29T00:00:00"/>
    <n v="17"/>
    <s v="ACHIEVED"/>
    <x v="1"/>
    <s v="USA"/>
    <s v="Chicago"/>
    <s v="Americas &gt; USA &gt; Chicago"/>
    <s v="Education"/>
    <s v="Distributor"/>
    <s v="Distributor"/>
    <x v="1"/>
    <s v="Printers"/>
    <s v="Low"/>
    <s v="PRN-8604"/>
    <n v="493.76"/>
    <n v="625.04"/>
    <n v="625.04"/>
    <x v="215"/>
    <s v="OK"/>
    <n v="0.25800000000000001"/>
    <n v="10"/>
    <n v="4637.7968000000001"/>
    <n v="4937.6000000000004"/>
    <n v="-299.80320000000029"/>
    <n v="-6.464345311549663E-2"/>
    <d v="2023-01-02T00:00:00"/>
    <s v="Jan-2023"/>
    <n v="0"/>
    <n v="0"/>
    <n v="0"/>
  </r>
  <r>
    <s v="ORD-2023-133848"/>
    <d v="2023-08-15T00:00:00"/>
    <s v="Aug-2023"/>
    <s v="2023-Q3"/>
    <d v="2023-09-07T00:00:00"/>
    <n v="23"/>
    <s v="ACHIEVED"/>
    <x v="1"/>
    <s v="USA"/>
    <s v="New York"/>
    <s v="Americas &gt; USA &gt; New York"/>
    <s v="Enterprise"/>
    <s v="Online"/>
    <s v="Online"/>
    <x v="3"/>
    <s v="Phones"/>
    <s v="Medium"/>
    <s v="PHN-2013"/>
    <n v="590.33000000000004"/>
    <n v="973.04"/>
    <n v="973.04"/>
    <x v="3"/>
    <s v="OK"/>
    <n v="0"/>
    <n v="26"/>
    <n v="25299.040000000001"/>
    <n v="15348.580000000002"/>
    <n v="9950.4599999999991"/>
    <n v="0.39331373838691108"/>
    <d v="2023-01-02T00:00:00"/>
    <s v="Jan-2023"/>
    <n v="0"/>
    <n v="0"/>
    <n v="0"/>
  </r>
  <r>
    <s v="ORD-2023-271918"/>
    <d v="2023-09-25T00:00:00"/>
    <s v="Sep-2023"/>
    <s v="2023-Q3"/>
    <d v="2023-10-02T00:00:00"/>
    <n v="7"/>
    <s v="ACHIEVED"/>
    <x v="1"/>
    <s v="USA"/>
    <s v="New York"/>
    <s v="Americas &gt; USA &gt; New York"/>
    <s v="Education"/>
    <s v="Marketplace"/>
    <s v="Marketplace"/>
    <x v="12"/>
    <s v="Accessories"/>
    <s v="Low"/>
    <s v="ACC-3551"/>
    <n v="145.58000000000001"/>
    <n v="228.15"/>
    <n v="228.15"/>
    <x v="205"/>
    <s v="OK"/>
    <n v="0.20399999999999999"/>
    <n v="5"/>
    <n v="908.03700000000003"/>
    <n v="727.90000000000009"/>
    <n v="180.13699999999994"/>
    <n v="0.19838068272548359"/>
    <d v="2023-01-02T00:00:00"/>
    <s v="Jan-2023"/>
    <n v="0"/>
    <n v="0"/>
    <n v="0"/>
  </r>
  <r>
    <s v="ORD-2023-302041"/>
    <d v="2023-10-04T00:00:00"/>
    <s v="Oct-2023"/>
    <s v="2023-Q4"/>
    <d v="2023-10-29T00:00:00"/>
    <n v="25"/>
    <s v="ACHIEVED"/>
    <x v="1"/>
    <s v="USA"/>
    <s v="San Francisco"/>
    <s v="Americas &gt; USA &gt; San Francisco"/>
    <s v="Small Business"/>
    <s v="Distributor"/>
    <s v="Distributor"/>
    <x v="7"/>
    <s v="Accessories"/>
    <s v="Medium"/>
    <s v="ACC-5079"/>
    <n v="1239.8399999999999"/>
    <n v="1482.75"/>
    <n v="1482.75"/>
    <x v="213"/>
    <s v="OK"/>
    <n v="6.7000000000000004E-2"/>
    <n v="4"/>
    <n v="5533.6230000000005"/>
    <n v="4959.3599999999997"/>
    <n v="574.26300000000083"/>
    <n v="0.10377703721413634"/>
    <d v="2023-01-02T00:00:00"/>
    <s v="Jan-2023"/>
    <n v="0"/>
    <n v="0"/>
    <n v="0"/>
  </r>
  <r>
    <s v="ORD-2025-289139"/>
    <d v="2025-08-10T00:00:00"/>
    <s v="Aug-2025"/>
    <s v="2025-Q3"/>
    <d v="2025-08-30T00:00:00"/>
    <n v="20"/>
    <s v="ACHIEVED"/>
    <x v="1"/>
    <s v="USA"/>
    <s v="San Francisco"/>
    <s v="Americas &gt; USA &gt; San Francisco"/>
    <s v="Corporate"/>
    <s v="Marketplace"/>
    <s v="Marketplace"/>
    <x v="3"/>
    <s v="Printers"/>
    <s v="Medium"/>
    <s v="PRN-2098"/>
    <n v="933.29"/>
    <n v="1456.81"/>
    <n v="1456.81"/>
    <x v="42"/>
    <s v="OK"/>
    <n v="0.123"/>
    <n v="13"/>
    <n v="16609.090809999998"/>
    <n v="12132.77"/>
    <n v="4476.3208099999974"/>
    <n v="0.26951028573489977"/>
    <d v="2023-01-02T00:00:00"/>
    <s v="Jan-2023"/>
    <n v="0"/>
    <n v="0"/>
    <n v="0"/>
  </r>
  <r>
    <s v="ORD-2024-897622"/>
    <d v="2024-03-30T00:00:00"/>
    <s v="Mar-2024"/>
    <s v="2024-Q1"/>
    <d v="2024-04-24T00:00:00"/>
    <n v="25"/>
    <s v="ACHIEVED"/>
    <x v="1"/>
    <s v="USA"/>
    <s v="Austin"/>
    <s v="Americas &gt; USA &gt; Austin"/>
    <s v="Non-Profit"/>
    <s v="Online"/>
    <s v="Online"/>
    <x v="4"/>
    <s v="Laptops"/>
    <s v="Low"/>
    <s v="LAP-2846"/>
    <n v="160.82"/>
    <n v="258.52"/>
    <n v="258.52"/>
    <x v="204"/>
    <s v="OK"/>
    <n v="0.13"/>
    <n v="17"/>
    <n v="3823.5108"/>
    <n v="2733.94"/>
    <n v="1089.5708"/>
    <n v="0.28496605789631874"/>
    <d v="2023-01-02T00:00:00"/>
    <s v="Jan-2023"/>
    <n v="0"/>
    <n v="0"/>
    <n v="0"/>
  </r>
  <r>
    <s v="ORD-2024-664046"/>
    <d v="2024-09-02T00:00:00"/>
    <s v="Sep-2024"/>
    <s v="2024-Q3"/>
    <d v="2024-09-08T00:00:00"/>
    <n v="6"/>
    <s v="NOT ACHIEVED"/>
    <x v="1"/>
    <s v="USA"/>
    <s v="Austin"/>
    <s v="Americas &gt; USA &gt; Austin"/>
    <s v="Consumer"/>
    <s v="Direct"/>
    <s v="Direct"/>
    <x v="15"/>
    <s v="Components"/>
    <s v="Medium"/>
    <s v="CMP-7563"/>
    <n v="462.94"/>
    <n v="1015.7"/>
    <n v="1015.7"/>
    <x v="82"/>
    <s v="OK"/>
    <n v="0.14299999999999999"/>
    <n v="14"/>
    <n v="12186.368600000002"/>
    <n v="6481.16"/>
    <n v="5705.2086000000018"/>
    <n v="0.46816314090483041"/>
    <d v="2023-01-02T00:00:00"/>
    <s v="Jan-2023"/>
    <n v="0"/>
    <n v="0"/>
    <n v="0"/>
  </r>
  <r>
    <s v="ORD-2024-301260"/>
    <d v="2024-07-29T00:00:00"/>
    <s v="Jul-2024"/>
    <s v="2024-Q3"/>
    <d v="2024-07-31T00:00:00"/>
    <n v="2"/>
    <s v="NOT ACHIEVED"/>
    <x v="1"/>
    <s v="USA"/>
    <s v="New York"/>
    <s v="Americas &gt; USA &gt; New York"/>
    <s v="Education"/>
    <s v="Marketplace"/>
    <s v="Marketplace"/>
    <x v="12"/>
    <s v="Printers"/>
    <s v="High"/>
    <s v="PRN-2829"/>
    <n v="798.97"/>
    <n v="1814.06"/>
    <n v="1814.06"/>
    <x v="157"/>
    <s v="OK"/>
    <n v="0.122"/>
    <n v="16"/>
    <n v="25483.91488"/>
    <n v="12783.52"/>
    <n v="12700.39488"/>
    <n v="0.49836906691159061"/>
    <d v="2023-01-02T00:00:00"/>
    <s v="Jan-2023"/>
    <n v="0"/>
    <n v="0"/>
    <n v="0"/>
  </r>
  <r>
    <s v="ORD-2024-948800"/>
    <d v="2024-03-27T00:00:00"/>
    <s v="Mar-2024"/>
    <s v="2024-Q1"/>
    <d v="2024-04-11T00:00:00"/>
    <n v="15"/>
    <s v="ACHIEVED"/>
    <x v="1"/>
    <s v="USA"/>
    <s v="San Francisco"/>
    <s v="Americas &gt; USA &gt; San Francisco"/>
    <s v="Small Business"/>
    <s v="Direct"/>
    <s v="Direct"/>
    <x v="7"/>
    <s v="Networking"/>
    <s v="High"/>
    <s v="NET-5523"/>
    <n v="1338.35"/>
    <n v="2247.14"/>
    <n v="2247.14"/>
    <x v="72"/>
    <s v="OK"/>
    <n v="0.115"/>
    <n v="40"/>
    <n v="79548.755999999994"/>
    <n v="53534"/>
    <n v="26014.755999999994"/>
    <n v="0.32702907384246205"/>
    <d v="2023-01-02T00:00:00"/>
    <s v="Jan-2023"/>
    <n v="0"/>
    <n v="0"/>
    <n v="0"/>
  </r>
  <r>
    <s v="ORD-2023-715175"/>
    <d v="2023-06-15T00:00:00"/>
    <s v="Jun-2023"/>
    <s v="2023-Q2"/>
    <d v="2023-06-23T00:00:00"/>
    <n v="8"/>
    <s v="ACHIEVED"/>
    <x v="1"/>
    <s v="USA"/>
    <s v="San Francisco"/>
    <s v="Americas &gt; USA &gt; San Francisco"/>
    <s v="Consumer"/>
    <s v="Distributor"/>
    <s v="Distributor"/>
    <x v="7"/>
    <s v="Monitors"/>
    <s v="High"/>
    <s v="MON-5424"/>
    <n v="1097.0899999999999"/>
    <n v="2182.31"/>
    <n v="2182.31"/>
    <x v="0"/>
    <s v="OK"/>
    <n v="0.112"/>
    <n v="9"/>
    <n v="17441.021520000002"/>
    <n v="9873.81"/>
    <n v="7567.2115200000026"/>
    <n v="0.43387432962699546"/>
    <d v="2023-01-02T00:00:00"/>
    <s v="Jan-2023"/>
    <n v="0"/>
    <n v="0"/>
    <n v="0"/>
  </r>
  <r>
    <s v="ORD-2023-602648"/>
    <d v="2023-06-20T00:00:00"/>
    <s v="Jun-2023"/>
    <s v="2023-Q2"/>
    <d v="2023-07-08T00:00:00"/>
    <n v="18"/>
    <s v="ACHIEVED"/>
    <x v="1"/>
    <s v="USA"/>
    <s v="Austin"/>
    <s v="Americas &gt; USA &gt; Austin"/>
    <s v="Non-Profit"/>
    <s v="Direct"/>
    <s v="Direct"/>
    <x v="8"/>
    <s v="Monitors"/>
    <s v="Low"/>
    <s v="MON-4326"/>
    <n v="337"/>
    <n v="511.03"/>
    <n v="511.03"/>
    <x v="14"/>
    <s v="OK"/>
    <n v="0.108"/>
    <n v="7"/>
    <n v="3190.8713200000002"/>
    <n v="2359"/>
    <n v="831.8713200000002"/>
    <n v="0.26070349963219458"/>
    <d v="2023-01-02T00:00:00"/>
    <s v="Jan-2023"/>
    <n v="0"/>
    <n v="0"/>
    <n v="0"/>
  </r>
  <r>
    <s v="ORD-2024-207096"/>
    <d v="2024-03-26T00:00:00"/>
    <s v="Mar-2024"/>
    <s v="2024-Q1"/>
    <d v="2024-04-05T00:00:00"/>
    <n v="10"/>
    <s v="ACHIEVED"/>
    <x v="1"/>
    <s v="USA"/>
    <s v="Austin"/>
    <s v="Americas &gt; USA &gt; Austin"/>
    <s v="Consumer"/>
    <s v="Direct"/>
    <s v="Direct"/>
    <x v="2"/>
    <s v="Monitors"/>
    <s v="Low"/>
    <s v="MON-5444"/>
    <n v="5.66"/>
    <n v="4.22"/>
    <n v="4.22"/>
    <x v="116"/>
    <s v="OK"/>
    <n v="0.11899999999999999"/>
    <n v="18"/>
    <n v="66.920760000000001"/>
    <n v="101.88"/>
    <n v="-34.959239999999994"/>
    <n v="-0.52239753403876454"/>
    <d v="2023-01-02T00:00:00"/>
    <s v="Jan-2023"/>
    <n v="0"/>
    <n v="0"/>
    <n v="0"/>
  </r>
  <r>
    <s v="ORD-2025-364852"/>
    <d v="2025-05-18T00:00:00"/>
    <s v="May-2025"/>
    <s v="2025-Q2"/>
    <d v="2025-06-09T00:00:00"/>
    <n v="22"/>
    <s v="ACHIEVED"/>
    <x v="1"/>
    <s v="USA"/>
    <s v="New York"/>
    <s v="Americas &gt; USA &gt; New York"/>
    <s v="Consumer"/>
    <s v="Retail"/>
    <s v="Retail"/>
    <x v="15"/>
    <s v="Networking"/>
    <s v="Low"/>
    <s v="NET-3749"/>
    <n v="382.96"/>
    <n v="552.84"/>
    <n v="552.84"/>
    <x v="33"/>
    <s v="OK"/>
    <n v="0.17599999999999999"/>
    <n v="8"/>
    <n v="3644.3212800000006"/>
    <n v="3063.68"/>
    <n v="580.64128000000073"/>
    <n v="0.15932768693763483"/>
    <d v="2023-01-02T00:00:00"/>
    <s v="Jan-2023"/>
    <n v="0"/>
    <n v="0"/>
    <n v="0"/>
  </r>
  <r>
    <s v="ORD-2025-861401"/>
    <d v="2025-04-01T00:00:00"/>
    <s v="Apr-2025"/>
    <s v="2025-Q2"/>
    <d v="2025-04-27T00:00:00"/>
    <n v="26"/>
    <s v="ACHIEVED"/>
    <x v="1"/>
    <s v="USA"/>
    <s v="San Francisco"/>
    <s v="Americas &gt; USA &gt; San Francisco"/>
    <s v="Corporate"/>
    <s v="Direct"/>
    <s v="Direct"/>
    <x v="12"/>
    <s v="Monitors"/>
    <s v="Low"/>
    <s v="MON-9319"/>
    <n v="156.55000000000001"/>
    <n v="227.45"/>
    <n v="227.45"/>
    <x v="202"/>
    <s v="OK"/>
    <n v="1.4E-2"/>
    <n v="13"/>
    <n v="2915.4540999999999"/>
    <n v="2035.15"/>
    <n v="880.30409999999983"/>
    <n v="0.3019440779396938"/>
    <d v="2023-01-02T00:00:00"/>
    <s v="Jan-2023"/>
    <n v="0"/>
    <n v="0"/>
    <n v="0"/>
  </r>
  <r>
    <s v="ORD-2024-719055"/>
    <d v="2024-01-02T00:00:00"/>
    <s v="Jan-2024"/>
    <s v="2024-Q1"/>
    <d v="2024-01-07T00:00:00"/>
    <n v="5"/>
    <s v="NOT ACHIEVED"/>
    <x v="1"/>
    <s v="USA"/>
    <s v="Chicago"/>
    <s v="Americas &gt; USA &gt; Chicago"/>
    <s v="Education"/>
    <s v="Marketplace"/>
    <s v="Marketplace"/>
    <x v="6"/>
    <s v="Networking"/>
    <s v="Low"/>
    <s v="NET-4554"/>
    <n v="404.77"/>
    <n v="433.88"/>
    <n v="433.88"/>
    <x v="97"/>
    <s v="OK"/>
    <n v="0.215"/>
    <n v="22"/>
    <n v="7493.1076000000012"/>
    <n v="8904.9399999999987"/>
    <n v="-1411.8323999999975"/>
    <n v="-0.18841747314558746"/>
    <d v="2023-01-02T00:00:00"/>
    <s v="Jan-2023"/>
    <n v="0"/>
    <n v="0"/>
    <n v="0"/>
  </r>
  <r>
    <s v="ORD-2025-653781"/>
    <d v="2025-01-11T00:00:00"/>
    <s v="Jan-2025"/>
    <s v="2025-Q1"/>
    <d v="2025-01-23T00:00:00"/>
    <n v="12"/>
    <s v="ACHIEVED"/>
    <x v="1"/>
    <s v="USA"/>
    <s v="Austin"/>
    <s v="Americas &gt; USA &gt; Austin"/>
    <s v="Consumer"/>
    <s v="Distributor"/>
    <s v="Distributor"/>
    <x v="15"/>
    <s v="Phones"/>
    <s v="Low"/>
    <s v="PHN-6307"/>
    <n v="100.69"/>
    <n v="226.14"/>
    <n v="226.14"/>
    <x v="216"/>
    <s v="OK"/>
    <n v="6.5000000000000002E-2"/>
    <n v="12"/>
    <n v="2537.2908000000002"/>
    <n v="1208.28"/>
    <n v="1329.0108000000002"/>
    <n v="0.52379128162999689"/>
    <d v="2023-01-02T00:00:00"/>
    <s v="Jan-2023"/>
    <n v="0"/>
    <n v="0"/>
    <n v="0"/>
  </r>
  <r>
    <s v="ORD-2023-766015"/>
    <d v="2023-04-13T00:00:00"/>
    <s v="Apr-2023"/>
    <s v="2023-Q2"/>
    <d v="2023-04-18T00:00:00"/>
    <n v="5"/>
    <s v="NOT ACHIEVED"/>
    <x v="1"/>
    <s v="USA"/>
    <s v="San Francisco"/>
    <s v="Americas &gt; USA &gt; San Francisco"/>
    <s v="Education"/>
    <s v="Marketplace"/>
    <s v="Marketplace"/>
    <x v="4"/>
    <s v="Networking"/>
    <s v="Low"/>
    <s v="NET-1816"/>
    <n v="32.1"/>
    <n v="70.599999999999994"/>
    <n v="70.599999999999994"/>
    <x v="217"/>
    <s v="OK"/>
    <n v="0.28199999999999997"/>
    <n v="22"/>
    <n v="1115.1975999999997"/>
    <n v="706.2"/>
    <n v="408.99759999999969"/>
    <n v="0.36674899587301818"/>
    <d v="2023-01-02T00:00:00"/>
    <s v="Jan-2023"/>
    <n v="0"/>
    <n v="0"/>
    <n v="0"/>
  </r>
  <r>
    <s v="ORD-2023-132101"/>
    <d v="2023-09-25T00:00:00"/>
    <s v="Sep-2023"/>
    <s v="2023-Q3"/>
    <d v="2023-10-09T00:00:00"/>
    <n v="14"/>
    <s v="ACHIEVED"/>
    <x v="1"/>
    <s v="USA"/>
    <s v="New York"/>
    <s v="Americas &gt; USA &gt; New York"/>
    <s v="Small Business"/>
    <s v="Marketplace"/>
    <s v="Marketplace"/>
    <x v="2"/>
    <s v="Laptops"/>
    <s v="High"/>
    <s v="LAP-6750"/>
    <n v="1279.56"/>
    <n v="3083.8"/>
    <n v="3083.8"/>
    <x v="73"/>
    <s v="OK"/>
    <n v="0.106"/>
    <n v="5"/>
    <n v="13784.586000000001"/>
    <n v="6397.7999999999993"/>
    <n v="7386.7860000000019"/>
    <n v="0.53587289455047848"/>
    <d v="2023-01-02T00:00:00"/>
    <s v="Jan-2023"/>
    <n v="0"/>
    <n v="0"/>
    <n v="0"/>
  </r>
  <r>
    <s v="ORD-2023-855675"/>
    <d v="2023-02-05T00:00:00"/>
    <s v="Feb-2023"/>
    <s v="2023-Q1"/>
    <d v="2023-02-28T00:00:00"/>
    <n v="23"/>
    <s v="ACHIEVED"/>
    <x v="1"/>
    <s v="USA"/>
    <s v="Austin"/>
    <s v="Americas &gt; USA &gt; Austin"/>
    <s v="Non-Profit"/>
    <s v="Distributor"/>
    <s v="Distributor"/>
    <x v="10"/>
    <s v="Phones"/>
    <s v="Medium"/>
    <s v="PHN-2036"/>
    <n v="1214.49"/>
    <n v="1533.95"/>
    <n v="1533.95"/>
    <x v="3"/>
    <s v="OK"/>
    <n v="0"/>
    <n v="11"/>
    <n v="16873.45"/>
    <n v="13359.39"/>
    <n v="3514.0600000000013"/>
    <n v="0.20825972163369086"/>
    <d v="2023-01-02T00:00:00"/>
    <s v="Jan-2023"/>
    <n v="0"/>
    <n v="0"/>
    <n v="0"/>
  </r>
  <r>
    <s v="ORD-2024-690270"/>
    <d v="2024-05-17T00:00:00"/>
    <s v="May-2024"/>
    <s v="2024-Q2"/>
    <d v="2024-05-27T00:00:00"/>
    <n v="10"/>
    <s v="ACHIEVED"/>
    <x v="1"/>
    <s v="USA"/>
    <s v="Austin"/>
    <s v="Americas &gt; USA &gt; Austin"/>
    <s v="Non-Profit"/>
    <s v="Online"/>
    <s v="Online"/>
    <x v="0"/>
    <s v="Phones"/>
    <s v="High"/>
    <s v="PHN-7974"/>
    <n v="1484.23"/>
    <n v="3472.81"/>
    <n v="3472.81"/>
    <x v="218"/>
    <s v="OK"/>
    <n v="0.25600000000000001"/>
    <n v="12"/>
    <n v="31005.24768"/>
    <n v="17810.760000000002"/>
    <n v="13194.487679999998"/>
    <n v="0.42555659661803413"/>
    <d v="2023-01-02T00:00:00"/>
    <s v="Jan-2023"/>
    <n v="0"/>
    <n v="0"/>
    <n v="0"/>
  </r>
  <r>
    <s v="ORD-2023-594955"/>
    <d v="2023-06-20T00:00:00"/>
    <s v="Jun-2023"/>
    <s v="2023-Q2"/>
    <d v="2023-07-08T00:00:00"/>
    <n v="18"/>
    <s v="ACHIEVED"/>
    <x v="1"/>
    <s v="USA"/>
    <s v="New York"/>
    <s v="Americas &gt; USA &gt; New York"/>
    <s v="Consumer"/>
    <s v="Marketplace"/>
    <s v="Marketplace"/>
    <x v="7"/>
    <s v="Networking"/>
    <s v="Medium"/>
    <s v="NET-3828"/>
    <n v="1145.53"/>
    <n v="1278.3"/>
    <n v="1278.3"/>
    <x v="123"/>
    <s v="OK"/>
    <n v="0.09"/>
    <n v="41"/>
    <n v="47693.373"/>
    <n v="46966.729999999996"/>
    <n v="726.64300000000367"/>
    <n v="1.5235722581416158E-2"/>
    <d v="2023-01-02T00:00:00"/>
    <s v="Jan-2023"/>
    <n v="0"/>
    <n v="0"/>
    <n v="0"/>
  </r>
  <r>
    <s v="ORD-2024-251426"/>
    <d v="2024-03-09T00:00:00"/>
    <s v="Mar-2024"/>
    <s v="2024-Q1"/>
    <d v="2024-03-26T00:00:00"/>
    <n v="17"/>
    <s v="ACHIEVED"/>
    <x v="1"/>
    <s v="USA"/>
    <s v="San Francisco"/>
    <s v="Americas &gt; USA &gt; San Francisco"/>
    <s v="Education"/>
    <s v="Direct"/>
    <s v="Direct"/>
    <x v="12"/>
    <s v="Phones"/>
    <s v="High"/>
    <s v="PHN-3398"/>
    <n v="1137.4100000000001"/>
    <n v="1680.93"/>
    <n v="1680.93"/>
    <x v="119"/>
    <s v="OK"/>
    <n v="0.254"/>
    <n v="9"/>
    <n v="11285.764020000001"/>
    <n v="10236.69"/>
    <n v="1049.07402"/>
    <n v="9.2955516183121464E-2"/>
    <d v="2023-01-02T00:00:00"/>
    <s v="Jan-2023"/>
    <n v="0"/>
    <n v="0"/>
    <n v="0"/>
  </r>
  <r>
    <s v="ORD-2024-626750"/>
    <d v="2024-08-12T00:00:00"/>
    <s v="Aug-2024"/>
    <s v="2024-Q3"/>
    <d v="2024-08-15T00:00:00"/>
    <n v="3"/>
    <s v="NOT ACHIEVED"/>
    <x v="1"/>
    <s v="USA"/>
    <s v="Chicago"/>
    <s v="Americas &gt; USA &gt; Chicago"/>
    <s v="Corporate"/>
    <s v="Marketplace"/>
    <s v="Marketplace"/>
    <x v="14"/>
    <s v="Printers"/>
    <s v="Medium"/>
    <s v="PRN-5591"/>
    <n v="850.7"/>
    <n v="1118.56"/>
    <n v="1118.56"/>
    <x v="55"/>
    <s v="OK"/>
    <n v="0.18"/>
    <n v="19"/>
    <n v="17427.164800000002"/>
    <n v="16163.300000000001"/>
    <n v="1263.8648000000012"/>
    <n v="7.2522685962090688E-2"/>
    <d v="2023-01-02T00:00:00"/>
    <s v="Jan-2023"/>
    <n v="0"/>
    <n v="0"/>
    <n v="0"/>
  </r>
  <r>
    <s v="ORD-2025-276968"/>
    <d v="2025-02-25T00:00:00"/>
    <s v="Feb-2025"/>
    <s v="2025-Q1"/>
    <d v="2025-03-17T00:00:00"/>
    <n v="20"/>
    <s v="ACHIEVED"/>
    <x v="1"/>
    <s v="USA"/>
    <s v="San Francisco"/>
    <s v="Americas &gt; USA &gt; San Francisco"/>
    <s v="Non-Profit"/>
    <s v="Marketplace"/>
    <s v="Marketplace"/>
    <x v="15"/>
    <s v="Phones"/>
    <s v="High"/>
    <s v="PHN-1044"/>
    <n v="1205.26"/>
    <n v="1696.35"/>
    <n v="1696.35"/>
    <x v="219"/>
    <s v="OK"/>
    <n v="1.9E-2"/>
    <n v="6"/>
    <n v="9984.7160999999978"/>
    <n v="7231.5599999999995"/>
    <n v="2753.1560999999983"/>
    <n v="0.27573704374028213"/>
    <d v="2023-01-02T00:00:00"/>
    <s v="Jan-2023"/>
    <n v="0"/>
    <n v="0"/>
    <n v="0"/>
  </r>
  <r>
    <s v="ORD-2023-172095"/>
    <d v="2023-05-24T00:00:00"/>
    <s v="May-2023"/>
    <s v="2023-Q2"/>
    <d v="2023-06-21T00:00:00"/>
    <n v="28"/>
    <s v="ACHIEVED"/>
    <x v="1"/>
    <s v="USA"/>
    <s v="Austin"/>
    <s v="Americas &gt; USA &gt; Austin"/>
    <s v="Small Business"/>
    <s v="Marketplace"/>
    <s v="Marketplace"/>
    <x v="4"/>
    <s v="Monitors"/>
    <s v="Medium"/>
    <s v="MON-6882"/>
    <n v="813.97"/>
    <n v="1568.83"/>
    <n v="1568.83"/>
    <x v="220"/>
    <s v="OK"/>
    <n v="1.7000000000000001E-2"/>
    <n v="15"/>
    <n v="23132.398349999996"/>
    <n v="12209.550000000001"/>
    <n v="10922.848349999995"/>
    <n v="0.4721883215364911"/>
    <d v="2023-01-02T00:00:00"/>
    <s v="Jan-2023"/>
    <n v="0"/>
    <n v="0"/>
    <n v="0"/>
  </r>
  <r>
    <s v="ORD-2024-433936"/>
    <d v="2024-08-04T00:00:00"/>
    <s v="Aug-2024"/>
    <s v="2024-Q3"/>
    <d v="2024-08-17T00:00:00"/>
    <n v="13"/>
    <s v="ACHIEVED"/>
    <x v="1"/>
    <s v="USA"/>
    <s v="Austin"/>
    <s v="Americas &gt; USA &gt; Austin"/>
    <s v="Consumer"/>
    <s v="Retail"/>
    <s v="Retail"/>
    <x v="14"/>
    <s v="Monitors"/>
    <s v="Low"/>
    <s v="MON-8867"/>
    <n v="352.79"/>
    <n v="754.22"/>
    <n v="754.22"/>
    <x v="150"/>
    <s v="OK"/>
    <n v="0.113"/>
    <n v="7"/>
    <n v="4682.9519799999998"/>
    <n v="2469.5300000000002"/>
    <n v="2213.4219799999996"/>
    <n v="0.47265528014233443"/>
    <d v="2023-01-02T00:00:00"/>
    <s v="Jan-2023"/>
    <n v="0"/>
    <n v="0"/>
    <n v="0"/>
  </r>
  <r>
    <s v="ORD-2025-474368"/>
    <d v="2025-04-27T00:00:00"/>
    <s v="Apr-2025"/>
    <s v="2025-Q2"/>
    <d v="2025-05-17T00:00:00"/>
    <n v="20"/>
    <s v="ACHIEVED"/>
    <x v="1"/>
    <s v="USA"/>
    <s v="Austin"/>
    <s v="Americas &gt; USA &gt; Austin"/>
    <s v="Corporate"/>
    <s v="Direct"/>
    <s v="Direct"/>
    <x v="5"/>
    <s v="Phones"/>
    <s v="High"/>
    <s v="PHN-8776"/>
    <n v="932.26"/>
    <n v="1624.67"/>
    <n v="1624.67"/>
    <x v="164"/>
    <s v="OK"/>
    <n v="0.23499999999999999"/>
    <n v="28"/>
    <n v="34800.431400000001"/>
    <n v="26103.279999999999"/>
    <n v="8697.1514000000025"/>
    <n v="0.24991504559337163"/>
    <d v="2023-01-02T00:00:00"/>
    <s v="Jan-2023"/>
    <n v="0"/>
    <n v="0"/>
    <n v="0"/>
  </r>
  <r>
    <s v="ORD-2024-961501"/>
    <d v="2024-03-02T00:00:00"/>
    <s v="Mar-2024"/>
    <s v="2024-Q1"/>
    <d v="2024-03-23T00:00:00"/>
    <n v="21"/>
    <s v="ACHIEVED"/>
    <x v="1"/>
    <s v="USA"/>
    <s v="Chicago"/>
    <s v="Americas &gt; USA &gt; Chicago"/>
    <s v="Small Business"/>
    <s v="Online"/>
    <s v="Online"/>
    <x v="8"/>
    <s v="Components"/>
    <s v="Low"/>
    <s v="CMP-3223"/>
    <n v="225.01"/>
    <n v="333.48"/>
    <n v="333.48"/>
    <x v="116"/>
    <s v="OK"/>
    <n v="0.11899999999999999"/>
    <n v="12"/>
    <n v="3525.5505600000001"/>
    <n v="2700.12"/>
    <n v="825.43056000000024"/>
    <n v="0.23412813004729685"/>
    <d v="2023-01-02T00:00:00"/>
    <s v="Jan-2023"/>
    <n v="0"/>
    <n v="0"/>
    <n v="0"/>
  </r>
  <r>
    <s v="ORD-2024-206311"/>
    <d v="2024-01-13T00:00:00"/>
    <s v="Jan-2024"/>
    <s v="2024-Q1"/>
    <d v="2024-01-15T00:00:00"/>
    <n v="2"/>
    <s v="NOT ACHIEVED"/>
    <x v="1"/>
    <s v="USA"/>
    <s v="San Francisco"/>
    <s v="Americas &gt; USA &gt; San Francisco"/>
    <s v="Non-Profit"/>
    <s v="Direct"/>
    <s v="Direct"/>
    <x v="11"/>
    <s v="Components"/>
    <s v="High"/>
    <s v="CMP-2410"/>
    <n v="1061.3699999999999"/>
    <n v="1938.33"/>
    <n v="1938.33"/>
    <x v="38"/>
    <s v="OK"/>
    <n v="0.17"/>
    <n v="4"/>
    <n v="6435.2555999999995"/>
    <n v="4245.4799999999996"/>
    <n v="2189.7755999999999"/>
    <n v="0.34027795259600879"/>
    <d v="2023-01-02T00:00:00"/>
    <s v="Jan-2023"/>
    <n v="0"/>
    <n v="0"/>
    <n v="0"/>
  </r>
  <r>
    <s v="ORD-2024-353078"/>
    <d v="2024-08-16T00:00:00"/>
    <s v="Aug-2024"/>
    <s v="2024-Q3"/>
    <d v="2024-08-26T00:00:00"/>
    <n v="10"/>
    <s v="ACHIEVED"/>
    <x v="1"/>
    <s v="USA"/>
    <s v="Chicago"/>
    <s v="Americas &gt; USA &gt; Chicago"/>
    <s v="Corporate"/>
    <s v="Distributor"/>
    <s v="Distributor"/>
    <x v="10"/>
    <s v="Laptops"/>
    <s v="High"/>
    <s v="LAP-5763"/>
    <n v="1291.7"/>
    <n v="2657.84"/>
    <n v="2657.84"/>
    <x v="159"/>
    <s v="OK"/>
    <n v="8.6999999999999994E-2"/>
    <n v="21"/>
    <n v="50958.766320000002"/>
    <n v="27125.7"/>
    <n v="23833.066320000002"/>
    <n v="0.46769315745083367"/>
    <d v="2023-01-02T00:00:00"/>
    <s v="Jan-2023"/>
    <n v="0"/>
    <n v="0"/>
    <n v="0"/>
  </r>
  <r>
    <s v="ORD-2025-960931"/>
    <d v="2025-08-20T00:00:00"/>
    <s v="Aug-2025"/>
    <s v="2025-Q3"/>
    <d v="2025-08-26T00:00:00"/>
    <n v="6"/>
    <s v="NOT ACHIEVED"/>
    <x v="1"/>
    <s v="USA"/>
    <s v="New York"/>
    <s v="Americas &gt; USA &gt; New York"/>
    <s v="Corporate"/>
    <s v="Retail"/>
    <s v="Retail"/>
    <x v="13"/>
    <s v="Networking"/>
    <s v="High"/>
    <s v="NET-5196"/>
    <n v="1304.95"/>
    <n v="1712.03"/>
    <n v="1712.03"/>
    <x v="19"/>
    <s v="OK"/>
    <n v="0.21199999999999999"/>
    <n v="8"/>
    <n v="10792.637119999999"/>
    <n v="10439.6"/>
    <n v="353.03711999999905"/>
    <n v="3.2710922833287949E-2"/>
    <d v="2023-01-02T00:00:00"/>
    <s v="Jan-2023"/>
    <n v="0"/>
    <n v="0"/>
    <n v="0"/>
  </r>
  <r>
    <s v="ORD-2024-687073"/>
    <d v="2024-03-11T00:00:00"/>
    <s v="Mar-2024"/>
    <s v="2024-Q1"/>
    <d v="2024-03-29T00:00:00"/>
    <n v="18"/>
    <s v="ACHIEVED"/>
    <x v="1"/>
    <s v="USA"/>
    <s v="New York"/>
    <s v="Americas &gt; USA &gt; New York"/>
    <s v="Corporate"/>
    <s v="Retail"/>
    <s v="Retail"/>
    <x v="13"/>
    <s v="Monitors"/>
    <s v="Medium"/>
    <s v="MON-7099"/>
    <n v="710.98"/>
    <n v="1481.45"/>
    <n v="1481.45"/>
    <x v="121"/>
    <s v="OK"/>
    <n v="0.21099999999999999"/>
    <n v="9"/>
    <n v="10519.776450000001"/>
    <n v="6398.82"/>
    <n v="4120.9564500000015"/>
    <n v="0.39173422264120461"/>
    <d v="2023-01-02T00:00:00"/>
    <s v="Jan-2023"/>
    <n v="0"/>
    <n v="0"/>
    <n v="0"/>
  </r>
  <r>
    <s v="ORD-2024-250862"/>
    <d v="2024-10-25T00:00:00"/>
    <s v="Oct-2024"/>
    <s v="2024-Q4"/>
    <d v="2024-11-05T00:00:00"/>
    <n v="11"/>
    <s v="ACHIEVED"/>
    <x v="1"/>
    <s v="USA"/>
    <s v="New York"/>
    <s v="Americas &gt; USA &gt; New York"/>
    <s v="Corporate"/>
    <s v="Distributor"/>
    <s v="Distributor"/>
    <x v="5"/>
    <s v="Components"/>
    <s v="Low"/>
    <s v="CMP-9498"/>
    <n v="446.66"/>
    <n v="527.64"/>
    <n v="527.64"/>
    <x v="167"/>
    <s v="OK"/>
    <n v="0.14499999999999999"/>
    <n v="15"/>
    <n v="6766.9829999999993"/>
    <n v="6699.9000000000005"/>
    <n v="67.082999999998719"/>
    <n v="9.9132804087137105E-3"/>
    <d v="2023-01-02T00:00:00"/>
    <s v="Jan-2023"/>
    <n v="0"/>
    <n v="0"/>
    <n v="0"/>
  </r>
  <r>
    <s v="ORD-2024-437164"/>
    <d v="2024-02-20T00:00:00"/>
    <s v="Feb-2024"/>
    <s v="2024-Q1"/>
    <d v="2024-02-20T00:00:00"/>
    <n v="0"/>
    <s v="NOT ACHIEVED"/>
    <x v="1"/>
    <s v="USA"/>
    <s v="New York"/>
    <s v="Americas &gt; USA &gt; New York"/>
    <s v="Enterprise"/>
    <s v="Online"/>
    <s v="Online"/>
    <x v="0"/>
    <s v="Networking"/>
    <s v="High"/>
    <s v="NET-9177"/>
    <n v="1407.05"/>
    <n v="2858.93"/>
    <n v="2858.93"/>
    <x v="3"/>
    <s v="OK"/>
    <n v="0"/>
    <n v="12"/>
    <n v="34307.159999999996"/>
    <n v="16884.599999999999"/>
    <n v="17422.559999999998"/>
    <n v="0.50784034586366222"/>
    <d v="2023-01-02T00:00:00"/>
    <s v="Jan-2023"/>
    <n v="0"/>
    <n v="0"/>
    <n v="0"/>
  </r>
  <r>
    <s v="ORD-2023-378676"/>
    <d v="2023-05-03T00:00:00"/>
    <s v="May-2023"/>
    <s v="2023-Q2"/>
    <d v="2023-05-16T00:00:00"/>
    <n v="13"/>
    <s v="ACHIEVED"/>
    <x v="1"/>
    <s v="USA"/>
    <s v="New York"/>
    <s v="Americas &gt; USA &gt; New York"/>
    <s v="Corporate"/>
    <s v="Marketplace"/>
    <s v="Marketplace"/>
    <x v="10"/>
    <s v="Phones"/>
    <s v="Low"/>
    <s v="PHN-5366"/>
    <n v="64.5"/>
    <n v="123.62"/>
    <n v="123.62"/>
    <x v="3"/>
    <s v="OK"/>
    <n v="0"/>
    <n v="3"/>
    <n v="370.86"/>
    <n v="193.5"/>
    <n v="177.36"/>
    <n v="0.47823976702798904"/>
    <d v="2023-01-02T00:00:00"/>
    <s v="Jan-2023"/>
    <n v="0"/>
    <n v="0"/>
    <n v="0"/>
  </r>
  <r>
    <s v="ORD-2023-619493"/>
    <d v="2023-02-27T00:00:00"/>
    <s v="Feb-2023"/>
    <s v="2023-Q1"/>
    <d v="2023-03-04T00:00:00"/>
    <n v="5"/>
    <s v="NOT ACHIEVED"/>
    <x v="1"/>
    <s v="USA"/>
    <s v="San Francisco"/>
    <s v="Americas &gt; USA &gt; San Francisco"/>
    <s v="Non-Profit"/>
    <s v="Online"/>
    <s v="Online"/>
    <x v="10"/>
    <s v="Networking"/>
    <s v="High"/>
    <s v="NET-1282"/>
    <n v="1015.91"/>
    <n v="2331.48"/>
    <n v="2331.48"/>
    <x v="139"/>
    <s v="OK"/>
    <n v="0.14599999999999999"/>
    <n v="26"/>
    <n v="51768.181920000003"/>
    <n v="26413.66"/>
    <n v="25354.521920000003"/>
    <n v="0.48977037592669626"/>
    <d v="2023-01-02T00:00:00"/>
    <s v="Jan-2023"/>
    <n v="0"/>
    <n v="0"/>
    <n v="0"/>
  </r>
  <r>
    <s v="ORD-2023-664790"/>
    <d v="2023-04-16T00:00:00"/>
    <s v="Apr-2023"/>
    <s v="2023-Q2"/>
    <d v="2023-04-23T00:00:00"/>
    <n v="7"/>
    <s v="ACHIEVED"/>
    <x v="1"/>
    <s v="USA"/>
    <s v="Austin"/>
    <s v="Americas &gt; USA &gt; Austin"/>
    <s v="Corporate"/>
    <s v="Distributor"/>
    <s v="Distributor"/>
    <x v="7"/>
    <s v="Printers"/>
    <s v="Medium"/>
    <s v="PRN-9249"/>
    <n v="1099.1500000000001"/>
    <n v="1431.37"/>
    <n v="1431.37"/>
    <x v="75"/>
    <s v="OK"/>
    <n v="0.104"/>
    <n v="8"/>
    <n v="10260.060159999999"/>
    <n v="8793.2000000000007"/>
    <n v="1466.8601599999984"/>
    <n v="0.14296798821109433"/>
    <d v="2023-01-02T00:00:00"/>
    <s v="Jan-2023"/>
    <n v="0"/>
    <n v="0"/>
    <n v="0"/>
  </r>
  <r>
    <s v="ORD-2024-331408"/>
    <d v="2024-02-01T00:00:00"/>
    <s v="Feb-2024"/>
    <s v="2024-Q1"/>
    <d v="2024-02-01T00:00:00"/>
    <n v="0"/>
    <s v="NOT ACHIEVED"/>
    <x v="1"/>
    <s v="USA"/>
    <s v="Austin"/>
    <s v="Americas &gt; USA &gt; Austin"/>
    <s v="Consumer"/>
    <s v="Distributor"/>
    <s v="Distributor"/>
    <x v="15"/>
    <s v="Printers"/>
    <s v="Medium"/>
    <s v="PRN-4906"/>
    <n v="714.43"/>
    <n v="1595.52"/>
    <n v="1595.52"/>
    <x v="101"/>
    <s v="OK"/>
    <n v="0.19400000000000001"/>
    <n v="14"/>
    <n v="18003.847679999999"/>
    <n v="10002.019999999999"/>
    <n v="8001.8276800000003"/>
    <n v="0.44445097638151093"/>
    <d v="2023-01-02T00:00:00"/>
    <s v="Jan-2023"/>
    <n v="0"/>
    <n v="0"/>
    <n v="0"/>
  </r>
  <r>
    <s v="ORD-2024-741404"/>
    <d v="2024-10-19T00:00:00"/>
    <s v="Oct-2024"/>
    <s v="2024-Q4"/>
    <d v="2024-11-06T00:00:00"/>
    <n v="18"/>
    <s v="ACHIEVED"/>
    <x v="1"/>
    <s v="USA"/>
    <s v="Chicago"/>
    <s v="Americas &gt; USA &gt; Chicago"/>
    <s v="Education"/>
    <n v="0"/>
    <n v="0"/>
    <x v="0"/>
    <s v="Monitors"/>
    <s v="Medium"/>
    <s v="MON-8129"/>
    <n v="942.02"/>
    <n v="1028.46"/>
    <n v="1028.46"/>
    <x v="3"/>
    <s v="OK"/>
    <n v="0"/>
    <n v="9"/>
    <n v="9256.14"/>
    <n v="8478.18"/>
    <n v="777.95999999999913"/>
    <n v="8.4047994088248354E-2"/>
    <d v="2023-01-02T00:00:00"/>
    <s v="Jan-2023"/>
    <n v="0"/>
    <n v="0"/>
    <n v="0"/>
  </r>
  <r>
    <m/>
    <m/>
    <m/>
    <m/>
    <m/>
    <m/>
    <n v="472"/>
    <x v="4"/>
    <m/>
    <m/>
    <m/>
    <m/>
    <m/>
    <m/>
    <x v="16"/>
    <m/>
    <m/>
    <m/>
    <m/>
    <m/>
    <m/>
    <x v="221"/>
    <m/>
    <m/>
    <m/>
    <m/>
    <m/>
    <m/>
    <m/>
    <m/>
    <m/>
    <m/>
    <m/>
    <m/>
  </r>
  <r>
    <m/>
    <m/>
    <m/>
    <m/>
    <m/>
    <m/>
    <n v="0.74683544303797467"/>
    <x v="4"/>
    <m/>
    <m/>
    <m/>
    <m/>
    <m/>
    <m/>
    <x v="16"/>
    <m/>
    <m/>
    <m/>
    <m/>
    <m/>
    <m/>
    <x v="221"/>
    <m/>
    <m/>
    <m/>
    <m/>
    <m/>
    <m/>
    <m/>
    <m/>
    <m/>
    <m/>
    <m/>
    <m/>
  </r>
</pivotCacheRecords>
</file>

<file path=xl/pivotCache/pivotCacheRecords4.xml><?xml version="1.0" encoding="utf-8"?>
<pivotCacheRecords xmlns="http://schemas.openxmlformats.org/spreadsheetml/2006/main" xmlns:r="http://schemas.openxmlformats.org/officeDocument/2006/relationships" count="632">
  <r>
    <s v="ORD-2024-275203"/>
    <x v="0"/>
    <x v="0"/>
    <s v="2024-Q1"/>
    <d v="2024-04-06T00:00:00"/>
    <n v="26"/>
    <s v="NOT ACHIEVED"/>
    <x v="0"/>
    <x v="0"/>
    <s v="Kisumu"/>
    <s v="Africa &gt; Kenya &gt; Kisumu"/>
    <s v="Corporate"/>
    <s v="Retail"/>
    <x v="0"/>
    <x v="0"/>
    <x v="0"/>
    <s v="Low"/>
    <x v="0"/>
    <n v="279.24"/>
    <n v="321.12599999999998"/>
    <n v="608.9"/>
    <n v="608.9"/>
    <n v="700.2349999999999"/>
    <n v="0.112"/>
    <s v="OK"/>
    <n v="0.112"/>
    <n v="0.112"/>
    <n v="9"/>
    <n v="10.799999999999999"/>
    <n v="4866.3287999999993"/>
    <n v="8409.5422559999988"/>
    <n v="2513.16"/>
    <n v="2353.1687999999995"/>
    <n v="5896.382255999999"/>
    <n v="0.48356140670149533"/>
    <d v="2023-01-02T00:00:00"/>
    <s v="Jan-2023"/>
    <s v="Low/Medium cutoff"/>
    <n v="815.10700000000008"/>
    <n v="0"/>
  </r>
  <r>
    <s v="ORD-2025-997421"/>
    <x v="1"/>
    <x v="1"/>
    <s v="2025-Q2"/>
    <d v="2025-06-09T00:00:00"/>
    <n v="19"/>
    <s v="NOT ACHIEVED"/>
    <x v="1"/>
    <x v="1"/>
    <s v="São Paulo"/>
    <s v="Americas &gt; Brazil &gt; São Paulo"/>
    <s v="Non-Profit"/>
    <s v="Online"/>
    <x v="1"/>
    <x v="1"/>
    <x v="0"/>
    <s v="High"/>
    <x v="1"/>
    <n v="1331.38"/>
    <n v="1531.087"/>
    <n v="2309.56"/>
    <n v="2309.56"/>
    <n v="2655.9939999999997"/>
    <n v="0.14899999999999999"/>
    <s v="OK"/>
    <n v="0.14899999999999999"/>
    <n v="0.14899999999999999"/>
    <n v="31"/>
    <n v="37.199999999999996"/>
    <n v="60928.502359999999"/>
    <n v="113524.62034319997"/>
    <n v="41272.780000000006"/>
    <n v="19655.722359999992"/>
    <n v="72251.840343199961"/>
    <n v="0.32260307735553528"/>
    <d v="2023-01-02T00:00:00"/>
    <s v="Jan-2023"/>
    <s v="Medium/High cutoff"/>
    <n v="1620.05"/>
    <n v="0"/>
  </r>
  <r>
    <s v="ORD-2025-487261"/>
    <x v="2"/>
    <x v="2"/>
    <s v="2025-Q1"/>
    <d v="2025-03-31T00:00:00"/>
    <n v="25"/>
    <s v="NOT ACHIEVED"/>
    <x v="1"/>
    <x v="1"/>
    <s v="Brasília"/>
    <s v="Americas &gt; Brazil &gt; Brasília"/>
    <s v="Non-Profit"/>
    <s v="Online"/>
    <x v="1"/>
    <x v="2"/>
    <x v="0"/>
    <s v="Low"/>
    <x v="2"/>
    <n v="331.57"/>
    <n v="381.30549999999994"/>
    <n v="548.4"/>
    <n v="548.4"/>
    <n v="630.66"/>
    <n v="9.4E-2"/>
    <s v="OK"/>
    <n v="9.4E-2"/>
    <n v="9.4E-2"/>
    <n v="10"/>
    <n v="12"/>
    <n v="4968.5039999999999"/>
    <n v="8279.3044800000007"/>
    <n v="3315.7"/>
    <n v="1652.8040000000001"/>
    <n v="4963.6044800000009"/>
    <n v="0.33265626836568918"/>
    <d v="2023-01-02T00:00:00"/>
    <s v="Jan-2023"/>
    <n v="0"/>
    <n v="0"/>
    <n v="0"/>
  </r>
  <r>
    <s v="ORD-2025-840976"/>
    <x v="3"/>
    <x v="3"/>
    <s v="2025-Q3"/>
    <d v="2025-09-30T00:00:00"/>
    <n v="29"/>
    <s v="NOT ACHIEVED"/>
    <x v="1"/>
    <x v="1"/>
    <s v="Brasília"/>
    <s v="Americas &gt; Brazil &gt; Brasília"/>
    <s v="Education"/>
    <s v="Retail"/>
    <x v="0"/>
    <x v="3"/>
    <x v="1"/>
    <s v="Low"/>
    <x v="3"/>
    <n v="780.59"/>
    <n v="897.67849999999999"/>
    <n v="631.57000000000005"/>
    <n v="631.57000000000005"/>
    <n v="726.30550000000005"/>
    <n v="0"/>
    <s v="OK"/>
    <n v="0"/>
    <n v="0"/>
    <n v="12"/>
    <n v="14.399999999999999"/>
    <n v="7578.84"/>
    <n v="10458.799199999999"/>
    <n v="9367.08"/>
    <n v="-1788.2399999999998"/>
    <n v="1091.7191999999995"/>
    <n v="-0.23595167598207639"/>
    <d v="2023-01-02T00:00:00"/>
    <s v="Jan-2023"/>
    <s v="Global DISC"/>
    <n v="0.25"/>
    <n v="0"/>
  </r>
  <r>
    <s v="ORD-2025-843974"/>
    <x v="4"/>
    <x v="4"/>
    <s v="2025-Q3"/>
    <d v="2025-08-05T00:00:00"/>
    <n v="16"/>
    <s v="NOT ACHIEVED"/>
    <x v="1"/>
    <x v="1"/>
    <s v="Brasília"/>
    <s v="Americas &gt; Brazil &gt; Brasília"/>
    <s v="Enterprise"/>
    <s v="Marketplace"/>
    <x v="2"/>
    <x v="4"/>
    <x v="1"/>
    <s v="High"/>
    <x v="4"/>
    <n v="1068.17"/>
    <n v="1228.3955000000001"/>
    <n v="2375.37"/>
    <n v="2375.37"/>
    <n v="2731.6754999999998"/>
    <n v="0.109"/>
    <s v="OK"/>
    <n v="0.109"/>
    <n v="0.109"/>
    <n v="18"/>
    <n v="21.599999999999998"/>
    <n v="38096.18406"/>
    <n v="65435.64759719999"/>
    <n v="19227.060000000001"/>
    <n v="18869.124059999998"/>
    <n v="46208.587597199992"/>
    <n v="0.49530220744108822"/>
    <d v="2023-01-02T00:00:00"/>
    <s v="Jan-2023"/>
    <s v="UNIT INFLATION"/>
    <n v="0.15"/>
    <n v="0"/>
  </r>
  <r>
    <s v="ORD-2023-271836"/>
    <x v="5"/>
    <x v="5"/>
    <s v="2023-Q1"/>
    <d v="2023-02-12T00:00:00"/>
    <n v="5"/>
    <s v="ACHIEVED"/>
    <x v="1"/>
    <x v="1"/>
    <s v="São Paulo"/>
    <s v="Americas &gt; Brazil &gt; São Paulo"/>
    <s v="Education"/>
    <s v="Online"/>
    <x v="1"/>
    <x v="5"/>
    <x v="0"/>
    <s v="High"/>
    <x v="5"/>
    <n v="948.55"/>
    <n v="1090.8324999999998"/>
    <n v="2089.16"/>
    <n v="2089.16"/>
    <n v="2402.5339999999997"/>
    <n v="7.0000000000000001E-3"/>
    <s v="OK"/>
    <n v="7.0000000000000001E-3"/>
    <n v="7.0000000000000001E-3"/>
    <n v="12"/>
    <n v="14.399999999999999"/>
    <n v="24894.430559999997"/>
    <n v="34838.66502719999"/>
    <n v="11382.599999999999"/>
    <n v="13511.830559999999"/>
    <n v="23456.065027199991"/>
    <n v="0.54276519912492427"/>
    <d v="2023-01-02T00:00:00"/>
    <s v="Jan-2023"/>
    <s v="QUANTITY UPLIFT"/>
    <n v="0.2"/>
    <n v="0"/>
  </r>
  <r>
    <s v="ORD-2024-215294"/>
    <x v="6"/>
    <x v="6"/>
    <s v="2024-Q2"/>
    <d v="2024-07-14T00:00:00"/>
    <n v="14"/>
    <s v="NOT ACHIEVED"/>
    <x v="1"/>
    <x v="1"/>
    <s v="Brasília"/>
    <s v="Americas &gt; Brazil &gt; Brasília"/>
    <s v="Education"/>
    <s v="Retail"/>
    <x v="0"/>
    <x v="0"/>
    <x v="1"/>
    <s v="High"/>
    <x v="6"/>
    <n v="1491.85"/>
    <n v="1715.6274999999998"/>
    <n v="2583.02"/>
    <n v="2583.02"/>
    <n v="2970.473"/>
    <n v="0.16800000000000001"/>
    <s v="OK"/>
    <n v="0.16800000000000001"/>
    <n v="0.16800000000000001"/>
    <n v="4"/>
    <n v="4.8"/>
    <n v="8596.2905599999995"/>
    <n v="16653.659827199997"/>
    <n v="5967.4"/>
    <n v="2628.8905599999998"/>
    <n v="10686.259827199998"/>
    <n v="0.30581685689321325"/>
    <d v="2023-01-02T00:00:00"/>
    <s v="Jan-2023"/>
    <n v="0"/>
    <n v="0"/>
    <n v="0"/>
  </r>
  <r>
    <s v="ORD-2025-765220"/>
    <x v="7"/>
    <x v="7"/>
    <s v="2025-Q2"/>
    <d v="2025-04-30T00:00:00"/>
    <n v="24"/>
    <s v="NOT ACHIEVED"/>
    <x v="1"/>
    <x v="1"/>
    <s v="Brasília"/>
    <s v="Americas &gt; Brazil &gt; Brasília"/>
    <s v="Education"/>
    <s v="Online"/>
    <x v="1"/>
    <x v="3"/>
    <x v="2"/>
    <s v="Medium"/>
    <x v="7"/>
    <n v="855.78"/>
    <n v="984.14699999999993"/>
    <n v="977.38"/>
    <n v="977.38"/>
    <n v="1123.9869999999999"/>
    <n v="0.14699999999999999"/>
    <s v="OK"/>
    <n v="0.14699999999999999"/>
    <n v="0.14699999999999999"/>
    <n v="38"/>
    <n v="45.6"/>
    <n v="31680.795320000001"/>
    <n v="58788.116858399997"/>
    <n v="32519.64"/>
    <n v="-838.84467999999833"/>
    <n v="26268.476858399998"/>
    <n v="-2.6478018355506307E-2"/>
    <d v="2023-01-02T00:00:00"/>
    <s v="Jan-2023"/>
    <n v="0"/>
    <n v="0"/>
    <n v="0"/>
  </r>
  <r>
    <s v="ORD-2025-931538"/>
    <x v="8"/>
    <x v="8"/>
    <s v="2025-Q1"/>
    <d v="2025-03-01T00:00:00"/>
    <n v="20"/>
    <s v="NOT ACHIEVED"/>
    <x v="1"/>
    <x v="1"/>
    <s v="São Paulo"/>
    <s v="Americas &gt; Brazil &gt; São Paulo"/>
    <s v="Corporate"/>
    <s v="Distributor"/>
    <x v="3"/>
    <x v="6"/>
    <x v="3"/>
    <s v="High"/>
    <x v="8"/>
    <n v="1154.6400000000001"/>
    <n v="1327.836"/>
    <n v="2794.13"/>
    <n v="2794.13"/>
    <n v="3213.2494999999999"/>
    <n v="3.5000000000000003E-2"/>
    <s v="OK"/>
    <n v="3.5000000000000003E-2"/>
    <n v="3.5000000000000003E-2"/>
    <n v="11"/>
    <n v="13.2"/>
    <n v="29659.68995"/>
    <n v="43899.414668999991"/>
    <n v="12701.04"/>
    <n v="16958.649949999999"/>
    <n v="31198.37466899999"/>
    <n v="0.57177435025749479"/>
    <d v="2023-01-02T00:00:00"/>
    <s v="Jan-2023"/>
    <n v="0"/>
    <n v="0"/>
    <n v="0"/>
  </r>
  <r>
    <s v="ORD-2023-239789"/>
    <x v="9"/>
    <x v="9"/>
    <s v="2023-Q4"/>
    <d v="2023-12-26T00:00:00"/>
    <n v="23"/>
    <s v="NOT ACHIEVED"/>
    <x v="1"/>
    <x v="1"/>
    <s v="Rio de Janeiro"/>
    <s v="Americas &gt; Brazil &gt; Rio de Janeiro"/>
    <s v="Education"/>
    <s v="Retail"/>
    <x v="0"/>
    <x v="7"/>
    <x v="4"/>
    <s v="Medium"/>
    <x v="9"/>
    <n v="1303.1099999999999"/>
    <n v="1498.5764999999997"/>
    <n v="1145.67"/>
    <n v="1145.67"/>
    <n v="1317.5205000000001"/>
    <n v="0.184"/>
    <s v="OK"/>
    <n v="0.184"/>
    <n v="0.184"/>
    <n v="13"/>
    <n v="15.6"/>
    <n v="12153.267360000002"/>
    <n v="24335.130643200002"/>
    <n v="16940.43"/>
    <n v="-4787.1626399999986"/>
    <n v="7394.7006432000017"/>
    <n v="-0.39389922875851208"/>
    <d v="2023-01-02T00:00:00"/>
    <s v="Jan-2023"/>
    <n v="0"/>
    <n v="0"/>
    <n v="0"/>
  </r>
  <r>
    <s v="ORD-2025-640677"/>
    <x v="10"/>
    <x v="7"/>
    <s v="2025-Q2"/>
    <d v="2025-05-06T00:00:00"/>
    <n v="27"/>
    <s v="NOT ACHIEVED"/>
    <x v="1"/>
    <x v="1"/>
    <s v="Brasília"/>
    <s v="Americas &gt; Brazil &gt; Brasília"/>
    <s v="Enterprise"/>
    <s v="Marketplace"/>
    <x v="2"/>
    <x v="8"/>
    <x v="3"/>
    <s v="Low"/>
    <x v="10"/>
    <n v="264.19"/>
    <n v="303.81849999999997"/>
    <n v="620.92999999999995"/>
    <n v="620.92999999999995"/>
    <n v="714.06949999999983"/>
    <n v="0.14199999999999999"/>
    <s v="OK"/>
    <n v="0.14199999999999999"/>
    <n v="0.14199999999999999"/>
    <n v="12"/>
    <n v="14.399999999999999"/>
    <n v="6393.0952799999995"/>
    <n v="11742.730113599995"/>
    <n v="3170.2799999999997"/>
    <n v="3222.8152799999998"/>
    <n v="8572.4501135999963"/>
    <n v="0.50410875152794532"/>
    <d v="2023-01-02T00:00:00"/>
    <s v="Jan-2023"/>
    <n v="0"/>
    <n v="0"/>
    <n v="0"/>
  </r>
  <r>
    <s v="ORD-2024-446699"/>
    <x v="11"/>
    <x v="10"/>
    <s v="2024-Q3"/>
    <d v="2024-09-25T00:00:00"/>
    <n v="28"/>
    <s v="NOT ACHIEVED"/>
    <x v="1"/>
    <x v="1"/>
    <s v="Rio de Janeiro"/>
    <s v="Americas &gt; Brazil &gt; Rio de Janeiro"/>
    <s v="Non-Profit"/>
    <s v="Online"/>
    <x v="1"/>
    <x v="9"/>
    <x v="1"/>
    <s v="High"/>
    <x v="11"/>
    <n v="1394.65"/>
    <n v="1603.8475000000001"/>
    <n v="3144.1"/>
    <n v="3144.1"/>
    <n v="3615.7149999999997"/>
    <n v="0.13400000000000001"/>
    <s v="OK"/>
    <n v="0.13400000000000001"/>
    <n v="0.13400000000000001"/>
    <n v="13"/>
    <n v="15.6"/>
    <n v="35396.277799999996"/>
    <n v="63963.444635999986"/>
    <n v="18130.45"/>
    <n v="17265.827799999995"/>
    <n v="45832.994635999989"/>
    <n v="0.4877865378263021"/>
    <d v="2023-01-02T00:00:00"/>
    <s v="Jan-2023"/>
    <n v="0"/>
    <n v="0"/>
    <n v="0"/>
  </r>
  <r>
    <s v="ORD-2024-451005"/>
    <x v="6"/>
    <x v="6"/>
    <s v="2024-Q2"/>
    <d v="2024-07-05T00:00:00"/>
    <n v="5"/>
    <s v="ACHIEVED"/>
    <x v="1"/>
    <x v="1"/>
    <s v="Rio de Janeiro"/>
    <s v="Americas &gt; Brazil &gt; Rio de Janeiro"/>
    <s v="Small Business"/>
    <s v="Direct"/>
    <x v="4"/>
    <x v="10"/>
    <x v="1"/>
    <s v="High"/>
    <x v="12"/>
    <n v="1112.98"/>
    <n v="1279.9269999999999"/>
    <n v="2095.73"/>
    <n v="2095.73"/>
    <n v="2410.0895"/>
    <n v="7.1999999999999995E-2"/>
    <s v="OK"/>
    <n v="7.1999999999999995E-2"/>
    <n v="7.1999999999999995E-2"/>
    <n v="17"/>
    <n v="20.399999999999999"/>
    <n v="33062.236480000007"/>
    <n v="52705.765257600004"/>
    <n v="18920.66"/>
    <n v="14141.576480000007"/>
    <n v="33785.105257600007"/>
    <n v="0.42772594916724777"/>
    <d v="2023-01-02T00:00:00"/>
    <s v="Jan-2023"/>
    <n v="0"/>
    <n v="0"/>
    <n v="0"/>
  </r>
  <r>
    <s v="ORD-2023-374486"/>
    <x v="12"/>
    <x v="11"/>
    <s v="2023-Q2"/>
    <d v="2023-06-29T00:00:00"/>
    <n v="5"/>
    <s v="ACHIEVED"/>
    <x v="1"/>
    <x v="1"/>
    <s v="Rio de Janeiro"/>
    <s v="Americas &gt; Brazil &gt; Rio de Janeiro"/>
    <s v="Non-Profit"/>
    <s v="Retail"/>
    <x v="0"/>
    <x v="11"/>
    <x v="5"/>
    <s v="Medium"/>
    <x v="13"/>
    <n v="804.01"/>
    <n v="924.61149999999986"/>
    <n v="1405.07"/>
    <n v="1405.07"/>
    <n v="1615.8304999999998"/>
    <n v="9.6000000000000002E-2"/>
    <s v="OK"/>
    <n v="9.6000000000000002E-2"/>
    <n v="9.6000000000000002E-2"/>
    <n v="8"/>
    <n v="9.6"/>
    <n v="10161.46624"/>
    <n v="17001.1221888"/>
    <n v="6432.08"/>
    <n v="3729.3862399999998"/>
    <n v="10569.0421888"/>
    <n v="0.36701260939287439"/>
    <d v="2023-01-02T00:00:00"/>
    <s v="Jan-2023"/>
    <n v="0"/>
    <n v="0"/>
    <n v="0"/>
  </r>
  <r>
    <s v="ORD-2023-869884"/>
    <x v="13"/>
    <x v="12"/>
    <s v="2023-Q1"/>
    <d v="2023-03-05T00:00:00"/>
    <n v="3"/>
    <s v="ACHIEVED"/>
    <x v="1"/>
    <x v="1"/>
    <s v="Brasília"/>
    <s v="Americas &gt; Brazil &gt; Brasília"/>
    <s v="Enterprise"/>
    <s v="Direct"/>
    <x v="4"/>
    <x v="4"/>
    <x v="2"/>
    <s v="High"/>
    <x v="14"/>
    <n v="1473.58"/>
    <n v="1694.6169999999997"/>
    <n v="3436.52"/>
    <n v="3436.52"/>
    <n v="3951.9979999999996"/>
    <n v="0.108"/>
    <s v="OK"/>
    <n v="0.108"/>
    <n v="0.108"/>
    <n v="8"/>
    <n v="9.6"/>
    <n v="24523.006720000001"/>
    <n v="42036.612326399998"/>
    <n v="11788.64"/>
    <n v="12734.366720000002"/>
    <n v="30247.972326399999"/>
    <n v="0.51928243813652564"/>
    <d v="2023-01-02T00:00:00"/>
    <s v="Jan-2023"/>
    <n v="0"/>
    <n v="0"/>
    <n v="0"/>
  </r>
  <r>
    <s v="ORD-2024-588972"/>
    <x v="14"/>
    <x v="13"/>
    <s v="2024-Q4"/>
    <d v="2024-11-29T00:00:00"/>
    <n v="27"/>
    <s v="NOT ACHIEVED"/>
    <x v="1"/>
    <x v="1"/>
    <s v="Brasília"/>
    <s v="Americas &gt; Brazil &gt; Brasília"/>
    <s v="Small Business"/>
    <s v="Direct"/>
    <x v="4"/>
    <x v="12"/>
    <x v="6"/>
    <s v="Medium"/>
    <x v="15"/>
    <n v="1363.51"/>
    <n v="1568.0364999999999"/>
    <n v="1433.9"/>
    <n v="1433.9"/>
    <n v="1648.9849999999999"/>
    <n v="5.7000000000000002E-2"/>
    <s v="OK"/>
    <n v="5.7000000000000002E-2"/>
    <n v="5.7000000000000002E-2"/>
    <n v="8"/>
    <n v="9.6"/>
    <n v="10817.3416"/>
    <n v="16732.580591999995"/>
    <n v="10908.08"/>
    <n v="-90.738400000000183"/>
    <n v="5824.5005919999949"/>
    <n v="-8.3882346842037592E-3"/>
    <d v="2023-01-02T00:00:00"/>
    <s v="Jan-2023"/>
    <n v="0"/>
    <n v="0"/>
    <n v="0"/>
  </r>
  <r>
    <s v="ORD-2025-650719"/>
    <x v="15"/>
    <x v="8"/>
    <s v="2025-Q1"/>
    <d v="2025-02-28T00:00:00"/>
    <n v="16"/>
    <s v="NOT ACHIEVED"/>
    <x v="1"/>
    <x v="1"/>
    <s v="São Paulo"/>
    <s v="Americas &gt; Brazil &gt; São Paulo"/>
    <s v="Non-Profit"/>
    <s v="Direct"/>
    <x v="4"/>
    <x v="6"/>
    <x v="2"/>
    <s v="Medium"/>
    <x v="16"/>
    <n v="414.95"/>
    <n v="477.19249999999994"/>
    <n v="1027.73"/>
    <n v="1027.73"/>
    <n v="1181.8895"/>
    <n v="6.3E-2"/>
    <s v="OK"/>
    <n v="6.3E-2"/>
    <n v="6.3E-2"/>
    <n v="8"/>
    <n v="9.6"/>
    <n v="7703.8640800000003"/>
    <n v="12060.945969599999"/>
    <n v="3319.6"/>
    <n v="4384.2640800000008"/>
    <n v="8741.3459695999991"/>
    <n v="0.56909935513815568"/>
    <d v="2023-01-02T00:00:00"/>
    <s v="Jan-2023"/>
    <n v="0"/>
    <n v="0"/>
    <n v="0"/>
  </r>
  <r>
    <s v="ORD-2023-309373"/>
    <x v="16"/>
    <x v="14"/>
    <s v="2023-Q3"/>
    <d v="2023-07-14T00:00:00"/>
    <n v="9"/>
    <s v="NOT ACHIEVED"/>
    <x v="1"/>
    <x v="1"/>
    <s v="Brasília"/>
    <s v="Americas &gt; Brazil &gt; Brasília"/>
    <s v="Enterprise"/>
    <s v="Direct"/>
    <x v="4"/>
    <x v="6"/>
    <x v="6"/>
    <s v="Medium"/>
    <x v="17"/>
    <n v="578.85"/>
    <n v="665.67750000000001"/>
    <n v="998.76"/>
    <n v="998.76"/>
    <n v="1148.5739999999998"/>
    <n v="8.2000000000000003E-2"/>
    <s v="OK"/>
    <n v="8.2000000000000003E-2"/>
    <n v="8.2000000000000003E-2"/>
    <n v="28"/>
    <n v="33.6"/>
    <n v="25672.127039999999"/>
    <n v="41756.637484799998"/>
    <n v="16207.800000000001"/>
    <n v="9464.3270399999983"/>
    <n v="25548.837484799995"/>
    <n v="0.36866158480960831"/>
    <d v="2023-01-02T00:00:00"/>
    <s v="Jan-2023"/>
    <n v="0"/>
    <n v="0"/>
    <n v="0"/>
  </r>
  <r>
    <s v="ORD-2024-219735"/>
    <x v="17"/>
    <x v="15"/>
    <s v="2024-Q2"/>
    <d v="2024-04-07T00:00:00"/>
    <n v="4"/>
    <s v="ACHIEVED"/>
    <x v="1"/>
    <x v="1"/>
    <s v="Brasília"/>
    <s v="Americas &gt; Brazil &gt; Brasília"/>
    <s v="Non-Profit"/>
    <s v="Direct"/>
    <x v="4"/>
    <x v="5"/>
    <x v="4"/>
    <s v="Medium"/>
    <x v="18"/>
    <n v="1023.27"/>
    <n v="1176.7604999999999"/>
    <n v="1343.64"/>
    <n v="1343.64"/>
    <n v="1545.1859999999999"/>
    <n v="0.13300000000000001"/>
    <s v="OK"/>
    <n v="0.13300000000000001"/>
    <n v="0.13300000000000001"/>
    <n v="7"/>
    <n v="8.4"/>
    <n v="8154.5511600000009"/>
    <n v="14705.844199200001"/>
    <n v="7162.8899999999994"/>
    <n v="991.66116000000147"/>
    <n v="7542.9541992000013"/>
    <n v="0.12160830688810116"/>
    <d v="2023-01-02T00:00:00"/>
    <s v="Jan-2023"/>
    <n v="0"/>
    <n v="0"/>
    <n v="0"/>
  </r>
  <r>
    <s v="ORD-2025-667201"/>
    <x v="18"/>
    <x v="3"/>
    <s v="2025-Q3"/>
    <d v="2025-09-18T00:00:00"/>
    <n v="3"/>
    <s v="ACHIEVED"/>
    <x v="1"/>
    <x v="1"/>
    <s v="Rio de Janeiro"/>
    <s v="Americas &gt; Brazil &gt; Rio de Janeiro"/>
    <s v="Non-Profit"/>
    <s v="Direct"/>
    <x v="4"/>
    <x v="10"/>
    <x v="1"/>
    <s v="Low"/>
    <x v="19"/>
    <n v="5.5"/>
    <n v="6.3249999999999993"/>
    <n v="5.92"/>
    <n v="5.92"/>
    <n v="6.8079999999999998"/>
    <n v="0.21199999999999999"/>
    <s v="OK"/>
    <n v="0.21199999999999999"/>
    <n v="0.21199999999999999"/>
    <n v="4"/>
    <n v="4.8"/>
    <n v="18.659839999999999"/>
    <n v="39.606220799999996"/>
    <n v="22"/>
    <n v="-3.3401600000000009"/>
    <n v="17.606220799999996"/>
    <n v="-0.17900260666758133"/>
    <d v="2023-01-02T00:00:00"/>
    <s v="Jan-2023"/>
    <n v="0"/>
    <n v="0"/>
    <n v="0"/>
  </r>
  <r>
    <s v="ORD-2023-825836"/>
    <x v="19"/>
    <x v="14"/>
    <s v="2023-Q3"/>
    <d v="2023-07-31T00:00:00"/>
    <n v="12"/>
    <s v="NOT ACHIEVED"/>
    <x v="1"/>
    <x v="1"/>
    <s v="Rio de Janeiro"/>
    <s v="Americas &gt; Brazil &gt; Rio de Janeiro"/>
    <s v="Corporate"/>
    <s v="Retail"/>
    <x v="0"/>
    <x v="0"/>
    <x v="2"/>
    <s v="High"/>
    <x v="20"/>
    <n v="1334.64"/>
    <n v="1534.836"/>
    <n v="2273.42"/>
    <n v="2273.42"/>
    <n v="2614.433"/>
    <n v="0.11799999999999999"/>
    <s v="OK"/>
    <n v="0.11799999999999999"/>
    <n v="0.11799999999999999"/>
    <n v="14"/>
    <n v="16.8"/>
    <n v="28072.190160000002"/>
    <n v="49105.326379199993"/>
    <n v="18684.960000000003"/>
    <n v="9387.2301599999992"/>
    <n v="30420.36637919999"/>
    <n v="0.33439607335575267"/>
    <d v="2023-01-02T00:00:00"/>
    <s v="Jan-2023"/>
    <n v="0"/>
    <n v="0"/>
    <n v="0"/>
  </r>
  <r>
    <s v="ORD-2024-503082"/>
    <x v="20"/>
    <x v="16"/>
    <s v="2024-Q2"/>
    <d v="2024-06-08T00:00:00"/>
    <n v="20"/>
    <s v="NOT ACHIEVED"/>
    <x v="1"/>
    <x v="1"/>
    <s v="Brasília"/>
    <s v="Americas &gt; Brazil &gt; Brasília"/>
    <s v="Small Business"/>
    <s v="Retail"/>
    <x v="0"/>
    <x v="11"/>
    <x v="2"/>
    <s v="Medium"/>
    <x v="21"/>
    <n v="1075.9000000000001"/>
    <n v="1237.2850000000001"/>
    <n v="1242.1500000000001"/>
    <n v="1242.1500000000001"/>
    <n v="1428.4725000000001"/>
    <n v="1.2E-2"/>
    <s v="OK"/>
    <n v="1.2E-2"/>
    <n v="1.2E-2"/>
    <n v="7"/>
    <n v="8.4"/>
    <n v="8590.7094000000016"/>
    <n v="12143.159028000002"/>
    <n v="7531.3000000000011"/>
    <n v="1059.4094000000005"/>
    <n v="4611.8590280000008"/>
    <n v="0.12332036280961853"/>
    <d v="2023-01-02T00:00:00"/>
    <s v="Jan-2023"/>
    <n v="0"/>
    <n v="0"/>
    <n v="0"/>
  </r>
  <r>
    <s v="ORD-2024-444710"/>
    <x v="21"/>
    <x v="17"/>
    <s v="2024-Q3"/>
    <d v="2024-10-01T00:00:00"/>
    <n v="9"/>
    <s v="NOT ACHIEVED"/>
    <x v="1"/>
    <x v="1"/>
    <s v="São Paulo"/>
    <s v="Americas &gt; Brazil &gt; São Paulo"/>
    <s v="Non-Profit"/>
    <s v="Online"/>
    <x v="1"/>
    <x v="3"/>
    <x v="2"/>
    <s v="High"/>
    <x v="22"/>
    <n v="1378.8"/>
    <n v="1585.62"/>
    <n v="1952.04"/>
    <n v="1952.04"/>
    <n v="2244.846"/>
    <n v="0.159"/>
    <s v="OK"/>
    <n v="0.159"/>
    <n v="0.159"/>
    <n v="19"/>
    <n v="22.8"/>
    <n v="31191.64716"/>
    <n v="59320.504519200003"/>
    <n v="26197.200000000001"/>
    <n v="4994.4471599999997"/>
    <n v="33123.304519199999"/>
    <n v="0.16012130216723058"/>
    <d v="2023-01-02T00:00:00"/>
    <s v="Jan-2023"/>
    <n v="0"/>
    <n v="0"/>
    <n v="0"/>
  </r>
  <r>
    <s v="ORD-2023-653343"/>
    <x v="22"/>
    <x v="18"/>
    <s v="2023-Q4"/>
    <d v="2023-11-28T00:00:00"/>
    <n v="18"/>
    <s v="NOT ACHIEVED"/>
    <x v="1"/>
    <x v="1"/>
    <s v="Brasília"/>
    <s v="Americas &gt; Brazil &gt; Brasília"/>
    <s v="Education"/>
    <s v="Marketplace"/>
    <x v="2"/>
    <x v="10"/>
    <x v="1"/>
    <s v="Low"/>
    <x v="23"/>
    <n v="388.51"/>
    <n v="446.78649999999993"/>
    <n v="776.46"/>
    <n v="776.46"/>
    <n v="892.92899999999997"/>
    <n v="0.157"/>
    <s v="OK"/>
    <n v="0.157"/>
    <n v="0.157"/>
    <n v="12"/>
    <n v="14.399999999999999"/>
    <n v="7854.6693599999999"/>
    <n v="14876.9114832"/>
    <n v="4662.12"/>
    <n v="3192.54936"/>
    <n v="10214.791483199999"/>
    <n v="0.40645241876864946"/>
    <d v="2023-01-02T00:00:00"/>
    <s v="Jan-2023"/>
    <n v="0"/>
    <n v="0"/>
    <n v="0"/>
  </r>
  <r>
    <s v="ORD-2024-777623"/>
    <x v="23"/>
    <x v="17"/>
    <s v="2024-Q3"/>
    <d v="2024-10-14T00:00:00"/>
    <n v="25"/>
    <s v="NOT ACHIEVED"/>
    <x v="1"/>
    <x v="1"/>
    <s v="Rio de Janeiro"/>
    <s v="Americas &gt; Brazil &gt; Rio de Janeiro"/>
    <s v="Small Business"/>
    <s v="Retail"/>
    <x v="0"/>
    <x v="3"/>
    <x v="5"/>
    <s v="Medium"/>
    <x v="24"/>
    <n v="386.96"/>
    <n v="445.00399999999996"/>
    <n v="937.46"/>
    <n v="937.46"/>
    <n v="1078.079"/>
    <n v="0.26600000000000001"/>
    <s v="OK"/>
    <n v="0.26600000000000001"/>
    <n v="0.25"/>
    <n v="41"/>
    <n v="49.199999999999996"/>
    <n v="28211.92124"/>
    <n v="66301.858499999988"/>
    <n v="15865.359999999999"/>
    <n v="12346.561240000001"/>
    <n v="50436.498499999987"/>
    <n v="0.43763631462626335"/>
    <d v="2023-01-02T00:00:00"/>
    <s v="Jan-2023"/>
    <n v="0"/>
    <n v="0"/>
    <n v="0"/>
  </r>
  <r>
    <s v="ORD-2023-195665"/>
    <x v="24"/>
    <x v="9"/>
    <s v="2023-Q4"/>
    <d v="2023-12-20T00:00:00"/>
    <n v="1"/>
    <s v="ACHIEVED"/>
    <x v="1"/>
    <x v="1"/>
    <s v="Rio de Janeiro"/>
    <s v="Americas &gt; Brazil &gt; Rio de Janeiro"/>
    <s v="Consumer"/>
    <s v="Distributor"/>
    <x v="3"/>
    <x v="2"/>
    <x v="4"/>
    <s v="High"/>
    <x v="25"/>
    <n v="1080.43"/>
    <n v="1242.4945"/>
    <n v="2529.15"/>
    <n v="2529.15"/>
    <n v="2908.5225"/>
    <n v="0.14699999999999999"/>
    <s v="OK"/>
    <n v="0.14699999999999999"/>
    <n v="0.14699999999999999"/>
    <n v="10"/>
    <n v="12"/>
    <n v="21573.6495"/>
    <n v="40032.903690000006"/>
    <n v="10804.300000000001"/>
    <n v="10769.349499999998"/>
    <n v="29228.603690000004"/>
    <n v="0.49918997247081437"/>
    <d v="2023-01-02T00:00:00"/>
    <s v="Jan-2023"/>
    <n v="0"/>
    <n v="0"/>
    <n v="0"/>
  </r>
  <r>
    <s v="ORD-2025-757957"/>
    <x v="25"/>
    <x v="7"/>
    <s v="2025-Q2"/>
    <d v="2025-05-06T00:00:00"/>
    <n v="12"/>
    <s v="NOT ACHIEVED"/>
    <x v="1"/>
    <x v="1"/>
    <s v="Brasília"/>
    <s v="Americas &gt; Brazil &gt; Brasília"/>
    <s v="Consumer"/>
    <s v="Online"/>
    <x v="1"/>
    <x v="0"/>
    <x v="4"/>
    <s v="Medium"/>
    <x v="26"/>
    <n v="394.13"/>
    <n v="453.24949999999995"/>
    <n v="932.29"/>
    <n v="932.29"/>
    <n v="1072.1334999999999"/>
    <n v="0.109"/>
    <s v="OK"/>
    <n v="0.109"/>
    <n v="0.109"/>
    <n v="7"/>
    <n v="8.4"/>
    <n v="5814.6927299999998"/>
    <n v="9987.5668325999995"/>
    <n v="2758.91"/>
    <n v="3055.7827299999999"/>
    <n v="7228.6568325999997"/>
    <n v="0.5255278089303268"/>
    <d v="2023-01-02T00:00:00"/>
    <s v="Jan-2023"/>
    <n v="0"/>
    <n v="0"/>
    <n v="0"/>
  </r>
  <r>
    <s v="ORD-2023-747341"/>
    <x v="26"/>
    <x v="19"/>
    <s v="2023-Q2"/>
    <d v="2023-04-28T00:00:00"/>
    <n v="9"/>
    <s v="NOT ACHIEVED"/>
    <x v="1"/>
    <x v="1"/>
    <s v="Rio de Janeiro"/>
    <s v="Americas &gt; Brazil &gt; Rio de Janeiro"/>
    <s v="Corporate"/>
    <s v="Distributor"/>
    <x v="3"/>
    <x v="13"/>
    <x v="4"/>
    <s v="Medium"/>
    <x v="27"/>
    <n v="1013.54"/>
    <n v="1165.5709999999999"/>
    <n v="927.93"/>
    <n v="927.93"/>
    <n v="1067.1194999999998"/>
    <n v="0.17499999999999999"/>
    <s v="OK"/>
    <n v="0.17499999999999999"/>
    <n v="0.17499999999999999"/>
    <n v="16"/>
    <n v="19.2"/>
    <n v="12248.675999999999"/>
    <n v="24074.215919999999"/>
    <n v="16216.64"/>
    <n v="-3967.9639999999999"/>
    <n v="7857.5759199999993"/>
    <n v="-0.32395044166406234"/>
    <d v="2023-01-02T00:00:00"/>
    <s v="Jan-2023"/>
    <n v="0"/>
    <n v="0"/>
    <n v="0"/>
  </r>
  <r>
    <s v="ORD-2023-888140"/>
    <x v="27"/>
    <x v="20"/>
    <s v="2023-Q4"/>
    <d v="2023-10-13T00:00:00"/>
    <n v="2"/>
    <s v="ACHIEVED"/>
    <x v="1"/>
    <x v="1"/>
    <s v="Brasília"/>
    <s v="Americas &gt; Brazil &gt; Brasília"/>
    <s v="Consumer"/>
    <s v="Distributor"/>
    <x v="3"/>
    <x v="9"/>
    <x v="1"/>
    <s v="Low"/>
    <x v="28"/>
    <n v="715.94"/>
    <n v="823.33100000000002"/>
    <n v="550.07000000000005"/>
    <n v="550.07000000000005"/>
    <n v="632.58050000000003"/>
    <n v="0.14000000000000001"/>
    <s v="OK"/>
    <n v="0.14000000000000001"/>
    <n v="0.14000000000000001"/>
    <n v="16"/>
    <n v="19.2"/>
    <n v="7568.9632000000001"/>
    <n v="13845.921984000001"/>
    <n v="11455.04"/>
    <n v="-3886.0768000000007"/>
    <n v="2390.8819839999996"/>
    <n v="-0.51342260456491595"/>
    <d v="2023-01-02T00:00:00"/>
    <s v="Jan-2023"/>
    <n v="0"/>
    <n v="0"/>
    <n v="0"/>
  </r>
  <r>
    <s v="ORD-2023-630430"/>
    <x v="28"/>
    <x v="21"/>
    <s v="2023-Q3"/>
    <d v="2023-08-24T00:00:00"/>
    <n v="20"/>
    <s v="NOT ACHIEVED"/>
    <x v="1"/>
    <x v="1"/>
    <s v="Brasília"/>
    <s v="Americas &gt; Brazil &gt; Brasília"/>
    <s v="Non-Profit"/>
    <s v="Direct"/>
    <x v="4"/>
    <x v="9"/>
    <x v="6"/>
    <s v="Medium"/>
    <x v="29"/>
    <n v="582.88"/>
    <n v="670.3119999999999"/>
    <n v="1044.1400000000001"/>
    <n v="1044.1400000000001"/>
    <n v="1200.761"/>
    <n v="0.216"/>
    <s v="OK"/>
    <n v="0.216"/>
    <n v="0.216"/>
    <n v="10"/>
    <n v="12"/>
    <n v="8186.057600000001"/>
    <n v="17521.504512"/>
    <n v="5828.8"/>
    <n v="2357.2576000000008"/>
    <n v="11692.704512"/>
    <n v="0.28796005539956138"/>
    <d v="2023-01-02T00:00:00"/>
    <s v="Jan-2023"/>
    <n v="0"/>
    <n v="0"/>
    <n v="0"/>
  </r>
  <r>
    <s v="ORD-2023-967239"/>
    <x v="29"/>
    <x v="9"/>
    <s v="2023-Q4"/>
    <d v="2024-01-01T00:00:00"/>
    <n v="8"/>
    <s v="NOT ACHIEVED"/>
    <x v="1"/>
    <x v="1"/>
    <s v="São Paulo"/>
    <s v="Americas &gt; Brazil &gt; São Paulo"/>
    <s v="Education"/>
    <s v="Direct"/>
    <x v="4"/>
    <x v="0"/>
    <x v="4"/>
    <s v="Low"/>
    <x v="30"/>
    <n v="526.49"/>
    <n v="605.46349999999995"/>
    <n v="496.2"/>
    <n v="496.2"/>
    <n v="570.63"/>
    <n v="0"/>
    <s v="OK"/>
    <n v="0"/>
    <n v="0"/>
    <n v="14"/>
    <n v="16.8"/>
    <n v="6946.8"/>
    <n v="9586.5840000000007"/>
    <n v="7370.8600000000006"/>
    <n v="-424.0600000000004"/>
    <n v="2215.7240000000002"/>
    <n v="-6.1043933897621985E-2"/>
    <d v="2023-01-02T00:00:00"/>
    <s v="Jan-2023"/>
    <n v="0"/>
    <n v="0"/>
    <n v="0"/>
  </r>
  <r>
    <s v="ORD-2023-253245"/>
    <x v="30"/>
    <x v="21"/>
    <s v="2023-Q3"/>
    <d v="2023-08-14T00:00:00"/>
    <n v="11"/>
    <s v="NOT ACHIEVED"/>
    <x v="1"/>
    <x v="1"/>
    <s v="Brasília"/>
    <s v="Americas &gt; Brazil &gt; Brasília"/>
    <s v="Corporate"/>
    <s v="Direct"/>
    <x v="4"/>
    <x v="2"/>
    <x v="1"/>
    <s v="Low"/>
    <x v="31"/>
    <n v="232.73"/>
    <n v="267.63949999999994"/>
    <n v="334.19"/>
    <n v="334.19"/>
    <n v="384.31849999999997"/>
    <n v="0.13400000000000001"/>
    <s v="OK"/>
    <n v="0.13400000000000001"/>
    <n v="0.13400000000000001"/>
    <n v="25"/>
    <n v="30"/>
    <n v="7235.2134999999998"/>
    <n v="13074.515369999997"/>
    <n v="5818.25"/>
    <n v="1416.9634999999998"/>
    <n v="7256.2653699999973"/>
    <n v="0.1958426658729559"/>
    <d v="2023-01-02T00:00:00"/>
    <s v="Jan-2023"/>
    <n v="0"/>
    <n v="0"/>
    <n v="0"/>
  </r>
  <r>
    <s v="ORD-2024-499009"/>
    <x v="31"/>
    <x v="22"/>
    <s v="2024-Q1"/>
    <d v="2024-01-27T00:00:00"/>
    <n v="2"/>
    <s v="ACHIEVED"/>
    <x v="1"/>
    <x v="1"/>
    <s v="São Paulo"/>
    <s v="Americas &gt; Brazil &gt; São Paulo"/>
    <s v="Non-Profit"/>
    <s v="Marketplace"/>
    <x v="2"/>
    <x v="5"/>
    <x v="3"/>
    <s v="High"/>
    <x v="32"/>
    <n v="1410.97"/>
    <n v="1622.6154999999999"/>
    <n v="1650.75"/>
    <n v="1650.75"/>
    <n v="1898.3625"/>
    <n v="0.13500000000000001"/>
    <s v="OK"/>
    <n v="0.13500000000000001"/>
    <n v="0.13500000000000001"/>
    <n v="6"/>
    <n v="7.1999999999999993"/>
    <n v="8567.3924999999999"/>
    <n v="15513.41835"/>
    <n v="8465.82"/>
    <n v="101.57250000000022"/>
    <n v="7047.5983500000002"/>
    <n v="1.1855707556295596E-2"/>
    <d v="2023-01-02T00:00:00"/>
    <s v="Jan-2023"/>
    <n v="0"/>
    <n v="0"/>
    <n v="0"/>
  </r>
  <r>
    <s v="ORD-2025-752845"/>
    <x v="32"/>
    <x v="2"/>
    <s v="2025-Q1"/>
    <d v="2025-04-07T00:00:00"/>
    <n v="8"/>
    <s v="NOT ACHIEVED"/>
    <x v="1"/>
    <x v="1"/>
    <s v="São Paulo"/>
    <s v="Americas &gt; Brazil &gt; São Paulo"/>
    <s v="Non-Profit"/>
    <s v="Direct"/>
    <x v="4"/>
    <x v="10"/>
    <x v="5"/>
    <s v="Low"/>
    <x v="33"/>
    <n v="71.62"/>
    <n v="82.363"/>
    <n v="118.37"/>
    <n v="118.37"/>
    <n v="136.12549999999999"/>
    <n v="0.156"/>
    <s v="OK"/>
    <n v="0.156"/>
    <n v="0.156"/>
    <n v="11"/>
    <n v="13.2"/>
    <n v="1098.9470800000001"/>
    <n v="2077.1662295999995"/>
    <n v="787.82"/>
    <n v="311.12708000000009"/>
    <n v="1289.3462295999993"/>
    <n v="0.28311379652603474"/>
    <d v="2023-01-02T00:00:00"/>
    <s v="Jan-2023"/>
    <n v="0"/>
    <n v="0"/>
    <n v="0"/>
  </r>
  <r>
    <s v="ORD-2023-594700"/>
    <x v="33"/>
    <x v="14"/>
    <s v="2023-Q3"/>
    <d v="2023-07-22T00:00:00"/>
    <n v="4"/>
    <s v="ACHIEVED"/>
    <x v="1"/>
    <x v="1"/>
    <s v="São Paulo"/>
    <s v="Americas &gt; Brazil &gt; São Paulo"/>
    <s v="Consumer"/>
    <s v="Direct"/>
    <x v="4"/>
    <x v="8"/>
    <x v="6"/>
    <s v="High"/>
    <x v="34"/>
    <n v="1269.55"/>
    <n v="1459.9824999999998"/>
    <n v="2071.1"/>
    <n v="2071.1"/>
    <n v="2381.7649999999999"/>
    <n v="0.129"/>
    <s v="OK"/>
    <n v="0.129"/>
    <n v="0.129"/>
    <n v="22"/>
    <n v="26.4"/>
    <n v="39686.4182"/>
    <n v="70989.934883999988"/>
    <n v="27930.1"/>
    <n v="11756.318200000002"/>
    <n v="43059.834883999989"/>
    <n v="0.29623026549672354"/>
    <d v="2023-01-02T00:00:00"/>
    <s v="Jan-2023"/>
    <n v="0"/>
    <n v="0"/>
    <n v="0"/>
  </r>
  <r>
    <s v="ORD-2024-403664"/>
    <x v="34"/>
    <x v="16"/>
    <s v="2024-Q2"/>
    <d v="2024-06-06T00:00:00"/>
    <n v="14"/>
    <s v="NOT ACHIEVED"/>
    <x v="1"/>
    <x v="1"/>
    <s v="Rio de Janeiro"/>
    <s v="Americas &gt; Brazil &gt; Rio de Janeiro"/>
    <s v="Non-Profit"/>
    <s v="Online"/>
    <x v="1"/>
    <x v="12"/>
    <x v="6"/>
    <s v="Low"/>
    <x v="35"/>
    <n v="51.13"/>
    <n v="58.799500000000002"/>
    <n v="57.53"/>
    <n v="57.53"/>
    <n v="66.159499999999994"/>
    <n v="4.4999999999999998E-2"/>
    <s v="OK"/>
    <n v="4.4999999999999998E-2"/>
    <n v="4.4999999999999998E-2"/>
    <n v="16"/>
    <n v="19.2"/>
    <n v="879.05840000000001"/>
    <n v="1327.4242079999997"/>
    <n v="818.08"/>
    <n v="60.978399999999965"/>
    <n v="509.34420799999964"/>
    <n v="6.9367859973808302E-2"/>
    <d v="2023-01-02T00:00:00"/>
    <s v="Jan-2023"/>
    <n v="0"/>
    <n v="0"/>
    <n v="0"/>
  </r>
  <r>
    <s v="ORD-2023-619570"/>
    <x v="35"/>
    <x v="18"/>
    <s v="2023-Q4"/>
    <d v="2023-11-30T00:00:00"/>
    <n v="16"/>
    <s v="NOT ACHIEVED"/>
    <x v="1"/>
    <x v="1"/>
    <s v="São Paulo"/>
    <s v="Americas &gt; Brazil &gt; São Paulo"/>
    <s v="Enterprise"/>
    <s v="Direct"/>
    <x v="4"/>
    <x v="3"/>
    <x v="6"/>
    <s v="Medium"/>
    <x v="36"/>
    <n v="1017.92"/>
    <n v="1170.6079999999999"/>
    <n v="1175.25"/>
    <n v="1175.25"/>
    <n v="1351.5374999999999"/>
    <n v="7.4999999999999997E-2"/>
    <s v="OK"/>
    <n v="7.4999999999999997E-2"/>
    <n v="7.4999999999999997E-2"/>
    <n v="15"/>
    <n v="18"/>
    <n v="16306.59375"/>
    <n v="26152.250624999997"/>
    <n v="15268.8"/>
    <n v="1037.7937500000007"/>
    <n v="10883.450624999998"/>
    <n v="6.3642583234159542E-2"/>
    <d v="2023-01-02T00:00:00"/>
    <s v="Jan-2023"/>
    <n v="0"/>
    <n v="0"/>
    <n v="0"/>
  </r>
  <r>
    <s v="ORD-2024-206121"/>
    <x v="36"/>
    <x v="23"/>
    <s v="2024-Q1"/>
    <d v="2024-03-11T00:00:00"/>
    <n v="22"/>
    <s v="NOT ACHIEVED"/>
    <x v="1"/>
    <x v="1"/>
    <s v="São Paulo"/>
    <s v="Americas &gt; Brazil &gt; São Paulo"/>
    <s v="Consumer"/>
    <s v="Online"/>
    <x v="1"/>
    <x v="1"/>
    <x v="0"/>
    <s v="Low"/>
    <x v="37"/>
    <n v="80.48"/>
    <n v="92.551999999999992"/>
    <n v="65.650000000000006"/>
    <n v="65.650000000000006"/>
    <n v="75.497500000000002"/>
    <n v="0.17599999999999999"/>
    <s v="OK"/>
    <n v="0.17599999999999999"/>
    <n v="0.17599999999999999"/>
    <n v="13"/>
    <n v="15.6"/>
    <n v="703.2428000000001"/>
    <n v="1385.046936"/>
    <n v="1046.24"/>
    <n v="-342.99719999999991"/>
    <n v="338.80693599999995"/>
    <n v="-0.48773652570634191"/>
    <d v="2023-01-02T00:00:00"/>
    <s v="Jan-2023"/>
    <n v="0"/>
    <n v="0"/>
    <n v="0"/>
  </r>
  <r>
    <s v="ORD-2024-500890"/>
    <x v="37"/>
    <x v="17"/>
    <s v="2024-Q3"/>
    <d v="2024-10-08T00:00:00"/>
    <n v="29"/>
    <s v="NOT ACHIEVED"/>
    <x v="1"/>
    <x v="1"/>
    <s v="São Paulo"/>
    <s v="Americas &gt; Brazil &gt; São Paulo"/>
    <s v="Education"/>
    <s v="Direct"/>
    <x v="4"/>
    <x v="2"/>
    <x v="0"/>
    <s v="High"/>
    <x v="38"/>
    <n v="1010.33"/>
    <n v="1161.8795"/>
    <n v="2492.14"/>
    <n v="2492.14"/>
    <n v="2865.9609999999998"/>
    <n v="5.0999999999999997E-2"/>
    <s v="OK"/>
    <n v="5.0999999999999997E-2"/>
    <n v="5.0999999999999997E-2"/>
    <n v="11"/>
    <n v="13.2"/>
    <n v="26015.449459999996"/>
    <n v="39760.050145199988"/>
    <n v="11113.630000000001"/>
    <n v="14901.819459999995"/>
    <n v="28646.420145199987"/>
    <n v="0.57280653493656752"/>
    <d v="2023-01-02T00:00:00"/>
    <s v="Jan-2023"/>
    <n v="0"/>
    <n v="0"/>
    <n v="0"/>
  </r>
  <r>
    <s v="ORD-2025-779530"/>
    <x v="38"/>
    <x v="1"/>
    <s v="2025-Q2"/>
    <d v="2025-05-24T00:00:00"/>
    <n v="5"/>
    <s v="ACHIEVED"/>
    <x v="1"/>
    <x v="1"/>
    <s v="São Paulo"/>
    <s v="Americas &gt; Brazil &gt; São Paulo"/>
    <s v="Small Business"/>
    <s v="Distributor"/>
    <x v="3"/>
    <x v="10"/>
    <x v="2"/>
    <s v="Medium"/>
    <x v="39"/>
    <n v="383.77"/>
    <n v="441.33549999999997"/>
    <n v="952.56"/>
    <n v="952.56"/>
    <n v="1095.444"/>
    <n v="0.3"/>
    <s v="OK"/>
    <n v="0.3"/>
    <n v="0.25"/>
    <n v="10"/>
    <n v="12"/>
    <n v="6667.9199999999983"/>
    <n v="16431.66"/>
    <n v="3837.7"/>
    <n v="2830.2199999999984"/>
    <n v="12593.96"/>
    <n v="0.42445320279787385"/>
    <d v="2023-01-02T00:00:00"/>
    <s v="Jan-2023"/>
    <n v="0"/>
    <n v="0"/>
    <n v="0"/>
  </r>
  <r>
    <s v="ORD-2024-129345"/>
    <x v="36"/>
    <x v="23"/>
    <s v="2024-Q1"/>
    <d v="2024-03-03T00:00:00"/>
    <n v="14"/>
    <s v="NOT ACHIEVED"/>
    <x v="1"/>
    <x v="1"/>
    <s v="Unkown"/>
    <s v="Americas &gt; Brazil &gt; Unkown"/>
    <s v="Enterprise"/>
    <s v="Distributor"/>
    <x v="3"/>
    <x v="1"/>
    <x v="5"/>
    <s v="Medium"/>
    <x v="40"/>
    <n v="624.23"/>
    <n v="717.86450000000002"/>
    <n v="1318.37"/>
    <n v="1318.37"/>
    <n v="1516.1254999999996"/>
    <n v="0.21"/>
    <s v="OK"/>
    <n v="0.21"/>
    <n v="0.21"/>
    <n v="37"/>
    <n v="44.4"/>
    <n v="38535.955099999999"/>
    <n v="81452.326361999978"/>
    <n v="23096.510000000002"/>
    <n v="15439.445099999997"/>
    <n v="58355.816361999976"/>
    <n v="0.40065038118128793"/>
    <d v="2023-01-02T00:00:00"/>
    <s v="Jan-2023"/>
    <n v="0"/>
    <n v="0"/>
    <n v="0"/>
  </r>
  <r>
    <s v="ORD-2024-225829"/>
    <x v="39"/>
    <x v="13"/>
    <s v="2024-Q4"/>
    <d v="2024-11-26T00:00:00"/>
    <n v="19"/>
    <s v="NOT ACHIEVED"/>
    <x v="1"/>
    <x v="1"/>
    <s v="Rio de Janeiro"/>
    <s v="Americas &gt; Brazil &gt; Rio de Janeiro"/>
    <s v="Non-Profit"/>
    <s v="Distributor"/>
    <x v="3"/>
    <x v="2"/>
    <x v="5"/>
    <s v="Low"/>
    <x v="41"/>
    <n v="55.35"/>
    <n v="63.652499999999996"/>
    <n v="128.68"/>
    <n v="128.68"/>
    <n v="147.982"/>
    <n v="0.128"/>
    <s v="OK"/>
    <n v="0.128"/>
    <n v="0.128"/>
    <n v="10"/>
    <n v="12"/>
    <n v="1122.0896000000002"/>
    <n v="2003.0843520000003"/>
    <n v="553.5"/>
    <n v="568.58960000000025"/>
    <n v="1449.5843520000003"/>
    <n v="0.50672388372550647"/>
    <d v="2023-01-02T00:00:00"/>
    <s v="Jan-2023"/>
    <n v="0"/>
    <n v="0"/>
    <n v="0"/>
  </r>
  <r>
    <s v="ORD-2025-949776"/>
    <x v="40"/>
    <x v="24"/>
    <s v="2025-Q3"/>
    <d v="2025-09-11T00:00:00"/>
    <n v="28"/>
    <s v="NOT ACHIEVED"/>
    <x v="1"/>
    <x v="1"/>
    <s v="São Paulo"/>
    <s v="Americas &gt; Brazil &gt; São Paulo"/>
    <s v="Non-Profit"/>
    <s v="Direct"/>
    <x v="4"/>
    <x v="8"/>
    <x v="5"/>
    <s v="High"/>
    <x v="42"/>
    <n v="1203.02"/>
    <n v="1383.473"/>
    <n v="2439.33"/>
    <n v="2439.33"/>
    <n v="2805.2294999999999"/>
    <n v="0"/>
    <s v="OK"/>
    <n v="0"/>
    <n v="0"/>
    <n v="18"/>
    <n v="21.599999999999998"/>
    <n v="43907.94"/>
    <n v="60592.95719999999"/>
    <n v="21654.36"/>
    <n v="22253.58"/>
    <n v="38938.597199999989"/>
    <n v="0.50682359500354612"/>
    <d v="2023-01-02T00:00:00"/>
    <s v="Jan-2023"/>
    <n v="0"/>
    <n v="0"/>
    <n v="0"/>
  </r>
  <r>
    <s v="ORD-2024-510591"/>
    <x v="17"/>
    <x v="15"/>
    <s v="2024-Q2"/>
    <d v="2024-04-21T00:00:00"/>
    <n v="18"/>
    <s v="NOT ACHIEVED"/>
    <x v="1"/>
    <x v="1"/>
    <s v="Brasília"/>
    <s v="Americas &gt; Brazil &gt; Brasília"/>
    <s v="Small Business"/>
    <s v="Distributor"/>
    <x v="3"/>
    <x v="6"/>
    <x v="6"/>
    <s v="High"/>
    <x v="43"/>
    <n v="1176.69"/>
    <n v="1353.1934999999999"/>
    <n v="2201.54"/>
    <n v="2201.54"/>
    <n v="2531.7709999999997"/>
    <n v="0.17"/>
    <s v="OK"/>
    <n v="0.17"/>
    <n v="0.17"/>
    <n v="27"/>
    <n v="32.4"/>
    <n v="49336.511399999996"/>
    <n v="95974.375067999994"/>
    <n v="31770.63"/>
    <n v="17565.881399999995"/>
    <n v="64203.745067999989"/>
    <n v="0.35604222717701106"/>
    <d v="2023-01-02T00:00:00"/>
    <s v="Jan-2023"/>
    <n v="0"/>
    <n v="0"/>
    <n v="0"/>
  </r>
  <r>
    <s v="ORD-2025-915869"/>
    <x v="41"/>
    <x v="8"/>
    <s v="2025-Q1"/>
    <d v="2025-02-15T00:00:00"/>
    <n v="9"/>
    <s v="NOT ACHIEVED"/>
    <x v="1"/>
    <x v="1"/>
    <s v="São Paulo"/>
    <s v="Americas &gt; Brazil &gt; São Paulo"/>
    <s v="Non-Profit"/>
    <s v="Distributor"/>
    <x v="3"/>
    <x v="8"/>
    <x v="6"/>
    <s v="High"/>
    <x v="44"/>
    <n v="837.39"/>
    <n v="962.99849999999992"/>
    <n v="1905.42"/>
    <n v="1905.42"/>
    <n v="2191.2329999999997"/>
    <n v="3.2000000000000001E-2"/>
    <s v="OK"/>
    <n v="3.2000000000000001E-2"/>
    <n v="3.2000000000000001E-2"/>
    <n v="18"/>
    <n v="21.599999999999998"/>
    <n v="33200.038079999998"/>
    <n v="48845.213049599995"/>
    <n v="15073.02"/>
    <n v="18127.018079999998"/>
    <n v="33772.193049599999"/>
    <n v="0.54599389423350919"/>
    <d v="2023-01-02T00:00:00"/>
    <s v="Jan-2023"/>
    <n v="0"/>
    <n v="0"/>
    <n v="0"/>
  </r>
  <r>
    <s v="ORD-2025-909340"/>
    <x v="42"/>
    <x v="25"/>
    <s v="2025-Q1"/>
    <d v="2025-02-03T00:00:00"/>
    <n v="14"/>
    <s v="NOT ACHIEVED"/>
    <x v="1"/>
    <x v="1"/>
    <s v="Brasília"/>
    <s v="Americas &gt; Brazil &gt; Brasília"/>
    <s v="Enterprise"/>
    <s v="Marketplace"/>
    <x v="2"/>
    <x v="8"/>
    <x v="0"/>
    <s v="Medium"/>
    <x v="45"/>
    <n v="974.11"/>
    <n v="1120.2265"/>
    <n v="880.99"/>
    <n v="880.99"/>
    <n v="1013.1384999999999"/>
    <n v="0.111"/>
    <s v="OK"/>
    <n v="0.111"/>
    <n v="0.111"/>
    <n v="10"/>
    <n v="12"/>
    <n v="7832.0010999999995"/>
    <n v="13507.162481999998"/>
    <n v="9741.1"/>
    <n v="-1909.0989000000009"/>
    <n v="3766.0624819999975"/>
    <n v="-0.2437562093805121"/>
    <d v="2023-01-02T00:00:00"/>
    <s v="Jan-2023"/>
    <n v="0"/>
    <n v="0"/>
    <n v="0"/>
  </r>
  <r>
    <s v="ORD-2023-581799"/>
    <x v="43"/>
    <x v="9"/>
    <s v="2023-Q4"/>
    <d v="2023-12-12T00:00:00"/>
    <n v="7"/>
    <s v="ACHIEVED"/>
    <x v="1"/>
    <x v="1"/>
    <s v="Brasília"/>
    <s v="Americas &gt; Brazil &gt; Brasília"/>
    <s v="Corporate"/>
    <s v="Direct"/>
    <x v="4"/>
    <x v="8"/>
    <x v="4"/>
    <s v="Low"/>
    <x v="46"/>
    <n v="307.43"/>
    <n v="353.54449999999997"/>
    <n v="495.19"/>
    <n v="495.19"/>
    <n v="569.46849999999995"/>
    <n v="0"/>
    <s v="OK"/>
    <n v="0"/>
    <n v="0"/>
    <n v="42"/>
    <n v="50.4"/>
    <n v="20797.98"/>
    <n v="28701.212399999997"/>
    <n v="12912.06"/>
    <n v="7885.92"/>
    <n v="15789.152399999997"/>
    <n v="0.37916759223732305"/>
    <d v="2023-01-02T00:00:00"/>
    <s v="Jan-2023"/>
    <n v="0"/>
    <n v="0"/>
    <n v="0"/>
  </r>
  <r>
    <s v="ORD-2023-588455"/>
    <x v="44"/>
    <x v="26"/>
    <s v="2023-Q2"/>
    <d v="2023-05-25T00:00:00"/>
    <n v="2"/>
    <s v="ACHIEVED"/>
    <x v="1"/>
    <x v="1"/>
    <s v="Rio de Janeiro"/>
    <s v="Americas &gt; Brazil &gt; Rio de Janeiro"/>
    <s v="Enterprise"/>
    <s v="Retail"/>
    <x v="0"/>
    <x v="13"/>
    <x v="5"/>
    <s v="Medium"/>
    <x v="47"/>
    <n v="690.49"/>
    <n v="794.06349999999998"/>
    <n v="1290.29"/>
    <n v="1290.29"/>
    <n v="1483.8334999999997"/>
    <n v="4.2000000000000003E-2"/>
    <s v="OK"/>
    <n v="4.2000000000000003E-2"/>
    <n v="4.2000000000000003E-2"/>
    <n v="22"/>
    <n v="26.4"/>
    <n v="27194.152039999997"/>
    <n v="40818.478984799985"/>
    <n v="15190.78"/>
    <n v="12003.372039999997"/>
    <n v="25627.698984799987"/>
    <n v="0.44139534199647718"/>
    <d v="2023-01-02T00:00:00"/>
    <s v="Jan-2023"/>
    <n v="0"/>
    <n v="0"/>
    <n v="0"/>
  </r>
  <r>
    <s v="ORD-2023-867175"/>
    <x v="45"/>
    <x v="21"/>
    <s v="2023-Q3"/>
    <d v="2023-08-15T00:00:00"/>
    <n v="5"/>
    <s v="ACHIEVED"/>
    <x v="1"/>
    <x v="1"/>
    <s v="São Paulo"/>
    <s v="Americas &gt; Brazil &gt; São Paulo"/>
    <s v="Education"/>
    <s v="Direct"/>
    <x v="4"/>
    <x v="4"/>
    <x v="6"/>
    <s v="High"/>
    <x v="48"/>
    <n v="1307.52"/>
    <n v="1503.6479999999999"/>
    <n v="1921.65"/>
    <n v="1921.65"/>
    <n v="2209.8975"/>
    <n v="0.123"/>
    <s v="OK"/>
    <n v="0.123"/>
    <n v="0.123"/>
    <n v="13"/>
    <n v="15.6"/>
    <n v="21908.731650000002"/>
    <n v="38714.752323000001"/>
    <n v="16997.759999999998"/>
    <n v="4910.9716500000031"/>
    <n v="21716.992323000002"/>
    <n v="0.22415590863289445"/>
    <d v="2023-01-02T00:00:00"/>
    <s v="Jan-2023"/>
    <n v="0"/>
    <n v="0"/>
    <n v="0"/>
  </r>
  <r>
    <s v="ORD-2024-516704"/>
    <x v="46"/>
    <x v="0"/>
    <s v="2024-Q1"/>
    <d v="2024-03-06T00:00:00"/>
    <n v="5"/>
    <s v="ACHIEVED"/>
    <x v="1"/>
    <x v="1"/>
    <s v="São Paulo"/>
    <s v="Americas &gt; Brazil &gt; São Paulo"/>
    <s v="Non-Profit"/>
    <s v="Direct"/>
    <x v="4"/>
    <x v="12"/>
    <x v="4"/>
    <s v="Low"/>
    <x v="49"/>
    <n v="5.34"/>
    <n v="6.1409999999999991"/>
    <n v="12.69"/>
    <n v="12.69"/>
    <n v="14.593499999999999"/>
    <n v="0.13200000000000001"/>
    <s v="OK"/>
    <n v="0.13200000000000001"/>
    <n v="0.13200000000000001"/>
    <n v="10"/>
    <n v="12"/>
    <n v="110.14919999999999"/>
    <n v="198.23810399999999"/>
    <n v="53.4"/>
    <n v="56.749199999999995"/>
    <n v="144.83810399999999"/>
    <n v="0.51520301554618642"/>
    <d v="2023-01-02T00:00:00"/>
    <s v="Jan-2023"/>
    <n v="0"/>
    <n v="0"/>
    <n v="0"/>
  </r>
  <r>
    <s v="ORD-2023-434071"/>
    <x v="47"/>
    <x v="11"/>
    <s v="2023-Q2"/>
    <d v="2023-07-04T00:00:00"/>
    <n v="14"/>
    <s v="NOT ACHIEVED"/>
    <x v="1"/>
    <x v="1"/>
    <s v="Brasília"/>
    <s v="Americas &gt; Brazil &gt; Brasília"/>
    <s v="Non-Profit"/>
    <s v="Direct"/>
    <x v="4"/>
    <x v="0"/>
    <x v="6"/>
    <s v="High"/>
    <x v="50"/>
    <n v="1292.8599999999999"/>
    <n v="1486.7889999999998"/>
    <n v="2981.01"/>
    <n v="2981.01"/>
    <n v="3428.1615000000002"/>
    <n v="0.14199999999999999"/>
    <s v="OK"/>
    <n v="0.14199999999999999"/>
    <n v="0.14199999999999999"/>
    <n v="12"/>
    <n v="14.399999999999999"/>
    <n v="30692.47896"/>
    <n v="56375.430235199994"/>
    <n v="15514.32"/>
    <n v="15178.158960000001"/>
    <n v="40861.110235199994"/>
    <n v="0.49452372288927687"/>
    <d v="2023-01-02T00:00:00"/>
    <s v="Jan-2023"/>
    <n v="0"/>
    <n v="0"/>
    <n v="0"/>
  </r>
  <r>
    <s v="ORD-2023-406606"/>
    <x v="48"/>
    <x v="20"/>
    <s v="2023-Q4"/>
    <d v="2023-10-28T00:00:00"/>
    <n v="3"/>
    <s v="ACHIEVED"/>
    <x v="1"/>
    <x v="1"/>
    <s v="Brasília"/>
    <s v="Americas &gt; Brazil &gt; Brasília"/>
    <s v="Corporate"/>
    <s v="Distributor"/>
    <x v="3"/>
    <x v="10"/>
    <x v="1"/>
    <s v="Medium"/>
    <x v="51"/>
    <n v="509.31"/>
    <n v="585.70650000000001"/>
    <n v="1145.9000000000001"/>
    <n v="1145.9000000000001"/>
    <n v="1317.7850000000001"/>
    <n v="5.7000000000000002E-2"/>
    <s v="OK"/>
    <n v="5.7000000000000002E-2"/>
    <n v="5.7000000000000002E-2"/>
    <n v="8"/>
    <n v="9.6"/>
    <n v="8644.6696000000011"/>
    <n v="13371.827952"/>
    <n v="4074.48"/>
    <n v="4570.1896000000015"/>
    <n v="9297.3479520000001"/>
    <n v="0.52867140231709964"/>
    <d v="2023-01-02T00:00:00"/>
    <s v="Jan-2023"/>
    <n v="0"/>
    <n v="0"/>
    <n v="0"/>
  </r>
  <r>
    <s v="ORD-2025-823055"/>
    <x v="49"/>
    <x v="3"/>
    <s v="2025-Q3"/>
    <d v="2025-10-05T00:00:00"/>
    <n v="27"/>
    <s v="NOT ACHIEVED"/>
    <x v="1"/>
    <x v="1"/>
    <s v="Rio de Janeiro"/>
    <s v="Americas &gt; Brazil &gt; Rio de Janeiro"/>
    <s v="Education"/>
    <s v="Online"/>
    <x v="1"/>
    <x v="0"/>
    <x v="2"/>
    <s v="High"/>
    <x v="52"/>
    <n v="660.78"/>
    <n v="759.89699999999993"/>
    <n v="1630.39"/>
    <n v="1630.39"/>
    <n v="1874.9485"/>
    <n v="0.218"/>
    <s v="OK"/>
    <n v="0.218"/>
    <n v="0.218"/>
    <n v="13"/>
    <n v="15.6"/>
    <n v="16574.544740000001"/>
    <n v="35625.521458800002"/>
    <n v="8590.14"/>
    <n v="7984.4047400000018"/>
    <n v="27035.381458800002"/>
    <n v="0.48172694123724097"/>
    <d v="2023-01-02T00:00:00"/>
    <s v="Jan-2023"/>
    <n v="0"/>
    <n v="0"/>
    <n v="0"/>
  </r>
  <r>
    <s v="ORD-2025-680118"/>
    <x v="50"/>
    <x v="2"/>
    <s v="2025-Q1"/>
    <d v="2025-03-27T00:00:00"/>
    <n v="17"/>
    <s v="NOT ACHIEVED"/>
    <x v="1"/>
    <x v="1"/>
    <s v="Rio de Janeiro"/>
    <s v="Americas &gt; Brazil &gt; Rio de Janeiro"/>
    <s v="Enterprise"/>
    <s v="Direct"/>
    <x v="4"/>
    <x v="8"/>
    <x v="6"/>
    <s v="Medium"/>
    <x v="53"/>
    <n v="996.73"/>
    <n v="1146.2394999999999"/>
    <n v="1217.43"/>
    <n v="1217.43"/>
    <n v="1400.0445"/>
    <n v="7.0000000000000007E-2"/>
    <s v="OK"/>
    <n v="7.0000000000000007E-2"/>
    <n v="7.0000000000000007E-2"/>
    <n v="9"/>
    <n v="10.799999999999999"/>
    <n v="10189.8891"/>
    <n v="16178.914241999999"/>
    <n v="8970.57"/>
    <n v="1219.3191000000006"/>
    <n v="7208.3442419999992"/>
    <n v="0.11965970267527255"/>
    <d v="2023-01-02T00:00:00"/>
    <s v="Jan-2023"/>
    <n v="0"/>
    <n v="0"/>
    <n v="0"/>
  </r>
  <r>
    <s v="ORD-2025-149156"/>
    <x v="51"/>
    <x v="25"/>
    <s v="2025-Q1"/>
    <d v="2025-02-06T00:00:00"/>
    <n v="27"/>
    <s v="NOT ACHIEVED"/>
    <x v="1"/>
    <x v="1"/>
    <s v="Brasília"/>
    <s v="Americas &gt; Brazil &gt; Brasília"/>
    <s v="Non-Profit"/>
    <s v="Retail"/>
    <x v="0"/>
    <x v="6"/>
    <x v="3"/>
    <s v="Medium"/>
    <x v="54"/>
    <n v="725.62"/>
    <n v="834.46299999999997"/>
    <n v="1559.19"/>
    <n v="1559.19"/>
    <n v="1793.0684999999999"/>
    <n v="0.19"/>
    <s v="OK"/>
    <n v="0.19"/>
    <n v="0.19"/>
    <n v="12"/>
    <n v="14.399999999999999"/>
    <n v="15155.326800000001"/>
    <n v="30726.021815999993"/>
    <n v="8707.44"/>
    <n v="6447.8868000000002"/>
    <n v="22018.581815999991"/>
    <n v="0.42545349797405885"/>
    <d v="2023-01-02T00:00:00"/>
    <s v="Jan-2023"/>
    <n v="0"/>
    <n v="0"/>
    <n v="0"/>
  </r>
  <r>
    <s v="ORD-2024-202877"/>
    <x v="52"/>
    <x v="27"/>
    <s v="2024-Q3"/>
    <d v="2024-08-03T00:00:00"/>
    <n v="21"/>
    <s v="NOT ACHIEVED"/>
    <x v="1"/>
    <x v="1"/>
    <s v="Rio de Janeiro"/>
    <s v="Americas &gt; Brazil &gt; Rio de Janeiro"/>
    <s v="Corporate"/>
    <s v="Marketplace"/>
    <x v="2"/>
    <x v="13"/>
    <x v="2"/>
    <s v="Medium"/>
    <x v="55"/>
    <n v="702.98"/>
    <n v="808.42699999999991"/>
    <n v="1104.8"/>
    <n v="1104.8"/>
    <n v="1270.5199999999998"/>
    <n v="0.17499999999999999"/>
    <s v="OK"/>
    <n v="0.17499999999999999"/>
    <n v="0.17499999999999999"/>
    <n v="12"/>
    <n v="14.399999999999999"/>
    <n v="10937.519999999999"/>
    <n v="21497.198399999994"/>
    <n v="8435.76"/>
    <n v="2501.7599999999984"/>
    <n v="13061.438399999994"/>
    <n v="0.22873192460448061"/>
    <d v="2023-01-02T00:00:00"/>
    <s v="Jan-2023"/>
    <n v="0"/>
    <n v="0"/>
    <n v="0"/>
  </r>
  <r>
    <s v="ORD-2025-419532"/>
    <x v="53"/>
    <x v="24"/>
    <s v="2025-Q3"/>
    <d v="2025-08-23T00:00:00"/>
    <n v="17"/>
    <s v="NOT ACHIEVED"/>
    <x v="1"/>
    <x v="1"/>
    <s v="Brasília"/>
    <s v="Americas &gt; Brazil &gt; Brasília"/>
    <s v="Consumer"/>
    <s v="Distributor"/>
    <x v="3"/>
    <x v="1"/>
    <x v="2"/>
    <s v="Low"/>
    <x v="56"/>
    <n v="86.64"/>
    <n v="99.635999999999996"/>
    <n v="213.06"/>
    <n v="213.06"/>
    <n v="245.01899999999998"/>
    <n v="0.21199999999999999"/>
    <s v="OK"/>
    <n v="0.21199999999999999"/>
    <n v="0.21199999999999999"/>
    <n v="11"/>
    <n v="13.2"/>
    <n v="1846.8040799999999"/>
    <n v="3919.9119695999989"/>
    <n v="953.04"/>
    <n v="893.76407999999992"/>
    <n v="2966.8719695999989"/>
    <n v="0.48395175735154322"/>
    <d v="2023-01-02T00:00:00"/>
    <s v="Jan-2023"/>
    <n v="0"/>
    <n v="0"/>
    <n v="0"/>
  </r>
  <r>
    <s v="ORD-2023-244375"/>
    <x v="54"/>
    <x v="11"/>
    <s v="2023-Q2"/>
    <d v="2023-07-01T00:00:00"/>
    <n v="28"/>
    <s v="NOT ACHIEVED"/>
    <x v="1"/>
    <x v="1"/>
    <s v="Brasília"/>
    <s v="Americas &gt; Brazil &gt; Brasília"/>
    <s v="Small Business"/>
    <s v="Marketplace"/>
    <x v="2"/>
    <x v="1"/>
    <x v="0"/>
    <s v="High"/>
    <x v="57"/>
    <n v="860.4"/>
    <n v="989.45999999999992"/>
    <n v="2066.6"/>
    <n v="2066.6"/>
    <n v="2376.5899999999997"/>
    <n v="0.01"/>
    <s v="OK"/>
    <n v="0.01"/>
    <n v="0.01"/>
    <n v="3"/>
    <n v="3.5999999999999996"/>
    <n v="6137.8019999999988"/>
    <n v="8641.2812399999984"/>
    <n v="2581.1999999999998"/>
    <n v="3556.601999999999"/>
    <n v="6060.0812399999986"/>
    <n v="0.57945857491004105"/>
    <d v="2023-01-02T00:00:00"/>
    <s v="Jan-2023"/>
    <n v="0"/>
    <n v="0"/>
    <n v="0"/>
  </r>
  <r>
    <s v="ORD-2023-856322"/>
    <x v="55"/>
    <x v="28"/>
    <s v="2023-Q1"/>
    <d v="2023-02-06T00:00:00"/>
    <n v="8"/>
    <s v="NOT ACHIEVED"/>
    <x v="1"/>
    <x v="1"/>
    <s v="Brasília"/>
    <s v="Americas &gt; Brazil &gt; Brasília"/>
    <s v="Corporate"/>
    <s v="Marketplace"/>
    <x v="2"/>
    <x v="14"/>
    <x v="2"/>
    <s v="Low"/>
    <x v="58"/>
    <n v="41.84"/>
    <n v="48.116"/>
    <n v="86.2"/>
    <n v="86.2"/>
    <n v="99.13"/>
    <n v="0.22600000000000001"/>
    <s v="OK"/>
    <n v="0.22600000000000001"/>
    <n v="0.22600000000000001"/>
    <n v="27"/>
    <n v="32.4"/>
    <n v="1801.4076000000002"/>
    <n v="3937.6815119999997"/>
    <n v="1129.68"/>
    <n v="671.72760000000017"/>
    <n v="2808.0015119999998"/>
    <n v="0.37289039970742882"/>
    <d v="2023-01-02T00:00:00"/>
    <s v="Jan-2023"/>
    <n v="0"/>
    <n v="0"/>
    <n v="0"/>
  </r>
  <r>
    <s v="ORD-2025-246692"/>
    <x v="56"/>
    <x v="7"/>
    <s v="2025-Q2"/>
    <d v="2025-04-17T00:00:00"/>
    <n v="0"/>
    <s v="ACHIEVED"/>
    <x v="1"/>
    <x v="1"/>
    <s v="São Paulo"/>
    <s v="Americas &gt; Brazil &gt; São Paulo"/>
    <s v="Corporate"/>
    <s v="Distributor"/>
    <x v="3"/>
    <x v="10"/>
    <x v="4"/>
    <s v="Medium"/>
    <x v="59"/>
    <n v="719.41"/>
    <n v="827.3214999999999"/>
    <n v="1125.99"/>
    <n v="1125.99"/>
    <n v="1294.8885"/>
    <n v="4.1000000000000002E-2"/>
    <s v="OK"/>
    <n v="4.1000000000000002E-2"/>
    <n v="4.1000000000000002E-2"/>
    <n v="21"/>
    <n v="25.2"/>
    <n v="22676.312610000001"/>
    <n v="33969.068998199997"/>
    <n v="15107.609999999999"/>
    <n v="7568.7026100000021"/>
    <n v="18861.458998199996"/>
    <n v="0.33377131194876403"/>
    <d v="2023-01-02T00:00:00"/>
    <s v="Jan-2023"/>
    <n v="0"/>
    <n v="0"/>
    <n v="0"/>
  </r>
  <r>
    <s v="ORD-2024-585443"/>
    <x v="57"/>
    <x v="10"/>
    <s v="2024-Q3"/>
    <d v="2024-08-22T00:00:00"/>
    <n v="5"/>
    <s v="ACHIEVED"/>
    <x v="1"/>
    <x v="1"/>
    <s v="Rio de Janeiro"/>
    <s v="Americas &gt; Brazil &gt; Rio de Janeiro"/>
    <s v="Consumer"/>
    <s v="Direct"/>
    <x v="4"/>
    <x v="13"/>
    <x v="2"/>
    <s v="Low"/>
    <x v="60"/>
    <n v="165.3"/>
    <n v="190.095"/>
    <n v="275.07"/>
    <n v="275.07"/>
    <n v="316.33049999999997"/>
    <n v="0.13300000000000001"/>
    <s v="OK"/>
    <n v="0.13300000000000001"/>
    <n v="0.13300000000000001"/>
    <n v="25"/>
    <n v="30"/>
    <n v="5962.1422499999999"/>
    <n v="10752.073694999999"/>
    <n v="4132.5"/>
    <n v="1829.6422499999999"/>
    <n v="6619.5736949999991"/>
    <n v="0.30687665159280625"/>
    <d v="2023-01-02T00:00:00"/>
    <s v="Jan-2023"/>
    <n v="0"/>
    <n v="0"/>
    <n v="0"/>
  </r>
  <r>
    <s v="ORD-2023-552115"/>
    <x v="58"/>
    <x v="29"/>
    <s v="2023-Q3"/>
    <d v="2023-10-02T00:00:00"/>
    <n v="15"/>
    <s v="NOT ACHIEVED"/>
    <x v="1"/>
    <x v="1"/>
    <s v="Rio de Janeiro"/>
    <s v="Americas &gt; Brazil &gt; Rio de Janeiro"/>
    <s v="Small Business"/>
    <s v="Retail"/>
    <x v="0"/>
    <x v="6"/>
    <x v="3"/>
    <s v="Low"/>
    <x v="61"/>
    <n v="689.33"/>
    <n v="792.72950000000003"/>
    <n v="668.27"/>
    <n v="668.27"/>
    <n v="768.51049999999987"/>
    <n v="0.186"/>
    <s v="OK"/>
    <n v="0.186"/>
    <n v="0.186"/>
    <n v="13"/>
    <n v="15.6"/>
    <n v="7071.6331400000008"/>
    <n v="14218.673866799996"/>
    <n v="8961.2900000000009"/>
    <n v="-1889.6568600000001"/>
    <n v="5257.3838667999953"/>
    <n v="-0.26721647214861033"/>
    <d v="2023-01-02T00:00:00"/>
    <s v="Jan-2023"/>
    <n v="0"/>
    <n v="0"/>
    <n v="0"/>
  </r>
  <r>
    <s v="ORD-2025-907040"/>
    <x v="56"/>
    <x v="7"/>
    <s v="2025-Q2"/>
    <d v="2025-05-03T00:00:00"/>
    <n v="16"/>
    <s v="NOT ACHIEVED"/>
    <x v="1"/>
    <x v="1"/>
    <s v="Rio de Janeiro"/>
    <s v="Americas &gt; Brazil &gt; Rio de Janeiro"/>
    <s v="Consumer"/>
    <s v="Marketplace"/>
    <x v="2"/>
    <x v="2"/>
    <x v="6"/>
    <s v="Low"/>
    <x v="62"/>
    <n v="168.68"/>
    <n v="193.982"/>
    <n v="413.34"/>
    <n v="413.34"/>
    <n v="475.34099999999995"/>
    <n v="0.186"/>
    <s v="OK"/>
    <n v="0.186"/>
    <n v="0.186"/>
    <n v="7"/>
    <n v="8.4"/>
    <n v="2355.2113199999999"/>
    <n v="4735.5371783999999"/>
    <n v="1180.76"/>
    <n v="1174.4513199999999"/>
    <n v="3554.7771783999997"/>
    <n v="0.49866069767361682"/>
    <d v="2023-01-02T00:00:00"/>
    <s v="Jan-2023"/>
    <n v="0"/>
    <n v="0"/>
    <n v="0"/>
  </r>
  <r>
    <s v="ORD-2023-723587"/>
    <x v="59"/>
    <x v="28"/>
    <s v="2023-Q1"/>
    <d v="2023-01-05T00:00:00"/>
    <n v="3"/>
    <s v="ACHIEVED"/>
    <x v="1"/>
    <x v="2"/>
    <s v="Toronto"/>
    <s v="Americas &gt; Canada &gt; Toronto"/>
    <s v="Corporate"/>
    <s v="Distributor"/>
    <x v="3"/>
    <x v="6"/>
    <x v="3"/>
    <s v="Low"/>
    <x v="63"/>
    <n v="315.87"/>
    <n v="363.25049999999999"/>
    <n v="591.67999999999995"/>
    <n v="591.67999999999995"/>
    <n v="680.4319999999999"/>
    <n v="0"/>
    <s v="OK"/>
    <n v="0"/>
    <n v="0"/>
    <n v="7"/>
    <n v="8.4"/>
    <n v="4141.7599999999993"/>
    <n v="5715.6287999999995"/>
    <n v="2211.09"/>
    <n v="1930.6699999999992"/>
    <n v="3504.5387999999994"/>
    <n v="0.46614724175229844"/>
    <d v="2023-01-02T00:00:00"/>
    <s v="Jan-2023"/>
    <n v="0"/>
    <n v="0"/>
    <n v="0"/>
  </r>
  <r>
    <s v="ORD-2023-562894"/>
    <x v="60"/>
    <x v="5"/>
    <s v="2023-Q1"/>
    <d v="2023-03-25T00:00:00"/>
    <n v="30"/>
    <s v="NOT ACHIEVED"/>
    <x v="1"/>
    <x v="2"/>
    <s v="Montreal"/>
    <s v="Americas &gt; Canada &gt; Montreal"/>
    <s v="Enterprise"/>
    <s v="Online"/>
    <x v="1"/>
    <x v="14"/>
    <x v="4"/>
    <s v="High"/>
    <x v="64"/>
    <n v="1242.6600000000001"/>
    <n v="1429.059"/>
    <n v="1794.07"/>
    <n v="1794.07"/>
    <n v="2063.1804999999999"/>
    <n v="8.8999999999999996E-2"/>
    <s v="OK"/>
    <n v="8.8999999999999996E-2"/>
    <n v="8.8999999999999996E-2"/>
    <n v="16"/>
    <n v="19.2"/>
    <n v="26150.364320000001"/>
    <n v="43138.628438399996"/>
    <n v="19882.560000000001"/>
    <n v="6267.8043199999993"/>
    <n v="23256.068438399994"/>
    <n v="0.23968325042440553"/>
    <d v="2023-01-02T00:00:00"/>
    <s v="Jan-2023"/>
    <n v="0"/>
    <n v="0"/>
    <n v="0"/>
  </r>
  <r>
    <s v="ORD-2024-389336"/>
    <x v="61"/>
    <x v="16"/>
    <s v="2024-Q2"/>
    <d v="2024-06-02T00:00:00"/>
    <n v="13"/>
    <s v="NOT ACHIEVED"/>
    <x v="1"/>
    <x v="2"/>
    <s v="Vancouver"/>
    <s v="Americas &gt; Canada &gt; Vancouver"/>
    <s v="Enterprise"/>
    <s v="Marketplace"/>
    <x v="2"/>
    <x v="3"/>
    <x v="0"/>
    <s v="Medium"/>
    <x v="65"/>
    <n v="675.43"/>
    <n v="776.7444999999999"/>
    <n v="996.36"/>
    <n v="996.36"/>
    <n v="1145.8139999999999"/>
    <n v="0.182"/>
    <s v="OK"/>
    <n v="0.182"/>
    <n v="0.182"/>
    <n v="22"/>
    <n v="26.4"/>
    <n v="17930.494560000003"/>
    <n v="35754.896707199994"/>
    <n v="14859.46"/>
    <n v="3071.0345600000037"/>
    <n v="20895.436707199995"/>
    <n v="0.17127439233332575"/>
    <d v="2023-01-02T00:00:00"/>
    <s v="Jan-2023"/>
    <n v="0"/>
    <n v="0"/>
    <n v="0"/>
  </r>
  <r>
    <s v="ORD-2024-468501"/>
    <x v="62"/>
    <x v="13"/>
    <s v="2024-Q4"/>
    <d v="2024-11-22T00:00:00"/>
    <n v="16"/>
    <s v="NOT ACHIEVED"/>
    <x v="1"/>
    <x v="2"/>
    <s v="Toronto"/>
    <s v="Americas &gt; Canada &gt; Toronto"/>
    <s v="Non-Profit"/>
    <s v="Distributor"/>
    <x v="3"/>
    <x v="14"/>
    <x v="1"/>
    <s v="High"/>
    <x v="66"/>
    <n v="1454.11"/>
    <n v="1672.2264999999998"/>
    <n v="2629.75"/>
    <n v="2629.75"/>
    <n v="3024.2124999999996"/>
    <n v="0.29199999999999998"/>
    <s v="OK"/>
    <n v="0.29199999999999998"/>
    <n v="0.25"/>
    <n v="8"/>
    <n v="9.6"/>
    <n v="14894.903999999999"/>
    <n v="36290.549999999996"/>
    <n v="11632.88"/>
    <n v="3262.0239999999994"/>
    <n v="24657.67"/>
    <n v="0.21900268709351867"/>
    <d v="2023-01-02T00:00:00"/>
    <s v="Jan-2023"/>
    <n v="0"/>
    <n v="0"/>
    <n v="0"/>
  </r>
  <r>
    <s v="ORD-2023-343322"/>
    <x v="63"/>
    <x v="21"/>
    <s v="2023-Q3"/>
    <d v="2023-09-12T00:00:00"/>
    <n v="24"/>
    <s v="NOT ACHIEVED"/>
    <x v="1"/>
    <x v="2"/>
    <s v="Vancouver"/>
    <s v="Americas &gt; Canada &gt; Vancouver"/>
    <s v="Enterprise"/>
    <s v="Retail"/>
    <x v="0"/>
    <x v="12"/>
    <x v="5"/>
    <s v="Medium"/>
    <x v="67"/>
    <n v="1183.95"/>
    <n v="1361.5425"/>
    <n v="1503.53"/>
    <n v="1503.53"/>
    <n v="1729.0594999999998"/>
    <n v="0.24099999999999999"/>
    <s v="OK"/>
    <n v="0.24099999999999999"/>
    <n v="0.24099999999999999"/>
    <n v="16"/>
    <n v="19.2"/>
    <n v="18258.868320000001"/>
    <n v="41198.646518399997"/>
    <n v="18943.2"/>
    <n v="-684.33167999999932"/>
    <n v="22255.446518399996"/>
    <n v="-3.7479413729623705E-2"/>
    <d v="2023-01-02T00:00:00"/>
    <s v="Jan-2023"/>
    <n v="0"/>
    <n v="0"/>
    <n v="0"/>
  </r>
  <r>
    <s v="ORD-2024-478165"/>
    <x v="64"/>
    <x v="30"/>
    <s v="2024-Q4"/>
    <d v="2024-12-28T00:00:00"/>
    <n v="23"/>
    <s v="NOT ACHIEVED"/>
    <x v="1"/>
    <x v="2"/>
    <s v="Vancouver"/>
    <s v="Americas &gt; Canada &gt; Vancouver"/>
    <s v="Corporate"/>
    <s v="Direct"/>
    <x v="4"/>
    <x v="8"/>
    <x v="1"/>
    <s v="Low"/>
    <x v="68"/>
    <n v="107.03"/>
    <n v="123.08449999999999"/>
    <n v="242.29"/>
    <n v="242.29"/>
    <n v="278.63349999999997"/>
    <n v="0.18"/>
    <s v="OK"/>
    <n v="0.18"/>
    <n v="0.18"/>
    <n v="30"/>
    <n v="36"/>
    <n v="5960.3340000000007"/>
    <n v="11836.351079999999"/>
    <n v="3210.9"/>
    <n v="2749.4340000000007"/>
    <n v="8625.4510799999989"/>
    <n v="0.46128857879440988"/>
    <d v="2023-01-02T00:00:00"/>
    <s v="Jan-2023"/>
    <n v="0"/>
    <n v="0"/>
    <n v="0"/>
  </r>
  <r>
    <s v="ORD-2025-698069"/>
    <x v="65"/>
    <x v="31"/>
    <s v="2025-Q2"/>
    <d v="2025-06-10T00:00:00"/>
    <n v="7"/>
    <s v="ACHIEVED"/>
    <x v="1"/>
    <x v="2"/>
    <s v="Toronto"/>
    <s v="Americas &gt; Canada &gt; Toronto"/>
    <s v="Consumer"/>
    <s v="Distributor"/>
    <x v="3"/>
    <x v="7"/>
    <x v="5"/>
    <s v="Low"/>
    <x v="69"/>
    <n v="75.180000000000007"/>
    <n v="86.457000000000008"/>
    <n v="53.45"/>
    <n v="53.45"/>
    <n v="61.467500000000001"/>
    <n v="0.157"/>
    <s v="OK"/>
    <n v="0.157"/>
    <n v="0.157"/>
    <n v="17"/>
    <n v="20.399999999999999"/>
    <n v="765.99195000000009"/>
    <n v="1450.8051089999999"/>
    <n v="1278.0600000000002"/>
    <n v="-512.06805000000008"/>
    <n v="172.74510899999973"/>
    <n v="-0.66850317421743144"/>
    <d v="2023-01-02T00:00:00"/>
    <s v="Jan-2023"/>
    <n v="0"/>
    <n v="0"/>
    <n v="0"/>
  </r>
  <r>
    <s v="ORD-2025-956101"/>
    <x v="66"/>
    <x v="4"/>
    <s v="2025-Q3"/>
    <d v="2025-07-18T00:00:00"/>
    <n v="9"/>
    <s v="NOT ACHIEVED"/>
    <x v="1"/>
    <x v="2"/>
    <s v="Vancouver"/>
    <s v="Americas &gt; Canada &gt; Vancouver"/>
    <s v="Education"/>
    <s v="Distributor"/>
    <x v="3"/>
    <x v="12"/>
    <x v="3"/>
    <s v="Low"/>
    <x v="70"/>
    <n v="57.96"/>
    <n v="66.653999999999996"/>
    <n v="88.51"/>
    <n v="88.51"/>
    <n v="101.7865"/>
    <n v="4.2999999999999997E-2"/>
    <s v="OK"/>
    <n v="4.2999999999999997E-2"/>
    <n v="4.2999999999999997E-2"/>
    <n v="7"/>
    <n v="8.4"/>
    <n v="592.92849000000001"/>
    <n v="891.77188379999996"/>
    <n v="405.72"/>
    <n v="187.20848999999998"/>
    <n v="486.05188379999993"/>
    <n v="0.3157353595877978"/>
    <d v="2023-01-02T00:00:00"/>
    <s v="Jan-2023"/>
    <n v="0"/>
    <n v="0"/>
    <n v="0"/>
  </r>
  <r>
    <s v="ORD-2023-603238"/>
    <x v="67"/>
    <x v="21"/>
    <s v="2023-Q3"/>
    <d v="2023-09-04T00:00:00"/>
    <n v="14"/>
    <s v="NOT ACHIEVED"/>
    <x v="1"/>
    <x v="2"/>
    <s v="Montreal"/>
    <s v="Americas &gt; Canada &gt; Montreal"/>
    <s v="Education"/>
    <s v="Distributor"/>
    <x v="3"/>
    <x v="8"/>
    <x v="0"/>
    <s v="Low"/>
    <x v="71"/>
    <n v="178.19"/>
    <n v="204.91849999999999"/>
    <n v="284.43"/>
    <n v="284.43"/>
    <n v="327.09449999999998"/>
    <n v="8.8999999999999996E-2"/>
    <s v="OK"/>
    <n v="8.8999999999999996E-2"/>
    <n v="8.8999999999999996E-2"/>
    <n v="8"/>
    <n v="9.6"/>
    <n v="2072.9258400000003"/>
    <n v="3419.5767407999997"/>
    <n v="1425.52"/>
    <n v="647.40584000000035"/>
    <n v="1994.0567407999997"/>
    <n v="0.31231500302972742"/>
    <d v="2023-01-02T00:00:00"/>
    <s v="Jan-2023"/>
    <n v="0"/>
    <n v="0"/>
    <n v="0"/>
  </r>
  <r>
    <s v="ORD-2024-389102"/>
    <x v="68"/>
    <x v="6"/>
    <s v="2024-Q2"/>
    <d v="2024-07-06T00:00:00"/>
    <n v="21"/>
    <s v="NOT ACHIEVED"/>
    <x v="1"/>
    <x v="2"/>
    <s v="Toronto"/>
    <s v="Americas &gt; Canada &gt; Toronto"/>
    <s v="Enterprise"/>
    <s v="Distributor"/>
    <x v="3"/>
    <x v="10"/>
    <x v="5"/>
    <s v="Medium"/>
    <x v="72"/>
    <n v="817.23"/>
    <n v="939.81449999999995"/>
    <n v="1467.17"/>
    <n v="1467.17"/>
    <n v="1687.2455"/>
    <n v="0.245"/>
    <s v="OK"/>
    <n v="0.245"/>
    <n v="0.245"/>
    <n v="9"/>
    <n v="10.799999999999999"/>
    <n v="9969.4201499999999"/>
    <n v="22686.702992999999"/>
    <n v="7355.07"/>
    <n v="2614.3501500000002"/>
    <n v="15331.632992999999"/>
    <n v="0.26223693160328893"/>
    <d v="2023-01-02T00:00:00"/>
    <s v="Jan-2023"/>
    <n v="0"/>
    <n v="0"/>
    <n v="0"/>
  </r>
  <r>
    <s v="ORD-2024-438404"/>
    <x v="69"/>
    <x v="17"/>
    <s v="2024-Q3"/>
    <d v="2024-10-18T00:00:00"/>
    <n v="25"/>
    <s v="NOT ACHIEVED"/>
    <x v="1"/>
    <x v="2"/>
    <s v="Vancouver"/>
    <s v="Americas &gt; Canada &gt; Vancouver"/>
    <s v="Small Business"/>
    <s v="Online"/>
    <x v="1"/>
    <x v="5"/>
    <x v="4"/>
    <s v="High"/>
    <x v="73"/>
    <n v="1297"/>
    <n v="1491.55"/>
    <n v="2411.52"/>
    <n v="2411.52"/>
    <n v="2773.2479999999996"/>
    <n v="2.1000000000000001E-2"/>
    <s v="OK"/>
    <n v="2.1000000000000001E-2"/>
    <n v="2.1000000000000001E-2"/>
    <n v="18"/>
    <n v="21.599999999999998"/>
    <n v="42495.805439999996"/>
    <n v="61160.102092799978"/>
    <n v="23346"/>
    <n v="19149.805439999996"/>
    <n v="37814.102092799978"/>
    <n v="0.45062813239385913"/>
    <d v="2023-01-02T00:00:00"/>
    <s v="Jan-2023"/>
    <n v="0"/>
    <n v="0"/>
    <n v="0"/>
  </r>
  <r>
    <s v="ORD-2025-246470"/>
    <x v="70"/>
    <x v="7"/>
    <s v="2025-Q2"/>
    <d v="2025-05-16T00:00:00"/>
    <n v="30"/>
    <s v="NOT ACHIEVED"/>
    <x v="1"/>
    <x v="2"/>
    <s v="Montreal"/>
    <s v="Americas &gt; Canada &gt; Montreal"/>
    <s v="Enterprise"/>
    <s v="Distributor"/>
    <x v="3"/>
    <x v="3"/>
    <x v="5"/>
    <s v="Low"/>
    <x v="74"/>
    <n v="763.32"/>
    <n v="877.81799999999998"/>
    <n v="568.29"/>
    <n v="568.29"/>
    <n v="653.53349999999989"/>
    <n v="0.13100000000000001"/>
    <s v="OK"/>
    <n v="0.13100000000000001"/>
    <n v="0.13100000000000001"/>
    <n v="16"/>
    <n v="19.2"/>
    <n v="7901.5041599999995"/>
    <n v="14191.610659199998"/>
    <n v="12213.12"/>
    <n v="-4311.6158400000013"/>
    <n v="1978.490659199997"/>
    <n v="-0.54567026134426555"/>
    <d v="2023-01-02T00:00:00"/>
    <s v="Jan-2023"/>
    <n v="0"/>
    <n v="0"/>
    <n v="0"/>
  </r>
  <r>
    <s v="ORD-2023-987700"/>
    <x v="71"/>
    <x v="19"/>
    <s v="2023-Q2"/>
    <d v="2023-04-16T00:00:00"/>
    <n v="11"/>
    <s v="NOT ACHIEVED"/>
    <x v="1"/>
    <x v="2"/>
    <s v="Vancouver"/>
    <s v="Americas &gt; Canada &gt; Vancouver"/>
    <s v="Non-Profit"/>
    <s v="Online"/>
    <x v="1"/>
    <x v="7"/>
    <x v="2"/>
    <s v="Low"/>
    <x v="75"/>
    <n v="213.1"/>
    <n v="245.06499999999997"/>
    <n v="501.31"/>
    <n v="501.31"/>
    <n v="576.50649999999996"/>
    <n v="5.6000000000000001E-2"/>
    <s v="OK"/>
    <n v="5.6000000000000001E-2"/>
    <n v="5.6000000000000001E-2"/>
    <n v="15"/>
    <n v="18"/>
    <n v="7098.5495999999994"/>
    <n v="10958.235551999998"/>
    <n v="3196.5"/>
    <n v="3902.0495999999994"/>
    <n v="7761.7355519999983"/>
    <n v="0.54969674368409005"/>
    <d v="2023-01-02T00:00:00"/>
    <s v="Jan-2023"/>
    <n v="0"/>
    <n v="0"/>
    <n v="0"/>
  </r>
  <r>
    <s v="ORD-2025-586799"/>
    <x v="72"/>
    <x v="4"/>
    <s v="2025-Q3"/>
    <d v="2025-08-04T00:00:00"/>
    <n v="21"/>
    <s v="NOT ACHIEVED"/>
    <x v="1"/>
    <x v="2"/>
    <s v="Montreal"/>
    <s v="Americas &gt; Canada &gt; Montreal"/>
    <s v="Consumer"/>
    <s v="Online"/>
    <x v="1"/>
    <x v="15"/>
    <x v="2"/>
    <s v="Low"/>
    <x v="76"/>
    <n v="90.3"/>
    <n v="103.84499999999998"/>
    <n v="131.76"/>
    <n v="131.76"/>
    <n v="151.52399999999997"/>
    <n v="0.10199999999999999"/>
    <s v="OK"/>
    <n v="0.10199999999999999"/>
    <n v="0.10199999999999999"/>
    <n v="15"/>
    <n v="18"/>
    <n v="1774.8072"/>
    <n v="3005.6300639999995"/>
    <n v="1354.5"/>
    <n v="420.30719999999997"/>
    <n v="1651.1300639999995"/>
    <n v="0.23681851189244668"/>
    <d v="2023-01-02T00:00:00"/>
    <s v="Jan-2023"/>
    <n v="0"/>
    <n v="0"/>
    <n v="0"/>
  </r>
  <r>
    <s v="ORD-2025-132174"/>
    <x v="73"/>
    <x v="4"/>
    <s v="2025-Q3"/>
    <d v="2025-07-23T00:00:00"/>
    <n v="6"/>
    <s v="ACHIEVED"/>
    <x v="1"/>
    <x v="2"/>
    <s v="Vancouver"/>
    <s v="Americas &gt; Canada &gt; Vancouver"/>
    <s v="Consumer"/>
    <s v="Online"/>
    <x v="1"/>
    <x v="15"/>
    <x v="0"/>
    <s v="High"/>
    <x v="77"/>
    <n v="1364.89"/>
    <n v="1569.6234999999999"/>
    <n v="2757.54"/>
    <n v="2757.54"/>
    <n v="3171.1709999999998"/>
    <n v="0.17199999999999999"/>
    <s v="OK"/>
    <n v="0.17199999999999999"/>
    <n v="0.17199999999999999"/>
    <n v="61"/>
    <n v="73.2"/>
    <n v="139277.83032000001"/>
    <n v="272056.02855839999"/>
    <n v="83258.290000000008"/>
    <n v="56019.54032"/>
    <n v="188797.73855839999"/>
    <n v="0.4022143379983118"/>
    <d v="2023-01-02T00:00:00"/>
    <s v="Jan-2023"/>
    <n v="0"/>
    <n v="0"/>
    <n v="0"/>
  </r>
  <r>
    <s v="ORD-2024-544865"/>
    <x v="74"/>
    <x v="23"/>
    <s v="2024-Q1"/>
    <d v="2024-03-04T00:00:00"/>
    <n v="17"/>
    <s v="NOT ACHIEVED"/>
    <x v="1"/>
    <x v="2"/>
    <s v="Montreal"/>
    <s v="Americas &gt; Canada &gt; Montreal"/>
    <s v="Non-Profit"/>
    <s v="Retail"/>
    <x v="0"/>
    <x v="14"/>
    <x v="3"/>
    <s v="High"/>
    <x v="78"/>
    <n v="1350.98"/>
    <n v="1553.627"/>
    <n v="2210.4"/>
    <n v="2210.4"/>
    <n v="2541.96"/>
    <n v="0.26300000000000001"/>
    <s v="OK"/>
    <n v="0.26300000000000001"/>
    <n v="0.25"/>
    <n v="6"/>
    <n v="7.1999999999999993"/>
    <n v="9774.3888000000006"/>
    <n v="22877.639999999996"/>
    <n v="8105.88"/>
    <n v="1668.5088000000005"/>
    <n v="14771.759999999995"/>
    <n v="0.17070211080615091"/>
    <d v="2023-01-02T00:00:00"/>
    <s v="Jan-2023"/>
    <n v="0"/>
    <n v="0"/>
    <n v="0"/>
  </r>
  <r>
    <s v="ORD-2023-276806"/>
    <x v="75"/>
    <x v="12"/>
    <s v="2023-Q1"/>
    <d v="2023-03-24T00:00:00"/>
    <n v="20"/>
    <s v="NOT ACHIEVED"/>
    <x v="1"/>
    <x v="2"/>
    <s v="Montreal"/>
    <s v="Americas &gt; Canada &gt; Montreal"/>
    <s v="Consumer"/>
    <s v="Distributor"/>
    <x v="3"/>
    <x v="12"/>
    <x v="3"/>
    <s v="Medium"/>
    <x v="79"/>
    <n v="481.71"/>
    <n v="553.96649999999988"/>
    <n v="912.45"/>
    <n v="912.45"/>
    <n v="1049.3174999999999"/>
    <n v="0.20300000000000001"/>
    <s v="OK"/>
    <n v="0.20300000000000001"/>
    <n v="0.20300000000000001"/>
    <n v="24"/>
    <n v="28.799999999999997"/>
    <n v="17453.3436"/>
    <n v="36355.073831999995"/>
    <n v="11561.039999999999"/>
    <n v="5892.3036000000011"/>
    <n v="24794.033831999994"/>
    <n v="0.33760313983619739"/>
    <d v="2023-01-02T00:00:00"/>
    <s v="Jan-2023"/>
    <n v="0"/>
    <n v="0"/>
    <n v="0"/>
  </r>
  <r>
    <s v="ORD-2024-220234"/>
    <x v="76"/>
    <x v="0"/>
    <s v="2024-Q1"/>
    <d v="2024-04-09T00:00:00"/>
    <n v="25"/>
    <s v="NOT ACHIEVED"/>
    <x v="1"/>
    <x v="2"/>
    <s v="Vancouver"/>
    <s v="Americas &gt; Canada &gt; Vancouver"/>
    <s v="Consumer"/>
    <s v="Online"/>
    <x v="1"/>
    <x v="8"/>
    <x v="2"/>
    <s v="Medium"/>
    <x v="80"/>
    <n v="648.64"/>
    <n v="745.93599999999992"/>
    <n v="815.19"/>
    <n v="815.19"/>
    <n v="937.46849999999995"/>
    <n v="0.22500000000000001"/>
    <s v="OK"/>
    <n v="0.22500000000000001"/>
    <n v="0.22500000000000001"/>
    <n v="28"/>
    <n v="33.6"/>
    <n v="17689.623"/>
    <n v="38586.203460000004"/>
    <n v="18161.919999999998"/>
    <n v="-472.29699999999866"/>
    <n v="20424.283460000006"/>
    <n v="-2.6699099240272032E-2"/>
    <d v="2023-01-02T00:00:00"/>
    <s v="Jan-2023"/>
    <n v="0"/>
    <n v="0"/>
    <n v="0"/>
  </r>
  <r>
    <s v="ORD-2025-898022"/>
    <x v="77"/>
    <x v="3"/>
    <s v="2025-Q3"/>
    <d v="2025-09-11T00:00:00"/>
    <n v="9"/>
    <s v="NOT ACHIEVED"/>
    <x v="1"/>
    <x v="2"/>
    <s v="Toronto"/>
    <s v="Americas &gt; Canada &gt; Toronto"/>
    <s v="Corporate"/>
    <s v="Distributor"/>
    <x v="3"/>
    <x v="13"/>
    <x v="5"/>
    <s v="Medium"/>
    <x v="81"/>
    <n v="1207.6300000000001"/>
    <n v="1388.7745"/>
    <n v="921.68"/>
    <n v="921.68"/>
    <n v="1059.9319999999998"/>
    <n v="0.19600000000000001"/>
    <s v="OK"/>
    <n v="0.19600000000000001"/>
    <n v="0.19600000000000001"/>
    <n v="17"/>
    <n v="20.399999999999999"/>
    <n v="12597.52224"/>
    <n v="25860.644908799994"/>
    <n v="20529.710000000003"/>
    <n v="-7932.1877600000025"/>
    <n v="5330.9349087999908"/>
    <n v="-0.62966253274897988"/>
    <d v="2023-01-02T00:00:00"/>
    <s v="Jan-2023"/>
    <n v="0"/>
    <n v="0"/>
    <n v="0"/>
  </r>
  <r>
    <s v="ORD-2023-369160"/>
    <x v="78"/>
    <x v="14"/>
    <s v="2023-Q3"/>
    <d v="2023-08-13T00:00:00"/>
    <n v="20"/>
    <s v="NOT ACHIEVED"/>
    <x v="1"/>
    <x v="2"/>
    <s v="Montreal"/>
    <s v="Americas &gt; Canada &gt; Montreal"/>
    <s v="Education"/>
    <s v="Direct"/>
    <x v="4"/>
    <x v="0"/>
    <x v="2"/>
    <s v="High"/>
    <x v="82"/>
    <n v="1082.3800000000001"/>
    <n v="1244.7370000000001"/>
    <n v="1766.55"/>
    <n v="1766.55"/>
    <n v="2031.5324999999998"/>
    <n v="0.16400000000000001"/>
    <s v="OK"/>
    <n v="0.16400000000000001"/>
    <n v="0.16400000000000001"/>
    <n v="20"/>
    <n v="24"/>
    <n v="29536.716"/>
    <n v="56752.891919999995"/>
    <n v="21647.600000000002"/>
    <n v="7889.1159999999982"/>
    <n v="35105.291919999989"/>
    <n v="0.26709523157550752"/>
    <d v="2023-01-02T00:00:00"/>
    <s v="Jan-2023"/>
    <n v="0"/>
    <n v="0"/>
    <n v="0"/>
  </r>
  <r>
    <s v="ORD-2024-792137"/>
    <x v="79"/>
    <x v="0"/>
    <s v="2024-Q1"/>
    <d v="2024-03-16T00:00:00"/>
    <n v="14"/>
    <s v="NOT ACHIEVED"/>
    <x v="1"/>
    <x v="2"/>
    <s v="Vancouver"/>
    <s v="Americas &gt; Canada &gt; Vancouver"/>
    <s v="Non-Profit"/>
    <s v="Direct"/>
    <x v="4"/>
    <x v="7"/>
    <x v="5"/>
    <s v="Low"/>
    <x v="83"/>
    <n v="248.24"/>
    <n v="285.476"/>
    <n v="464.05"/>
    <n v="464.05"/>
    <n v="533.65750000000003"/>
    <n v="0.16900000000000001"/>
    <s v="OK"/>
    <n v="0.16900000000000001"/>
    <n v="0.16900000000000001"/>
    <n v="11"/>
    <n v="13.2"/>
    <n v="4241.88105"/>
    <n v="8234.762150999999"/>
    <n v="2730.6400000000003"/>
    <n v="1511.2410499999996"/>
    <n v="5504.1221509999987"/>
    <n v="0.3562667203975462"/>
    <d v="2023-01-02T00:00:00"/>
    <s v="Jan-2023"/>
    <n v="0"/>
    <n v="0"/>
    <n v="0"/>
  </r>
  <r>
    <s v="ORD-2025-191328"/>
    <x v="80"/>
    <x v="1"/>
    <s v="2025-Q2"/>
    <d v="2025-05-27T00:00:00"/>
    <n v="17"/>
    <s v="NOT ACHIEVED"/>
    <x v="1"/>
    <x v="2"/>
    <s v="Vancouver"/>
    <s v="Americas &gt; Canada &gt; Vancouver"/>
    <s v="Education"/>
    <s v="Direct"/>
    <x v="4"/>
    <x v="0"/>
    <x v="0"/>
    <s v="Medium"/>
    <x v="84"/>
    <n v="862.89"/>
    <n v="992.32349999999985"/>
    <n v="1426.03"/>
    <n v="1426.03"/>
    <n v="1639.9344999999998"/>
    <n v="5.6000000000000001E-2"/>
    <s v="OK"/>
    <n v="5.6000000000000001E-2"/>
    <n v="5.6000000000000001E-2"/>
    <n v="19"/>
    <n v="22.8"/>
    <n v="25577.274079999999"/>
    <n v="39484.374969600001"/>
    <n v="16394.91"/>
    <n v="9182.3640799999994"/>
    <n v="23089.464969600001"/>
    <n v="0.35900479665188778"/>
    <d v="2023-01-02T00:00:00"/>
    <s v="Jan-2023"/>
    <n v="0"/>
    <n v="0"/>
    <n v="0"/>
  </r>
  <r>
    <s v="ORD-2023-890605"/>
    <x v="12"/>
    <x v="11"/>
    <s v="2023-Q2"/>
    <d v="2023-06-29T00:00:00"/>
    <n v="5"/>
    <s v="ACHIEVED"/>
    <x v="1"/>
    <x v="2"/>
    <s v="Toronto"/>
    <s v="Americas &gt; Canada &gt; Toronto"/>
    <s v="Non-Profit"/>
    <s v="Retail"/>
    <x v="0"/>
    <x v="13"/>
    <x v="1"/>
    <s v="Medium"/>
    <x v="85"/>
    <n v="471.42"/>
    <n v="542.13299999999992"/>
    <n v="824.81"/>
    <n v="824.81"/>
    <n v="948.53149999999982"/>
    <n v="8.7999999999999995E-2"/>
    <s v="OK"/>
    <n v="8.7999999999999995E-2"/>
    <n v="8.7999999999999995E-2"/>
    <n v="15"/>
    <n v="18"/>
    <n v="11283.400799999999"/>
    <n v="18576.040895999995"/>
    <n v="7071.3"/>
    <n v="4212.1007999999993"/>
    <n v="11504.740895999996"/>
    <n v="0.37330064531608231"/>
    <d v="2023-01-02T00:00:00"/>
    <s v="Jan-2023"/>
    <n v="0"/>
    <n v="0"/>
    <n v="0"/>
  </r>
  <r>
    <s v="ORD-2023-163610"/>
    <x v="81"/>
    <x v="20"/>
    <s v="2023-Q4"/>
    <d v="2023-11-16T00:00:00"/>
    <n v="25"/>
    <s v="NOT ACHIEVED"/>
    <x v="1"/>
    <x v="2"/>
    <s v="Toronto"/>
    <s v="Americas &gt; Canada &gt; Toronto"/>
    <s v="Small Business"/>
    <s v="Marketplace"/>
    <x v="2"/>
    <x v="12"/>
    <x v="3"/>
    <s v="High"/>
    <x v="86"/>
    <n v="1373.31"/>
    <n v="1579.3064999999999"/>
    <n v="3154.14"/>
    <n v="3154.14"/>
    <n v="3627.2609999999995"/>
    <n v="0.2"/>
    <s v="OK"/>
    <n v="0.2"/>
    <n v="0.2"/>
    <n v="11"/>
    <n v="13.2"/>
    <n v="27756.432000000001"/>
    <n v="57455.814239999985"/>
    <n v="15106.41"/>
    <n v="12650.022000000001"/>
    <n v="42349.404239999989"/>
    <n v="0.45575101295440279"/>
    <d v="2023-01-02T00:00:00"/>
    <s v="Jan-2023"/>
    <n v="0"/>
    <n v="0"/>
    <n v="0"/>
  </r>
  <r>
    <s v="ORD-2024-901115"/>
    <x v="82"/>
    <x v="27"/>
    <s v="2024-Q3"/>
    <d v="2024-08-02T00:00:00"/>
    <n v="8"/>
    <s v="NOT ACHIEVED"/>
    <x v="1"/>
    <x v="2"/>
    <s v="Montreal"/>
    <s v="Americas &gt; Canada &gt; Montreal"/>
    <s v="Consumer"/>
    <s v="Direct"/>
    <x v="4"/>
    <x v="2"/>
    <x v="1"/>
    <s v="High"/>
    <x v="87"/>
    <n v="986.81"/>
    <n v="1134.8314999999998"/>
    <n v="2050.31"/>
    <n v="2050.31"/>
    <n v="2357.8564999999999"/>
    <n v="0.10299999999999999"/>
    <s v="OK"/>
    <n v="0.10299999999999999"/>
    <n v="0.10299999999999999"/>
    <n v="43"/>
    <n v="51.6"/>
    <n v="79082.507010000001"/>
    <n v="134196.93112619998"/>
    <n v="42432.829999999994"/>
    <n v="36649.677010000007"/>
    <n v="91764.101126199996"/>
    <n v="0.46343595310358138"/>
    <d v="2023-01-02T00:00:00"/>
    <s v="Jan-2023"/>
    <n v="0"/>
    <n v="0"/>
    <n v="0"/>
  </r>
  <r>
    <s v="ORD-2025-306903"/>
    <x v="83"/>
    <x v="31"/>
    <s v="2025-Q2"/>
    <d v="2025-07-23T00:00:00"/>
    <n v="29"/>
    <s v="NOT ACHIEVED"/>
    <x v="1"/>
    <x v="2"/>
    <s v="Vancouver"/>
    <s v="Americas &gt; Canada &gt; Vancouver"/>
    <s v="Non-Profit"/>
    <s v="Marketplace"/>
    <x v="2"/>
    <x v="12"/>
    <x v="5"/>
    <s v="Low"/>
    <x v="88"/>
    <n v="255.4"/>
    <n v="293.70999999999998"/>
    <n v="322.70999999999998"/>
    <n v="322.70999999999998"/>
    <n v="371.11649999999997"/>
    <n v="0.115"/>
    <s v="OK"/>
    <n v="0.115"/>
    <n v="0.115"/>
    <n v="16"/>
    <n v="19.2"/>
    <n v="4569.5735999999997"/>
    <n v="7944.8620319999991"/>
    <n v="4086.4"/>
    <n v="483.17359999999962"/>
    <n v="3858.462031999999"/>
    <n v="0.10573713048412212"/>
    <d v="2023-01-02T00:00:00"/>
    <s v="Jan-2023"/>
    <n v="0"/>
    <n v="0"/>
    <n v="0"/>
  </r>
  <r>
    <s v="ORD-2025-822030"/>
    <x v="84"/>
    <x v="24"/>
    <s v="2025-Q3"/>
    <d v="2025-09-06T00:00:00"/>
    <n v="30"/>
    <s v="NOT ACHIEVED"/>
    <x v="1"/>
    <x v="2"/>
    <s v="Montreal"/>
    <s v="Americas &gt; Canada &gt; Montreal"/>
    <s v="Education"/>
    <s v="Direct"/>
    <x v="4"/>
    <x v="13"/>
    <x v="6"/>
    <s v="Medium"/>
    <x v="89"/>
    <n v="833.73"/>
    <n v="958.78949999999998"/>
    <n v="1116.5999999999999"/>
    <n v="1116.5999999999999"/>
    <n v="1284.0899999999997"/>
    <n v="0.17599999999999999"/>
    <s v="OK"/>
    <n v="0.17599999999999999"/>
    <n v="0.17599999999999999"/>
    <n v="14"/>
    <n v="16.8"/>
    <n v="12881.097599999999"/>
    <n v="25369.509311999995"/>
    <n v="11672.220000000001"/>
    <n v="1208.877599999998"/>
    <n v="13697.289311999994"/>
    <n v="9.3848958958279924E-2"/>
    <d v="2023-01-02T00:00:00"/>
    <s v="Jan-2023"/>
    <n v="0"/>
    <n v="0"/>
    <n v="0"/>
  </r>
  <r>
    <s v="ORD-2024-170021"/>
    <x v="85"/>
    <x v="13"/>
    <s v="2024-Q4"/>
    <d v="2024-11-08T00:00:00"/>
    <n v="3"/>
    <s v="ACHIEVED"/>
    <x v="1"/>
    <x v="2"/>
    <s v="Toronto"/>
    <s v="Americas &gt; Canada &gt; Toronto"/>
    <s v="Education"/>
    <s v="Marketplace"/>
    <x v="2"/>
    <x v="7"/>
    <x v="0"/>
    <s v="Medium"/>
    <x v="90"/>
    <n v="1020.4"/>
    <n v="1173.4599999999998"/>
    <n v="1184.71"/>
    <n v="1184.71"/>
    <n v="1362.4165"/>
    <n v="0.106"/>
    <s v="OK"/>
    <n v="0.106"/>
    <n v="0.106"/>
    <n v="16"/>
    <n v="19.2"/>
    <n v="16946.091840000001"/>
    <n v="28931.1868608"/>
    <n v="16326.4"/>
    <n v="619.69184000000132"/>
    <n v="12604.786860800001"/>
    <n v="3.6568422138328345E-2"/>
    <d v="2023-01-02T00:00:00"/>
    <s v="Jan-2023"/>
    <n v="0"/>
    <n v="0"/>
    <n v="0"/>
  </r>
  <r>
    <s v="ORD-2023-987081"/>
    <x v="86"/>
    <x v="21"/>
    <s v="2023-Q3"/>
    <d v="2023-09-13T00:00:00"/>
    <n v="15"/>
    <s v="NOT ACHIEVED"/>
    <x v="1"/>
    <x v="2"/>
    <s v="Vancouver"/>
    <s v="Americas &gt; Canada &gt; Vancouver"/>
    <s v="Small Business"/>
    <s v="Marketplace"/>
    <x v="2"/>
    <x v="7"/>
    <x v="5"/>
    <s v="High"/>
    <x v="91"/>
    <n v="1287.6400000000001"/>
    <n v="1480.7860000000001"/>
    <n v="2717.15"/>
    <n v="2717.15"/>
    <n v="3124.7224999999999"/>
    <n v="3.2000000000000001E-2"/>
    <s v="OK"/>
    <n v="3.2000000000000001E-2"/>
    <n v="3.2000000000000001E-2"/>
    <n v="7"/>
    <n v="8.4"/>
    <n v="18411.4084"/>
    <n v="27087.594408000001"/>
    <n v="9013.4800000000014"/>
    <n v="9397.9283999999989"/>
    <n v="18074.114408000001"/>
    <n v="0.51044049405802105"/>
    <d v="2023-01-02T00:00:00"/>
    <s v="Jan-2023"/>
    <n v="0"/>
    <n v="0"/>
    <n v="0"/>
  </r>
  <r>
    <s v="ORD-2024-510520"/>
    <x v="87"/>
    <x v="17"/>
    <s v="2024-Q3"/>
    <d v="2024-10-03T00:00:00"/>
    <n v="8"/>
    <s v="NOT ACHIEVED"/>
    <x v="1"/>
    <x v="2"/>
    <s v="Toronto"/>
    <s v="Americas &gt; Canada &gt; Toronto"/>
    <s v="Consumer"/>
    <s v="Online"/>
    <x v="1"/>
    <x v="11"/>
    <x v="5"/>
    <s v="Medium"/>
    <x v="92"/>
    <n v="558.19000000000005"/>
    <n v="641.91849999999999"/>
    <n v="1031.6400000000001"/>
    <n v="1031.6400000000001"/>
    <n v="1186.386"/>
    <n v="0"/>
    <s v="OK"/>
    <n v="0"/>
    <n v="0"/>
    <n v="21"/>
    <n v="25.2"/>
    <n v="21664.440000000002"/>
    <n v="29896.927199999998"/>
    <n v="11721.990000000002"/>
    <n v="9942.4500000000007"/>
    <n v="18174.937199999997"/>
    <n v="0.45892947152107322"/>
    <d v="2023-01-02T00:00:00"/>
    <s v="Jan-2023"/>
    <n v="0"/>
    <n v="0"/>
    <n v="0"/>
  </r>
  <r>
    <s v="ORD-2023-769774"/>
    <x v="88"/>
    <x v="11"/>
    <s v="2023-Q2"/>
    <d v="2023-06-24T00:00:00"/>
    <n v="11"/>
    <s v="NOT ACHIEVED"/>
    <x v="1"/>
    <x v="2"/>
    <s v="Toronto"/>
    <s v="Americas &gt; Canada &gt; Toronto"/>
    <s v="Corporate"/>
    <s v="Online"/>
    <x v="1"/>
    <x v="0"/>
    <x v="5"/>
    <s v="Low"/>
    <x v="93"/>
    <n v="247.07"/>
    <n v="284.13049999999998"/>
    <n v="495.19"/>
    <n v="495.19"/>
    <n v="569.46849999999995"/>
    <n v="2.8000000000000001E-2"/>
    <s v="OK"/>
    <n v="2.8000000000000001E-2"/>
    <n v="2.8000000000000001E-2"/>
    <n v="4"/>
    <n v="4.8"/>
    <n v="1925.29872"/>
    <n v="2809.9853663999997"/>
    <n v="988.28"/>
    <n v="937.01872000000003"/>
    <n v="1821.7053663999998"/>
    <n v="0.48668744764968214"/>
    <d v="2023-01-02T00:00:00"/>
    <s v="Jan-2023"/>
    <n v="0"/>
    <n v="0"/>
    <n v="0"/>
  </r>
  <r>
    <s v="ORD-2024-886939"/>
    <x v="89"/>
    <x v="6"/>
    <s v="2024-Q2"/>
    <d v="2024-06-24T00:00:00"/>
    <n v="21"/>
    <s v="NOT ACHIEVED"/>
    <x v="1"/>
    <x v="2"/>
    <s v="Toronto"/>
    <s v="Americas &gt; Canada &gt; Toronto"/>
    <s v="Small Business"/>
    <s v="Direct"/>
    <x v="4"/>
    <x v="4"/>
    <x v="2"/>
    <s v="High"/>
    <x v="94"/>
    <n v="1205.5"/>
    <n v="1386.3249999999998"/>
    <n v="2210.17"/>
    <n v="2210.17"/>
    <n v="2541.6954999999998"/>
    <n v="0.104"/>
    <s v="OK"/>
    <n v="0.104"/>
    <n v="0.104"/>
    <n v="23"/>
    <n v="27.599999999999998"/>
    <n v="45547.183360000003"/>
    <n v="77446.478563199998"/>
    <n v="27726.5"/>
    <n v="17820.683360000003"/>
    <n v="49719.978563199998"/>
    <n v="0.39125763758314652"/>
    <d v="2023-01-02T00:00:00"/>
    <s v="Jan-2023"/>
    <n v="0"/>
    <n v="0"/>
    <n v="0"/>
  </r>
  <r>
    <s v="ORD-2024-257550"/>
    <x v="90"/>
    <x v="30"/>
    <s v="2024-Q4"/>
    <d v="2024-12-29T00:00:00"/>
    <n v="2"/>
    <s v="ACHIEVED"/>
    <x v="1"/>
    <x v="2"/>
    <s v="Vancouver"/>
    <s v="Americas &gt; Canada &gt; Vancouver"/>
    <s v="Enterprise"/>
    <s v="Marketplace"/>
    <x v="2"/>
    <x v="0"/>
    <x v="1"/>
    <s v="High"/>
    <x v="95"/>
    <n v="1146.72"/>
    <n v="1318.7279999999998"/>
    <n v="2074.34"/>
    <n v="2074.34"/>
    <n v="2385.491"/>
    <n v="0.111"/>
    <s v="OK"/>
    <n v="0.111"/>
    <n v="0.111"/>
    <n v="8"/>
    <n v="9.6"/>
    <n v="14752.706080000002"/>
    <n v="25442.692809599997"/>
    <n v="9173.76"/>
    <n v="5578.9460800000015"/>
    <n v="16268.932809599997"/>
    <n v="0.37816425337472737"/>
    <d v="2023-01-02T00:00:00"/>
    <s v="Jan-2023"/>
    <n v="0"/>
    <n v="0"/>
    <n v="0"/>
  </r>
  <r>
    <s v="ORD-2024-371409"/>
    <x v="91"/>
    <x v="13"/>
    <s v="2024-Q4"/>
    <d v="2024-11-28T00:00:00"/>
    <n v="11"/>
    <s v="NOT ACHIEVED"/>
    <x v="1"/>
    <x v="2"/>
    <s v="Unkown"/>
    <s v="Americas &gt; Canada &gt; Unkown"/>
    <s v="Consumer"/>
    <s v="Distributor"/>
    <x v="3"/>
    <x v="1"/>
    <x v="5"/>
    <s v="High"/>
    <x v="96"/>
    <n v="1008.16"/>
    <n v="1159.3839999999998"/>
    <n v="2077.5"/>
    <n v="2077.5"/>
    <n v="2389.125"/>
    <n v="7.3999999999999996E-2"/>
    <s v="OK"/>
    <n v="7.3999999999999996E-2"/>
    <n v="7.3999999999999996E-2"/>
    <n v="15"/>
    <n v="18"/>
    <n v="28856.475000000002"/>
    <n v="46186.5645"/>
    <n v="15122.4"/>
    <n v="13734.075000000003"/>
    <n v="31064.164499999999"/>
    <n v="0.47594430712691005"/>
    <d v="2023-01-02T00:00:00"/>
    <s v="Jan-2023"/>
    <n v="0"/>
    <n v="0"/>
    <n v="0"/>
  </r>
  <r>
    <s v="ORD-2023-488227"/>
    <x v="92"/>
    <x v="29"/>
    <s v="2023-Q3"/>
    <d v="2023-10-02T00:00:00"/>
    <n v="24"/>
    <s v="NOT ACHIEVED"/>
    <x v="1"/>
    <x v="2"/>
    <s v="Toronto"/>
    <s v="Americas &gt; Canada &gt; Toronto"/>
    <s v="Education"/>
    <s v="Direct"/>
    <x v="4"/>
    <x v="1"/>
    <x v="1"/>
    <s v="High"/>
    <x v="97"/>
    <n v="1299.03"/>
    <n v="1493.8844999999999"/>
    <n v="2451.2199999999998"/>
    <n v="2451.2199999999998"/>
    <n v="2818.9029999999993"/>
    <n v="0.20799999999999999"/>
    <s v="OK"/>
    <n v="0.20799999999999999"/>
    <n v="0.20799999999999999"/>
    <n v="8"/>
    <n v="9.6"/>
    <n v="15530.929919999999"/>
    <n v="32690.254310399989"/>
    <n v="10392.24"/>
    <n v="5138.6899199999989"/>
    <n v="22298.014310399987"/>
    <n v="0.3308681416032041"/>
    <d v="2023-01-02T00:00:00"/>
    <s v="Jan-2023"/>
    <n v="0"/>
    <n v="0"/>
    <n v="0"/>
  </r>
  <r>
    <s v="ORD-2025-874124"/>
    <x v="93"/>
    <x v="1"/>
    <s v="2025-Q2"/>
    <d v="2025-05-19T00:00:00"/>
    <n v="5"/>
    <s v="ACHIEVED"/>
    <x v="1"/>
    <x v="2"/>
    <s v="Vancouver"/>
    <s v="Americas &gt; Canada &gt; Vancouver"/>
    <s v="Non-Profit"/>
    <s v="Distributor"/>
    <x v="3"/>
    <x v="8"/>
    <x v="5"/>
    <s v="High"/>
    <x v="98"/>
    <n v="883.5"/>
    <n v="1016.025"/>
    <n v="1978.91"/>
    <n v="1978.91"/>
    <n v="2275.7464999999997"/>
    <n v="5.3999999999999999E-2"/>
    <s v="OK"/>
    <n v="5.3999999999999999E-2"/>
    <n v="5.3999999999999999E-2"/>
    <n v="27"/>
    <n v="32.4"/>
    <n v="50545.319219999998"/>
    <n v="77715.832676399994"/>
    <n v="23854.5"/>
    <n v="26690.819219999998"/>
    <n v="53861.332676399994"/>
    <n v="0.52805718970390547"/>
    <d v="2023-01-02T00:00:00"/>
    <s v="Jan-2023"/>
    <n v="0"/>
    <n v="0"/>
    <n v="0"/>
  </r>
  <r>
    <s v="ORD-2023-356427"/>
    <x v="94"/>
    <x v="19"/>
    <s v="2023-Q2"/>
    <d v="2023-05-02T00:00:00"/>
    <n v="19"/>
    <s v="NOT ACHIEVED"/>
    <x v="1"/>
    <x v="2"/>
    <s v="Montreal"/>
    <s v="Americas &gt; Canada &gt; Montreal"/>
    <s v="Consumer"/>
    <s v="Distributor"/>
    <x v="3"/>
    <x v="11"/>
    <x v="2"/>
    <s v="High"/>
    <x v="99"/>
    <n v="671.05"/>
    <n v="771.70749999999987"/>
    <n v="1645.48"/>
    <n v="1645.48"/>
    <n v="1892.3019999999999"/>
    <n v="0.13700000000000001"/>
    <s v="OK"/>
    <n v="0.13700000000000001"/>
    <n v="0.13700000000000001"/>
    <n v="6"/>
    <n v="7.1999999999999993"/>
    <n v="8520.2954399999999"/>
    <n v="15491.141092799997"/>
    <n v="4026.2999999999997"/>
    <n v="4493.9954400000006"/>
    <n v="11464.841092799998"/>
    <n v="0.52744596377517172"/>
    <d v="2023-01-02T00:00:00"/>
    <s v="Jan-2023"/>
    <n v="0"/>
    <n v="0"/>
    <n v="0"/>
  </r>
  <r>
    <s v="ORD-2024-355095"/>
    <x v="95"/>
    <x v="22"/>
    <s v="2024-Q1"/>
    <d v="2024-01-02T00:00:00"/>
    <n v="0"/>
    <s v="ACHIEVED"/>
    <x v="1"/>
    <x v="2"/>
    <s v="Vancouver"/>
    <s v="Americas &gt; Canada &gt; Vancouver"/>
    <s v="Education"/>
    <s v="Direct"/>
    <x v="4"/>
    <x v="1"/>
    <x v="3"/>
    <s v="Low"/>
    <x v="100"/>
    <n v="444.41"/>
    <n v="511.07150000000001"/>
    <n v="754.24"/>
    <n v="754.24"/>
    <n v="867.37599999999998"/>
    <n v="0.20699999999999999"/>
    <s v="OK"/>
    <n v="0.20699999999999999"/>
    <n v="0.20699999999999999"/>
    <n v="32"/>
    <n v="38.4"/>
    <n v="19139.594240000002"/>
    <n v="40201.836748799993"/>
    <n v="14221.12"/>
    <n v="4918.4742400000014"/>
    <n v="25980.71674879999"/>
    <n v="0.25697902360546598"/>
    <d v="2023-01-02T00:00:00"/>
    <s v="Jan-2023"/>
    <n v="0"/>
    <n v="0"/>
    <n v="0"/>
  </r>
  <r>
    <s v="ORD-2023-126505"/>
    <x v="24"/>
    <x v="9"/>
    <s v="2023-Q4"/>
    <d v="2024-01-01T00:00:00"/>
    <n v="13"/>
    <s v="NOT ACHIEVED"/>
    <x v="1"/>
    <x v="2"/>
    <s v="Toronto"/>
    <s v="Americas &gt; Canada &gt; Toronto"/>
    <s v="Enterprise"/>
    <s v="Retail"/>
    <x v="0"/>
    <x v="3"/>
    <x v="2"/>
    <s v="Medium"/>
    <x v="101"/>
    <n v="856.1"/>
    <n v="984.51499999999999"/>
    <n v="901.48"/>
    <n v="901.48"/>
    <n v="1036.702"/>
    <n v="5.6000000000000001E-2"/>
    <s v="OK"/>
    <n v="5.6000000000000001E-2"/>
    <n v="5.6000000000000001E-2"/>
    <n v="17"/>
    <n v="20.399999999999999"/>
    <n v="14466.95104"/>
    <n v="22333.049164799999"/>
    <n v="14553.7"/>
    <n v="-86.748960000000807"/>
    <n v="7779.3491647999981"/>
    <n v="-5.9963540182134192E-3"/>
    <d v="2023-01-02T00:00:00"/>
    <s v="Jan-2023"/>
    <n v="0"/>
    <n v="0"/>
    <n v="0"/>
  </r>
  <r>
    <s v="ORD-2025-281413"/>
    <x v="96"/>
    <x v="24"/>
    <s v="2025-Q3"/>
    <d v="2025-08-16T00:00:00"/>
    <n v="13"/>
    <s v="NOT ACHIEVED"/>
    <x v="1"/>
    <x v="2"/>
    <s v="Montreal"/>
    <s v="Americas &gt; Canada &gt; Montreal"/>
    <s v="Enterprise"/>
    <s v="Distributor"/>
    <x v="3"/>
    <x v="7"/>
    <x v="6"/>
    <s v="Medium"/>
    <x v="102"/>
    <n v="698.66"/>
    <n v="803.45899999999995"/>
    <n v="868.62"/>
    <n v="868.62"/>
    <n v="998.9129999999999"/>
    <n v="7.1999999999999995E-2"/>
    <s v="OK"/>
    <n v="7.1999999999999995E-2"/>
    <n v="7.1999999999999995E-2"/>
    <n v="15"/>
    <n v="18"/>
    <n v="12091.190399999999"/>
    <n v="19275.025247999998"/>
    <n v="10479.9"/>
    <n v="1611.2903999999999"/>
    <n v="8795.1252479999985"/>
    <n v="0.13326151906432637"/>
    <d v="2023-01-02T00:00:00"/>
    <s v="Jan-2023"/>
    <n v="0"/>
    <n v="0"/>
    <n v="0"/>
  </r>
  <r>
    <s v="ORD-2023-713614"/>
    <x v="97"/>
    <x v="21"/>
    <s v="2023-Q3"/>
    <d v="2023-08-19T00:00:00"/>
    <n v="17"/>
    <s v="NOT ACHIEVED"/>
    <x v="1"/>
    <x v="2"/>
    <s v="Vancouver"/>
    <s v="Americas &gt; Canada &gt; Vancouver"/>
    <s v="Corporate"/>
    <s v="Online"/>
    <x v="1"/>
    <x v="8"/>
    <x v="6"/>
    <s v="Low"/>
    <x v="103"/>
    <n v="175.38"/>
    <n v="201.68699999999998"/>
    <n v="347.9"/>
    <n v="347.9"/>
    <n v="400.08499999999992"/>
    <n v="7.1999999999999995E-2"/>
    <s v="OK"/>
    <n v="7.1999999999999995E-2"/>
    <n v="7.1999999999999995E-2"/>
    <n v="43"/>
    <n v="51.6"/>
    <n v="13882.6016"/>
    <n v="22130.781791999994"/>
    <n v="7541.34"/>
    <n v="6341.2615999999998"/>
    <n v="14589.441791999994"/>
    <n v="0.45677761148169804"/>
    <d v="2023-01-02T00:00:00"/>
    <s v="Jan-2023"/>
    <n v="0"/>
    <n v="0"/>
    <n v="0"/>
  </r>
  <r>
    <s v="ORD-2025-705398"/>
    <x v="98"/>
    <x v="8"/>
    <s v="2025-Q1"/>
    <d v="2025-02-22T00:00:00"/>
    <n v="5"/>
    <s v="ACHIEVED"/>
    <x v="1"/>
    <x v="2"/>
    <s v="Toronto"/>
    <s v="Americas &gt; Canada &gt; Toronto"/>
    <s v="Small Business"/>
    <s v="Retail"/>
    <x v="0"/>
    <x v="14"/>
    <x v="0"/>
    <s v="High"/>
    <x v="104"/>
    <n v="1133.47"/>
    <n v="1303.4904999999999"/>
    <n v="1698.75"/>
    <n v="1698.75"/>
    <n v="1953.5624999999998"/>
    <n v="4.2999999999999997E-2"/>
    <s v="OK"/>
    <n v="4.2999999999999997E-2"/>
    <n v="4.2999999999999997E-2"/>
    <n v="5"/>
    <n v="6"/>
    <n v="8128.5187499999993"/>
    <n v="12225.394124999997"/>
    <n v="5667.35"/>
    <n v="2461.1687499999989"/>
    <n v="6558.0441249999967"/>
    <n v="0.30278194904821976"/>
    <d v="2023-01-02T00:00:00"/>
    <s v="Jan-2023"/>
    <n v="0"/>
    <n v="0"/>
    <n v="0"/>
  </r>
  <r>
    <s v="ORD-2024-550400"/>
    <x v="99"/>
    <x v="10"/>
    <s v="2024-Q3"/>
    <d v="2024-09-02T00:00:00"/>
    <n v="14"/>
    <s v="NOT ACHIEVED"/>
    <x v="1"/>
    <x v="2"/>
    <s v="Toronto"/>
    <s v="Americas &gt; Canada &gt; Toronto"/>
    <s v="Consumer"/>
    <s v="Distributor"/>
    <x v="3"/>
    <x v="0"/>
    <x v="5"/>
    <s v="Medium"/>
    <x v="105"/>
    <n v="1337.01"/>
    <n v="1537.5614999999998"/>
    <n v="1269.78"/>
    <n v="1269.78"/>
    <n v="1460.2469999999998"/>
    <n v="0.16"/>
    <s v="OK"/>
    <n v="0.16"/>
    <n v="0.16"/>
    <n v="7"/>
    <n v="8.4"/>
    <n v="7466.3063999999986"/>
    <n v="14228.646767999997"/>
    <n v="9359.07"/>
    <n v="-1892.7636000000011"/>
    <n v="4869.5767679999972"/>
    <n v="-0.25350735672996244"/>
    <d v="2023-01-02T00:00:00"/>
    <s v="Jan-2023"/>
    <n v="0"/>
    <n v="0"/>
    <n v="0"/>
  </r>
  <r>
    <s v="ORD-2023-921939"/>
    <x v="100"/>
    <x v="11"/>
    <s v="2023-Q2"/>
    <d v="2023-07-18T00:00:00"/>
    <n v="25"/>
    <s v="NOT ACHIEVED"/>
    <x v="1"/>
    <x v="2"/>
    <s v="Vancouver"/>
    <s v="Americas &gt; Canada &gt; Vancouver"/>
    <s v="Enterprise"/>
    <s v="Online"/>
    <x v="1"/>
    <x v="5"/>
    <x v="4"/>
    <s v="Medium"/>
    <x v="106"/>
    <n v="807.02"/>
    <n v="928.07299999999987"/>
    <n v="1435.54"/>
    <n v="1435.54"/>
    <n v="1650.8709999999999"/>
    <n v="0"/>
    <s v="OK"/>
    <n v="0"/>
    <n v="0"/>
    <n v="23"/>
    <n v="27.599999999999998"/>
    <n v="33017.42"/>
    <n v="45564.039599999996"/>
    <n v="18561.46"/>
    <n v="14455.96"/>
    <n v="27002.579599999997"/>
    <n v="0.43782827368098415"/>
    <d v="2023-01-02T00:00:00"/>
    <s v="Jan-2023"/>
    <n v="0"/>
    <n v="0"/>
    <n v="0"/>
  </r>
  <r>
    <s v="ORD-2023-867836"/>
    <x v="101"/>
    <x v="26"/>
    <s v="2023-Q2"/>
    <d v="2023-05-28T00:00:00"/>
    <n v="17"/>
    <s v="NOT ACHIEVED"/>
    <x v="2"/>
    <x v="3"/>
    <s v="Shenzhen"/>
    <s v="Asia &gt; China &gt; Shenzhen"/>
    <s v="Enterprise"/>
    <s v="Marketplace"/>
    <x v="2"/>
    <x v="11"/>
    <x v="6"/>
    <s v="High"/>
    <x v="107"/>
    <n v="1331.19"/>
    <n v="1530.8685"/>
    <n v="2903.09"/>
    <n v="2903.09"/>
    <n v="3338.5535"/>
    <n v="0.14299999999999999"/>
    <s v="OK"/>
    <n v="0.14299999999999999"/>
    <n v="0.14299999999999999"/>
    <n v="8"/>
    <n v="9.6"/>
    <n v="19903.585040000002"/>
    <n v="36633.279844799996"/>
    <n v="10649.52"/>
    <n v="9254.0650400000013"/>
    <n v="25983.759844799995"/>
    <n v="0.46494463290920784"/>
    <d v="2023-01-02T00:00:00"/>
    <s v="Jan-2023"/>
    <n v="0"/>
    <n v="0"/>
    <n v="0"/>
  </r>
  <r>
    <s v="ORD-2025-718992"/>
    <x v="83"/>
    <x v="31"/>
    <s v="2025-Q2"/>
    <d v="2025-07-10T00:00:00"/>
    <n v="16"/>
    <s v="NOT ACHIEVED"/>
    <x v="2"/>
    <x v="3"/>
    <s v="Shanghai"/>
    <s v="Asia &gt; China &gt; Shanghai"/>
    <s v="Enterprise"/>
    <s v="Direct"/>
    <x v="4"/>
    <x v="5"/>
    <x v="0"/>
    <s v="High"/>
    <x v="108"/>
    <n v="757.19"/>
    <n v="870.76850000000002"/>
    <n v="1735.41"/>
    <n v="1735.41"/>
    <n v="1995.7214999999999"/>
    <n v="0.13600000000000001"/>
    <s v="OK"/>
    <n v="0.13600000000000001"/>
    <n v="0.13600000000000001"/>
    <n v="8"/>
    <n v="9.6"/>
    <n v="11995.153920000001"/>
    <n v="21764.540390399998"/>
    <n v="6057.52"/>
    <n v="5937.6339200000002"/>
    <n v="15707.020390399997"/>
    <n v="0.4950027285685718"/>
    <d v="2023-01-02T00:00:00"/>
    <s v="Jan-2023"/>
    <n v="0"/>
    <n v="0"/>
    <n v="0"/>
  </r>
  <r>
    <s v="ORD-2023-809913"/>
    <x v="102"/>
    <x v="19"/>
    <s v="2023-Q2"/>
    <d v="2023-05-10T00:00:00"/>
    <n v="19"/>
    <s v="NOT ACHIEVED"/>
    <x v="2"/>
    <x v="3"/>
    <s v="Shanghai"/>
    <s v="Asia &gt; China &gt; Shanghai"/>
    <s v="Corporate"/>
    <s v="Retail"/>
    <x v="0"/>
    <x v="1"/>
    <x v="0"/>
    <s v="High"/>
    <x v="109"/>
    <n v="882.33"/>
    <n v="1014.6795"/>
    <n v="1880.15"/>
    <n v="1880.15"/>
    <n v="2162.1725000000001"/>
    <n v="0.05"/>
    <s v="OK"/>
    <n v="0.05"/>
    <n v="0.05"/>
    <n v="5"/>
    <n v="6"/>
    <n v="8930.7124999999996"/>
    <n v="13621.686750000001"/>
    <n v="4411.6500000000005"/>
    <n v="4519.0624999999991"/>
    <n v="9210.0367499999993"/>
    <n v="0.50601365792482955"/>
    <d v="2023-01-02T00:00:00"/>
    <s v="Jan-2023"/>
    <n v="0"/>
    <n v="0"/>
    <n v="0"/>
  </r>
  <r>
    <s v="ORD-2024-800947"/>
    <x v="103"/>
    <x v="30"/>
    <s v="2024-Q4"/>
    <d v="2024-12-20T00:00:00"/>
    <n v="5"/>
    <s v="ACHIEVED"/>
    <x v="2"/>
    <x v="3"/>
    <s v="Shenzhen"/>
    <s v="Asia &gt; China &gt; Shenzhen"/>
    <s v="Small Business"/>
    <s v="Direct"/>
    <x v="4"/>
    <x v="2"/>
    <x v="6"/>
    <s v="Low"/>
    <x v="110"/>
    <n v="717.55"/>
    <n v="825.18249999999989"/>
    <n v="546.42999999999995"/>
    <n v="546.42999999999995"/>
    <n v="628.39449999999988"/>
    <n v="4.7E-2"/>
    <s v="OK"/>
    <n v="4.7E-2"/>
    <n v="4.7E-2"/>
    <n v="18"/>
    <n v="21.599999999999998"/>
    <n v="9373.460219999999"/>
    <n v="14211.267296399996"/>
    <n v="12915.9"/>
    <n v="-3542.4397800000006"/>
    <n v="1295.3672963999961"/>
    <n v="-0.37792231437026369"/>
    <d v="2023-01-02T00:00:00"/>
    <s v="Jan-2023"/>
    <n v="0"/>
    <n v="0"/>
    <n v="0"/>
  </r>
  <r>
    <s v="ORD-2024-594592"/>
    <x v="104"/>
    <x v="15"/>
    <s v="2024-Q2"/>
    <d v="2024-04-25T00:00:00"/>
    <n v="19"/>
    <s v="NOT ACHIEVED"/>
    <x v="2"/>
    <x v="3"/>
    <s v="Shanghai"/>
    <s v="Asia &gt; China &gt; Shanghai"/>
    <s v="Corporate"/>
    <s v="Retail"/>
    <x v="0"/>
    <x v="3"/>
    <x v="0"/>
    <s v="High"/>
    <x v="111"/>
    <n v="1366.48"/>
    <n v="1571.452"/>
    <n v="1678.14"/>
    <n v="1678.14"/>
    <n v="1929.8609999999999"/>
    <n v="0.154"/>
    <s v="OK"/>
    <n v="0.154"/>
    <n v="0.154"/>
    <n v="10"/>
    <n v="12"/>
    <n v="14197.064400000001"/>
    <n v="26724.715127999996"/>
    <n v="13664.8"/>
    <n v="532.26440000000184"/>
    <n v="13059.915127999997"/>
    <n v="3.7491159087790132E-2"/>
    <d v="2023-01-02T00:00:00"/>
    <s v="Jan-2023"/>
    <n v="0"/>
    <n v="0"/>
    <n v="0"/>
  </r>
  <r>
    <s v="ORD-2025-541501"/>
    <x v="105"/>
    <x v="4"/>
    <s v="2025-Q3"/>
    <d v="2025-08-18T00:00:00"/>
    <n v="27"/>
    <s v="NOT ACHIEVED"/>
    <x v="2"/>
    <x v="3"/>
    <s v="Shenzhen"/>
    <s v="Asia &gt; China &gt; Shenzhen"/>
    <s v="Non-Profit"/>
    <s v="Marketplace"/>
    <x v="2"/>
    <x v="13"/>
    <x v="6"/>
    <s v="Low"/>
    <x v="112"/>
    <n v="547.32000000000005"/>
    <n v="629.41800000000001"/>
    <n v="419.17"/>
    <n v="419.17"/>
    <n v="482.0455"/>
    <n v="9.1999999999999998E-2"/>
    <s v="OK"/>
    <n v="9.1999999999999998E-2"/>
    <n v="9.1999999999999998E-2"/>
    <n v="14"/>
    <n v="16.8"/>
    <n v="5328.4890400000004"/>
    <n v="8843.413924800001"/>
    <n v="7662.4800000000005"/>
    <n v="-2333.9909600000001"/>
    <n v="1180.9339248000006"/>
    <n v="-0.43802116181137907"/>
    <d v="2023-01-02T00:00:00"/>
    <s v="Jan-2023"/>
    <n v="0"/>
    <n v="0"/>
    <n v="0"/>
  </r>
  <r>
    <s v="ORD-2025-328504"/>
    <x v="106"/>
    <x v="25"/>
    <s v="2025-Q1"/>
    <d v="2025-02-15T00:00:00"/>
    <n v="19"/>
    <s v="NOT ACHIEVED"/>
    <x v="2"/>
    <x v="3"/>
    <s v="Shenzhen"/>
    <s v="Asia &gt; China &gt; Shenzhen"/>
    <s v="Non-Profit"/>
    <s v="Direct"/>
    <x v="4"/>
    <x v="10"/>
    <x v="4"/>
    <s v="High"/>
    <x v="113"/>
    <n v="1253.22"/>
    <n v="1441.203"/>
    <n v="3104.71"/>
    <n v="3104.71"/>
    <n v="3570.4164999999998"/>
    <n v="0"/>
    <s v="OK"/>
    <n v="0"/>
    <n v="0"/>
    <n v="17"/>
    <n v="20.399999999999999"/>
    <n v="52780.07"/>
    <n v="72836.496599999984"/>
    <n v="21304.74"/>
    <n v="31475.329999999998"/>
    <n v="51531.756599999979"/>
    <n v="0.59634877331538205"/>
    <d v="2023-01-02T00:00:00"/>
    <s v="Jan-2023"/>
    <n v="0"/>
    <n v="0"/>
    <n v="0"/>
  </r>
  <r>
    <s v="ORD-2024-771210"/>
    <x v="107"/>
    <x v="17"/>
    <s v="2024-Q3"/>
    <d v="2024-10-05T00:00:00"/>
    <n v="21"/>
    <s v="NOT ACHIEVED"/>
    <x v="2"/>
    <x v="3"/>
    <s v="Shanghai"/>
    <s v="Asia &gt; China &gt; Shanghai"/>
    <s v="Small Business"/>
    <s v="Online"/>
    <x v="1"/>
    <x v="15"/>
    <x v="3"/>
    <s v="High"/>
    <x v="114"/>
    <n v="1405.56"/>
    <n v="1616.3939999999998"/>
    <n v="2968.87"/>
    <n v="2968.87"/>
    <n v="3414.2004999999995"/>
    <n v="0.16900000000000001"/>
    <s v="OK"/>
    <n v="0.16900000000000001"/>
    <n v="0.16900000000000001"/>
    <n v="5"/>
    <n v="6"/>
    <n v="12335.654849999999"/>
    <n v="23947.202307"/>
    <n v="7027.7999999999993"/>
    <n v="5307.8548499999997"/>
    <n v="16919.402307"/>
    <n v="0.4302856163327235"/>
    <d v="2023-01-02T00:00:00"/>
    <s v="Jan-2023"/>
    <n v="0"/>
    <n v="0"/>
    <n v="0"/>
  </r>
  <r>
    <s v="ORD-2024-909942"/>
    <x v="108"/>
    <x v="6"/>
    <s v="2024-Q2"/>
    <d v="2024-07-07T00:00:00"/>
    <n v="28"/>
    <s v="NOT ACHIEVED"/>
    <x v="2"/>
    <x v="3"/>
    <s v="Shenzhen"/>
    <s v="Asia &gt; China &gt; Shenzhen"/>
    <s v="Corporate"/>
    <s v="Online"/>
    <x v="1"/>
    <x v="2"/>
    <x v="0"/>
    <s v="Medium"/>
    <x v="115"/>
    <n v="550.22"/>
    <n v="632.75299999999993"/>
    <n v="1025.05"/>
    <n v="1025.05"/>
    <n v="1178.8074999999999"/>
    <n v="0"/>
    <s v="OK"/>
    <n v="0"/>
    <n v="0"/>
    <n v="27"/>
    <n v="32.4"/>
    <n v="27676.35"/>
    <n v="38193.362999999998"/>
    <n v="14855.94"/>
    <n v="12820.409999999998"/>
    <n v="23337.422999999995"/>
    <n v="0.46322618408858102"/>
    <d v="2023-01-02T00:00:00"/>
    <s v="Jan-2023"/>
    <n v="0"/>
    <n v="0"/>
    <n v="0"/>
  </r>
  <r>
    <s v="ORD-2023-427304"/>
    <x v="109"/>
    <x v="11"/>
    <s v="2023-Q2"/>
    <d v="2023-06-19T00:00:00"/>
    <n v="10"/>
    <s v="NOT ACHIEVED"/>
    <x v="2"/>
    <x v="3"/>
    <s v="Beijing"/>
    <s v="Asia &gt; China &gt; Beijing"/>
    <s v="Enterprise"/>
    <s v="Retail"/>
    <x v="0"/>
    <x v="8"/>
    <x v="2"/>
    <s v="Low"/>
    <x v="116"/>
    <n v="339.61"/>
    <n v="390.55149999999998"/>
    <n v="621.02"/>
    <n v="621.02"/>
    <n v="714.17299999999989"/>
    <n v="7.0999999999999994E-2"/>
    <s v="OK"/>
    <n v="7.0999999999999994E-2"/>
    <n v="7.0999999999999994E-2"/>
    <n v="10"/>
    <n v="12"/>
    <n v="5769.2758000000003"/>
    <n v="9178.5513959999989"/>
    <n v="3396.1000000000004"/>
    <n v="2373.1758"/>
    <n v="5782.4513959999986"/>
    <n v="0.41134726129750981"/>
    <d v="2023-01-02T00:00:00"/>
    <s v="Jan-2023"/>
    <n v="0"/>
    <n v="0"/>
    <n v="0"/>
  </r>
  <r>
    <s v="ORD-2023-883066"/>
    <x v="110"/>
    <x v="21"/>
    <s v="2023-Q3"/>
    <d v="2023-09-06T00:00:00"/>
    <n v="25"/>
    <s v="NOT ACHIEVED"/>
    <x v="2"/>
    <x v="3"/>
    <s v="Shanghai"/>
    <s v="Asia &gt; China &gt; Shanghai"/>
    <s v="Small Business"/>
    <s v="Retail"/>
    <x v="0"/>
    <x v="6"/>
    <x v="0"/>
    <s v="Low"/>
    <x v="117"/>
    <n v="950.77"/>
    <n v="1093.3854999999999"/>
    <n v="694.78"/>
    <n v="694.78"/>
    <n v="798.99699999999996"/>
    <n v="8.4000000000000005E-2"/>
    <s v="OK"/>
    <n v="8.4000000000000005E-2"/>
    <n v="8.4000000000000005E-2"/>
    <n v="14"/>
    <n v="16.8"/>
    <n v="8909.8587200000002"/>
    <n v="14550.694166400002"/>
    <n v="13310.779999999999"/>
    <n v="-4400.9212799999987"/>
    <n v="1239.9141664000035"/>
    <n v="-0.49393839097821279"/>
    <d v="2023-01-02T00:00:00"/>
    <s v="Jan-2023"/>
    <n v="0"/>
    <n v="0"/>
    <n v="0"/>
  </r>
  <r>
    <s v="ORD-2025-354346"/>
    <x v="111"/>
    <x v="25"/>
    <s v="2025-Q1"/>
    <d v="2025-01-15T00:00:00"/>
    <n v="6"/>
    <s v="ACHIEVED"/>
    <x v="2"/>
    <x v="3"/>
    <s v="Beijing"/>
    <s v="Asia &gt; China &gt; Beijing"/>
    <s v="Education"/>
    <s v="Online"/>
    <x v="1"/>
    <x v="0"/>
    <x v="4"/>
    <s v="Low"/>
    <x v="118"/>
    <n v="304.77999999999997"/>
    <n v="350.49699999999996"/>
    <n v="537.27"/>
    <n v="537.27"/>
    <n v="617.86049999999989"/>
    <n v="0.187"/>
    <s v="OK"/>
    <n v="0.187"/>
    <n v="0.187"/>
    <n v="8"/>
    <n v="9.6"/>
    <n v="3494.4040799999998"/>
    <n v="7040.6439695999989"/>
    <n v="2438.2399999999998"/>
    <n v="1056.16408"/>
    <n v="4602.4039695999991"/>
    <n v="0.3022444044307549"/>
    <d v="2023-01-02T00:00:00"/>
    <s v="Jan-2023"/>
    <n v="0"/>
    <n v="0"/>
    <n v="0"/>
  </r>
  <r>
    <s v="ORD-2024-836421"/>
    <x v="112"/>
    <x v="30"/>
    <s v="2024-Q4"/>
    <d v="2025-01-12T00:00:00"/>
    <n v="29"/>
    <s v="NOT ACHIEVED"/>
    <x v="2"/>
    <x v="3"/>
    <s v="Shenzhen"/>
    <s v="Asia &gt; China &gt; Shenzhen"/>
    <s v="Education"/>
    <s v="Online"/>
    <x v="1"/>
    <x v="2"/>
    <x v="0"/>
    <s v="High"/>
    <x v="119"/>
    <n v="1412.15"/>
    <n v="1623.9725000000001"/>
    <n v="1631.04"/>
    <n v="1631.04"/>
    <n v="1875.6959999999999"/>
    <n v="8.9999999999999993E-3"/>
    <s v="OK"/>
    <n v="8.9999999999999993E-3"/>
    <n v="8.9999999999999993E-3"/>
    <n v="6"/>
    <n v="7.1999999999999993"/>
    <n v="9698.1638399999993"/>
    <n v="13626.556300799995"/>
    <n v="8472.9000000000015"/>
    <n v="1225.2638399999978"/>
    <n v="5153.6563007999939"/>
    <n v="0.12633977526203535"/>
    <d v="2023-01-02T00:00:00"/>
    <s v="Jan-2023"/>
    <n v="0"/>
    <n v="0"/>
    <n v="0"/>
  </r>
  <r>
    <s v="ORD-2024-232632"/>
    <x v="113"/>
    <x v="23"/>
    <s v="2024-Q1"/>
    <d v="2024-02-14T00:00:00"/>
    <n v="0"/>
    <s v="ACHIEVED"/>
    <x v="2"/>
    <x v="3"/>
    <s v="Beijing"/>
    <s v="Asia &gt; China &gt; Beijing"/>
    <s v="Corporate"/>
    <s v="Distributor"/>
    <x v="3"/>
    <x v="10"/>
    <x v="1"/>
    <s v="Low"/>
    <x v="120"/>
    <n v="65.930000000000007"/>
    <n v="75.819500000000005"/>
    <n v="84.9"/>
    <n v="84.9"/>
    <n v="97.635000000000005"/>
    <n v="0.25900000000000001"/>
    <s v="OK"/>
    <n v="0.25900000000000001"/>
    <n v="0.25"/>
    <n v="23"/>
    <n v="27.599999999999998"/>
    <n v="1446.9507000000001"/>
    <n v="3368.4075000000003"/>
    <n v="1516.39"/>
    <n v="-69.439300000000003"/>
    <n v="1852.0175000000002"/>
    <n v="-4.7990093926489688E-2"/>
    <d v="2023-01-02T00:00:00"/>
    <s v="Jan-2023"/>
    <n v="0"/>
    <n v="0"/>
    <n v="0"/>
  </r>
  <r>
    <s v="ORD-2025-418232"/>
    <x v="114"/>
    <x v="24"/>
    <s v="2025-Q3"/>
    <d v="2025-08-21T00:00:00"/>
    <n v="20"/>
    <s v="NOT ACHIEVED"/>
    <x v="2"/>
    <x v="3"/>
    <s v="Shanghai"/>
    <s v="Asia &gt; China &gt; Shanghai"/>
    <s v="Corporate"/>
    <s v="Direct"/>
    <x v="4"/>
    <x v="12"/>
    <x v="4"/>
    <s v="High"/>
    <x v="121"/>
    <n v="1220.4100000000001"/>
    <n v="1403.4714999999999"/>
    <n v="2552.2199999999998"/>
    <n v="2552.2199999999998"/>
    <n v="2935.0529999999994"/>
    <n v="0.18099999999999999"/>
    <s v="OK"/>
    <n v="0.18099999999999999"/>
    <n v="0.18099999999999999"/>
    <n v="14"/>
    <n v="16.8"/>
    <n v="29263.754519999995"/>
    <n v="58233.799562399989"/>
    <n v="17085.740000000002"/>
    <n v="12178.014519999993"/>
    <n v="41148.059562399983"/>
    <n v="0.41614668793360271"/>
    <d v="2023-01-02T00:00:00"/>
    <s v="Jan-2023"/>
    <n v="0"/>
    <n v="0"/>
    <n v="0"/>
  </r>
  <r>
    <s v="ORD-2024-357368"/>
    <x v="115"/>
    <x v="32"/>
    <s v="2024-Q4"/>
    <d v="2024-11-24T00:00:00"/>
    <n v="25"/>
    <s v="NOT ACHIEVED"/>
    <x v="2"/>
    <x v="3"/>
    <s v="Shenzhen"/>
    <s v="Asia &gt; China &gt; Shenzhen"/>
    <s v="Small Business"/>
    <s v="Online"/>
    <x v="1"/>
    <x v="11"/>
    <x v="0"/>
    <s v="Medium"/>
    <x v="122"/>
    <n v="811.05"/>
    <n v="932.70749999999987"/>
    <n v="1217.71"/>
    <n v="1217.71"/>
    <n v="1400.3664999999999"/>
    <n v="7.1999999999999995E-2"/>
    <s v="OK"/>
    <n v="7.1999999999999995E-2"/>
    <n v="7.1999999999999995E-2"/>
    <n v="5"/>
    <n v="6"/>
    <n v="5650.1744000000008"/>
    <n v="9007.1573279999993"/>
    <n v="4055.25"/>
    <n v="1594.9244000000008"/>
    <n v="4951.9073279999993"/>
    <n v="0.28227879125288602"/>
    <d v="2023-01-02T00:00:00"/>
    <s v="Jan-2023"/>
    <n v="0"/>
    <n v="0"/>
    <n v="0"/>
  </r>
  <r>
    <s v="ORD-2024-134084"/>
    <x v="116"/>
    <x v="6"/>
    <s v="2024-Q2"/>
    <d v="2024-06-16T00:00:00"/>
    <n v="12"/>
    <s v="NOT ACHIEVED"/>
    <x v="2"/>
    <x v="3"/>
    <s v="Shanghai"/>
    <s v="Asia &gt; China &gt; Shanghai"/>
    <s v="Corporate"/>
    <s v="Retail"/>
    <x v="0"/>
    <x v="2"/>
    <x v="5"/>
    <s v="Medium"/>
    <x v="123"/>
    <n v="918.42"/>
    <n v="1056.1829999999998"/>
    <n v="1511.71"/>
    <n v="1511.71"/>
    <n v="1738.4665"/>
    <n v="0.02"/>
    <s v="OK"/>
    <n v="0.02"/>
    <n v="0.02"/>
    <n v="8"/>
    <n v="9.6"/>
    <n v="11851.806399999999"/>
    <n v="17023.063967999999"/>
    <n v="7347.36"/>
    <n v="4504.4463999999998"/>
    <n v="9675.703967999998"/>
    <n v="0.38006412254590999"/>
    <d v="2023-01-02T00:00:00"/>
    <s v="Jan-2023"/>
    <n v="0"/>
    <n v="0"/>
    <n v="0"/>
  </r>
  <r>
    <s v="ORD-2023-157993"/>
    <x v="117"/>
    <x v="19"/>
    <s v="2023-Q2"/>
    <d v="2023-05-18T00:00:00"/>
    <n v="30"/>
    <s v="NOT ACHIEVED"/>
    <x v="2"/>
    <x v="3"/>
    <s v="Shenzhen"/>
    <s v="Asia &gt; China &gt; Shenzhen"/>
    <s v="Non-Profit"/>
    <s v="Retail"/>
    <x v="0"/>
    <x v="15"/>
    <x v="3"/>
    <s v="Low"/>
    <x v="124"/>
    <n v="329.03"/>
    <n v="378.38449999999995"/>
    <n v="391.15"/>
    <n v="391.15"/>
    <n v="449.82249999999993"/>
    <n v="0.19700000000000001"/>
    <s v="OK"/>
    <n v="0.19700000000000001"/>
    <n v="0.19700000000000001"/>
    <n v="46"/>
    <n v="55.199999999999996"/>
    <n v="14448.298699999998"/>
    <n v="29721.751793999993"/>
    <n v="15135.38"/>
    <n v="-687.08130000000165"/>
    <n v="14586.371793999993"/>
    <n v="-4.7554477815440081E-2"/>
    <d v="2023-01-02T00:00:00"/>
    <s v="Jan-2023"/>
    <n v="0"/>
    <n v="0"/>
    <n v="0"/>
  </r>
  <r>
    <s v="ORD-2025-652467"/>
    <x v="118"/>
    <x v="24"/>
    <s v="2025-Q3"/>
    <d v="2025-09-12T00:00:00"/>
    <n v="22"/>
    <s v="NOT ACHIEVED"/>
    <x v="2"/>
    <x v="3"/>
    <s v="Shenzhen"/>
    <s v="Asia &gt; China &gt; Shenzhen"/>
    <s v="Education"/>
    <s v="Retail"/>
    <x v="0"/>
    <x v="6"/>
    <x v="5"/>
    <s v="Low"/>
    <x v="125"/>
    <n v="352.66"/>
    <n v="405.55899999999997"/>
    <n v="411.18"/>
    <n v="411.18"/>
    <n v="472.85699999999997"/>
    <n v="0.17299999999999999"/>
    <s v="OK"/>
    <n v="0.17299999999999999"/>
    <n v="0.17299999999999999"/>
    <n v="13"/>
    <n v="15.6"/>
    <n v="4420.5961799999995"/>
    <n v="8652.715671599999"/>
    <n v="4584.58"/>
    <n v="-163.98382000000038"/>
    <n v="4068.1356715999991"/>
    <n v="-3.7095408248758066E-2"/>
    <d v="2023-01-02T00:00:00"/>
    <s v="Jan-2023"/>
    <n v="0"/>
    <n v="0"/>
    <n v="0"/>
  </r>
  <r>
    <s v="ORD-2024-237478"/>
    <x v="119"/>
    <x v="32"/>
    <s v="2024-Q4"/>
    <d v="2024-10-11T00:00:00"/>
    <n v="8"/>
    <s v="NOT ACHIEVED"/>
    <x v="2"/>
    <x v="3"/>
    <s v="Beijing"/>
    <s v="Asia &gt; China &gt; Beijing"/>
    <s v="Enterprise"/>
    <s v="Direct"/>
    <x v="4"/>
    <x v="6"/>
    <x v="4"/>
    <s v="High"/>
    <x v="126"/>
    <n v="1132.6099999999999"/>
    <n v="1302.5014999999999"/>
    <n v="2206.63"/>
    <n v="2206.63"/>
    <n v="2537.6244999999999"/>
    <n v="6.3E-2"/>
    <s v="OK"/>
    <n v="6.3E-2"/>
    <n v="6.3E-2"/>
    <n v="20"/>
    <n v="24"/>
    <n v="41352.246200000009"/>
    <n v="64739.876243999992"/>
    <n v="22652.199999999997"/>
    <n v="18700.046200000012"/>
    <n v="42087.676243999995"/>
    <n v="0.45221355351671338"/>
    <d v="2023-01-02T00:00:00"/>
    <s v="Jan-2023"/>
    <n v="0"/>
    <n v="0"/>
    <n v="0"/>
  </r>
  <r>
    <s v="ORD-2024-760799"/>
    <x v="120"/>
    <x v="23"/>
    <s v="2024-Q1"/>
    <d v="2024-02-19T00:00:00"/>
    <n v="16"/>
    <s v="NOT ACHIEVED"/>
    <x v="2"/>
    <x v="3"/>
    <s v="Shenzhen"/>
    <s v="Asia &gt; China &gt; Shenzhen"/>
    <s v="Small Business"/>
    <s v="Online"/>
    <x v="1"/>
    <x v="15"/>
    <x v="3"/>
    <s v="Medium"/>
    <x v="127"/>
    <n v="993.75"/>
    <n v="1142.8125"/>
    <n v="1310.29"/>
    <n v="1310.29"/>
    <n v="1506.8334999999997"/>
    <n v="0.215"/>
    <s v="OK"/>
    <n v="0.215"/>
    <n v="0.215"/>
    <n v="19"/>
    <n v="22.8"/>
    <n v="19542.975350000001"/>
    <n v="41742.301616999997"/>
    <n v="18881.25"/>
    <n v="661.72535000000062"/>
    <n v="22861.051616999997"/>
    <n v="3.3860010471742245E-2"/>
    <d v="2023-01-02T00:00:00"/>
    <s v="Jan-2023"/>
    <n v="0"/>
    <n v="0"/>
    <n v="0"/>
  </r>
  <r>
    <s v="ORD-2023-925146"/>
    <x v="121"/>
    <x v="20"/>
    <s v="2023-Q4"/>
    <d v="2023-11-13T00:00:00"/>
    <n v="29"/>
    <s v="NOT ACHIEVED"/>
    <x v="2"/>
    <x v="3"/>
    <s v="Shenzhen"/>
    <s v="Asia &gt; China &gt; Shenzhen"/>
    <s v="Non-Profit"/>
    <s v="Distributor"/>
    <x v="3"/>
    <x v="2"/>
    <x v="5"/>
    <s v="Low"/>
    <x v="128"/>
    <n v="986.44"/>
    <n v="1134.4059999999999"/>
    <n v="790.61"/>
    <n v="790.61"/>
    <n v="909.2014999999999"/>
    <n v="7.1999999999999995E-2"/>
    <s v="OK"/>
    <n v="7.1999999999999995E-2"/>
    <n v="7.1999999999999995E-2"/>
    <n v="6"/>
    <n v="7.1999999999999993"/>
    <n v="4402.1164799999997"/>
    <n v="7017.580857599999"/>
    <n v="5918.64"/>
    <n v="-1516.5235200000006"/>
    <n v="1098.9408575999987"/>
    <n v="-0.34449872621271499"/>
    <d v="2023-01-02T00:00:00"/>
    <s v="Jan-2023"/>
    <n v="0"/>
    <n v="0"/>
    <n v="0"/>
  </r>
  <r>
    <s v="ORD-2024-988736"/>
    <x v="37"/>
    <x v="17"/>
    <s v="2024-Q3"/>
    <d v="2024-10-01T00:00:00"/>
    <n v="22"/>
    <s v="NOT ACHIEVED"/>
    <x v="2"/>
    <x v="3"/>
    <s v="Shenzhen"/>
    <s v="Asia &gt; China &gt; Shenzhen"/>
    <s v="Consumer"/>
    <s v="Direct"/>
    <x v="4"/>
    <x v="10"/>
    <x v="5"/>
    <s v="Medium"/>
    <x v="129"/>
    <n v="1166.18"/>
    <n v="1341.107"/>
    <n v="1335.02"/>
    <n v="1335.02"/>
    <n v="1535.2729999999999"/>
    <n v="0.128"/>
    <s v="OK"/>
    <n v="0.128"/>
    <n v="0.128"/>
    <n v="6"/>
    <n v="7.1999999999999993"/>
    <n v="6984.8246399999998"/>
    <n v="12468.873196799999"/>
    <n v="6997.08"/>
    <n v="-12.25536000000011"/>
    <n v="5471.7931967999994"/>
    <n v="-1.7545694604582242E-3"/>
    <d v="2023-01-02T00:00:00"/>
    <s v="Jan-2023"/>
    <n v="0"/>
    <n v="0"/>
    <n v="0"/>
  </r>
  <r>
    <s v="ORD-2024-720756"/>
    <x v="122"/>
    <x v="32"/>
    <s v="2024-Q4"/>
    <d v="2024-11-09T00:00:00"/>
    <n v="29"/>
    <s v="NOT ACHIEVED"/>
    <x v="2"/>
    <x v="3"/>
    <s v="Shanghai"/>
    <s v="Asia &gt; China &gt; Shanghai"/>
    <s v="Non-Profit"/>
    <s v="Online"/>
    <x v="1"/>
    <x v="8"/>
    <x v="5"/>
    <s v="Low"/>
    <x v="130"/>
    <n v="391.64"/>
    <n v="450.38599999999997"/>
    <n v="504.76"/>
    <n v="504.76"/>
    <n v="580.47399999999993"/>
    <n v="4.0000000000000001E-3"/>
    <s v="OK"/>
    <n v="4.0000000000000001E-3"/>
    <n v="4.0000000000000001E-3"/>
    <n v="13"/>
    <n v="15.6"/>
    <n v="6535.6324800000002"/>
    <n v="9091.6159775999986"/>
    <n v="5091.32"/>
    <n v="1444.3124800000005"/>
    <n v="4000.2959775999989"/>
    <n v="0.22099046793402319"/>
    <d v="2023-01-02T00:00:00"/>
    <s v="Jan-2023"/>
    <n v="0"/>
    <n v="0"/>
    <n v="0"/>
  </r>
  <r>
    <s v="ORD-2023-603650"/>
    <x v="44"/>
    <x v="26"/>
    <s v="2023-Q2"/>
    <d v="2023-06-10T00:00:00"/>
    <n v="18"/>
    <s v="NOT ACHIEVED"/>
    <x v="2"/>
    <x v="3"/>
    <s v="Shanghai"/>
    <s v="Asia &gt; China &gt; Shanghai"/>
    <s v="Corporate"/>
    <s v="Distributor"/>
    <x v="3"/>
    <x v="11"/>
    <x v="0"/>
    <s v="Low"/>
    <x v="131"/>
    <n v="54.62"/>
    <n v="62.812999999999995"/>
    <n v="48.94"/>
    <n v="48.94"/>
    <n v="56.280999999999992"/>
    <n v="0.14799999999999999"/>
    <s v="OK"/>
    <n v="0.14799999999999999"/>
    <n v="0.14799999999999999"/>
    <n v="16"/>
    <n v="19.2"/>
    <n v="667.15008"/>
    <n v="1240.5232895999995"/>
    <n v="873.92"/>
    <n v="-206.76991999999996"/>
    <n v="366.60328959999958"/>
    <n v="-0.3099301434543783"/>
    <d v="2023-01-02T00:00:00"/>
    <s v="Jan-2023"/>
    <n v="0"/>
    <n v="0"/>
    <n v="0"/>
  </r>
  <r>
    <s v="ORD-2025-509940"/>
    <x v="123"/>
    <x v="1"/>
    <s v="2025-Q2"/>
    <d v="2025-05-27T00:00:00"/>
    <n v="11"/>
    <s v="NOT ACHIEVED"/>
    <x v="2"/>
    <x v="3"/>
    <s v="Beijing"/>
    <s v="Asia &gt; China &gt; Beijing"/>
    <s v="Enterprise"/>
    <s v="Online"/>
    <x v="1"/>
    <x v="8"/>
    <x v="4"/>
    <s v="Medium"/>
    <x v="132"/>
    <n v="918.12"/>
    <n v="1055.838"/>
    <n v="1337.69"/>
    <n v="1337.69"/>
    <n v="1538.3434999999999"/>
    <n v="9.5000000000000001E-2"/>
    <s v="OK"/>
    <n v="9.5000000000000001E-2"/>
    <n v="9.5000000000000001E-2"/>
    <n v="8"/>
    <n v="9.6"/>
    <n v="9684.8756000000012"/>
    <n v="16171.066871999999"/>
    <n v="7344.96"/>
    <n v="2339.9156000000012"/>
    <n v="8826.1068720000003"/>
    <n v="0.24160512707050164"/>
    <d v="2023-01-02T00:00:00"/>
    <s v="Jan-2023"/>
    <n v="0"/>
    <n v="0"/>
    <n v="0"/>
  </r>
  <r>
    <s v="ORD-2023-166668"/>
    <x v="124"/>
    <x v="20"/>
    <s v="2023-Q4"/>
    <d v="2023-10-31T00:00:00"/>
    <n v="26"/>
    <s v="NOT ACHIEVED"/>
    <x v="2"/>
    <x v="3"/>
    <s v="Shanghai"/>
    <s v="Asia &gt; China &gt; Shanghai"/>
    <s v="Consumer"/>
    <n v="0"/>
    <x v="5"/>
    <x v="2"/>
    <x v="5"/>
    <s v="Medium"/>
    <x v="133"/>
    <n v="649.91"/>
    <n v="747.39649999999995"/>
    <n v="1360.12"/>
    <n v="1360.12"/>
    <n v="1564.1379999999997"/>
    <n v="0.19400000000000001"/>
    <s v="OK"/>
    <n v="0.19400000000000001"/>
    <n v="0.19400000000000001"/>
    <n v="9"/>
    <n v="10.799999999999999"/>
    <n v="9866.3104799999983"/>
    <n v="20169.872337599994"/>
    <n v="5849.19"/>
    <n v="4017.1204799999987"/>
    <n v="14320.682337599996"/>
    <n v="0.40715528749506769"/>
    <d v="2023-01-02T00:00:00"/>
    <s v="Jan-2023"/>
    <n v="0"/>
    <n v="0"/>
    <n v="0"/>
  </r>
  <r>
    <s v="ORD-2024-571797"/>
    <x v="125"/>
    <x v="27"/>
    <s v="2024-Q3"/>
    <d v="2024-07-31T00:00:00"/>
    <n v="20"/>
    <s v="NOT ACHIEVED"/>
    <x v="2"/>
    <x v="3"/>
    <s v="Shenzhen"/>
    <s v="Asia &gt; China &gt; Shenzhen"/>
    <s v="Consumer"/>
    <s v="Online"/>
    <x v="1"/>
    <x v="4"/>
    <x v="4"/>
    <s v="Medium"/>
    <x v="134"/>
    <n v="647.26"/>
    <n v="744.34899999999993"/>
    <n v="1374.72"/>
    <n v="1374.72"/>
    <n v="1580.9279999999999"/>
    <n v="6.6000000000000003E-2"/>
    <s v="OK"/>
    <n v="6.6000000000000003E-2"/>
    <n v="6.6000000000000003E-2"/>
    <n v="22"/>
    <n v="26.4"/>
    <n v="28247.74656"/>
    <n v="44491.108147199993"/>
    <n v="14239.72"/>
    <n v="14008.02656"/>
    <n v="30251.388147199992"/>
    <n v="0.49589890401508901"/>
    <d v="2023-01-02T00:00:00"/>
    <s v="Jan-2023"/>
    <n v="0"/>
    <n v="0"/>
    <n v="0"/>
  </r>
  <r>
    <s v="ORD-2024-961756"/>
    <x v="126"/>
    <x v="13"/>
    <s v="2024-Q4"/>
    <d v="2024-12-07T00:00:00"/>
    <n v="12"/>
    <s v="NOT ACHIEVED"/>
    <x v="2"/>
    <x v="3"/>
    <s v="Shanghai"/>
    <s v="Asia &gt; China &gt; Shanghai"/>
    <s v="Corporate"/>
    <s v="Distributor"/>
    <x v="3"/>
    <x v="1"/>
    <x v="1"/>
    <s v="Low"/>
    <x v="135"/>
    <n v="769.9"/>
    <n v="885.38499999999988"/>
    <n v="814.36"/>
    <n v="814.36"/>
    <n v="936.5139999999999"/>
    <n v="0"/>
    <s v="OK"/>
    <n v="0"/>
    <n v="0"/>
    <n v="5"/>
    <n v="6"/>
    <n v="4071.8"/>
    <n v="5619.0839999999989"/>
    <n v="3849.5"/>
    <n v="222.30000000000018"/>
    <n v="1769.5839999999989"/>
    <n v="5.4595019401738831E-2"/>
    <d v="2023-01-02T00:00:00"/>
    <s v="Jan-2023"/>
    <n v="0"/>
    <n v="0"/>
    <n v="0"/>
  </r>
  <r>
    <s v="ORD-2024-343877"/>
    <x v="127"/>
    <x v="0"/>
    <s v="2024-Q1"/>
    <d v="2024-03-26T00:00:00"/>
    <n v="17"/>
    <s v="NOT ACHIEVED"/>
    <x v="2"/>
    <x v="3"/>
    <s v="Shenzhen"/>
    <s v="Asia &gt; China &gt; Shenzhen"/>
    <s v="Enterprise"/>
    <s v="Online"/>
    <x v="1"/>
    <x v="3"/>
    <x v="2"/>
    <s v="Medium"/>
    <x v="136"/>
    <n v="1029.67"/>
    <n v="1184.1205"/>
    <n v="1118.43"/>
    <n v="1118.43"/>
    <n v="1286.1945000000001"/>
    <n v="0.27200000000000002"/>
    <s v="OK"/>
    <n v="0.27200000000000002"/>
    <n v="0.25"/>
    <n v="9"/>
    <n v="10.799999999999999"/>
    <n v="7327.9533600000004"/>
    <n v="17363.625749999999"/>
    <n v="9267.0300000000007"/>
    <n v="-1939.0766400000002"/>
    <n v="8096.5957499999986"/>
    <n v="-0.26461367106736061"/>
    <d v="2023-01-02T00:00:00"/>
    <s v="Jan-2023"/>
    <n v="0"/>
    <n v="0"/>
    <n v="0"/>
  </r>
  <r>
    <s v="ORD-2024-868223"/>
    <x v="128"/>
    <x v="0"/>
    <s v="2024-Q1"/>
    <d v="2024-03-19T00:00:00"/>
    <n v="16"/>
    <s v="NOT ACHIEVED"/>
    <x v="2"/>
    <x v="3"/>
    <s v="Beijing"/>
    <s v="Asia &gt; China &gt; Beijing"/>
    <s v="Consumer"/>
    <s v="Distributor"/>
    <x v="3"/>
    <x v="4"/>
    <x v="4"/>
    <s v="Medium"/>
    <x v="137"/>
    <n v="988.83"/>
    <n v="1137.1544999999999"/>
    <n v="1206.04"/>
    <n v="1206.04"/>
    <n v="1386.9459999999999"/>
    <n v="6.3E-2"/>
    <s v="OK"/>
    <n v="6.3E-2"/>
    <n v="6.3E-2"/>
    <n v="34"/>
    <n v="40.799999999999997"/>
    <n v="38422.022320000004"/>
    <n v="60152.402798399991"/>
    <n v="33620.22"/>
    <n v="4801.8023200000025"/>
    <n v="26532.18279839999"/>
    <n v="0.12497526236406606"/>
    <d v="2023-01-02T00:00:00"/>
    <s v="Jan-2023"/>
    <n v="0"/>
    <n v="0"/>
    <n v="0"/>
  </r>
  <r>
    <s v="ORD-2025-188059"/>
    <x v="129"/>
    <x v="31"/>
    <s v="2025-Q2"/>
    <d v="2025-07-11T00:00:00"/>
    <n v="14"/>
    <s v="NOT ACHIEVED"/>
    <x v="2"/>
    <x v="3"/>
    <s v="Shanghai"/>
    <s v="Asia &gt; China &gt; Shanghai"/>
    <s v="Small Business"/>
    <s v="Marketplace"/>
    <x v="2"/>
    <x v="10"/>
    <x v="6"/>
    <s v="High"/>
    <x v="138"/>
    <n v="1227.7"/>
    <n v="1411.855"/>
    <n v="2197.23"/>
    <n v="2197.23"/>
    <n v="2526.8145"/>
    <n v="9.9000000000000005E-2"/>
    <s v="OK"/>
    <n v="9.9000000000000005E-2"/>
    <n v="9.9000000000000005E-2"/>
    <n v="22"/>
    <n v="26.4"/>
    <n v="43553.493060000001"/>
    <n v="73311.985177199997"/>
    <n v="27009.4"/>
    <n v="16544.093059999999"/>
    <n v="46302.585177199995"/>
    <n v="0.37985685871873898"/>
    <d v="2023-01-02T00:00:00"/>
    <s v="Jan-2023"/>
    <n v="0"/>
    <n v="0"/>
    <n v="0"/>
  </r>
  <r>
    <s v="ORD-2023-619385"/>
    <x v="130"/>
    <x v="29"/>
    <s v="2023-Q3"/>
    <d v="2023-10-03T00:00:00"/>
    <n v="3"/>
    <s v="ACHIEVED"/>
    <x v="2"/>
    <x v="3"/>
    <s v="Beijing"/>
    <s v="Asia &gt; China &gt; Beijing"/>
    <s v="Non-Profit"/>
    <s v="Retail"/>
    <x v="0"/>
    <x v="2"/>
    <x v="3"/>
    <s v="Medium"/>
    <x v="139"/>
    <n v="1019.36"/>
    <n v="1172.2639999999999"/>
    <n v="972.91"/>
    <n v="972.91"/>
    <n v="1118.8464999999999"/>
    <n v="0.14699999999999999"/>
    <s v="OK"/>
    <n v="0.14699999999999999"/>
    <n v="0.14699999999999999"/>
    <n v="17"/>
    <n v="20.399999999999999"/>
    <n v="14108.16791"/>
    <n v="26179.665484199995"/>
    <n v="17329.12"/>
    <n v="-3220.9520899999989"/>
    <n v="8850.5454841999963"/>
    <n v="-0.22830406545678819"/>
    <d v="2023-01-02T00:00:00"/>
    <s v="Jan-2023"/>
    <n v="0"/>
    <n v="0"/>
    <n v="0"/>
  </r>
  <r>
    <s v="ORD-2023-368449"/>
    <x v="131"/>
    <x v="20"/>
    <s v="2023-Q4"/>
    <d v="2023-10-26T00:00:00"/>
    <n v="17"/>
    <s v="NOT ACHIEVED"/>
    <x v="2"/>
    <x v="3"/>
    <s v="Shanghai"/>
    <s v="Asia &gt; China &gt; Shanghai"/>
    <s v="Consumer"/>
    <s v="Marketplace"/>
    <x v="2"/>
    <x v="0"/>
    <x v="0"/>
    <s v="High"/>
    <x v="140"/>
    <n v="1132.03"/>
    <n v="1301.8344999999999"/>
    <n v="2137.21"/>
    <n v="2137.21"/>
    <n v="2457.7914999999998"/>
    <n v="0.3"/>
    <s v="OK"/>
    <n v="0.3"/>
    <n v="0.25"/>
    <n v="35"/>
    <n v="42"/>
    <n v="52361.645000000004"/>
    <n v="129034.05374999999"/>
    <n v="39621.049999999996"/>
    <n v="12740.595000000008"/>
    <n v="89413.003750000003"/>
    <n v="0.24331922727026639"/>
    <d v="2023-01-02T00:00:00"/>
    <s v="Jan-2023"/>
    <n v="0"/>
    <n v="0"/>
    <n v="0"/>
  </r>
  <r>
    <s v="ORD-2023-854471"/>
    <x v="132"/>
    <x v="12"/>
    <s v="2023-Q1"/>
    <d v="2023-04-04T00:00:00"/>
    <n v="29"/>
    <s v="NOT ACHIEVED"/>
    <x v="2"/>
    <x v="3"/>
    <s v="Beijing"/>
    <s v="Asia &gt; China &gt; Beijing"/>
    <s v="Small Business"/>
    <s v="Direct"/>
    <x v="4"/>
    <x v="0"/>
    <x v="2"/>
    <s v="High"/>
    <x v="141"/>
    <n v="1126.29"/>
    <n v="1295.2334999999998"/>
    <n v="2050.87"/>
    <n v="2050.87"/>
    <n v="2358.5004999999996"/>
    <n v="6.4000000000000001E-2"/>
    <s v="OK"/>
    <n v="6.4000000000000001E-2"/>
    <n v="6.4000000000000001E-2"/>
    <n v="7"/>
    <n v="8.4"/>
    <n v="13437.300239999999"/>
    <n v="21079.334068799999"/>
    <n v="7884.03"/>
    <n v="5553.2702399999989"/>
    <n v="13195.3040688"/>
    <n v="0.41327276616690373"/>
    <d v="2023-01-02T00:00:00"/>
    <s v="Jan-2023"/>
    <n v="0"/>
    <n v="0"/>
    <n v="0"/>
  </r>
  <r>
    <s v="ORD-2023-674887"/>
    <x v="133"/>
    <x v="9"/>
    <s v="2023-Q4"/>
    <d v="2023-12-19T00:00:00"/>
    <n v="3"/>
    <s v="ACHIEVED"/>
    <x v="2"/>
    <x v="3"/>
    <s v="Beijing"/>
    <s v="Asia &gt; China &gt; Beijing"/>
    <s v="Education"/>
    <s v="Retail"/>
    <x v="0"/>
    <x v="1"/>
    <x v="1"/>
    <s v="High"/>
    <x v="142"/>
    <n v="1415.05"/>
    <n v="1627.3074999999999"/>
    <n v="1972.38"/>
    <n v="1972.38"/>
    <n v="2268.2370000000001"/>
    <n v="0"/>
    <s v="OK"/>
    <n v="0"/>
    <n v="0"/>
    <n v="12"/>
    <n v="14.399999999999999"/>
    <n v="23668.560000000001"/>
    <n v="32662.612799999999"/>
    <n v="16980.599999999999"/>
    <n v="6687.9600000000028"/>
    <n v="15682.0128"/>
    <n v="0.28256725377462771"/>
    <d v="2023-01-02T00:00:00"/>
    <s v="Jan-2023"/>
    <n v="0"/>
    <n v="0"/>
    <n v="0"/>
  </r>
  <r>
    <s v="ORD-2025-222035"/>
    <x v="134"/>
    <x v="2"/>
    <s v="2025-Q1"/>
    <d v="2025-04-08T00:00:00"/>
    <n v="25"/>
    <s v="NOT ACHIEVED"/>
    <x v="2"/>
    <x v="3"/>
    <s v="Unkown"/>
    <s v="Asia &gt; China &gt; Unkown"/>
    <s v="Corporate"/>
    <s v="Distributor"/>
    <x v="3"/>
    <x v="14"/>
    <x v="5"/>
    <s v="Low"/>
    <x v="143"/>
    <n v="80.59"/>
    <n v="92.6785"/>
    <n v="157.82"/>
    <n v="157.82"/>
    <n v="181.49299999999997"/>
    <n v="0.217"/>
    <s v="OK"/>
    <n v="0.217"/>
    <n v="0.217"/>
    <n v="6"/>
    <n v="7.1999999999999993"/>
    <n v="741.43835999999999"/>
    <n v="1590.3142631999997"/>
    <n v="483.54"/>
    <n v="257.89835999999997"/>
    <n v="1106.7742631999997"/>
    <n v="0.34783519967863541"/>
    <d v="2023-01-02T00:00:00"/>
    <s v="Jan-2023"/>
    <n v="0"/>
    <n v="0"/>
    <n v="0"/>
  </r>
  <r>
    <s v="ORD-2024-468655"/>
    <x v="135"/>
    <x v="23"/>
    <s v="2024-Q1"/>
    <d v="2024-03-06T00:00:00"/>
    <n v="16"/>
    <s v="NOT ACHIEVED"/>
    <x v="2"/>
    <x v="3"/>
    <s v="Beijing"/>
    <s v="Asia &gt; China &gt; Beijing"/>
    <s v="Education"/>
    <s v="Marketplace"/>
    <x v="2"/>
    <x v="7"/>
    <x v="5"/>
    <s v="High"/>
    <x v="144"/>
    <n v="1477.84"/>
    <n v="1699.5159999999998"/>
    <n v="3197.47"/>
    <n v="3197.47"/>
    <n v="3677.0904999999993"/>
    <n v="0.24299999999999999"/>
    <s v="OK"/>
    <n v="0.24299999999999999"/>
    <n v="0.24299999999999999"/>
    <n v="24"/>
    <n v="28.799999999999997"/>
    <n v="58091.634960000003"/>
    <n v="131633.95655519995"/>
    <n v="35468.159999999996"/>
    <n v="22623.474960000007"/>
    <n v="96165.796555199951"/>
    <n v="0.38944462443823091"/>
    <d v="2023-01-02T00:00:00"/>
    <s v="Jan-2023"/>
    <n v="0"/>
    <n v="0"/>
    <n v="0"/>
  </r>
  <r>
    <s v="ORD-2024-651852"/>
    <x v="136"/>
    <x v="30"/>
    <s v="2024-Q4"/>
    <d v="2025-01-08T00:00:00"/>
    <n v="11"/>
    <s v="NOT ACHIEVED"/>
    <x v="2"/>
    <x v="3"/>
    <s v="Shenzhen"/>
    <s v="Asia &gt; China &gt; Shenzhen"/>
    <s v="Enterprise"/>
    <s v="Online"/>
    <x v="1"/>
    <x v="3"/>
    <x v="3"/>
    <s v="High"/>
    <x v="145"/>
    <n v="1201.31"/>
    <n v="1381.5064999999997"/>
    <n v="2764.65"/>
    <n v="2764.65"/>
    <n v="3179.3474999999999"/>
    <n v="0"/>
    <s v="OK"/>
    <n v="0"/>
    <n v="0"/>
    <n v="21"/>
    <n v="25.2"/>
    <n v="58057.65"/>
    <n v="80119.557000000001"/>
    <n v="25227.51"/>
    <n v="32830.14"/>
    <n v="54892.047000000006"/>
    <n v="0.56547483406579491"/>
    <d v="2023-01-02T00:00:00"/>
    <s v="Jan-2023"/>
    <n v="0"/>
    <n v="0"/>
    <n v="0"/>
  </r>
  <r>
    <s v="ORD-2024-581530"/>
    <x v="137"/>
    <x v="17"/>
    <s v="2024-Q3"/>
    <d v="2024-09-18T00:00:00"/>
    <n v="11"/>
    <s v="NOT ACHIEVED"/>
    <x v="2"/>
    <x v="3"/>
    <s v="Beijing"/>
    <s v="Asia &gt; China &gt; Beijing"/>
    <s v="Consumer"/>
    <s v="Distributor"/>
    <x v="3"/>
    <x v="7"/>
    <x v="6"/>
    <s v="Low"/>
    <x v="146"/>
    <n v="181.74"/>
    <n v="209.001"/>
    <n v="190.84"/>
    <n v="190.84"/>
    <n v="219.46599999999998"/>
    <n v="0.214"/>
    <s v="OK"/>
    <n v="0.214"/>
    <n v="0.214"/>
    <n v="13"/>
    <n v="15.6"/>
    <n v="1950.0031200000001"/>
    <n v="4156.3348943999999"/>
    <n v="2362.62"/>
    <n v="-412.61687999999981"/>
    <n v="1793.7148944"/>
    <n v="-0.21159806144310159"/>
    <d v="2023-01-02T00:00:00"/>
    <s v="Jan-2023"/>
    <n v="0"/>
    <n v="0"/>
    <n v="0"/>
  </r>
  <r>
    <s v="ORD-2023-184577"/>
    <x v="138"/>
    <x v="26"/>
    <s v="2023-Q2"/>
    <d v="2023-06-03T00:00:00"/>
    <n v="17"/>
    <s v="NOT ACHIEVED"/>
    <x v="2"/>
    <x v="3"/>
    <s v="Beijing"/>
    <s v="Asia &gt; China &gt; Beijing"/>
    <s v="Non-Profit"/>
    <s v="Distributor"/>
    <x v="3"/>
    <x v="13"/>
    <x v="5"/>
    <s v="High"/>
    <x v="147"/>
    <n v="979.59"/>
    <n v="1126.5284999999999"/>
    <n v="2210.94"/>
    <n v="2210.94"/>
    <n v="2542.5809999999997"/>
    <n v="0.15"/>
    <s v="OK"/>
    <n v="0.15"/>
    <n v="0.15"/>
    <n v="11"/>
    <n v="13.2"/>
    <n v="20672.289000000001"/>
    <n v="38596.379579999986"/>
    <n v="10775.49"/>
    <n v="9896.7990000000009"/>
    <n v="27820.889579999988"/>
    <n v="0.47874712858358359"/>
    <d v="2023-01-02T00:00:00"/>
    <s v="Jan-2023"/>
    <n v="0"/>
    <n v="0"/>
    <n v="0"/>
  </r>
  <r>
    <s v="ORD-2023-880296"/>
    <x v="139"/>
    <x v="26"/>
    <s v="2023-Q2"/>
    <d v="2023-05-19T00:00:00"/>
    <n v="17"/>
    <s v="NOT ACHIEVED"/>
    <x v="2"/>
    <x v="3"/>
    <s v="Shanghai"/>
    <s v="Asia &gt; China &gt; Shanghai"/>
    <s v="Non-Profit"/>
    <s v="Direct"/>
    <x v="4"/>
    <x v="2"/>
    <x v="2"/>
    <s v="Low"/>
    <x v="148"/>
    <n v="714.28"/>
    <n v="821.42199999999991"/>
    <n v="757.59"/>
    <n v="757.59"/>
    <n v="871.22849999999994"/>
    <n v="0.13600000000000001"/>
    <s v="OK"/>
    <n v="0.13600000000000001"/>
    <n v="0.13600000000000001"/>
    <n v="12"/>
    <n v="14.399999999999999"/>
    <n v="7854.6931199999999"/>
    <n v="14251.904294399999"/>
    <n v="8571.36"/>
    <n v="-716.66688000000067"/>
    <n v="5680.5442943999988"/>
    <n v="-9.1240595787910383E-2"/>
    <d v="2023-01-02T00:00:00"/>
    <s v="Jan-2023"/>
    <n v="0"/>
    <n v="0"/>
    <n v="0"/>
  </r>
  <r>
    <s v="ORD-2025-779659"/>
    <x v="140"/>
    <x v="4"/>
    <s v="2025-Q3"/>
    <d v="2025-07-23T00:00:00"/>
    <n v="20"/>
    <s v="NOT ACHIEVED"/>
    <x v="2"/>
    <x v="3"/>
    <s v="Beijing"/>
    <s v="Asia &gt; China &gt; Beijing"/>
    <s v="Small Business"/>
    <s v="Online"/>
    <x v="1"/>
    <x v="13"/>
    <x v="0"/>
    <s v="Medium"/>
    <x v="149"/>
    <n v="647.36"/>
    <n v="744.46399999999994"/>
    <n v="1383.6"/>
    <n v="1383.6"/>
    <n v="1591.1399999999999"/>
    <n v="7.3999999999999996E-2"/>
    <s v="OK"/>
    <n v="7.3999999999999996E-2"/>
    <n v="7.3999999999999996E-2"/>
    <n v="12"/>
    <n v="14.399999999999999"/>
    <n v="15374.563199999999"/>
    <n v="24607.934783999997"/>
    <n v="7768.32"/>
    <n v="7606.243199999999"/>
    <n v="16839.614783999998"/>
    <n v="0.49472906000997802"/>
    <d v="2023-01-02T00:00:00"/>
    <s v="Jan-2023"/>
    <n v="0"/>
    <n v="0"/>
    <n v="0"/>
  </r>
  <r>
    <s v="ORD-2023-744942"/>
    <x v="60"/>
    <x v="5"/>
    <s v="2023-Q1"/>
    <d v="2023-03-18T00:00:00"/>
    <n v="23"/>
    <s v="NOT ACHIEVED"/>
    <x v="2"/>
    <x v="3"/>
    <s v="Beijing"/>
    <s v="Asia &gt; China &gt; Beijing"/>
    <s v="Education"/>
    <s v="Distributor"/>
    <x v="3"/>
    <x v="3"/>
    <x v="5"/>
    <s v="High"/>
    <x v="150"/>
    <n v="770.11"/>
    <n v="885.62649999999996"/>
    <n v="1667.82"/>
    <n v="1667.82"/>
    <n v="1917.9929999999997"/>
    <n v="6.9000000000000006E-2"/>
    <s v="OK"/>
    <n v="6.9000000000000006E-2"/>
    <n v="6.9000000000000006E-2"/>
    <n v="7"/>
    <n v="8.4"/>
    <n v="10869.182940000001"/>
    <n v="17222.809942799999"/>
    <n v="5390.77"/>
    <n v="5478.4129400000002"/>
    <n v="11832.039942799998"/>
    <n v="0.50403171703355287"/>
    <d v="2023-01-02T00:00:00"/>
    <s v="Jan-2023"/>
    <n v="0"/>
    <n v="0"/>
    <n v="0"/>
  </r>
  <r>
    <s v="ORD-2025-331237"/>
    <x v="141"/>
    <x v="2"/>
    <s v="2025-Q1"/>
    <d v="2025-03-25T00:00:00"/>
    <n v="1"/>
    <s v="ACHIEVED"/>
    <x v="2"/>
    <x v="3"/>
    <s v="Beijing"/>
    <s v="Asia &gt; China &gt; Beijing"/>
    <s v="Non-Profit"/>
    <s v="Online"/>
    <x v="1"/>
    <x v="4"/>
    <x v="6"/>
    <s v="High"/>
    <x v="151"/>
    <n v="1133.03"/>
    <n v="1302.9844999999998"/>
    <n v="1921.51"/>
    <n v="1921.51"/>
    <n v="2209.7365"/>
    <n v="0.10100000000000001"/>
    <s v="OK"/>
    <n v="0.10100000000000001"/>
    <n v="0.10100000000000001"/>
    <n v="5"/>
    <n v="6"/>
    <n v="8637.1874499999994"/>
    <n v="14597.519318999999"/>
    <n v="5665.15"/>
    <n v="2972.0374499999998"/>
    <n v="8932.3693189999995"/>
    <n v="0.3440978289755654"/>
    <d v="2023-01-02T00:00:00"/>
    <s v="Jan-2023"/>
    <n v="0"/>
    <n v="0"/>
    <n v="0"/>
  </r>
  <r>
    <s v="ORD-2024-732543"/>
    <x v="142"/>
    <x v="32"/>
    <s v="2024-Q4"/>
    <d v="2024-10-28T00:00:00"/>
    <n v="4"/>
    <s v="ACHIEVED"/>
    <x v="2"/>
    <x v="3"/>
    <s v="Shanghai"/>
    <s v="Asia &gt; China &gt; Shanghai"/>
    <s v="Small Business"/>
    <s v="Distributor"/>
    <x v="3"/>
    <x v="12"/>
    <x v="6"/>
    <s v="High"/>
    <x v="152"/>
    <n v="1331.77"/>
    <n v="1531.5355"/>
    <n v="2606.11"/>
    <n v="2606.11"/>
    <n v="2997.0264999999999"/>
    <n v="0.02"/>
    <s v="OK"/>
    <n v="0.02"/>
    <n v="0.02"/>
    <n v="6"/>
    <n v="7.1999999999999993"/>
    <n v="15323.926799999999"/>
    <n v="22010.162615999998"/>
    <n v="7990.62"/>
    <n v="7333.3067999999994"/>
    <n v="14019.542615999999"/>
    <n v="0.47855271665745619"/>
    <d v="2023-01-02T00:00:00"/>
    <s v="Jan-2023"/>
    <n v="0"/>
    <n v="0"/>
    <n v="0"/>
  </r>
  <r>
    <s v="ORD-2024-468615"/>
    <x v="143"/>
    <x v="27"/>
    <s v="2024-Q3"/>
    <d v="2024-07-12T00:00:00"/>
    <n v="3"/>
    <s v="ACHIEVED"/>
    <x v="2"/>
    <x v="3"/>
    <s v="Shanghai"/>
    <s v="Asia &gt; China &gt; Shanghai"/>
    <s v="Small Business"/>
    <s v="Retail"/>
    <x v="0"/>
    <x v="14"/>
    <x v="1"/>
    <s v="Medium"/>
    <x v="153"/>
    <n v="748.39"/>
    <n v="860.6484999999999"/>
    <n v="979.42"/>
    <n v="979.42"/>
    <n v="1126.3329999999999"/>
    <n v="0"/>
    <s v="OK"/>
    <n v="0"/>
    <n v="0"/>
    <n v="23"/>
    <n v="27.599999999999998"/>
    <n v="22526.66"/>
    <n v="31086.790799999995"/>
    <n v="17212.97"/>
    <n v="5313.6899999999987"/>
    <n v="13873.820799999994"/>
    <n v="0.23588450307324738"/>
    <d v="2023-01-02T00:00:00"/>
    <s v="Jan-2023"/>
    <n v="0"/>
    <n v="0"/>
    <n v="0"/>
  </r>
  <r>
    <s v="ORD-2023-700699"/>
    <x v="144"/>
    <x v="28"/>
    <s v="2023-Q1"/>
    <d v="2023-01-26T00:00:00"/>
    <n v="14"/>
    <s v="NOT ACHIEVED"/>
    <x v="2"/>
    <x v="3"/>
    <s v="Shenzhen"/>
    <s v="Asia &gt; China &gt; Shenzhen"/>
    <s v="Non-Profit"/>
    <s v="Retail"/>
    <x v="0"/>
    <x v="13"/>
    <x v="5"/>
    <s v="Medium"/>
    <x v="154"/>
    <n v="1083.0899999999999"/>
    <n v="1245.5534999999998"/>
    <n v="1425.87"/>
    <n v="1425.87"/>
    <n v="1639.7504999999996"/>
    <n v="0"/>
    <s v="OK"/>
    <n v="0"/>
    <n v="0"/>
    <n v="8"/>
    <n v="9.6"/>
    <n v="11406.96"/>
    <n v="15741.604799999996"/>
    <n v="8664.7199999999993"/>
    <n v="2742.24"/>
    <n v="7076.8847999999962"/>
    <n v="0.24040059752992909"/>
    <d v="2023-01-02T00:00:00"/>
    <s v="Jan-2023"/>
    <n v="0"/>
    <n v="0"/>
    <n v="0"/>
  </r>
  <r>
    <s v="ORD-2024-626925"/>
    <x v="145"/>
    <x v="6"/>
    <s v="2024-Q2"/>
    <d v="2024-06-09T00:00:00"/>
    <n v="2"/>
    <s v="ACHIEVED"/>
    <x v="2"/>
    <x v="3"/>
    <s v="Shanghai"/>
    <s v="Asia &gt; China &gt; Shanghai"/>
    <s v="Corporate"/>
    <s v="Retail"/>
    <x v="0"/>
    <x v="7"/>
    <x v="2"/>
    <s v="High"/>
    <x v="155"/>
    <n v="1370.28"/>
    <n v="1575.8219999999999"/>
    <n v="2209.66"/>
    <n v="2209.66"/>
    <n v="2541.1089999999995"/>
    <n v="0.13300000000000001"/>
    <s v="OK"/>
    <n v="0.13300000000000001"/>
    <n v="0.13300000000000001"/>
    <n v="16"/>
    <n v="19.2"/>
    <n v="30652.403519999996"/>
    <n v="55278.268742399989"/>
    <n v="21924.48"/>
    <n v="8727.9235199999966"/>
    <n v="33353.788742399993"/>
    <n v="0.28473863442079589"/>
    <d v="2023-01-02T00:00:00"/>
    <s v="Jan-2023"/>
    <n v="0"/>
    <n v="0"/>
    <n v="0"/>
  </r>
  <r>
    <s v="ORD-2023-885216"/>
    <x v="30"/>
    <x v="21"/>
    <s v="2023-Q3"/>
    <d v="2023-08-08T00:00:00"/>
    <n v="5"/>
    <s v="ACHIEVED"/>
    <x v="2"/>
    <x v="3"/>
    <s v="Shanghai"/>
    <s v="Asia &gt; China &gt; Shanghai"/>
    <s v="Non-Profit"/>
    <s v="Direct"/>
    <x v="4"/>
    <x v="2"/>
    <x v="6"/>
    <s v="High"/>
    <x v="156"/>
    <n v="1021.97"/>
    <n v="1175.2655"/>
    <n v="2296.25"/>
    <n v="2296.25"/>
    <n v="2640.6875"/>
    <n v="0.161"/>
    <s v="OK"/>
    <n v="0.161"/>
    <n v="0.161"/>
    <n v="26"/>
    <n v="31.2"/>
    <n v="50090.397499999999"/>
    <n v="95654.151450000005"/>
    <n v="26571.22"/>
    <n v="23519.177499999998"/>
    <n v="69082.931450000004"/>
    <n v="0.46953465482081669"/>
    <d v="2023-01-02T00:00:00"/>
    <s v="Jan-2023"/>
    <n v="0"/>
    <n v="0"/>
    <n v="0"/>
  </r>
  <r>
    <s v="ORD-2023-548934"/>
    <x v="30"/>
    <x v="21"/>
    <s v="2023-Q3"/>
    <d v="2023-08-30T00:00:00"/>
    <n v="27"/>
    <s v="NOT ACHIEVED"/>
    <x v="2"/>
    <x v="3"/>
    <s v="Shanghai"/>
    <s v="Asia &gt; China &gt; Shanghai"/>
    <s v="Consumer"/>
    <s v="Distributor"/>
    <x v="3"/>
    <x v="5"/>
    <x v="2"/>
    <s v="Low"/>
    <x v="157"/>
    <n v="226.04"/>
    <n v="259.94599999999997"/>
    <n v="545.72"/>
    <n v="545.72"/>
    <n v="627.57799999999997"/>
    <n v="0.151"/>
    <s v="OK"/>
    <n v="0.151"/>
    <n v="0.151"/>
    <n v="11"/>
    <n v="13.2"/>
    <n v="5096.4790800000001"/>
    <n v="9534.9180696000003"/>
    <n v="2486.44"/>
    <n v="2610.03908"/>
    <n v="7048.4780695999998"/>
    <n v="0.51212592831834014"/>
    <d v="2023-01-02T00:00:00"/>
    <s v="Jan-2023"/>
    <n v="0"/>
    <n v="0"/>
    <n v="0"/>
  </r>
  <r>
    <s v="ORD-2024-890180"/>
    <x v="146"/>
    <x v="22"/>
    <s v="2024-Q1"/>
    <d v="2024-02-13T00:00:00"/>
    <n v="24"/>
    <s v="NOT ACHIEVED"/>
    <x v="3"/>
    <x v="4"/>
    <s v="Marseille"/>
    <s v="Europe &gt; France &gt; Marseille"/>
    <s v="Corporate"/>
    <s v="Retail"/>
    <x v="0"/>
    <x v="15"/>
    <x v="5"/>
    <s v="Medium"/>
    <x v="158"/>
    <n v="643.53"/>
    <n v="740.05949999999996"/>
    <n v="1439.01"/>
    <n v="1439.01"/>
    <n v="1654.8614999999998"/>
    <n v="0"/>
    <s v="OK"/>
    <n v="0"/>
    <n v="0"/>
    <n v="15"/>
    <n v="18"/>
    <n v="21585.15"/>
    <n v="29787.506999999994"/>
    <n v="9652.9499999999989"/>
    <n v="11932.200000000003"/>
    <n v="20134.556999999993"/>
    <n v="0.55279671440782208"/>
    <d v="2023-01-02T00:00:00"/>
    <s v="Jan-2023"/>
    <n v="0"/>
    <n v="0"/>
    <n v="0"/>
  </r>
  <r>
    <s v="ORD-2024-206081"/>
    <x v="147"/>
    <x v="30"/>
    <s v="2024-Q4"/>
    <d v="2025-01-08T00:00:00"/>
    <n v="29"/>
    <s v="NOT ACHIEVED"/>
    <x v="3"/>
    <x v="4"/>
    <s v="Marseille"/>
    <s v="Europe &gt; France &gt; Marseille"/>
    <s v="Small Business"/>
    <s v="Retail"/>
    <x v="0"/>
    <x v="3"/>
    <x v="5"/>
    <s v="Medium"/>
    <x v="159"/>
    <n v="891.08"/>
    <n v="1024.742"/>
    <n v="1040.0999999999999"/>
    <n v="1040.0999999999999"/>
    <n v="1196.1149999999998"/>
    <n v="0.109"/>
    <s v="OK"/>
    <n v="0.109"/>
    <n v="0.109"/>
    <n v="28"/>
    <n v="33.6"/>
    <n v="25948.414799999995"/>
    <n v="44570.115575999989"/>
    <n v="24950.240000000002"/>
    <n v="998.17479999999341"/>
    <n v="19619.875575999988"/>
    <n v="3.8467660074556598E-2"/>
    <d v="2023-01-02T00:00:00"/>
    <s v="Jan-2023"/>
    <n v="0"/>
    <n v="0"/>
    <n v="0"/>
  </r>
  <r>
    <s v="ORD-2024-788105"/>
    <x v="148"/>
    <x v="13"/>
    <s v="2024-Q4"/>
    <d v="2024-12-30T00:00:00"/>
    <n v="30"/>
    <s v="NOT ACHIEVED"/>
    <x v="3"/>
    <x v="4"/>
    <s v="Marseille"/>
    <s v="Europe &gt; France &gt; Marseille"/>
    <s v="Consumer"/>
    <s v="Marketplace"/>
    <x v="2"/>
    <x v="8"/>
    <x v="5"/>
    <s v="Low"/>
    <x v="160"/>
    <n v="117.64"/>
    <n v="135.286"/>
    <n v="175.67"/>
    <n v="175.67"/>
    <n v="202.02049999999997"/>
    <n v="0"/>
    <s v="OK"/>
    <n v="0"/>
    <n v="0"/>
    <n v="10"/>
    <n v="12"/>
    <n v="1756.6999999999998"/>
    <n v="2424.2459999999996"/>
    <n v="1176.4000000000001"/>
    <n v="580.29999999999973"/>
    <n v="1247.8459999999995"/>
    <n v="0.33033528775545046"/>
    <d v="2023-01-02T00:00:00"/>
    <s v="Jan-2023"/>
    <n v="0"/>
    <n v="0"/>
    <n v="0"/>
  </r>
  <r>
    <s v="ORD-2025-548982"/>
    <x v="149"/>
    <x v="7"/>
    <s v="2025-Q2"/>
    <d v="2025-04-11T00:00:00"/>
    <n v="4"/>
    <s v="ACHIEVED"/>
    <x v="3"/>
    <x v="4"/>
    <s v="Lyon"/>
    <s v="Europe &gt; France &gt; Lyon"/>
    <s v="Education"/>
    <s v="Retail"/>
    <x v="0"/>
    <x v="11"/>
    <x v="6"/>
    <s v="High"/>
    <x v="161"/>
    <n v="754.77"/>
    <n v="867.98549999999989"/>
    <n v="1666.18"/>
    <n v="1666.18"/>
    <n v="1916.107"/>
    <n v="0.13900000000000001"/>
    <s v="OK"/>
    <n v="0.13900000000000001"/>
    <n v="0.13900000000000001"/>
    <n v="14"/>
    <n v="16.8"/>
    <n v="20084.133720000002"/>
    <n v="36665.090666399999"/>
    <n v="10566.779999999999"/>
    <n v="9517.3537200000028"/>
    <n v="26098.310666400001"/>
    <n v="0.47387424584424653"/>
    <d v="2023-01-02T00:00:00"/>
    <s v="Jan-2023"/>
    <n v="0"/>
    <n v="0"/>
    <n v="0"/>
  </r>
  <r>
    <s v="ORD-2023-292714"/>
    <x v="150"/>
    <x v="14"/>
    <s v="2023-Q3"/>
    <d v="2023-08-01T00:00:00"/>
    <n v="22"/>
    <s v="NOT ACHIEVED"/>
    <x v="3"/>
    <x v="4"/>
    <s v="Marseille"/>
    <s v="Europe &gt; France &gt; Marseille"/>
    <s v="Consumer"/>
    <s v="Marketplace"/>
    <x v="2"/>
    <x v="6"/>
    <x v="5"/>
    <s v="High"/>
    <x v="162"/>
    <n v="1303.56"/>
    <n v="1499.0939999999998"/>
    <n v="1791.37"/>
    <n v="1791.37"/>
    <n v="2060.0754999999999"/>
    <n v="0.126"/>
    <s v="OK"/>
    <n v="0.126"/>
    <n v="0.126"/>
    <n v="22"/>
    <n v="26.4"/>
    <n v="34444.462359999998"/>
    <n v="61238.628343199991"/>
    <n v="28678.32"/>
    <n v="5766.142359999998"/>
    <n v="32560.308343199991"/>
    <n v="0.16740404596055358"/>
    <d v="2023-01-02T00:00:00"/>
    <s v="Jan-2023"/>
    <n v="0"/>
    <n v="0"/>
    <n v="0"/>
  </r>
  <r>
    <s v="ORD-2025-578007"/>
    <x v="151"/>
    <x v="25"/>
    <s v="2025-Q1"/>
    <d v="2025-02-16T00:00:00"/>
    <n v="26"/>
    <s v="NOT ACHIEVED"/>
    <x v="3"/>
    <x v="4"/>
    <s v="Lyon"/>
    <s v="Europe &gt; France &gt; Lyon"/>
    <s v="Corporate"/>
    <s v="Distributor"/>
    <x v="3"/>
    <x v="7"/>
    <x v="3"/>
    <s v="Low"/>
    <x v="163"/>
    <n v="204.11"/>
    <n v="234.72649999999999"/>
    <n v="236.87"/>
    <n v="236.87"/>
    <n v="272.40049999999997"/>
    <n v="0.182"/>
    <s v="OK"/>
    <n v="0.182"/>
    <n v="0.182"/>
    <n v="13"/>
    <n v="15.6"/>
    <n v="2518.8755800000004"/>
    <n v="5022.8472995999982"/>
    <n v="2653.4300000000003"/>
    <n v="-134.55441999999994"/>
    <n v="2369.4172995999979"/>
    <n v="-5.3418446337075494E-2"/>
    <d v="2023-01-02T00:00:00"/>
    <s v="Jan-2023"/>
    <n v="0"/>
    <n v="0"/>
    <n v="0"/>
  </r>
  <r>
    <s v="ORD-2025-639542"/>
    <x v="152"/>
    <x v="31"/>
    <s v="2025-Q2"/>
    <d v="2025-06-18T00:00:00"/>
    <n v="9"/>
    <s v="NOT ACHIEVED"/>
    <x v="3"/>
    <x v="4"/>
    <s v="Marseille"/>
    <s v="Europe &gt; France &gt; Marseille"/>
    <s v="Small Business"/>
    <s v="Marketplace"/>
    <x v="2"/>
    <x v="15"/>
    <x v="1"/>
    <s v="Low"/>
    <x v="164"/>
    <n v="1225.5"/>
    <n v="1409.3249999999998"/>
    <n v="0"/>
    <n v="0"/>
    <n v="0"/>
    <n v="7.4999999999999997E-2"/>
    <s v="OK"/>
    <n v="7.4999999999999997E-2"/>
    <n v="7.4999999999999997E-2"/>
    <n v="56"/>
    <n v="67.2"/>
    <n v="0"/>
    <n v="0"/>
    <n v="68628"/>
    <n v="-68628"/>
    <n v="-68628"/>
    <n v="0"/>
    <d v="2023-01-02T00:00:00"/>
    <s v="Jan-2023"/>
    <n v="0"/>
    <n v="0"/>
    <n v="0"/>
  </r>
  <r>
    <s v="ORD-2024-906395"/>
    <x v="153"/>
    <x v="0"/>
    <s v="2024-Q1"/>
    <d v="2024-04-09T00:00:00"/>
    <n v="30"/>
    <s v="NOT ACHIEVED"/>
    <x v="3"/>
    <x v="4"/>
    <s v="Lyon"/>
    <s v="Europe &gt; France &gt; Lyon"/>
    <s v="Corporate"/>
    <s v="Direct"/>
    <x v="4"/>
    <x v="12"/>
    <x v="0"/>
    <s v="High"/>
    <x v="165"/>
    <n v="1176.56"/>
    <n v="1353.0439999999999"/>
    <n v="1911.89"/>
    <n v="1911.89"/>
    <n v="2198.6734999999999"/>
    <n v="0.11899999999999999"/>
    <s v="OK"/>
    <n v="0.11899999999999999"/>
    <n v="0.11899999999999999"/>
    <n v="20"/>
    <n v="24"/>
    <n v="33687.501800000005"/>
    <n v="59047.575515999997"/>
    <n v="23531.199999999997"/>
    <n v="10156.301800000008"/>
    <n v="35516.375516"/>
    <n v="0.30148575160892477"/>
    <d v="2023-01-02T00:00:00"/>
    <s v="Jan-2023"/>
    <n v="0"/>
    <n v="0"/>
    <n v="0"/>
  </r>
  <r>
    <s v="ORD-2025-526650"/>
    <x v="154"/>
    <x v="7"/>
    <s v="2025-Q2"/>
    <d v="2025-05-25T00:00:00"/>
    <n v="28"/>
    <s v="NOT ACHIEVED"/>
    <x v="3"/>
    <x v="4"/>
    <s v="Paris"/>
    <s v="Europe &gt; France &gt; Paris"/>
    <s v="Small Business"/>
    <s v="Marketplace"/>
    <x v="2"/>
    <x v="12"/>
    <x v="4"/>
    <s v="Medium"/>
    <x v="166"/>
    <n v="603.45000000000005"/>
    <n v="693.96749999999997"/>
    <n v="1244.08"/>
    <n v="1244.08"/>
    <n v="1430.6919999999998"/>
    <n v="0.2"/>
    <s v="OK"/>
    <n v="0.2"/>
    <n v="0.2"/>
    <n v="11"/>
    <n v="13.2"/>
    <n v="10947.904"/>
    <n v="22662.161279999993"/>
    <n v="6637.9500000000007"/>
    <n v="4309.9539999999997"/>
    <n v="16024.211279999992"/>
    <n v="0.39367846119220623"/>
    <d v="2023-01-02T00:00:00"/>
    <s v="Jan-2023"/>
    <n v="0"/>
    <n v="0"/>
    <n v="0"/>
  </r>
  <r>
    <s v="ORD-2024-192263"/>
    <x v="155"/>
    <x v="13"/>
    <s v="2024-Q4"/>
    <d v="2024-12-21T00:00:00"/>
    <n v="30"/>
    <s v="NOT ACHIEVED"/>
    <x v="3"/>
    <x v="4"/>
    <s v="Marseille"/>
    <s v="Europe &gt; France &gt; Marseille"/>
    <s v="Small Business"/>
    <s v="Direct"/>
    <x v="4"/>
    <x v="12"/>
    <x v="2"/>
    <s v="High"/>
    <x v="167"/>
    <n v="1122.68"/>
    <n v="1291.0819999999999"/>
    <n v="1997.19"/>
    <n v="1997.19"/>
    <n v="2296.7684999999997"/>
    <n v="0.186"/>
    <s v="OK"/>
    <n v="0.186"/>
    <n v="0.186"/>
    <n v="3"/>
    <n v="3.5999999999999996"/>
    <n v="4877.1379800000004"/>
    <n v="9806.2827875999974"/>
    <n v="3368.04"/>
    <n v="1509.0979800000005"/>
    <n v="6438.2427875999974"/>
    <n v="0.30942285951073306"/>
    <d v="2023-01-02T00:00:00"/>
    <s v="Jan-2023"/>
    <n v="0"/>
    <n v="0"/>
    <n v="0"/>
  </r>
  <r>
    <s v="ORD-2025-114382"/>
    <x v="93"/>
    <x v="1"/>
    <s v="2025-Q2"/>
    <d v="2025-05-24T00:00:00"/>
    <n v="10"/>
    <s v="NOT ACHIEVED"/>
    <x v="3"/>
    <x v="4"/>
    <s v="Paris"/>
    <s v="Europe &gt; France &gt; Paris"/>
    <s v="Small Business"/>
    <s v="Marketplace"/>
    <x v="2"/>
    <x v="3"/>
    <x v="0"/>
    <s v="Low"/>
    <x v="168"/>
    <n v="170.39"/>
    <n v="195.94849999999997"/>
    <n v="388.04"/>
    <n v="388.04"/>
    <n v="446.24599999999998"/>
    <n v="8.4000000000000005E-2"/>
    <s v="OK"/>
    <n v="8.4000000000000005E-2"/>
    <n v="8.4000000000000005E-2"/>
    <n v="15"/>
    <n v="18"/>
    <n v="5331.6696000000002"/>
    <n v="8707.1519520000002"/>
    <n v="2555.85"/>
    <n v="2775.8196000000003"/>
    <n v="6151.3019519999998"/>
    <n v="0.52062858508711796"/>
    <d v="2023-01-02T00:00:00"/>
    <s v="Jan-2023"/>
    <n v="0"/>
    <n v="0"/>
    <n v="0"/>
  </r>
  <r>
    <s v="ORD-2023-576840"/>
    <x v="156"/>
    <x v="18"/>
    <s v="2023-Q4"/>
    <d v="2023-12-13T00:00:00"/>
    <n v="24"/>
    <s v="NOT ACHIEVED"/>
    <x v="3"/>
    <x v="4"/>
    <s v="Lyon"/>
    <s v="Europe &gt; France &gt; Lyon"/>
    <s v="Non-Profit"/>
    <s v="Direct"/>
    <x v="4"/>
    <x v="15"/>
    <x v="2"/>
    <s v="High"/>
    <x v="169"/>
    <n v="1297.42"/>
    <n v="1492.0329999999999"/>
    <n v="2742.97"/>
    <n v="2742.97"/>
    <n v="3154.4154999999996"/>
    <n v="6.9000000000000006E-2"/>
    <s v="OK"/>
    <n v="6.9000000000000006E-2"/>
    <n v="6.9000000000000006E-2"/>
    <n v="9"/>
    <n v="10.799999999999999"/>
    <n v="22983.34563"/>
    <n v="36418.357830599991"/>
    <n v="11676.78"/>
    <n v="11306.565629999999"/>
    <n v="24741.577830599992"/>
    <n v="0.49194602961727291"/>
    <d v="2023-01-02T00:00:00"/>
    <s v="Jan-2023"/>
    <n v="0"/>
    <n v="0"/>
    <n v="0"/>
  </r>
  <r>
    <s v="ORD-2023-867285"/>
    <x v="157"/>
    <x v="19"/>
    <s v="2023-Q2"/>
    <d v="2023-04-17T00:00:00"/>
    <n v="5"/>
    <s v="ACHIEVED"/>
    <x v="3"/>
    <x v="4"/>
    <s v="Lyon"/>
    <s v="Europe &gt; France &gt; Lyon"/>
    <s v="Enterprise"/>
    <s v="Direct"/>
    <x v="4"/>
    <x v="11"/>
    <x v="2"/>
    <s v="High"/>
    <x v="170"/>
    <n v="1087.81"/>
    <n v="1250.9814999999999"/>
    <n v="2323.87"/>
    <n v="2323.87"/>
    <n v="2672.4504999999995"/>
    <n v="9.4E-2"/>
    <s v="OK"/>
    <n v="9.4E-2"/>
    <n v="9.4E-2"/>
    <n v="13"/>
    <n v="15.6"/>
    <n v="27370.540859999997"/>
    <n v="45609.109213199998"/>
    <n v="14141.529999999999"/>
    <n v="13229.010859999999"/>
    <n v="31467.579213199999"/>
    <n v="0.48333026839572651"/>
    <d v="2023-01-02T00:00:00"/>
    <s v="Jan-2023"/>
    <n v="0"/>
    <n v="0"/>
    <n v="0"/>
  </r>
  <r>
    <s v="ORD-2024-783321"/>
    <x v="158"/>
    <x v="13"/>
    <s v="2024-Q4"/>
    <d v="2024-12-15T00:00:00"/>
    <n v="25"/>
    <s v="NOT ACHIEVED"/>
    <x v="3"/>
    <x v="4"/>
    <s v="Paris"/>
    <s v="Europe &gt; France &gt; Paris"/>
    <s v="Corporate"/>
    <s v="Online"/>
    <x v="1"/>
    <x v="4"/>
    <x v="5"/>
    <s v="High"/>
    <x v="171"/>
    <n v="1203.58"/>
    <n v="1384.1169999999997"/>
    <n v="1856.16"/>
    <n v="1856.16"/>
    <n v="2134.5839999999998"/>
    <n v="0.129"/>
    <s v="OK"/>
    <n v="0.129"/>
    <n v="0.129"/>
    <n v="22"/>
    <n v="26.4"/>
    <n v="35567.737920000007"/>
    <n v="63622.556870399989"/>
    <n v="26478.76"/>
    <n v="9088.9779200000085"/>
    <n v="37143.796870399994"/>
    <n v="0.25553994860295032"/>
    <d v="2023-01-02T00:00:00"/>
    <s v="Jan-2023"/>
    <n v="0"/>
    <n v="0"/>
    <n v="0"/>
  </r>
  <r>
    <s v="ORD-2023-192324"/>
    <x v="159"/>
    <x v="29"/>
    <s v="2023-Q3"/>
    <d v="2023-09-16T00:00:00"/>
    <n v="2"/>
    <s v="ACHIEVED"/>
    <x v="3"/>
    <x v="4"/>
    <s v="Lyon"/>
    <s v="Europe &gt; France &gt; Lyon"/>
    <s v="Non-Profit"/>
    <s v="Direct"/>
    <x v="4"/>
    <x v="6"/>
    <x v="5"/>
    <s v="Low"/>
    <x v="172"/>
    <n v="376.83"/>
    <n v="433.35449999999997"/>
    <n v="732.88"/>
    <n v="732.88"/>
    <n v="842.8119999999999"/>
    <n v="0.188"/>
    <s v="OK"/>
    <n v="0.188"/>
    <n v="0.188"/>
    <n v="25"/>
    <n v="30"/>
    <n v="14877.464000000002"/>
    <n v="30037.819679999993"/>
    <n v="9420.75"/>
    <n v="5456.7140000000018"/>
    <n v="20617.069679999993"/>
    <n v="0.36677716040852132"/>
    <d v="2023-01-02T00:00:00"/>
    <s v="Jan-2023"/>
    <n v="0"/>
    <n v="0"/>
    <n v="0"/>
  </r>
  <r>
    <s v="ORD-2024-764468"/>
    <x v="160"/>
    <x v="23"/>
    <s v="2024-Q1"/>
    <d v="2024-02-21T00:00:00"/>
    <n v="20"/>
    <s v="NOT ACHIEVED"/>
    <x v="3"/>
    <x v="4"/>
    <s v="Paris"/>
    <s v="Europe &gt; France &gt; Paris"/>
    <s v="Small Business"/>
    <s v="Marketplace"/>
    <x v="2"/>
    <x v="1"/>
    <x v="6"/>
    <s v="Medium"/>
    <x v="173"/>
    <n v="656.2"/>
    <n v="754.63"/>
    <n v="1467.17"/>
    <n v="1467.17"/>
    <n v="1687.2455"/>
    <n v="1.7999999999999999E-2"/>
    <s v="OK"/>
    <n v="1.7999999999999999E-2"/>
    <n v="1.7999999999999999E-2"/>
    <n v="5"/>
    <n v="6"/>
    <n v="7203.8047000000006"/>
    <n v="10305.695514000001"/>
    <n v="3281"/>
    <n v="3922.8047000000006"/>
    <n v="7024.6955140000009"/>
    <n v="0.54454623124360946"/>
    <d v="2023-01-02T00:00:00"/>
    <s v="Jan-2023"/>
    <n v="0"/>
    <n v="0"/>
    <n v="0"/>
  </r>
  <r>
    <s v="ORD-2024-329104"/>
    <x v="34"/>
    <x v="16"/>
    <s v="2024-Q2"/>
    <d v="2024-06-14T00:00:00"/>
    <n v="22"/>
    <s v="NOT ACHIEVED"/>
    <x v="3"/>
    <x v="4"/>
    <s v="Marseille"/>
    <s v="Europe &gt; France &gt; Marseille"/>
    <s v="Small Business"/>
    <s v="Online"/>
    <x v="1"/>
    <x v="5"/>
    <x v="2"/>
    <s v="High"/>
    <x v="174"/>
    <n v="1481.74"/>
    <n v="1704.001"/>
    <n v="1848.97"/>
    <n v="1848.97"/>
    <n v="2126.3154999999997"/>
    <n v="0.254"/>
    <s v="OK"/>
    <n v="0.254"/>
    <n v="0.25"/>
    <n v="9"/>
    <n v="10.799999999999999"/>
    <n v="12413.98458"/>
    <n v="28705.259249999996"/>
    <n v="13335.66"/>
    <n v="-921.67541999999958"/>
    <n v="15369.599249999996"/>
    <n v="-7.4244930309072407E-2"/>
    <d v="2023-01-02T00:00:00"/>
    <s v="Jan-2023"/>
    <n v="0"/>
    <n v="0"/>
    <n v="0"/>
  </r>
  <r>
    <s v="ORD-2023-399631"/>
    <x v="161"/>
    <x v="11"/>
    <s v="2023-Q2"/>
    <d v="2023-07-21T00:00:00"/>
    <n v="29"/>
    <s v="NOT ACHIEVED"/>
    <x v="3"/>
    <x v="4"/>
    <s v="Lyon"/>
    <s v="Europe &gt; France &gt; Lyon"/>
    <s v="Corporate"/>
    <s v="Retail"/>
    <x v="0"/>
    <x v="2"/>
    <x v="1"/>
    <s v="Medium"/>
    <x v="175"/>
    <n v="734.34"/>
    <n v="844.49099999999999"/>
    <n v="887.9"/>
    <n v="887.9"/>
    <n v="1021.0849999999999"/>
    <n v="2.5000000000000001E-2"/>
    <s v="OK"/>
    <n v="2.5000000000000001E-2"/>
    <n v="2.5000000000000001E-2"/>
    <n v="12"/>
    <n v="14.399999999999999"/>
    <n v="10388.429999999998"/>
    <n v="15071.214599999998"/>
    <n v="8812.08"/>
    <n v="1576.3499999999985"/>
    <n v="6259.1345999999976"/>
    <n v="0.15174092716608753"/>
    <d v="2023-01-02T00:00:00"/>
    <s v="Jan-2023"/>
    <n v="0"/>
    <n v="0"/>
    <n v="0"/>
  </r>
  <r>
    <s v="ORD-2025-542939"/>
    <x v="162"/>
    <x v="25"/>
    <s v="2025-Q1"/>
    <d v="2025-02-08T00:00:00"/>
    <n v="26"/>
    <s v="NOT ACHIEVED"/>
    <x v="3"/>
    <x v="4"/>
    <s v="Paris"/>
    <s v="Europe &gt; France &gt; Paris"/>
    <s v="Non-Profit"/>
    <n v="0"/>
    <x v="5"/>
    <x v="11"/>
    <x v="2"/>
    <s v="Medium"/>
    <x v="176"/>
    <n v="594.74"/>
    <n v="683.95099999999991"/>
    <n v="1020.69"/>
    <n v="1020.69"/>
    <n v="1173.7935"/>
    <n v="0.21099999999999999"/>
    <s v="OK"/>
    <n v="0.21099999999999999"/>
    <n v="0.21099999999999999"/>
    <n v="6"/>
    <n v="7.1999999999999993"/>
    <n v="4831.9464600000001"/>
    <n v="10234.540285199999"/>
    <n v="3568.44"/>
    <n v="1263.5064600000001"/>
    <n v="6666.1002851999983"/>
    <n v="0.26149016146176424"/>
    <d v="2023-01-02T00:00:00"/>
    <s v="Jan-2023"/>
    <n v="0"/>
    <n v="0"/>
    <n v="0"/>
  </r>
  <r>
    <s v="ORD-2024-885858"/>
    <x v="163"/>
    <x v="22"/>
    <s v="2024-Q1"/>
    <d v="2024-01-23T00:00:00"/>
    <n v="13"/>
    <s v="NOT ACHIEVED"/>
    <x v="3"/>
    <x v="4"/>
    <s v="Marseille"/>
    <s v="Europe &gt; France &gt; Marseille"/>
    <s v="Corporate"/>
    <s v="Direct"/>
    <x v="4"/>
    <x v="1"/>
    <x v="5"/>
    <s v="Medium"/>
    <x v="177"/>
    <n v="720"/>
    <n v="827.99999999999989"/>
    <n v="907.59"/>
    <n v="907.59"/>
    <n v="1043.7284999999999"/>
    <n v="0.154"/>
    <s v="OK"/>
    <n v="0.154"/>
    <n v="0.154"/>
    <n v="10"/>
    <n v="12"/>
    <n v="7678.2113999999992"/>
    <n v="14453.552267999998"/>
    <n v="7200"/>
    <n v="478.21139999999923"/>
    <n v="7253.5522679999976"/>
    <n v="6.2281614179052078E-2"/>
    <d v="2023-01-02T00:00:00"/>
    <s v="Jan-2023"/>
    <n v="0"/>
    <n v="0"/>
    <n v="0"/>
  </r>
  <r>
    <s v="ORD-2024-834983"/>
    <x v="164"/>
    <x v="0"/>
    <s v="2024-Q1"/>
    <d v="2024-04-13T00:00:00"/>
    <n v="28"/>
    <s v="NOT ACHIEVED"/>
    <x v="3"/>
    <x v="4"/>
    <s v="Paris"/>
    <s v="Europe &gt; France &gt; Paris"/>
    <s v="Small Business"/>
    <s v="Online"/>
    <x v="1"/>
    <x v="3"/>
    <x v="5"/>
    <s v="Low"/>
    <x v="178"/>
    <n v="287.61"/>
    <n v="330.75149999999996"/>
    <n v="628.54"/>
    <n v="628.54"/>
    <n v="722.82099999999991"/>
    <n v="0.13500000000000001"/>
    <s v="OK"/>
    <n v="0.13500000000000001"/>
    <n v="0.13500000000000001"/>
    <n v="21"/>
    <n v="25.2"/>
    <n v="11417.429099999999"/>
    <n v="20674.126241999998"/>
    <n v="6039.81"/>
    <n v="5377.619099999999"/>
    <n v="14634.316241999997"/>
    <n v="0.47100087531964613"/>
    <d v="2023-01-02T00:00:00"/>
    <s v="Jan-2023"/>
    <n v="0"/>
    <n v="0"/>
    <n v="0"/>
  </r>
  <r>
    <s v="ORD-2025-939953"/>
    <x v="165"/>
    <x v="25"/>
    <s v="2025-Q1"/>
    <d v="2025-01-22T00:00:00"/>
    <n v="0"/>
    <s v="ACHIEVED"/>
    <x v="3"/>
    <x v="4"/>
    <s v="Lyon"/>
    <s v="Europe &gt; France &gt; Lyon"/>
    <s v="Small Business"/>
    <s v="Online"/>
    <x v="1"/>
    <x v="6"/>
    <x v="1"/>
    <s v="Low"/>
    <x v="179"/>
    <n v="591.72"/>
    <n v="680.47799999999995"/>
    <n v="577.24"/>
    <n v="577.24"/>
    <n v="663.82599999999991"/>
    <n v="0"/>
    <s v="OK"/>
    <n v="0"/>
    <n v="0"/>
    <n v="22"/>
    <n v="26.4"/>
    <n v="12699.28"/>
    <n v="17525.006399999998"/>
    <n v="13017.84"/>
    <n v="-318.55999999999949"/>
    <n v="4507.1663999999982"/>
    <n v="-2.5084886702238195E-2"/>
    <d v="2023-01-02T00:00:00"/>
    <s v="Jan-2023"/>
    <n v="0"/>
    <n v="0"/>
    <n v="0"/>
  </r>
  <r>
    <s v="ORD-2025-138578"/>
    <x v="10"/>
    <x v="7"/>
    <s v="2025-Q2"/>
    <d v="2025-04-12T00:00:00"/>
    <n v="3"/>
    <s v="ACHIEVED"/>
    <x v="3"/>
    <x v="4"/>
    <s v="Lyon"/>
    <s v="Europe &gt; France &gt; Lyon"/>
    <s v="Small Business"/>
    <s v="Distributor"/>
    <x v="3"/>
    <x v="15"/>
    <x v="2"/>
    <s v="Low"/>
    <x v="180"/>
    <n v="86.68"/>
    <n v="99.682000000000002"/>
    <n v="213.32"/>
    <n v="213.32"/>
    <n v="245.31799999999998"/>
    <n v="3.7999999999999999E-2"/>
    <s v="OK"/>
    <n v="3.7999999999999999E-2"/>
    <n v="3.7999999999999999E-2"/>
    <n v="8"/>
    <n v="9.6"/>
    <n v="1641.7107199999998"/>
    <n v="2444.5448064000002"/>
    <n v="693.44"/>
    <n v="948.27071999999976"/>
    <n v="1751.1048064000001"/>
    <n v="0.57761133459614611"/>
    <d v="2023-01-02T00:00:00"/>
    <s v="Jan-2023"/>
    <n v="0"/>
    <n v="0"/>
    <n v="0"/>
  </r>
  <r>
    <s v="ORD-2023-884192"/>
    <x v="166"/>
    <x v="28"/>
    <s v="2023-Q1"/>
    <d v="2023-01-29T00:00:00"/>
    <n v="19"/>
    <s v="NOT ACHIEVED"/>
    <x v="3"/>
    <x v="4"/>
    <s v="Lyon"/>
    <s v="Europe &gt; France &gt; Lyon"/>
    <s v="Non-Profit"/>
    <s v="Direct"/>
    <x v="4"/>
    <x v="14"/>
    <x v="3"/>
    <s v="Low"/>
    <x v="181"/>
    <n v="401.66"/>
    <n v="461.90899999999999"/>
    <n v="772.09"/>
    <n v="772.09"/>
    <n v="887.90350000000001"/>
    <n v="8.8999999999999996E-2"/>
    <s v="OK"/>
    <n v="8.8999999999999996E-2"/>
    <n v="8.8999999999999996E-2"/>
    <n v="14"/>
    <n v="16.8"/>
    <n v="9847.2358600000007"/>
    <n v="16244.372113199999"/>
    <n v="5623.2400000000007"/>
    <n v="4223.99586"/>
    <n v="10621.132113199998"/>
    <n v="0.42895244107619046"/>
    <d v="2023-01-02T00:00:00"/>
    <s v="Jan-2023"/>
    <n v="0"/>
    <n v="0"/>
    <n v="0"/>
  </r>
  <r>
    <s v="ORD-2025-231184"/>
    <x v="167"/>
    <x v="31"/>
    <s v="2025-Q2"/>
    <d v="2025-06-06T00:00:00"/>
    <n v="5"/>
    <s v="ACHIEVED"/>
    <x v="3"/>
    <x v="4"/>
    <s v="Paris"/>
    <s v="Europe &gt; France &gt; Paris"/>
    <s v="Consumer"/>
    <s v="Distributor"/>
    <x v="3"/>
    <x v="4"/>
    <x v="0"/>
    <s v="Low"/>
    <x v="182"/>
    <n v="379.45"/>
    <n v="436.36749999999995"/>
    <n v="742.23"/>
    <n v="742.23"/>
    <n v="853.56449999999995"/>
    <n v="0.09"/>
    <s v="OK"/>
    <n v="0.09"/>
    <n v="0.09"/>
    <n v="13"/>
    <n v="15.6"/>
    <n v="8780.5809000000008"/>
    <n v="14514.010757999999"/>
    <n v="4932.8499999999995"/>
    <n v="3847.7309000000014"/>
    <n v="9581.1607579999982"/>
    <n v="0.43820915083192286"/>
    <d v="2023-01-02T00:00:00"/>
    <s v="Jan-2023"/>
    <n v="0"/>
    <n v="0"/>
    <n v="0"/>
  </r>
  <r>
    <s v="ORD-2023-888245"/>
    <x v="168"/>
    <x v="5"/>
    <s v="2023-Q1"/>
    <d v="2023-03-05T00:00:00"/>
    <n v="5"/>
    <s v="ACHIEVED"/>
    <x v="3"/>
    <x v="4"/>
    <s v="Marseille"/>
    <s v="Europe &gt; France &gt; Marseille"/>
    <s v="Corporate"/>
    <s v="Retail"/>
    <x v="0"/>
    <x v="3"/>
    <x v="6"/>
    <s v="High"/>
    <x v="183"/>
    <n v="1299.81"/>
    <n v="1494.7814999999998"/>
    <n v="3149.13"/>
    <n v="3149.13"/>
    <n v="3621.4994999999999"/>
    <n v="0.10299999999999999"/>
    <s v="OK"/>
    <n v="0.10299999999999999"/>
    <n v="0.10299999999999999"/>
    <n v="14"/>
    <n v="16.8"/>
    <n v="39546.774539999999"/>
    <n v="67107.834334799991"/>
    <n v="18197.34"/>
    <n v="21349.434539999998"/>
    <n v="48910.494334799994"/>
    <n v="0.53985273864511729"/>
    <d v="2023-01-02T00:00:00"/>
    <s v="Jan-2023"/>
    <n v="0"/>
    <n v="0"/>
    <n v="0"/>
  </r>
  <r>
    <s v="ORD-2024-332076"/>
    <x v="169"/>
    <x v="15"/>
    <s v="2024-Q2"/>
    <d v="2024-04-18T00:00:00"/>
    <n v="9"/>
    <s v="NOT ACHIEVED"/>
    <x v="3"/>
    <x v="4"/>
    <s v="Lyon"/>
    <s v="Europe &gt; France &gt; Lyon"/>
    <s v="Consumer"/>
    <s v="Online"/>
    <x v="1"/>
    <x v="11"/>
    <x v="5"/>
    <s v="High"/>
    <x v="184"/>
    <n v="1288.8499999999999"/>
    <n v="1482.1774999999998"/>
    <n v="2751.84"/>
    <n v="2751.84"/>
    <n v="3164.616"/>
    <n v="0.158"/>
    <s v="OK"/>
    <n v="0.158"/>
    <n v="0.158"/>
    <n v="7"/>
    <n v="8.4"/>
    <n v="16219.34496"/>
    <n v="30782.852755200001"/>
    <n v="9021.9499999999989"/>
    <n v="7197.3949600000014"/>
    <n v="21760.902755200004"/>
    <n v="0.44375373837538756"/>
    <d v="2023-01-02T00:00:00"/>
    <s v="Jan-2023"/>
    <n v="0"/>
    <n v="0"/>
    <n v="0"/>
  </r>
  <r>
    <s v="ORD-2023-813340"/>
    <x v="170"/>
    <x v="9"/>
    <s v="2023-Q4"/>
    <d v="2024-01-03T00:00:00"/>
    <n v="8"/>
    <s v="NOT ACHIEVED"/>
    <x v="3"/>
    <x v="4"/>
    <s v="Lyon"/>
    <s v="Europe &gt; France &gt; Lyon"/>
    <s v="Small Business"/>
    <s v="Retail"/>
    <x v="0"/>
    <x v="13"/>
    <x v="3"/>
    <s v="Low"/>
    <x v="185"/>
    <n v="492.75"/>
    <n v="566.66249999999991"/>
    <n v="731.29"/>
    <n v="731.29"/>
    <n v="840.98349999999994"/>
    <n v="5.8000000000000003E-2"/>
    <s v="OK"/>
    <n v="5.8000000000000003E-2"/>
    <n v="5.8000000000000003E-2"/>
    <n v="6"/>
    <n v="7.1999999999999993"/>
    <n v="4133.25108"/>
    <n v="6406.2759095999991"/>
    <n v="2956.5"/>
    <n v="1176.75108"/>
    <n v="3449.7759095999991"/>
    <n v="0.28470350753528384"/>
    <d v="2023-01-02T00:00:00"/>
    <s v="Jan-2023"/>
    <n v="0"/>
    <n v="0"/>
    <n v="0"/>
  </r>
  <r>
    <s v="ORD-2024-398783"/>
    <x v="171"/>
    <x v="27"/>
    <s v="2024-Q3"/>
    <d v="2024-08-07T00:00:00"/>
    <n v="20"/>
    <s v="NOT ACHIEVED"/>
    <x v="3"/>
    <x v="4"/>
    <s v="Marseille"/>
    <s v="Europe &gt; France &gt; Marseille"/>
    <s v="Corporate"/>
    <s v="Retail"/>
    <x v="0"/>
    <x v="8"/>
    <x v="2"/>
    <s v="Medium"/>
    <x v="186"/>
    <n v="941.35"/>
    <n v="1082.5525"/>
    <n v="899.83"/>
    <n v="899.83"/>
    <n v="1034.8045"/>
    <n v="5.8000000000000003E-2"/>
    <s v="OK"/>
    <n v="5.8000000000000003E-2"/>
    <n v="5.8000000000000003E-2"/>
    <n v="18"/>
    <n v="21.599999999999998"/>
    <n v="15257.51748"/>
    <n v="23648.180277599997"/>
    <n v="16944.3"/>
    <n v="-1686.7825199999988"/>
    <n v="6703.8802775999975"/>
    <n v="-0.11055419220139073"/>
    <d v="2023-01-02T00:00:00"/>
    <s v="Jan-2023"/>
    <n v="0"/>
    <n v="0"/>
    <n v="0"/>
  </r>
  <r>
    <s v="ORD-2024-307849"/>
    <x v="172"/>
    <x v="10"/>
    <s v="2024-Q3"/>
    <d v="2024-09-07T00:00:00"/>
    <n v="28"/>
    <s v="NOT ACHIEVED"/>
    <x v="3"/>
    <x v="4"/>
    <s v="Marseille"/>
    <s v="Europe &gt; France &gt; Marseille"/>
    <s v="Non-Profit"/>
    <s v="Direct"/>
    <x v="4"/>
    <x v="8"/>
    <x v="5"/>
    <s v="Low"/>
    <x v="187"/>
    <n v="229.96"/>
    <n v="264.45400000000001"/>
    <n v="564.26"/>
    <n v="564.26"/>
    <n v="648.89899999999989"/>
    <n v="0.105"/>
    <s v="OK"/>
    <n v="0.105"/>
    <n v="0.105"/>
    <n v="5"/>
    <n v="6"/>
    <n v="2525.0635000000002"/>
    <n v="4302.2003699999996"/>
    <n v="1149.8"/>
    <n v="1375.2635000000002"/>
    <n v="3152.4003699999994"/>
    <n v="0.54464511486542821"/>
    <d v="2023-01-02T00:00:00"/>
    <s v="Jan-2023"/>
    <n v="0"/>
    <n v="0"/>
    <n v="0"/>
  </r>
  <r>
    <s v="ORD-2024-678110"/>
    <x v="173"/>
    <x v="27"/>
    <s v="2024-Q3"/>
    <d v="2024-08-08T00:00:00"/>
    <n v="15"/>
    <s v="NOT ACHIEVED"/>
    <x v="3"/>
    <x v="4"/>
    <s v="Marseille"/>
    <s v="Europe &gt; France &gt; Marseille"/>
    <s v="Enterprise"/>
    <s v="Marketplace"/>
    <x v="2"/>
    <x v="15"/>
    <x v="3"/>
    <s v="Medium"/>
    <x v="188"/>
    <n v="501.5"/>
    <n v="576.72499999999991"/>
    <n v="1201.47"/>
    <n v="1201.47"/>
    <n v="1381.6904999999999"/>
    <n v="0.126"/>
    <s v="OK"/>
    <n v="0.126"/>
    <n v="0.126"/>
    <n v="5"/>
    <n v="6"/>
    <n v="5250.4239000000007"/>
    <n v="9334.7010179999997"/>
    <n v="2507.5"/>
    <n v="2742.9239000000007"/>
    <n v="6827.2010179999997"/>
    <n v="0.52241951359394057"/>
    <d v="2023-01-02T00:00:00"/>
    <s v="Jan-2023"/>
    <n v="0"/>
    <n v="0"/>
    <n v="0"/>
  </r>
  <r>
    <s v="ORD-2024-375848"/>
    <x v="174"/>
    <x v="16"/>
    <s v="2024-Q2"/>
    <d v="2024-05-21T00:00:00"/>
    <n v="3"/>
    <s v="ACHIEVED"/>
    <x v="3"/>
    <x v="4"/>
    <s v="Marseille"/>
    <s v="Europe &gt; France &gt; Marseille"/>
    <s v="Non-Profit"/>
    <s v="Marketplace"/>
    <x v="2"/>
    <x v="14"/>
    <x v="5"/>
    <s v="Medium"/>
    <x v="189"/>
    <n v="663.66"/>
    <n v="763.20899999999995"/>
    <n v="824.26"/>
    <n v="824.26"/>
    <n v="947.89899999999989"/>
    <n v="0.23899999999999999"/>
    <s v="OK"/>
    <n v="0.23899999999999999"/>
    <n v="0.23899999999999999"/>
    <n v="11"/>
    <n v="13.2"/>
    <n v="6899.8804600000003"/>
    <n v="15502.698565199995"/>
    <n v="7300.2599999999993"/>
    <n v="-400.379539999999"/>
    <n v="8202.4385651999946"/>
    <n v="-5.8027025587048933E-2"/>
    <d v="2023-01-02T00:00:00"/>
    <s v="Jan-2023"/>
    <n v="0"/>
    <n v="0"/>
    <n v="0"/>
  </r>
  <r>
    <s v="ORD-2024-811752"/>
    <x v="175"/>
    <x v="23"/>
    <s v="2024-Q1"/>
    <d v="2024-03-09T00:00:00"/>
    <n v="13"/>
    <s v="NOT ACHIEVED"/>
    <x v="3"/>
    <x v="4"/>
    <s v="Marseille"/>
    <s v="Europe &gt; France &gt; Marseille"/>
    <s v="Small Business"/>
    <s v="Distributor"/>
    <x v="3"/>
    <x v="11"/>
    <x v="2"/>
    <s v="Low"/>
    <x v="190"/>
    <n v="322.44"/>
    <n v="370.80599999999998"/>
    <n v="395.61"/>
    <n v="395.61"/>
    <n v="454.95149999999995"/>
    <n v="0"/>
    <s v="OK"/>
    <n v="0"/>
    <n v="0"/>
    <n v="34"/>
    <n v="40.799999999999997"/>
    <n v="13450.74"/>
    <n v="18562.021199999996"/>
    <n v="10962.96"/>
    <n v="2487.7800000000007"/>
    <n v="7599.0611999999965"/>
    <n v="0.18495487980586947"/>
    <d v="2023-01-02T00:00:00"/>
    <s v="Jan-2023"/>
    <n v="0"/>
    <n v="0"/>
    <n v="0"/>
  </r>
  <r>
    <s v="ORD-2023-808024"/>
    <x v="176"/>
    <x v="9"/>
    <s v="2023-Q4"/>
    <d v="2024-01-08T00:00:00"/>
    <n v="9"/>
    <s v="NOT ACHIEVED"/>
    <x v="3"/>
    <x v="4"/>
    <s v="Marseille"/>
    <s v="Europe &gt; France &gt; Marseille"/>
    <s v="Consumer"/>
    <s v="Marketplace"/>
    <x v="2"/>
    <x v="10"/>
    <x v="1"/>
    <s v="Medium"/>
    <x v="191"/>
    <n v="861.1"/>
    <n v="990.26499999999999"/>
    <n v="1224.72"/>
    <n v="1224.72"/>
    <n v="1408.4279999999999"/>
    <n v="0.17399999999999999"/>
    <s v="OK"/>
    <n v="0.17399999999999999"/>
    <n v="0.17399999999999999"/>
    <n v="24"/>
    <n v="28.799999999999997"/>
    <n v="24278.849280000002"/>
    <n v="47620.640793599989"/>
    <n v="20666.400000000001"/>
    <n v="3612.4492800000007"/>
    <n v="26954.240793599987"/>
    <n v="0.14878997098827909"/>
    <d v="2023-01-02T00:00:00"/>
    <s v="Jan-2023"/>
    <n v="0"/>
    <n v="0"/>
    <n v="0"/>
  </r>
  <r>
    <s v="ORD-2024-202166"/>
    <x v="177"/>
    <x v="16"/>
    <s v="2024-Q2"/>
    <d v="2024-05-18T00:00:00"/>
    <n v="13"/>
    <s v="NOT ACHIEVED"/>
    <x v="3"/>
    <x v="4"/>
    <s v="Marseille"/>
    <s v="Europe &gt; France &gt; Marseille"/>
    <s v="Corporate"/>
    <s v="Marketplace"/>
    <x v="2"/>
    <x v="1"/>
    <x v="0"/>
    <s v="High"/>
    <x v="192"/>
    <n v="1264.04"/>
    <n v="1453.646"/>
    <n v="1870.89"/>
    <n v="1870.89"/>
    <n v="2151.5234999999998"/>
    <n v="0"/>
    <s v="OK"/>
    <n v="0"/>
    <n v="0"/>
    <n v="13"/>
    <n v="15.6"/>
    <n v="24321.57"/>
    <n v="33563.766599999995"/>
    <n v="16432.52"/>
    <n v="7889.0499999999993"/>
    <n v="17131.246599999995"/>
    <n v="0.32436433996653996"/>
    <d v="2023-01-02T00:00:00"/>
    <s v="Jan-2023"/>
    <n v="0"/>
    <n v="0"/>
    <n v="0"/>
  </r>
  <r>
    <s v="ORD-2023-243704"/>
    <x v="86"/>
    <x v="21"/>
    <s v="2023-Q3"/>
    <d v="2023-09-19T00:00:00"/>
    <n v="21"/>
    <s v="NOT ACHIEVED"/>
    <x v="3"/>
    <x v="4"/>
    <s v="Lyon"/>
    <s v="Europe &gt; France &gt; Lyon"/>
    <s v="Small Business"/>
    <s v="Direct"/>
    <x v="4"/>
    <x v="6"/>
    <x v="5"/>
    <s v="High"/>
    <x v="193"/>
    <n v="784.46"/>
    <n v="902.12900000000002"/>
    <n v="1843.51"/>
    <n v="1843.51"/>
    <n v="2120.0364999999997"/>
    <n v="0.13800000000000001"/>
    <s v="OK"/>
    <n v="0.13800000000000001"/>
    <n v="0.13800000000000001"/>
    <n v="23"/>
    <n v="27.599999999999998"/>
    <n v="36549.429260000004"/>
    <n v="66587.802421199987"/>
    <n v="18042.580000000002"/>
    <n v="18506.849260000003"/>
    <n v="48545.222421199986"/>
    <n v="0.50635125184441798"/>
    <d v="2023-01-02T00:00:00"/>
    <s v="Jan-2023"/>
    <n v="0"/>
    <n v="0"/>
    <n v="0"/>
  </r>
  <r>
    <s v="ORD-2025-683043"/>
    <x v="178"/>
    <x v="24"/>
    <s v="2025-Q3"/>
    <d v="2025-09-03T00:00:00"/>
    <n v="21"/>
    <s v="NOT ACHIEVED"/>
    <x v="3"/>
    <x v="4"/>
    <s v="Paris"/>
    <s v="Europe &gt; France &gt; Paris"/>
    <s v="Education"/>
    <s v="Retail"/>
    <x v="0"/>
    <x v="12"/>
    <x v="4"/>
    <s v="Medium"/>
    <x v="194"/>
    <n v="603.47"/>
    <n v="693.9905"/>
    <n v="1344.05"/>
    <n v="1344.05"/>
    <n v="1545.6574999999998"/>
    <n v="0.20499999999999999"/>
    <s v="OK"/>
    <n v="0.20499999999999999"/>
    <n v="0.20499999999999999"/>
    <n v="18"/>
    <n v="21.599999999999998"/>
    <n v="19233.355499999998"/>
    <n v="40230.373409999993"/>
    <n v="10862.460000000001"/>
    <n v="8370.8954999999969"/>
    <n v="29367.913409999994"/>
    <n v="0.43522803392262976"/>
    <d v="2023-01-02T00:00:00"/>
    <s v="Jan-2023"/>
    <n v="0"/>
    <n v="0"/>
    <n v="0"/>
  </r>
  <r>
    <s v="ORD-2025-417336"/>
    <x v="179"/>
    <x v="24"/>
    <s v="2025-Q3"/>
    <d v="2025-09-03T00:00:00"/>
    <n v="4"/>
    <s v="ACHIEVED"/>
    <x v="3"/>
    <x v="4"/>
    <s v="Marseille"/>
    <s v="Europe &gt; France &gt; Marseille"/>
    <s v="Small Business"/>
    <s v="Marketplace"/>
    <x v="2"/>
    <x v="2"/>
    <x v="3"/>
    <s v="High"/>
    <x v="195"/>
    <n v="1286.56"/>
    <n v="1479.5439999999999"/>
    <n v="2777.35"/>
    <n v="2777.35"/>
    <n v="3193.9524999999999"/>
    <n v="0.13200000000000001"/>
    <s v="OK"/>
    <n v="0.13200000000000001"/>
    <n v="0.13200000000000001"/>
    <n v="15"/>
    <n v="18"/>
    <n v="36161.097000000002"/>
    <n v="65079.976140000006"/>
    <n v="19298.399999999998"/>
    <n v="16862.697000000004"/>
    <n v="45781.576140000005"/>
    <n v="0.46632150014696744"/>
    <d v="2023-01-02T00:00:00"/>
    <s v="Jan-2023"/>
    <n v="0"/>
    <n v="0"/>
    <n v="0"/>
  </r>
  <r>
    <s v="ORD-2024-382152"/>
    <x v="180"/>
    <x v="30"/>
    <s v="2024-Q4"/>
    <d v="2024-12-08T00:00:00"/>
    <n v="0"/>
    <s v="ACHIEVED"/>
    <x v="3"/>
    <x v="4"/>
    <s v="Lyon"/>
    <s v="Europe &gt; France &gt; Lyon"/>
    <s v="Enterprise"/>
    <s v="Retail"/>
    <x v="0"/>
    <x v="15"/>
    <x v="0"/>
    <s v="Low"/>
    <x v="196"/>
    <n v="257.44"/>
    <n v="296.05599999999998"/>
    <n v="290.33"/>
    <n v="290.33"/>
    <n v="333.87949999999995"/>
    <n v="9.1999999999999998E-2"/>
    <s v="OK"/>
    <n v="9.1999999999999998E-2"/>
    <n v="9.1999999999999998E-2"/>
    <n v="23"/>
    <n v="27.599999999999998"/>
    <n v="6063.2517199999993"/>
    <n v="10062.861026399998"/>
    <n v="5921.12"/>
    <n v="142.1317199999994"/>
    <n v="4141.7410263999982"/>
    <n v="2.3441500792581216E-2"/>
    <d v="2023-01-02T00:00:00"/>
    <s v="Jan-2023"/>
    <n v="0"/>
    <n v="0"/>
    <n v="0"/>
  </r>
  <r>
    <s v="ORD-2023-597666"/>
    <x v="48"/>
    <x v="20"/>
    <s v="2023-Q4"/>
    <d v="2023-11-24T00:00:00"/>
    <n v="30"/>
    <s v="NOT ACHIEVED"/>
    <x v="3"/>
    <x v="4"/>
    <s v="Paris"/>
    <s v="Europe &gt; France &gt; Paris"/>
    <s v="Enterprise"/>
    <s v="Distributor"/>
    <x v="3"/>
    <x v="0"/>
    <x v="4"/>
    <s v="Low"/>
    <x v="197"/>
    <n v="287.85000000000002"/>
    <n v="331.02749999999997"/>
    <n v="602.91999999999996"/>
    <n v="602.91999999999996"/>
    <n v="693.35799999999995"/>
    <n v="0.222"/>
    <s v="OK"/>
    <n v="0.222"/>
    <n v="0.222"/>
    <n v="11"/>
    <n v="13.2"/>
    <n v="5159.7893599999998"/>
    <n v="11184.141883199998"/>
    <n v="3166.3500000000004"/>
    <n v="1993.4393599999994"/>
    <n v="8017.7918831999978"/>
    <n v="0.38634122847216373"/>
    <d v="2023-01-02T00:00:00"/>
    <s v="Jan-2023"/>
    <n v="0"/>
    <n v="0"/>
    <n v="0"/>
  </r>
  <r>
    <s v="ORD-2024-792353"/>
    <x v="99"/>
    <x v="10"/>
    <s v="2024-Q3"/>
    <d v="2024-09-07T00:00:00"/>
    <n v="19"/>
    <s v="NOT ACHIEVED"/>
    <x v="3"/>
    <x v="4"/>
    <s v="Lyon"/>
    <s v="Europe &gt; France &gt; Lyon"/>
    <s v="Corporate"/>
    <s v="Direct"/>
    <x v="4"/>
    <x v="2"/>
    <x v="0"/>
    <s v="Low"/>
    <x v="198"/>
    <n v="297.58999999999997"/>
    <n v="342.22849999999994"/>
    <n v="666.41"/>
    <n v="666.41"/>
    <n v="766.37149999999986"/>
    <n v="0"/>
    <s v="OK"/>
    <n v="0"/>
    <n v="0"/>
    <n v="10"/>
    <n v="12"/>
    <n v="6664.0999999999995"/>
    <n v="9196.4579999999987"/>
    <n v="2975.8999999999996"/>
    <n v="3688.2"/>
    <n v="6220.5579999999991"/>
    <n v="0.55344307558409989"/>
    <d v="2023-01-02T00:00:00"/>
    <s v="Jan-2023"/>
    <n v="0"/>
    <n v="0"/>
    <n v="0"/>
  </r>
  <r>
    <s v="ORD-2023-867166"/>
    <x v="94"/>
    <x v="19"/>
    <s v="2023-Q2"/>
    <d v="2023-04-20T00:00:00"/>
    <n v="7"/>
    <s v="ACHIEVED"/>
    <x v="3"/>
    <x v="4"/>
    <s v="Lyon"/>
    <s v="Europe &gt; France &gt; Lyon"/>
    <s v="Small Business"/>
    <s v="Online"/>
    <x v="1"/>
    <x v="1"/>
    <x v="3"/>
    <s v="Low"/>
    <x v="199"/>
    <n v="227.02"/>
    <n v="261.07299999999998"/>
    <n v="434.72"/>
    <n v="434.72"/>
    <n v="499.928"/>
    <n v="9.8000000000000004E-2"/>
    <s v="OK"/>
    <n v="9.8000000000000004E-2"/>
    <n v="9.8000000000000004E-2"/>
    <n v="10"/>
    <n v="12"/>
    <n v="3921.1744000000008"/>
    <n v="6587.0513280000014"/>
    <n v="2270.2000000000003"/>
    <n v="1650.9744000000005"/>
    <n v="4316.8513280000006"/>
    <n v="0.42104079838938052"/>
    <d v="2023-01-02T00:00:00"/>
    <s v="Jan-2023"/>
    <n v="0"/>
    <n v="0"/>
    <n v="0"/>
  </r>
  <r>
    <s v="ORD-2024-892879"/>
    <x v="143"/>
    <x v="27"/>
    <s v="2024-Q3"/>
    <d v="2024-08-08T00:00:00"/>
    <n v="30"/>
    <s v="NOT ACHIEVED"/>
    <x v="3"/>
    <x v="4"/>
    <s v="Marseille"/>
    <s v="Europe &gt; France &gt; Marseille"/>
    <s v="Corporate"/>
    <s v="Direct"/>
    <x v="4"/>
    <x v="2"/>
    <x v="0"/>
    <s v="Medium"/>
    <x v="200"/>
    <n v="1062.3800000000001"/>
    <n v="1221.7370000000001"/>
    <n v="1503.96"/>
    <n v="1503.96"/>
    <n v="1729.5539999999999"/>
    <n v="0.18"/>
    <s v="OK"/>
    <n v="0.18"/>
    <n v="0.18"/>
    <n v="6"/>
    <n v="7.1999999999999993"/>
    <n v="7399.4832000000006"/>
    <n v="14694.290783999997"/>
    <n v="6374.2800000000007"/>
    <n v="1025.2031999999999"/>
    <n v="8320.0107839999964"/>
    <n v="0.13855064905073369"/>
    <d v="2023-01-02T00:00:00"/>
    <s v="Jan-2023"/>
    <n v="0"/>
    <n v="0"/>
    <n v="0"/>
  </r>
  <r>
    <s v="ORD-2025-778145"/>
    <x v="181"/>
    <x v="7"/>
    <s v="2025-Q2"/>
    <d v="2025-05-12T00:00:00"/>
    <n v="20"/>
    <s v="NOT ACHIEVED"/>
    <x v="3"/>
    <x v="4"/>
    <s v="Lyon"/>
    <s v="Europe &gt; France &gt; Lyon"/>
    <s v="Enterprise"/>
    <s v="Marketplace"/>
    <x v="2"/>
    <x v="3"/>
    <x v="2"/>
    <s v="Low"/>
    <x v="201"/>
    <n v="59.51"/>
    <n v="68.436499999999995"/>
    <n v="67.040000000000006"/>
    <n v="67.040000000000006"/>
    <n v="77.096000000000004"/>
    <n v="0.114"/>
    <s v="OK"/>
    <n v="0.114"/>
    <n v="0.114"/>
    <n v="9"/>
    <n v="10.799999999999999"/>
    <n v="534.57695999999999"/>
    <n v="927.55739520000009"/>
    <n v="535.59"/>
    <n v="-1.0130400000000463"/>
    <n v="391.96739520000006"/>
    <n v="-1.8950311663264469E-3"/>
    <d v="2023-01-02T00:00:00"/>
    <s v="Jan-2023"/>
    <n v="0"/>
    <n v="0"/>
    <n v="0"/>
  </r>
  <r>
    <s v="ORD-2023-215819"/>
    <x v="182"/>
    <x v="14"/>
    <s v="2023-Q3"/>
    <d v="2023-07-11T00:00:00"/>
    <n v="10"/>
    <s v="NOT ACHIEVED"/>
    <x v="3"/>
    <x v="4"/>
    <s v="Paris"/>
    <s v="Europe &gt; France &gt; Paris"/>
    <s v="Corporate"/>
    <s v="Direct"/>
    <x v="4"/>
    <x v="8"/>
    <x v="6"/>
    <s v="Low"/>
    <x v="202"/>
    <n v="479.5"/>
    <n v="551.42499999999995"/>
    <n v="656.66"/>
    <n v="656.66"/>
    <n v="755.15899999999988"/>
    <n v="0.14899999999999999"/>
    <s v="OK"/>
    <n v="0.14899999999999999"/>
    <n v="0.14899999999999999"/>
    <n v="14"/>
    <n v="16.8"/>
    <n v="7823.4472399999995"/>
    <n v="14576.985208799999"/>
    <n v="6713"/>
    <n v="1110.4472399999995"/>
    <n v="7863.9852087999989"/>
    <n v="0.14193835606412289"/>
    <d v="2023-01-02T00:00:00"/>
    <s v="Jan-2023"/>
    <n v="0"/>
    <n v="0"/>
    <n v="0"/>
  </r>
  <r>
    <s v="ORD-2024-766980"/>
    <x v="183"/>
    <x v="13"/>
    <s v="2024-Q4"/>
    <d v="2024-11-07T00:00:00"/>
    <n v="3"/>
    <s v="ACHIEVED"/>
    <x v="3"/>
    <x v="4"/>
    <s v="Lyon"/>
    <s v="Europe &gt; France &gt; Lyon"/>
    <s v="Corporate"/>
    <s v="Online"/>
    <x v="1"/>
    <x v="7"/>
    <x v="2"/>
    <s v="High"/>
    <x v="203"/>
    <n v="740.68"/>
    <n v="851.78199999999993"/>
    <n v="1837.19"/>
    <n v="1837.19"/>
    <n v="2112.7684999999997"/>
    <n v="0.19700000000000001"/>
    <s v="OK"/>
    <n v="0.19700000000000001"/>
    <n v="0.19700000000000001"/>
    <n v="17"/>
    <n v="20.399999999999999"/>
    <n v="25079.480689999997"/>
    <n v="51591.271447799991"/>
    <n v="12591.56"/>
    <n v="12487.920689999997"/>
    <n v="38999.711447799993"/>
    <n v="0.4979337827748298"/>
    <d v="2023-01-02T00:00:00"/>
    <s v="Jan-2023"/>
    <n v="0"/>
    <n v="0"/>
    <n v="0"/>
  </r>
  <r>
    <s v="ORD-2023-340056"/>
    <x v="184"/>
    <x v="19"/>
    <s v="2023-Q2"/>
    <d v="2023-04-26T00:00:00"/>
    <n v="0"/>
    <s v="ACHIEVED"/>
    <x v="3"/>
    <x v="4"/>
    <s v="Marseille"/>
    <s v="Europe &gt; France &gt; Marseille"/>
    <s v="Consumer"/>
    <s v="Direct"/>
    <x v="4"/>
    <x v="13"/>
    <x v="0"/>
    <s v="Low"/>
    <x v="204"/>
    <n v="81.489999999999995"/>
    <n v="93.713499999999982"/>
    <n v="113.08"/>
    <n v="113.08"/>
    <n v="130.042"/>
    <n v="0.121"/>
    <s v="OK"/>
    <n v="0.121"/>
    <n v="0.121"/>
    <n v="5"/>
    <n v="6"/>
    <n v="496.98660000000001"/>
    <n v="874.66249199999993"/>
    <n v="407.45"/>
    <n v="89.536600000000021"/>
    <n v="467.21249199999994"/>
    <n v="0.18015898215364362"/>
    <d v="2023-01-02T00:00:00"/>
    <s v="Jan-2023"/>
    <n v="0"/>
    <n v="0"/>
    <n v="0"/>
  </r>
  <r>
    <s v="ORD-2025-281062"/>
    <x v="185"/>
    <x v="8"/>
    <s v="2025-Q1"/>
    <d v="2025-02-27T00:00:00"/>
    <n v="12"/>
    <s v="NOT ACHIEVED"/>
    <x v="3"/>
    <x v="4"/>
    <s v="Lyon"/>
    <s v="Europe &gt; France &gt; Lyon"/>
    <s v="Non-Profit"/>
    <s v="Direct"/>
    <x v="4"/>
    <x v="3"/>
    <x v="1"/>
    <s v="High"/>
    <x v="205"/>
    <n v="1027.26"/>
    <n v="1181.3489999999999"/>
    <n v="2200.41"/>
    <n v="2200.41"/>
    <n v="2530.4714999999997"/>
    <n v="8.7999999999999995E-2"/>
    <s v="OK"/>
    <n v="8.7999999999999995E-2"/>
    <n v="8.7999999999999995E-2"/>
    <n v="6"/>
    <n v="7.1999999999999993"/>
    <n v="12040.64352"/>
    <n v="19822.701542399995"/>
    <n v="6163.5599999999995"/>
    <n v="5877.0835200000001"/>
    <n v="13659.141542399995"/>
    <n v="0.48810377204822358"/>
    <d v="2023-01-02T00:00:00"/>
    <s v="Jan-2023"/>
    <n v="0"/>
    <n v="0"/>
    <n v="0"/>
  </r>
  <r>
    <s v="ORD-2023-727290"/>
    <x v="186"/>
    <x v="19"/>
    <s v="2023-Q2"/>
    <d v="2023-04-16T00:00:00"/>
    <n v="13"/>
    <s v="NOT ACHIEVED"/>
    <x v="3"/>
    <x v="4"/>
    <s v="Marseille"/>
    <s v="Europe &gt; France &gt; Marseille"/>
    <s v="Non-Profit"/>
    <s v="Marketplace"/>
    <x v="2"/>
    <x v="13"/>
    <x v="1"/>
    <s v="Low"/>
    <x v="206"/>
    <n v="790.54"/>
    <n v="909.12099999999987"/>
    <n v="601.49"/>
    <n v="601.49"/>
    <n v="691.71349999999995"/>
    <n v="0"/>
    <s v="OK"/>
    <n v="0"/>
    <n v="0"/>
    <n v="15"/>
    <n v="18"/>
    <n v="9022.35"/>
    <n v="12450.842999999999"/>
    <n v="11858.099999999999"/>
    <n v="-2835.7499999999982"/>
    <n v="592.74300000000039"/>
    <n v="-0.31430281467688553"/>
    <d v="2023-01-02T00:00:00"/>
    <s v="Jan-2023"/>
    <n v="0"/>
    <n v="0"/>
    <n v="0"/>
  </r>
  <r>
    <s v="ORD-2025-993993"/>
    <x v="179"/>
    <x v="24"/>
    <s v="2025-Q3"/>
    <d v="2025-09-22T00:00:00"/>
    <n v="23"/>
    <s v="NOT ACHIEVED"/>
    <x v="3"/>
    <x v="4"/>
    <s v="Marseille"/>
    <s v="Europe &gt; France &gt; Marseille"/>
    <s v="Corporate"/>
    <s v="Direct"/>
    <x v="4"/>
    <x v="11"/>
    <x v="0"/>
    <s v="Medium"/>
    <x v="207"/>
    <n v="663.9"/>
    <n v="763.4849999999999"/>
    <n v="947.77"/>
    <n v="947.77"/>
    <n v="1089.9354999999998"/>
    <n v="0.17399999999999999"/>
    <s v="OK"/>
    <n v="0.17399999999999999"/>
    <n v="0.17399999999999999"/>
    <n v="15"/>
    <n v="18"/>
    <n v="11742.8703"/>
    <n v="23032.516985999995"/>
    <n v="9958.5"/>
    <n v="1784.3703000000005"/>
    <n v="13074.016985999995"/>
    <n v="0.1519535049280073"/>
    <d v="2023-01-02T00:00:00"/>
    <s v="Jan-2023"/>
    <n v="0"/>
    <n v="0"/>
    <n v="0"/>
  </r>
  <r>
    <s v="ORD-2025-856556"/>
    <x v="187"/>
    <x v="31"/>
    <s v="2025-Q2"/>
    <d v="2025-07-12T00:00:00"/>
    <n v="27"/>
    <s v="NOT ACHIEVED"/>
    <x v="3"/>
    <x v="4"/>
    <s v="Marseille"/>
    <s v="Europe &gt; France &gt; Marseille"/>
    <s v="Consumer"/>
    <s v="Direct"/>
    <x v="4"/>
    <x v="0"/>
    <x v="1"/>
    <s v="Low"/>
    <x v="208"/>
    <n v="318.83"/>
    <n v="366.65449999999993"/>
    <n v="699.5"/>
    <n v="699.5"/>
    <n v="804.42499999999995"/>
    <n v="0.08"/>
    <s v="OK"/>
    <n v="0.08"/>
    <n v="0.08"/>
    <n v="13"/>
    <n v="15.6"/>
    <n v="8366.02"/>
    <n v="13552.9524"/>
    <n v="4144.79"/>
    <n v="4221.2300000000005"/>
    <n v="9408.1624000000011"/>
    <n v="0.50456848059172699"/>
    <d v="2023-01-02T00:00:00"/>
    <s v="Jan-2023"/>
    <n v="0"/>
    <n v="0"/>
    <n v="0"/>
  </r>
  <r>
    <s v="ORD-2025-189846"/>
    <x v="188"/>
    <x v="24"/>
    <s v="2025-Q3"/>
    <d v="2025-08-28T00:00:00"/>
    <n v="17"/>
    <s v="NOT ACHIEVED"/>
    <x v="3"/>
    <x v="4"/>
    <s v="Paris"/>
    <s v="Europe &gt; France &gt; Paris"/>
    <s v="Education"/>
    <s v="Online"/>
    <x v="1"/>
    <x v="8"/>
    <x v="6"/>
    <s v="Low"/>
    <x v="209"/>
    <n v="416.16"/>
    <n v="478.584"/>
    <n v="571.9"/>
    <n v="571.9"/>
    <n v="657.68499999999995"/>
    <n v="7.0999999999999994E-2"/>
    <s v="OK"/>
    <n v="7.0999999999999994E-2"/>
    <n v="7.0999999999999994E-2"/>
    <n v="2"/>
    <n v="2.4"/>
    <n v="1062.5902000000001"/>
    <n v="1690.5135239999997"/>
    <n v="832.32"/>
    <n v="230.27020000000005"/>
    <n v="858.19352399999968"/>
    <n v="0.21670649701079497"/>
    <d v="2023-01-02T00:00:00"/>
    <s v="Jan-2023"/>
    <n v="0"/>
    <n v="0"/>
    <n v="0"/>
  </r>
  <r>
    <s v="ORD-2023-451931"/>
    <x v="189"/>
    <x v="14"/>
    <s v="2023-Q3"/>
    <d v="2023-08-19T00:00:00"/>
    <n v="20"/>
    <s v="NOT ACHIEVED"/>
    <x v="3"/>
    <x v="4"/>
    <s v="Paris"/>
    <s v="Europe &gt; France &gt; Paris"/>
    <s v="Enterprise"/>
    <s v="Marketplace"/>
    <x v="2"/>
    <x v="4"/>
    <x v="6"/>
    <s v="High"/>
    <x v="210"/>
    <n v="1418.51"/>
    <n v="1631.2864999999999"/>
    <n v="2789.61"/>
    <n v="2789.61"/>
    <n v="3208.0515"/>
    <n v="0.17100000000000001"/>
    <s v="OK"/>
    <n v="0.17100000000000001"/>
    <n v="0.17100000000000001"/>
    <n v="8"/>
    <n v="9.6"/>
    <n v="18500.693520000001"/>
    <n v="36063.631742400001"/>
    <n v="11348.08"/>
    <n v="7152.6135200000008"/>
    <n v="24715.551742399999"/>
    <n v="0.38661326464695689"/>
    <d v="2023-01-02T00:00:00"/>
    <s v="Jan-2023"/>
    <n v="0"/>
    <n v="0"/>
    <n v="0"/>
  </r>
  <r>
    <s v="ORD-2024-756884"/>
    <x v="190"/>
    <x v="32"/>
    <s v="2024-Q4"/>
    <d v="2024-10-24T00:00:00"/>
    <n v="11"/>
    <s v="NOT ACHIEVED"/>
    <x v="3"/>
    <x v="4"/>
    <s v="Paris"/>
    <s v="Europe &gt; France &gt; Paris"/>
    <s v="Education"/>
    <s v="Distributor"/>
    <x v="3"/>
    <x v="8"/>
    <x v="0"/>
    <s v="Medium"/>
    <x v="211"/>
    <n v="816.7"/>
    <n v="939.20499999999993"/>
    <n v="1010.75"/>
    <n v="1010.75"/>
    <n v="1162.3625"/>
    <n v="4.7E-2"/>
    <s v="OK"/>
    <n v="4.7E-2"/>
    <n v="4.7E-2"/>
    <n v="43"/>
    <n v="51.6"/>
    <n v="41419.524249999995"/>
    <n v="62796.866534999994"/>
    <n v="35118.1"/>
    <n v="6301.4242499999964"/>
    <n v="27678.766534999995"/>
    <n v="0.15213656757537472"/>
    <d v="2023-01-02T00:00:00"/>
    <s v="Jan-2023"/>
    <n v="0"/>
    <n v="0"/>
    <n v="0"/>
  </r>
  <r>
    <s v="ORD-2024-210687"/>
    <x v="191"/>
    <x v="22"/>
    <s v="2024-Q1"/>
    <d v="2024-02-09T00:00:00"/>
    <n v="12"/>
    <s v="NOT ACHIEVED"/>
    <x v="3"/>
    <x v="5"/>
    <s v="Berlin"/>
    <s v="Europe &gt; Germany &gt; Berlin"/>
    <s v="Corporate"/>
    <s v="Online"/>
    <x v="1"/>
    <x v="4"/>
    <x v="1"/>
    <s v="Low"/>
    <x v="212"/>
    <n v="644.16999999999996"/>
    <n v="740.79549999999995"/>
    <n v="700.12"/>
    <n v="700.12"/>
    <n v="805.13799999999992"/>
    <n v="6.0000000000000001E-3"/>
    <s v="OK"/>
    <n v="6.0000000000000001E-3"/>
    <n v="6.0000000000000001E-3"/>
    <n v="23"/>
    <n v="27.599999999999998"/>
    <n v="16006.14344"/>
    <n v="22355.139652799997"/>
    <n v="14815.91"/>
    <n v="1190.23344"/>
    <n v="7539.229652799997"/>
    <n v="7.436103796405813E-2"/>
    <d v="2023-01-02T00:00:00"/>
    <s v="Jan-2023"/>
    <n v="0"/>
    <n v="0"/>
    <n v="0"/>
  </r>
  <r>
    <s v="ORD-2024-692673"/>
    <x v="192"/>
    <x v="0"/>
    <s v="2024-Q1"/>
    <d v="2024-03-25T00:00:00"/>
    <n v="18"/>
    <s v="NOT ACHIEVED"/>
    <x v="3"/>
    <x v="5"/>
    <s v="Munich"/>
    <s v="Europe &gt; Germany &gt; Munich"/>
    <s v="Corporate"/>
    <s v="Online"/>
    <x v="1"/>
    <x v="6"/>
    <x v="0"/>
    <s v="Medium"/>
    <x v="213"/>
    <n v="712.84"/>
    <n v="819.76599999999996"/>
    <n v="927.51"/>
    <n v="927.51"/>
    <n v="1066.6364999999998"/>
    <n v="0.24299999999999999"/>
    <s v="OK"/>
    <n v="0.24299999999999999"/>
    <n v="0.24299999999999999"/>
    <n v="27"/>
    <n v="32.4"/>
    <n v="18957.37689"/>
    <n v="42956.865091799991"/>
    <n v="19246.68"/>
    <n v="-289.30311000000074"/>
    <n v="23710.185091799991"/>
    <n v="-1.5260714163076427E-2"/>
    <d v="2023-01-02T00:00:00"/>
    <s v="Jan-2023"/>
    <n v="0"/>
    <n v="0"/>
    <n v="0"/>
  </r>
  <r>
    <s v="ORD-2024-635626"/>
    <x v="193"/>
    <x v="10"/>
    <s v="2024-Q3"/>
    <d v="2024-09-19T00:00:00"/>
    <n v="23"/>
    <s v="NOT ACHIEVED"/>
    <x v="3"/>
    <x v="5"/>
    <s v="Berlin"/>
    <s v="Europe &gt; Germany &gt; Berlin"/>
    <s v="Small Business"/>
    <s v="Direct"/>
    <x v="4"/>
    <x v="14"/>
    <x v="2"/>
    <s v="Medium"/>
    <x v="214"/>
    <n v="1024.01"/>
    <n v="1177.6115"/>
    <n v="1580.97"/>
    <n v="1580.97"/>
    <n v="1818.1154999999999"/>
    <n v="3.6999999999999998E-2"/>
    <s v="OK"/>
    <n v="3.6999999999999998E-2"/>
    <n v="3.6999999999999998E-2"/>
    <n v="27"/>
    <n v="32.4"/>
    <n v="41106.800970000004"/>
    <n v="61086.499061399983"/>
    <n v="27648.27"/>
    <n v="13458.530970000003"/>
    <n v="33438.229061399979"/>
    <n v="0.3274039976942531"/>
    <d v="2023-01-02T00:00:00"/>
    <s v="Jan-2023"/>
    <n v="0"/>
    <n v="0"/>
    <n v="0"/>
  </r>
  <r>
    <s v="ORD-2025-820255"/>
    <x v="194"/>
    <x v="1"/>
    <s v="2025-Q2"/>
    <d v="2025-06-20T00:00:00"/>
    <n v="22"/>
    <s v="NOT ACHIEVED"/>
    <x v="3"/>
    <x v="5"/>
    <s v="Berlin"/>
    <s v="Europe &gt; Germany &gt; Berlin"/>
    <s v="Corporate"/>
    <s v="Direct"/>
    <x v="4"/>
    <x v="1"/>
    <x v="5"/>
    <s v="Medium"/>
    <x v="215"/>
    <n v="483.47"/>
    <n v="555.9905"/>
    <n v="1135.43"/>
    <n v="1135.43"/>
    <n v="1305.7445"/>
    <n v="0.14599999999999999"/>
    <s v="OK"/>
    <n v="0.14599999999999999"/>
    <n v="0.14599999999999999"/>
    <n v="11"/>
    <n v="13.2"/>
    <n v="10666.229420000001"/>
    <n v="19752.258200399996"/>
    <n v="5318.17"/>
    <n v="5348.0594200000014"/>
    <n v="14434.088200399996"/>
    <n v="0.50140112399719983"/>
    <d v="2023-01-02T00:00:00"/>
    <s v="Jan-2023"/>
    <n v="0"/>
    <n v="0"/>
    <n v="0"/>
  </r>
  <r>
    <s v="ORD-2023-235230"/>
    <x v="195"/>
    <x v="21"/>
    <s v="2023-Q3"/>
    <d v="2023-09-01T00:00:00"/>
    <n v="2"/>
    <s v="ACHIEVED"/>
    <x v="3"/>
    <x v="5"/>
    <s v="Munich"/>
    <s v="Europe &gt; Germany &gt; Munich"/>
    <s v="Corporate"/>
    <s v="Direct"/>
    <x v="4"/>
    <x v="5"/>
    <x v="6"/>
    <s v="Low"/>
    <x v="216"/>
    <n v="44.42"/>
    <n v="51.082999999999998"/>
    <n v="41.9"/>
    <n v="41.9"/>
    <n v="48.184999999999995"/>
    <n v="0.14399999999999999"/>
    <s v="OK"/>
    <n v="0.14399999999999999"/>
    <n v="0.14399999999999999"/>
    <n v="6"/>
    <n v="7.1999999999999993"/>
    <n v="215.19839999999996"/>
    <n v="396.89020799999986"/>
    <n v="266.52"/>
    <n v="-51.321600000000018"/>
    <n v="130.37020799999988"/>
    <n v="-0.23848504449847224"/>
    <d v="2023-01-02T00:00:00"/>
    <s v="Jan-2023"/>
    <n v="0"/>
    <n v="0"/>
    <n v="0"/>
  </r>
  <r>
    <s v="ORD-2024-289089"/>
    <x v="196"/>
    <x v="30"/>
    <s v="2024-Q4"/>
    <d v="2024-12-18T00:00:00"/>
    <n v="1"/>
    <s v="ACHIEVED"/>
    <x v="3"/>
    <x v="5"/>
    <s v="Munich"/>
    <s v="Europe &gt; Germany &gt; Munich"/>
    <s v="Education"/>
    <s v="Retail"/>
    <x v="0"/>
    <x v="10"/>
    <x v="1"/>
    <s v="Low"/>
    <x v="217"/>
    <n v="346.82"/>
    <n v="398.84299999999996"/>
    <n v="701.95"/>
    <n v="701.95"/>
    <n v="807.24249999999995"/>
    <n v="0.14699999999999999"/>
    <s v="OK"/>
    <n v="0.14699999999999999"/>
    <n v="0.14699999999999999"/>
    <n v="8"/>
    <n v="9.6"/>
    <n v="4790.1068000000005"/>
    <n v="8888.7086159999999"/>
    <n v="2774.56"/>
    <n v="2015.5468000000005"/>
    <n v="6114.1486160000004"/>
    <n v="0.42077283120284509"/>
    <d v="2023-01-02T00:00:00"/>
    <s v="Jan-2023"/>
    <n v="0"/>
    <n v="0"/>
    <n v="0"/>
  </r>
  <r>
    <s v="ORD-2024-287210"/>
    <x v="197"/>
    <x v="0"/>
    <s v="2024-Q1"/>
    <d v="2024-03-21T00:00:00"/>
    <n v="3"/>
    <s v="ACHIEVED"/>
    <x v="3"/>
    <x v="5"/>
    <s v="Munich"/>
    <s v="Europe &gt; Germany &gt; Munich"/>
    <s v="Small Business"/>
    <s v="Online"/>
    <x v="1"/>
    <x v="13"/>
    <x v="1"/>
    <s v="Medium"/>
    <x v="218"/>
    <n v="910.63"/>
    <n v="1047.2244999999998"/>
    <n v="1269.4000000000001"/>
    <n v="1269.4000000000001"/>
    <n v="1459.81"/>
    <n v="6.8000000000000005E-2"/>
    <s v="OK"/>
    <n v="6.8000000000000005E-2"/>
    <n v="6.8000000000000005E-2"/>
    <n v="9"/>
    <n v="10.799999999999999"/>
    <n v="10647.727199999999"/>
    <n v="16838.032464"/>
    <n v="8195.67"/>
    <n v="2452.0571999999993"/>
    <n v="8642.3624639999998"/>
    <n v="0.23028925834989455"/>
    <d v="2023-01-02T00:00:00"/>
    <s v="Jan-2023"/>
    <n v="0"/>
    <n v="0"/>
    <n v="0"/>
  </r>
  <r>
    <s v="ORD-2023-422918"/>
    <x v="168"/>
    <x v="5"/>
    <s v="2023-Q1"/>
    <d v="2023-03-20T00:00:00"/>
    <n v="20"/>
    <s v="NOT ACHIEVED"/>
    <x v="3"/>
    <x v="5"/>
    <s v="Berlin"/>
    <s v="Europe &gt; Germany &gt; Berlin"/>
    <s v="Small Business"/>
    <s v="Direct"/>
    <x v="4"/>
    <x v="15"/>
    <x v="3"/>
    <s v="High"/>
    <x v="219"/>
    <n v="1200.78"/>
    <n v="1380.8969999999999"/>
    <n v="2001.17"/>
    <n v="2001.17"/>
    <n v="2301.3454999999999"/>
    <n v="0.29199999999999998"/>
    <s v="OK"/>
    <n v="0.29199999999999998"/>
    <n v="0.25"/>
    <n v="18"/>
    <n v="21.599999999999998"/>
    <n v="25502.910479999999"/>
    <n v="62136.328499999989"/>
    <n v="21614.04"/>
    <n v="3888.8704799999978"/>
    <n v="40522.288499999988"/>
    <n v="0.15248732034132906"/>
    <d v="2023-01-02T00:00:00"/>
    <s v="Jan-2023"/>
    <n v="0"/>
    <n v="0"/>
    <n v="0"/>
  </r>
  <r>
    <s v="ORD-2024-474999"/>
    <x v="90"/>
    <x v="30"/>
    <s v="2024-Q4"/>
    <d v="2025-01-02T00:00:00"/>
    <n v="6"/>
    <s v="ACHIEVED"/>
    <x v="3"/>
    <x v="5"/>
    <s v="Frankfurt"/>
    <s v="Europe &gt; Germany &gt; Frankfurt"/>
    <s v="Education"/>
    <s v="Direct"/>
    <x v="4"/>
    <x v="8"/>
    <x v="3"/>
    <s v="High"/>
    <x v="220"/>
    <n v="1391.99"/>
    <n v="1600.7884999999999"/>
    <n v="3469.7"/>
    <n v="3469.7"/>
    <n v="3990.1549999999993"/>
    <n v="0.184"/>
    <s v="OK"/>
    <n v="0.184"/>
    <n v="0.184"/>
    <n v="23"/>
    <n v="27.599999999999998"/>
    <n v="65119.329599999997"/>
    <n v="130391.88115199997"/>
    <n v="32015.77"/>
    <n v="33103.559599999993"/>
    <n v="98376.111151999969"/>
    <n v="0.50835227886006973"/>
    <d v="2023-01-02T00:00:00"/>
    <s v="Jan-2023"/>
    <n v="0"/>
    <n v="0"/>
    <n v="0"/>
  </r>
  <r>
    <s v="ORD-2024-584090"/>
    <x v="145"/>
    <x v="6"/>
    <s v="2024-Q2"/>
    <d v="2024-06-26T00:00:00"/>
    <n v="19"/>
    <s v="NOT ACHIEVED"/>
    <x v="3"/>
    <x v="5"/>
    <s v="Berlin"/>
    <s v="Europe &gt; Germany &gt; Berlin"/>
    <s v="Non-Profit"/>
    <s v="Marketplace"/>
    <x v="2"/>
    <x v="13"/>
    <x v="0"/>
    <s v="High"/>
    <x v="221"/>
    <n v="1064.32"/>
    <n v="1223.9679999999998"/>
    <n v="1848.39"/>
    <n v="1848.39"/>
    <n v="2125.6484999999998"/>
    <n v="7.2999999999999995E-2"/>
    <s v="OK"/>
    <n v="7.2999999999999995E-2"/>
    <n v="7.2999999999999995E-2"/>
    <n v="38"/>
    <n v="45.6"/>
    <n v="65111.38614000001"/>
    <n v="104005.43032679999"/>
    <n v="40444.159999999996"/>
    <n v="24667.226140000013"/>
    <n v="63561.270326799997"/>
    <n v="0.3788465827921631"/>
    <d v="2023-01-02T00:00:00"/>
    <s v="Jan-2023"/>
    <n v="0"/>
    <n v="0"/>
    <n v="0"/>
  </r>
  <r>
    <s v="ORD-2024-902741"/>
    <x v="198"/>
    <x v="30"/>
    <s v="2024-Q4"/>
    <d v="2025-01-11T00:00:00"/>
    <n v="19"/>
    <s v="NOT ACHIEVED"/>
    <x v="3"/>
    <x v="5"/>
    <s v="Berlin"/>
    <s v="Europe &gt; Germany &gt; Berlin"/>
    <s v="Education"/>
    <s v="Retail"/>
    <x v="0"/>
    <x v="3"/>
    <x v="4"/>
    <s v="Medium"/>
    <x v="222"/>
    <n v="501.81"/>
    <n v="577.08150000000001"/>
    <n v="921.62"/>
    <n v="921.62"/>
    <n v="1059.8629999999998"/>
    <n v="0.01"/>
    <s v="OK"/>
    <n v="0.01"/>
    <n v="0.01"/>
    <n v="9"/>
    <n v="10.799999999999999"/>
    <n v="8211.6342000000004"/>
    <n v="11560.985603999998"/>
    <n v="4516.29"/>
    <n v="3695.3442000000005"/>
    <n v="7044.6956039999977"/>
    <n v="0.45001325071202031"/>
    <d v="2023-01-02T00:00:00"/>
    <s v="Jan-2023"/>
    <n v="0"/>
    <n v="0"/>
    <n v="0"/>
  </r>
  <r>
    <s v="ORD-2024-211453"/>
    <x v="199"/>
    <x v="15"/>
    <s v="2024-Q2"/>
    <d v="2024-04-24T00:00:00"/>
    <n v="20"/>
    <s v="NOT ACHIEVED"/>
    <x v="3"/>
    <x v="5"/>
    <s v="Frankfurt"/>
    <s v="Europe &gt; Germany &gt; Frankfurt"/>
    <s v="Non-Profit"/>
    <s v="Direct"/>
    <x v="4"/>
    <x v="7"/>
    <x v="1"/>
    <s v="Medium"/>
    <x v="223"/>
    <n v="683.42"/>
    <n v="785.93299999999988"/>
    <n v="951.51"/>
    <n v="951.51"/>
    <n v="1094.2365"/>
    <n v="0"/>
    <s v="OK"/>
    <n v="0"/>
    <n v="0"/>
    <n v="14"/>
    <n v="16.8"/>
    <n v="13321.14"/>
    <n v="18383.173200000001"/>
    <n v="9567.8799999999992"/>
    <n v="3753.26"/>
    <n v="8815.2932000000019"/>
    <n v="0.28175216235247136"/>
    <d v="2023-01-02T00:00:00"/>
    <s v="Jan-2023"/>
    <n v="0"/>
    <n v="0"/>
    <n v="0"/>
  </r>
  <r>
    <s v="ORD-2025-766923"/>
    <x v="185"/>
    <x v="8"/>
    <s v="2025-Q1"/>
    <d v="2025-02-15T00:00:00"/>
    <n v="0"/>
    <s v="ACHIEVED"/>
    <x v="3"/>
    <x v="5"/>
    <s v="Frankfurt"/>
    <s v="Europe &gt; Germany &gt; Frankfurt"/>
    <s v="Small Business"/>
    <s v="Marketplace"/>
    <x v="2"/>
    <x v="10"/>
    <x v="1"/>
    <s v="High"/>
    <x v="224"/>
    <n v="815.83"/>
    <n v="938.20449999999994"/>
    <n v="1982.18"/>
    <n v="1982.18"/>
    <n v="2279.5070000000001"/>
    <n v="0.127"/>
    <s v="OK"/>
    <n v="0.127"/>
    <n v="0.127"/>
    <n v="6"/>
    <n v="7.1999999999999993"/>
    <n v="10382.65884"/>
    <n v="18496.831600799997"/>
    <n v="4894.9800000000005"/>
    <n v="5487.6788399999996"/>
    <n v="13601.851600799997"/>
    <n v="0.52854272923408507"/>
    <d v="2023-01-02T00:00:00"/>
    <s v="Jan-2023"/>
    <n v="0"/>
    <n v="0"/>
    <n v="0"/>
  </r>
  <r>
    <s v="ORD-2023-884625"/>
    <x v="200"/>
    <x v="5"/>
    <s v="2023-Q1"/>
    <d v="2023-03-12T00:00:00"/>
    <n v="21"/>
    <s v="NOT ACHIEVED"/>
    <x v="3"/>
    <x v="5"/>
    <s v="Berlin"/>
    <s v="Europe &gt; Germany &gt; Berlin"/>
    <s v="Small Business"/>
    <s v="Direct"/>
    <x v="4"/>
    <x v="10"/>
    <x v="2"/>
    <s v="High"/>
    <x v="225"/>
    <n v="1234.81"/>
    <n v="1420.0314999999998"/>
    <n v="2055.2399999999998"/>
    <n v="2055.2399999999998"/>
    <n v="2363.5259999999994"/>
    <n v="5.2999999999999999E-2"/>
    <s v="OK"/>
    <n v="5.2999999999999999E-2"/>
    <n v="5.2999999999999999E-2"/>
    <n v="44"/>
    <n v="52.8"/>
    <n v="85637.740319999997"/>
    <n v="131408.26395839994"/>
    <n v="54331.64"/>
    <n v="31306.100319999998"/>
    <n v="77076.623958399941"/>
    <n v="0.36556429680441616"/>
    <d v="2023-01-02T00:00:00"/>
    <s v="Jan-2023"/>
    <n v="0"/>
    <n v="0"/>
    <n v="0"/>
  </r>
  <r>
    <s v="ORD-2024-960952"/>
    <x v="120"/>
    <x v="23"/>
    <s v="2024-Q1"/>
    <d v="2024-02-21T00:00:00"/>
    <n v="18"/>
    <s v="NOT ACHIEVED"/>
    <x v="3"/>
    <x v="5"/>
    <s v="Frankfurt"/>
    <s v="Europe &gt; Germany &gt; Frankfurt"/>
    <s v="Corporate"/>
    <s v="Retail"/>
    <x v="0"/>
    <x v="15"/>
    <x v="0"/>
    <s v="Low"/>
    <x v="226"/>
    <n v="39.229999999999997"/>
    <n v="45.114499999999992"/>
    <n v="30.09"/>
    <n v="30.09"/>
    <n v="34.603499999999997"/>
    <n v="0.17699999999999999"/>
    <s v="OK"/>
    <n v="0.17699999999999999"/>
    <n v="0.17699999999999999"/>
    <n v="13"/>
    <n v="15.6"/>
    <n v="321.93290999999999"/>
    <n v="635.36178419999999"/>
    <n v="509.98999999999995"/>
    <n v="-188.05708999999996"/>
    <n v="125.37178420000004"/>
    <n v="-0.58414993981199359"/>
    <d v="2023-01-02T00:00:00"/>
    <s v="Jan-2023"/>
    <n v="0"/>
    <n v="0"/>
    <n v="0"/>
  </r>
  <r>
    <s v="ORD-2023-575584"/>
    <x v="201"/>
    <x v="28"/>
    <s v="2023-Q1"/>
    <d v="2023-02-21T00:00:00"/>
    <n v="22"/>
    <s v="NOT ACHIEVED"/>
    <x v="3"/>
    <x v="5"/>
    <s v="Munich"/>
    <s v="Europe &gt; Germany &gt; Munich"/>
    <s v="Small Business"/>
    <s v="Marketplace"/>
    <x v="2"/>
    <x v="4"/>
    <x v="6"/>
    <s v="Medium"/>
    <x v="227"/>
    <n v="1142.8800000000001"/>
    <n v="1314.3120000000001"/>
    <n v="1465.29"/>
    <n v="1465.29"/>
    <n v="1685.0834999999997"/>
    <n v="0.186"/>
    <s v="OK"/>
    <n v="0.186"/>
    <n v="0.186"/>
    <n v="7"/>
    <n v="8.4"/>
    <n v="8349.2224200000001"/>
    <n v="16787.475860399998"/>
    <n v="8000.1600000000008"/>
    <n v="349.06241999999929"/>
    <n v="8787.3158603999982"/>
    <n v="4.1807775915017401E-2"/>
    <d v="2023-01-02T00:00:00"/>
    <s v="Jan-2023"/>
    <n v="0"/>
    <n v="0"/>
    <n v="0"/>
  </r>
  <r>
    <s v="ORD-2023-701153"/>
    <x v="202"/>
    <x v="19"/>
    <s v="2023-Q2"/>
    <d v="2023-05-13T00:00:00"/>
    <n v="29"/>
    <s v="NOT ACHIEVED"/>
    <x v="3"/>
    <x v="5"/>
    <s v="Frankfurt"/>
    <s v="Europe &gt; Germany &gt; Frankfurt"/>
    <s v="Consumer"/>
    <s v="Direct"/>
    <x v="4"/>
    <x v="2"/>
    <x v="5"/>
    <s v="High"/>
    <x v="228"/>
    <n v="1320.33"/>
    <n v="1518.3794999999998"/>
    <n v="2645.23"/>
    <n v="2645.23"/>
    <n v="3042.0144999999998"/>
    <n v="0.155"/>
    <s v="OK"/>
    <n v="0.155"/>
    <n v="0.155"/>
    <n v="25"/>
    <n v="30"/>
    <n v="55880.483749999999"/>
    <n v="105405.802425"/>
    <n v="33008.25"/>
    <n v="22872.233749999999"/>
    <n v="72397.552425000002"/>
    <n v="0.40930629470436536"/>
    <d v="2023-01-02T00:00:00"/>
    <s v="Jan-2023"/>
    <n v="0"/>
    <n v="0"/>
    <n v="0"/>
  </r>
  <r>
    <s v="ORD-2023-390998"/>
    <x v="26"/>
    <x v="19"/>
    <s v="2023-Q2"/>
    <d v="2023-04-28T00:00:00"/>
    <n v="9"/>
    <s v="NOT ACHIEVED"/>
    <x v="3"/>
    <x v="5"/>
    <s v="Berlin"/>
    <s v="Europe &gt; Germany &gt; Berlin"/>
    <s v="Education"/>
    <s v="Online"/>
    <x v="1"/>
    <x v="11"/>
    <x v="2"/>
    <s v="High"/>
    <x v="229"/>
    <n v="1178.42"/>
    <n v="1355.183"/>
    <n v="2446.56"/>
    <n v="2446.56"/>
    <n v="2813.5439999999999"/>
    <n v="2.9000000000000001E-2"/>
    <s v="OK"/>
    <n v="2.9000000000000001E-2"/>
    <n v="2.9000000000000001E-2"/>
    <n v="11"/>
    <n v="13.2"/>
    <n v="26131.70736"/>
    <n v="38215.805443199992"/>
    <n v="12962.62"/>
    <n v="13169.08736"/>
    <n v="25253.185443199989"/>
    <n v="0.5039505141618883"/>
    <d v="2023-01-02T00:00:00"/>
    <s v="Jan-2023"/>
    <n v="0"/>
    <n v="0"/>
    <n v="0"/>
  </r>
  <r>
    <s v="ORD-2023-613317"/>
    <x v="203"/>
    <x v="28"/>
    <s v="2023-Q1"/>
    <d v="2023-01-27T00:00:00"/>
    <n v="5"/>
    <s v="ACHIEVED"/>
    <x v="3"/>
    <x v="5"/>
    <s v="Munich"/>
    <s v="Europe &gt; Germany &gt; Munich"/>
    <s v="Corporate"/>
    <s v="Direct"/>
    <x v="4"/>
    <x v="8"/>
    <x v="2"/>
    <s v="Low"/>
    <x v="230"/>
    <n v="150.86000000000001"/>
    <n v="173.489"/>
    <n v="346.96"/>
    <n v="346.96"/>
    <n v="399.00399999999996"/>
    <n v="0.19600000000000001"/>
    <s v="OK"/>
    <n v="0.19600000000000001"/>
    <n v="0.19600000000000001"/>
    <n v="8"/>
    <n v="9.6"/>
    <n v="2231.6467200000002"/>
    <n v="4581.2043263999994"/>
    <n v="1206.8800000000001"/>
    <n v="1024.7667200000001"/>
    <n v="3374.3243263999993"/>
    <n v="0.45919755614365343"/>
    <d v="2023-01-02T00:00:00"/>
    <s v="Jan-2023"/>
    <n v="0"/>
    <n v="0"/>
    <n v="0"/>
  </r>
  <r>
    <s v="ORD-2024-866535"/>
    <x v="204"/>
    <x v="30"/>
    <s v="2024-Q4"/>
    <d v="2024-12-12T00:00:00"/>
    <n v="8"/>
    <s v="NOT ACHIEVED"/>
    <x v="3"/>
    <x v="5"/>
    <s v="Frankfurt"/>
    <s v="Europe &gt; Germany &gt; Frankfurt"/>
    <s v="Enterprise"/>
    <s v="Marketplace"/>
    <x v="2"/>
    <x v="6"/>
    <x v="5"/>
    <s v="Low"/>
    <x v="231"/>
    <n v="72.06"/>
    <n v="82.869"/>
    <n v="122.74"/>
    <n v="122.74"/>
    <n v="141.15099999999998"/>
    <n v="0.23799999999999999"/>
    <s v="OK"/>
    <n v="0.23799999999999999"/>
    <n v="0.23799999999999999"/>
    <n v="8"/>
    <n v="9.6"/>
    <n v="748.22303999999997"/>
    <n v="1677.5514047999998"/>
    <n v="576.48"/>
    <n v="171.74303999999995"/>
    <n v="1101.0714047999998"/>
    <n v="0.22953455162246802"/>
    <d v="2023-01-02T00:00:00"/>
    <s v="Jan-2023"/>
    <n v="0"/>
    <n v="0"/>
    <n v="0"/>
  </r>
  <r>
    <s v="ORD-2025-946490"/>
    <x v="181"/>
    <x v="7"/>
    <s v="2025-Q2"/>
    <d v="2025-05-02T00:00:00"/>
    <n v="10"/>
    <s v="NOT ACHIEVED"/>
    <x v="3"/>
    <x v="5"/>
    <s v="Berlin"/>
    <s v="Europe &gt; Germany &gt; Berlin"/>
    <s v="Corporate"/>
    <s v="Marketplace"/>
    <x v="2"/>
    <x v="0"/>
    <x v="2"/>
    <s v="Low"/>
    <x v="232"/>
    <n v="20.149999999999999"/>
    <n v="23.172499999999996"/>
    <n v="39.74"/>
    <n v="39.74"/>
    <n v="45.701000000000001"/>
    <n v="0.151"/>
    <s v="OK"/>
    <n v="0.151"/>
    <n v="0.151"/>
    <n v="18"/>
    <n v="21.599999999999998"/>
    <n v="607.30668000000003"/>
    <n v="1136.1999816"/>
    <n v="362.7"/>
    <n v="244.60668000000004"/>
    <n v="773.49998159999996"/>
    <n v="0.4027729120318585"/>
    <d v="2023-01-02T00:00:00"/>
    <s v="Jan-2023"/>
    <n v="0"/>
    <n v="0"/>
    <n v="0"/>
  </r>
  <r>
    <s v="ORD-2024-855600"/>
    <x v="205"/>
    <x v="15"/>
    <s v="2024-Q2"/>
    <d v="2024-05-19T00:00:00"/>
    <n v="20"/>
    <s v="NOT ACHIEVED"/>
    <x v="3"/>
    <x v="5"/>
    <s v="Frankfurt"/>
    <s v="Europe &gt; Germany &gt; Frankfurt"/>
    <s v="Enterprise"/>
    <s v="Marketplace"/>
    <x v="2"/>
    <x v="0"/>
    <x v="3"/>
    <s v="High"/>
    <x v="233"/>
    <n v="668.97"/>
    <n v="769.31549999999993"/>
    <n v="1667.44"/>
    <n v="1667.44"/>
    <n v="1917.5559999999998"/>
    <n v="3.4000000000000002E-2"/>
    <s v="OK"/>
    <n v="3.4000000000000002E-2"/>
    <n v="3.4000000000000002E-2"/>
    <n v="15"/>
    <n v="18"/>
    <n v="24161.205600000001"/>
    <n v="35689.552271999994"/>
    <n v="10034.550000000001"/>
    <n v="14126.6556"/>
    <n v="25655.002271999991"/>
    <n v="0.58468339013679016"/>
    <d v="2023-01-02T00:00:00"/>
    <s v="Jan-2023"/>
    <n v="0"/>
    <n v="0"/>
    <n v="0"/>
  </r>
  <r>
    <s v="ORD-2025-184754"/>
    <x v="129"/>
    <x v="31"/>
    <s v="2025-Q2"/>
    <d v="2025-07-05T00:00:00"/>
    <n v="8"/>
    <s v="NOT ACHIEVED"/>
    <x v="3"/>
    <x v="5"/>
    <s v="Munich"/>
    <s v="Europe &gt; Germany &gt; Munich"/>
    <s v="Small Business"/>
    <s v="Direct"/>
    <x v="4"/>
    <x v="4"/>
    <x v="2"/>
    <s v="Low"/>
    <x v="234"/>
    <n v="314.93"/>
    <n v="362.16949999999997"/>
    <n v="687.95"/>
    <n v="687.95"/>
    <n v="791.14250000000004"/>
    <n v="0.20499999999999999"/>
    <s v="OK"/>
    <n v="0.20499999999999999"/>
    <n v="0.20499999999999999"/>
    <n v="8"/>
    <n v="9.6"/>
    <n v="4375.3620000000001"/>
    <n v="9151.9364399999995"/>
    <n v="2519.44"/>
    <n v="1855.922"/>
    <n v="6632.496439999999"/>
    <n v="0.424175645352316"/>
    <d v="2023-01-02T00:00:00"/>
    <s v="Jan-2023"/>
    <n v="0"/>
    <n v="0"/>
    <n v="0"/>
  </r>
  <r>
    <s v="ORD-2023-521280"/>
    <x v="206"/>
    <x v="26"/>
    <s v="2023-Q2"/>
    <d v="2023-06-19T00:00:00"/>
    <n v="23"/>
    <s v="NOT ACHIEVED"/>
    <x v="3"/>
    <x v="5"/>
    <s v="Berlin"/>
    <s v="Europe &gt; Germany &gt; Berlin"/>
    <s v="Education"/>
    <s v="Retail"/>
    <x v="0"/>
    <x v="7"/>
    <x v="1"/>
    <s v="High"/>
    <x v="235"/>
    <n v="1471.58"/>
    <n v="1692.3169999999998"/>
    <n v="2576.65"/>
    <n v="2576.65"/>
    <n v="2963.1475"/>
    <n v="4.0000000000000001E-3"/>
    <s v="OK"/>
    <n v="4.0000000000000001E-3"/>
    <n v="4.0000000000000001E-3"/>
    <n v="7"/>
    <n v="8.4"/>
    <n v="17964.4038"/>
    <n v="24990.000756000001"/>
    <n v="10301.06"/>
    <n v="7663.3438000000006"/>
    <n v="14688.940756000002"/>
    <n v="0.4265849223451546"/>
    <d v="2023-01-02T00:00:00"/>
    <s v="Jan-2023"/>
    <n v="0"/>
    <n v="0"/>
    <n v="0"/>
  </r>
  <r>
    <s v="ORD-2024-745822"/>
    <x v="207"/>
    <x v="0"/>
    <s v="2024-Q1"/>
    <d v="2024-04-17T00:00:00"/>
    <n v="17"/>
    <s v="NOT ACHIEVED"/>
    <x v="3"/>
    <x v="5"/>
    <s v="Frankfurt"/>
    <s v="Europe &gt; Germany &gt; Frankfurt"/>
    <s v="Education"/>
    <s v="Direct"/>
    <x v="4"/>
    <x v="15"/>
    <x v="2"/>
    <s v="Medium"/>
    <x v="236"/>
    <n v="1025.51"/>
    <n v="1179.3364999999999"/>
    <n v="1436.54"/>
    <n v="1436.54"/>
    <n v="1652.0209999999997"/>
    <n v="0.13900000000000001"/>
    <s v="OK"/>
    <n v="0.13900000000000001"/>
    <n v="0.13900000000000001"/>
    <n v="28"/>
    <n v="33.6"/>
    <n v="34632.106319999999"/>
    <n v="63223.504478399991"/>
    <n v="28714.28"/>
    <n v="5917.8263200000001"/>
    <n v="34509.224478399992"/>
    <n v="0.17087688127656453"/>
    <d v="2023-01-02T00:00:00"/>
    <s v="Jan-2023"/>
    <n v="0"/>
    <n v="0"/>
    <n v="0"/>
  </r>
  <r>
    <s v="ORD-2025-678328"/>
    <x v="83"/>
    <x v="31"/>
    <s v="2025-Q2"/>
    <d v="2025-07-14T00:00:00"/>
    <n v="20"/>
    <s v="NOT ACHIEVED"/>
    <x v="3"/>
    <x v="5"/>
    <s v="Berlin"/>
    <s v="Europe &gt; Germany &gt; Berlin"/>
    <s v="Corporate"/>
    <s v="Direct"/>
    <x v="4"/>
    <x v="7"/>
    <x v="1"/>
    <s v="Medium"/>
    <x v="237"/>
    <n v="385.08"/>
    <n v="442.84199999999993"/>
    <n v="893.19"/>
    <n v="893.19"/>
    <n v="1027.1685"/>
    <n v="0.151"/>
    <s v="OK"/>
    <n v="0.151"/>
    <n v="0.151"/>
    <n v="8"/>
    <n v="9.6"/>
    <n v="6066.54648"/>
    <n v="11349.8010576"/>
    <n v="3080.64"/>
    <n v="2985.9064800000001"/>
    <n v="8269.1610576000003"/>
    <n v="0.49219213762621666"/>
    <d v="2023-01-02T00:00:00"/>
    <s v="Jan-2023"/>
    <n v="0"/>
    <n v="0"/>
    <n v="0"/>
  </r>
  <r>
    <s v="ORD-2024-366010"/>
    <x v="208"/>
    <x v="22"/>
    <s v="2024-Q1"/>
    <d v="2024-02-05T00:00:00"/>
    <n v="23"/>
    <s v="NOT ACHIEVED"/>
    <x v="3"/>
    <x v="5"/>
    <s v="Frankfurt"/>
    <s v="Europe &gt; Germany &gt; Frankfurt"/>
    <s v="Education"/>
    <s v="Direct"/>
    <x v="4"/>
    <x v="6"/>
    <x v="3"/>
    <s v="Medium"/>
    <x v="238"/>
    <n v="1017.93"/>
    <n v="1170.6194999999998"/>
    <n v="1529.14"/>
    <n v="1529.14"/>
    <n v="1758.511"/>
    <n v="0.155"/>
    <s v="OK"/>
    <n v="0.155"/>
    <n v="0.155"/>
    <n v="12"/>
    <n v="14.399999999999999"/>
    <n v="15505.479600000001"/>
    <n v="29247.554951999999"/>
    <n v="12215.16"/>
    <n v="3290.3196000000007"/>
    <n v="17032.394951999999"/>
    <n v="0.21220366508366503"/>
    <d v="2023-01-02T00:00:00"/>
    <s v="Jan-2023"/>
    <n v="0"/>
    <n v="0"/>
    <n v="0"/>
  </r>
  <r>
    <s v="ORD-2025-541048"/>
    <x v="209"/>
    <x v="7"/>
    <s v="2025-Q2"/>
    <d v="2025-04-13T00:00:00"/>
    <n v="9"/>
    <s v="NOT ACHIEVED"/>
    <x v="3"/>
    <x v="5"/>
    <s v="Munich"/>
    <s v="Europe &gt; Germany &gt; Munich"/>
    <s v="Consumer"/>
    <s v="Marketplace"/>
    <x v="2"/>
    <x v="8"/>
    <x v="4"/>
    <s v="Low"/>
    <x v="239"/>
    <n v="7.02"/>
    <n v="8.0729999999999986"/>
    <n v="6.28"/>
    <n v="6.28"/>
    <n v="7.2219999999999995"/>
    <n v="0.13400000000000001"/>
    <s v="OK"/>
    <n v="0.13400000000000001"/>
    <n v="0.13400000000000001"/>
    <n v="14"/>
    <n v="16.8"/>
    <n v="76.138720000000006"/>
    <n v="137.58776639999999"/>
    <n v="98.28"/>
    <n v="-22.141279999999995"/>
    <n v="39.307766399999991"/>
    <n v="-0.29080184169106066"/>
    <d v="2023-01-02T00:00:00"/>
    <s v="Jan-2023"/>
    <n v="0"/>
    <n v="0"/>
    <n v="0"/>
  </r>
  <r>
    <s v="ORD-2025-398335"/>
    <x v="167"/>
    <x v="31"/>
    <s v="2025-Q2"/>
    <d v="2025-06-27T00:00:00"/>
    <n v="26"/>
    <s v="NOT ACHIEVED"/>
    <x v="3"/>
    <x v="5"/>
    <s v="Munich"/>
    <s v="Europe &gt; Germany &gt; Munich"/>
    <s v="Consumer"/>
    <s v="Distributor"/>
    <x v="3"/>
    <x v="11"/>
    <x v="3"/>
    <s v="High"/>
    <x v="240"/>
    <n v="1362.31"/>
    <n v="1566.6564999999998"/>
    <n v="3294.57"/>
    <n v="3294.57"/>
    <n v="3788.7554999999998"/>
    <n v="0.113"/>
    <s v="OK"/>
    <n v="0.113"/>
    <n v="0.113"/>
    <n v="7"/>
    <n v="8.4"/>
    <n v="20455.985130000001"/>
    <n v="35421.832920599998"/>
    <n v="9536.17"/>
    <n v="10919.815130000001"/>
    <n v="25885.6629206"/>
    <n v="0.5338200561157721"/>
    <d v="2023-01-02T00:00:00"/>
    <s v="Jan-2023"/>
    <n v="0"/>
    <n v="0"/>
    <n v="0"/>
  </r>
  <r>
    <s v="ORD-2024-819979"/>
    <x v="210"/>
    <x v="16"/>
    <s v="2024-Q2"/>
    <d v="2024-06-18T00:00:00"/>
    <n v="21"/>
    <s v="NOT ACHIEVED"/>
    <x v="3"/>
    <x v="5"/>
    <s v="Frankfurt"/>
    <s v="Europe &gt; Germany &gt; Frankfurt"/>
    <s v="Small Business"/>
    <s v="Online"/>
    <x v="1"/>
    <x v="11"/>
    <x v="4"/>
    <s v="High"/>
    <x v="241"/>
    <n v="986.85"/>
    <n v="1134.8774999999998"/>
    <n v="2422.1"/>
    <n v="2422.1"/>
    <n v="2785.4149999999995"/>
    <n v="7.5999999999999998E-2"/>
    <s v="OK"/>
    <n v="7.5999999999999998E-2"/>
    <n v="7.5999999999999998E-2"/>
    <n v="10"/>
    <n v="12"/>
    <n v="22380.204000000002"/>
    <n v="35965.278480000001"/>
    <n v="9868.5"/>
    <n v="12511.704000000002"/>
    <n v="26096.778480000001"/>
    <n v="0.55905227673527913"/>
    <d v="2023-01-02T00:00:00"/>
    <s v="Jan-2023"/>
    <n v="0"/>
    <n v="0"/>
    <n v="0"/>
  </r>
  <r>
    <s v="ORD-2023-212701"/>
    <x v="211"/>
    <x v="9"/>
    <s v="2023-Q4"/>
    <d v="2023-12-16T00:00:00"/>
    <n v="14"/>
    <s v="NOT ACHIEVED"/>
    <x v="3"/>
    <x v="5"/>
    <s v="Frankfurt"/>
    <s v="Europe &gt; Germany &gt; Frankfurt"/>
    <s v="Education"/>
    <s v="Direct"/>
    <x v="4"/>
    <x v="5"/>
    <x v="2"/>
    <s v="Medium"/>
    <x v="242"/>
    <n v="879.08"/>
    <n v="1010.942"/>
    <n v="1093.3900000000001"/>
    <n v="1093.3900000000001"/>
    <n v="1257.3985"/>
    <n v="0.113"/>
    <s v="OK"/>
    <n v="0.113"/>
    <n v="0.113"/>
    <n v="17"/>
    <n v="20.399999999999999"/>
    <n v="16487.22781"/>
    <n v="28549.484422199996"/>
    <n v="14944.36"/>
    <n v="1542.8678099999997"/>
    <n v="13605.124422199995"/>
    <n v="9.3579577341935186E-2"/>
    <d v="2023-01-02T00:00:00"/>
    <s v="Jan-2023"/>
    <n v="0"/>
    <n v="0"/>
    <n v="0"/>
  </r>
  <r>
    <s v="ORD-2025-677880"/>
    <x v="118"/>
    <x v="24"/>
    <s v="2025-Q3"/>
    <d v="2025-09-14T00:00:00"/>
    <n v="24"/>
    <s v="NOT ACHIEVED"/>
    <x v="3"/>
    <x v="5"/>
    <s v="Berlin"/>
    <s v="Europe &gt; Germany &gt; Berlin"/>
    <s v="Non-Profit"/>
    <s v="Online"/>
    <x v="1"/>
    <x v="1"/>
    <x v="2"/>
    <s v="High"/>
    <x v="243"/>
    <n v="1397.67"/>
    <n v="1607.3205"/>
    <n v="3131.37"/>
    <n v="3131.37"/>
    <n v="3601.0754999999995"/>
    <n v="0.10299999999999999"/>
    <s v="OK"/>
    <n v="0.10299999999999999"/>
    <n v="0.10299999999999999"/>
    <n v="20"/>
    <n v="24"/>
    <n v="56176.777799999996"/>
    <n v="95327.670635999995"/>
    <n v="27953.4"/>
    <n v="28223.377799999995"/>
    <n v="67374.270636000001"/>
    <n v="0.50240293062874808"/>
    <d v="2023-01-02T00:00:00"/>
    <s v="Jan-2023"/>
    <n v="0"/>
    <n v="0"/>
    <n v="0"/>
  </r>
  <r>
    <s v="ORD-2023-933238"/>
    <x v="212"/>
    <x v="12"/>
    <s v="2023-Q1"/>
    <d v="2023-04-06T00:00:00"/>
    <n v="20"/>
    <s v="NOT ACHIEVED"/>
    <x v="3"/>
    <x v="5"/>
    <s v="Munich"/>
    <s v="Europe &gt; Germany &gt; Munich"/>
    <s v="Consumer"/>
    <s v="Retail"/>
    <x v="0"/>
    <x v="7"/>
    <x v="4"/>
    <s v="Medium"/>
    <x v="244"/>
    <n v="692.18"/>
    <n v="796.00699999999983"/>
    <n v="1159.3499999999999"/>
    <n v="1159.3499999999999"/>
    <n v="1333.2524999999998"/>
    <n v="0.112"/>
    <s v="OK"/>
    <n v="0.112"/>
    <n v="0.112"/>
    <n v="2"/>
    <n v="2.4"/>
    <n v="2059.0056"/>
    <n v="3558.184272"/>
    <n v="1384.36"/>
    <n v="674.64560000000006"/>
    <n v="2173.8242719999998"/>
    <n v="0.32765602968734037"/>
    <d v="2023-01-02T00:00:00"/>
    <s v="Jan-2023"/>
    <n v="0"/>
    <n v="0"/>
    <n v="0"/>
  </r>
  <r>
    <s v="ORD-2024-749242"/>
    <x v="213"/>
    <x v="22"/>
    <s v="2024-Q1"/>
    <d v="2024-02-11T00:00:00"/>
    <n v="26"/>
    <s v="NOT ACHIEVED"/>
    <x v="3"/>
    <x v="5"/>
    <s v="Frankfurt"/>
    <s v="Europe &gt; Germany &gt; Frankfurt"/>
    <s v="Non-Profit"/>
    <s v="Distributor"/>
    <x v="3"/>
    <x v="11"/>
    <x v="2"/>
    <s v="Medium"/>
    <x v="245"/>
    <n v="504.93"/>
    <n v="580.66949999999997"/>
    <n v="819.06"/>
    <n v="819.06"/>
    <n v="941.91899999999987"/>
    <n v="0.22600000000000001"/>
    <s v="OK"/>
    <n v="0.22600000000000001"/>
    <n v="0.22600000000000001"/>
    <n v="15"/>
    <n v="18"/>
    <n v="9509.2865999999995"/>
    <n v="20786.268491999996"/>
    <n v="7573.95"/>
    <n v="1935.3365999999996"/>
    <n v="13212.318491999995"/>
    <n v="0.20352069312959814"/>
    <d v="2023-01-02T00:00:00"/>
    <s v="Jan-2023"/>
    <n v="0"/>
    <n v="0"/>
    <n v="0"/>
  </r>
  <r>
    <s v="ORD-2024-381197"/>
    <x v="214"/>
    <x v="13"/>
    <s v="2024-Q4"/>
    <d v="2024-11-12T00:00:00"/>
    <n v="11"/>
    <s v="NOT ACHIEVED"/>
    <x v="3"/>
    <x v="5"/>
    <s v="Frankfurt"/>
    <s v="Europe &gt; Germany &gt; Frankfurt"/>
    <s v="Consumer"/>
    <s v="Online"/>
    <x v="1"/>
    <x v="6"/>
    <x v="5"/>
    <s v="Medium"/>
    <x v="246"/>
    <n v="599.84"/>
    <n v="689.81600000000003"/>
    <n v="1330.85"/>
    <n v="1330.85"/>
    <n v="1530.4774999999997"/>
    <n v="0.115"/>
    <s v="OK"/>
    <n v="0.115"/>
    <n v="0.115"/>
    <n v="11"/>
    <n v="13.2"/>
    <n v="12955.824749999998"/>
    <n v="22525.567844999994"/>
    <n v="6598.2400000000007"/>
    <n v="6357.5847499999973"/>
    <n v="15927.327844999993"/>
    <n v="0.49071246892252063"/>
    <d v="2023-01-02T00:00:00"/>
    <s v="Jan-2023"/>
    <n v="0"/>
    <n v="0"/>
    <n v="0"/>
  </r>
  <r>
    <s v="ORD-2024-745424"/>
    <x v="215"/>
    <x v="10"/>
    <s v="2024-Q3"/>
    <d v="2024-09-04T00:00:00"/>
    <n v="13"/>
    <s v="NOT ACHIEVED"/>
    <x v="3"/>
    <x v="5"/>
    <s v="Frankfurt"/>
    <s v="Europe &gt; Germany &gt; Frankfurt"/>
    <s v="Non-Profit"/>
    <s v="Retail"/>
    <x v="0"/>
    <x v="10"/>
    <x v="5"/>
    <s v="Low"/>
    <x v="247"/>
    <n v="90.04"/>
    <n v="103.54599999999999"/>
    <n v="194.62"/>
    <n v="194.62"/>
    <n v="223.81299999999999"/>
    <n v="4.2999999999999997E-2"/>
    <s v="OK"/>
    <n v="4.2999999999999997E-2"/>
    <n v="4.2999999999999997E-2"/>
    <n v="32"/>
    <n v="38.4"/>
    <n v="5960.04288"/>
    <n v="8963.9792255999982"/>
    <n v="2881.28"/>
    <n v="3078.7628799999998"/>
    <n v="6082.6992255999976"/>
    <n v="0.51656723650954672"/>
    <d v="2023-01-02T00:00:00"/>
    <s v="Jan-2023"/>
    <n v="0"/>
    <n v="0"/>
    <n v="0"/>
  </r>
  <r>
    <s v="ORD-2023-191563"/>
    <x v="216"/>
    <x v="18"/>
    <s v="2023-Q4"/>
    <d v="2023-12-10T00:00:00"/>
    <n v="10"/>
    <s v="NOT ACHIEVED"/>
    <x v="3"/>
    <x v="5"/>
    <s v="Munich"/>
    <s v="Europe &gt; Germany &gt; Munich"/>
    <s v="Small Business"/>
    <s v="Direct"/>
    <x v="4"/>
    <x v="8"/>
    <x v="3"/>
    <s v="Low"/>
    <x v="248"/>
    <n v="174.74"/>
    <n v="200.95099999999999"/>
    <n v="415.96"/>
    <n v="415.96"/>
    <n v="478.35399999999993"/>
    <n v="0.125"/>
    <s v="OK"/>
    <n v="0.125"/>
    <n v="0.125"/>
    <n v="21"/>
    <n v="25.2"/>
    <n v="7643.2649999999994"/>
    <n v="13561.335899999998"/>
    <n v="3669.54"/>
    <n v="3973.7249999999995"/>
    <n v="9891.7958999999973"/>
    <n v="0.51989889137691803"/>
    <d v="2023-01-02T00:00:00"/>
    <s v="Jan-2023"/>
    <n v="0"/>
    <n v="0"/>
    <n v="0"/>
  </r>
  <r>
    <s v="ORD-2024-356812"/>
    <x v="192"/>
    <x v="0"/>
    <s v="2024-Q1"/>
    <d v="2024-04-03T00:00:00"/>
    <n v="27"/>
    <s v="NOT ACHIEVED"/>
    <x v="3"/>
    <x v="5"/>
    <s v="Frankfurt"/>
    <s v="Europe &gt; Germany &gt; Frankfurt"/>
    <s v="Corporate"/>
    <s v="Direct"/>
    <x v="4"/>
    <x v="13"/>
    <x v="5"/>
    <s v="Medium"/>
    <x v="249"/>
    <n v="738.16"/>
    <n v="848.8839999999999"/>
    <n v="956.49"/>
    <n v="956.49"/>
    <n v="1099.9634999999998"/>
    <n v="0.152"/>
    <s v="OK"/>
    <n v="0.152"/>
    <n v="0.152"/>
    <n v="5"/>
    <n v="6"/>
    <n v="4055.5175999999997"/>
    <n v="7602.9477119999983"/>
    <n v="3690.7999999999997"/>
    <n v="364.71759999999995"/>
    <n v="3912.1477119999986"/>
    <n v="8.9931208780847108E-2"/>
    <d v="2023-01-02T00:00:00"/>
    <s v="Jan-2023"/>
    <n v="0"/>
    <n v="0"/>
    <n v="0"/>
  </r>
  <r>
    <s v="ORD-2025-795385"/>
    <x v="167"/>
    <x v="31"/>
    <s v="2025-Q2"/>
    <d v="2025-06-05T00:00:00"/>
    <n v="4"/>
    <s v="ACHIEVED"/>
    <x v="3"/>
    <x v="5"/>
    <s v="Munich"/>
    <s v="Europe &gt; Germany &gt; Munich"/>
    <s v="Enterprise"/>
    <s v="Direct"/>
    <x v="4"/>
    <x v="13"/>
    <x v="0"/>
    <s v="High"/>
    <x v="250"/>
    <n v="1171.42"/>
    <n v="1347.133"/>
    <n v="2187.8000000000002"/>
    <n v="2187.8000000000002"/>
    <n v="2515.9699999999998"/>
    <n v="0.23"/>
    <s v="OK"/>
    <n v="0.23"/>
    <n v="0.23"/>
    <n v="15"/>
    <n v="18"/>
    <n v="25269.09"/>
    <n v="55703.575799999999"/>
    <n v="17571.300000000003"/>
    <n v="7697.7899999999972"/>
    <n v="38132.275799999996"/>
    <n v="0.30463265594447592"/>
    <d v="2023-01-02T00:00:00"/>
    <s v="Jan-2023"/>
    <n v="0"/>
    <n v="0"/>
    <n v="0"/>
  </r>
  <r>
    <s v="ORD-2025-947929"/>
    <x v="217"/>
    <x v="2"/>
    <s v="2025-Q1"/>
    <d v="2025-04-02T00:00:00"/>
    <n v="10"/>
    <s v="NOT ACHIEVED"/>
    <x v="3"/>
    <x v="5"/>
    <s v="Berlin"/>
    <s v="Europe &gt; Germany &gt; Berlin"/>
    <s v="Enterprise"/>
    <s v="Online"/>
    <x v="1"/>
    <x v="11"/>
    <x v="5"/>
    <s v="Medium"/>
    <x v="251"/>
    <n v="663.61"/>
    <n v="763.15149999999994"/>
    <n v="1002.11"/>
    <n v="1002.11"/>
    <n v="1152.4265"/>
    <n v="4.5999999999999999E-2"/>
    <s v="OK"/>
    <n v="4.5999999999999999E-2"/>
    <n v="4.5999999999999999E-2"/>
    <n v="17"/>
    <n v="20.399999999999999"/>
    <n v="16252.219979999998"/>
    <n v="24590.9376276"/>
    <n v="11281.37"/>
    <n v="4970.8499799999972"/>
    <n v="13309.567627599999"/>
    <n v="0.30585667595670812"/>
    <d v="2023-01-02T00:00:00"/>
    <s v="Jan-2023"/>
    <n v="0"/>
    <n v="0"/>
    <n v="0"/>
  </r>
  <r>
    <s v="ORD-2023-799597"/>
    <x v="218"/>
    <x v="12"/>
    <s v="2023-Q1"/>
    <d v="2023-03-18T00:00:00"/>
    <n v="4"/>
    <s v="ACHIEVED"/>
    <x v="3"/>
    <x v="5"/>
    <s v="Frankfurt"/>
    <s v="Europe &gt; Germany &gt; Frankfurt"/>
    <s v="Enterprise"/>
    <s v="Direct"/>
    <x v="4"/>
    <x v="1"/>
    <x v="0"/>
    <s v="Low"/>
    <x v="252"/>
    <n v="472.33"/>
    <n v="543.17949999999996"/>
    <n v="360.34"/>
    <n v="360.34"/>
    <n v="414.39099999999996"/>
    <n v="0.16500000000000001"/>
    <s v="OK"/>
    <n v="0.16500000000000001"/>
    <n v="0.16500000000000001"/>
    <n v="14"/>
    <n v="16.8"/>
    <n v="4212.3745999999992"/>
    <n v="8110.4606519999998"/>
    <n v="6612.62"/>
    <n v="-2400.2454000000007"/>
    <n v="1497.8406519999999"/>
    <n v="-0.56980815523861561"/>
    <d v="2023-01-02T00:00:00"/>
    <s v="Jan-2023"/>
    <n v="0"/>
    <n v="0"/>
    <n v="0"/>
  </r>
  <r>
    <s v="ORD-2023-609394"/>
    <x v="219"/>
    <x v="19"/>
    <s v="2023-Q2"/>
    <d v="2023-04-19T00:00:00"/>
    <n v="3"/>
    <s v="ACHIEVED"/>
    <x v="3"/>
    <x v="5"/>
    <s v="Munich"/>
    <s v="Europe &gt; Germany &gt; Munich"/>
    <s v="Corporate"/>
    <s v="Direct"/>
    <x v="4"/>
    <x v="6"/>
    <x v="1"/>
    <s v="Low"/>
    <x v="253"/>
    <n v="553.61"/>
    <n v="636.65149999999994"/>
    <n v="699.47"/>
    <n v="699.47"/>
    <n v="804.39049999999997"/>
    <n v="0.02"/>
    <s v="OK"/>
    <n v="0.02"/>
    <n v="0.02"/>
    <n v="33"/>
    <n v="39.6"/>
    <n v="22620.859800000002"/>
    <n v="32490.941075999999"/>
    <n v="18269.13"/>
    <n v="4351.729800000001"/>
    <n v="14221.811075999998"/>
    <n v="0.19237685209472014"/>
    <d v="2023-01-02T00:00:00"/>
    <s v="Jan-2023"/>
    <n v="0"/>
    <n v="0"/>
    <n v="0"/>
  </r>
  <r>
    <s v="ORD-2025-252117"/>
    <x v="220"/>
    <x v="7"/>
    <s v="2025-Q2"/>
    <d v="2025-05-19T00:00:00"/>
    <n v="21"/>
    <s v="NOT ACHIEVED"/>
    <x v="3"/>
    <x v="5"/>
    <s v="Berlin"/>
    <s v="Europe &gt; Germany &gt; Berlin"/>
    <s v="Corporate"/>
    <s v="Distributor"/>
    <x v="3"/>
    <x v="6"/>
    <x v="4"/>
    <s v="Low"/>
    <x v="254"/>
    <n v="350.76"/>
    <n v="403.37399999999997"/>
    <n v="492.18"/>
    <n v="492.18"/>
    <n v="566.00699999999995"/>
    <n v="5.2999999999999999E-2"/>
    <s v="OK"/>
    <n v="5.2999999999999999E-2"/>
    <n v="5.2999999999999999E-2"/>
    <n v="11"/>
    <n v="13.2"/>
    <n v="5127.0390600000001"/>
    <n v="7867.2708971999991"/>
    <n v="3858.3599999999997"/>
    <n v="1268.6790600000004"/>
    <n v="4008.9108971999995"/>
    <n v="0.24744868239798437"/>
    <d v="2023-01-02T00:00:00"/>
    <s v="Jan-2023"/>
    <n v="0"/>
    <n v="0"/>
    <n v="0"/>
  </r>
  <r>
    <s v="ORD-2023-349264"/>
    <x v="221"/>
    <x v="11"/>
    <s v="2023-Q2"/>
    <d v="2023-06-08T00:00:00"/>
    <n v="7"/>
    <s v="ACHIEVED"/>
    <x v="3"/>
    <x v="5"/>
    <s v="Frankfurt"/>
    <s v="Europe &gt; Germany &gt; Frankfurt"/>
    <s v="Consumer"/>
    <s v="Online"/>
    <x v="1"/>
    <x v="1"/>
    <x v="4"/>
    <s v="Medium"/>
    <x v="255"/>
    <n v="804.17"/>
    <n v="924.79549999999983"/>
    <n v="1072.29"/>
    <n v="1072.29"/>
    <n v="1233.1334999999999"/>
    <n v="3.2000000000000001E-2"/>
    <s v="OK"/>
    <n v="3.2000000000000001E-2"/>
    <n v="3.2000000000000001E-2"/>
    <n v="5"/>
    <n v="6"/>
    <n v="5189.8836000000001"/>
    <n v="7635.5626320000001"/>
    <n v="4020.85"/>
    <n v="1169.0336000000002"/>
    <n v="3614.7126320000002"/>
    <n v="0.2252523736755869"/>
    <d v="2023-01-02T00:00:00"/>
    <s v="Jan-2023"/>
    <n v="0"/>
    <n v="0"/>
    <n v="0"/>
  </r>
  <r>
    <s v="ORD-2024-402240"/>
    <x v="222"/>
    <x v="16"/>
    <s v="2024-Q2"/>
    <d v="2024-05-26T00:00:00"/>
    <n v="25"/>
    <s v="NOT ACHIEVED"/>
    <x v="3"/>
    <x v="5"/>
    <s v="Berlin"/>
    <s v="Europe &gt; Germany &gt; Berlin"/>
    <s v="Non-Profit"/>
    <s v="Retail"/>
    <x v="0"/>
    <x v="6"/>
    <x v="6"/>
    <s v="High"/>
    <x v="256"/>
    <n v="930.71"/>
    <n v="1070.3164999999999"/>
    <n v="1625.42"/>
    <n v="1625.42"/>
    <n v="1869.2329999999999"/>
    <n v="0.13800000000000001"/>
    <s v="OK"/>
    <n v="0.13800000000000001"/>
    <n v="0.13800000000000001"/>
    <n v="7"/>
    <n v="8.4"/>
    <n v="9807.7842799999999"/>
    <n v="17868.372093599999"/>
    <n v="6514.97"/>
    <n v="3292.8142799999996"/>
    <n v="11353.402093599998"/>
    <n v="0.33573477821231196"/>
    <d v="2023-01-02T00:00:00"/>
    <s v="Jan-2023"/>
    <n v="0"/>
    <n v="0"/>
    <n v="0"/>
  </r>
  <r>
    <s v="ORD-2025-926547"/>
    <x v="223"/>
    <x v="2"/>
    <s v="2025-Q1"/>
    <d v="2025-03-26T00:00:00"/>
    <n v="15"/>
    <s v="NOT ACHIEVED"/>
    <x v="3"/>
    <x v="5"/>
    <s v="Berlin"/>
    <s v="Europe &gt; Germany &gt; Berlin"/>
    <s v="Small Business"/>
    <s v="Online"/>
    <x v="1"/>
    <x v="12"/>
    <x v="4"/>
    <s v="Low"/>
    <x v="257"/>
    <n v="116.97"/>
    <n v="134.51549999999997"/>
    <n v="140.82"/>
    <n v="140.82"/>
    <n v="161.94299999999998"/>
    <n v="0.122"/>
    <s v="OK"/>
    <n v="0.122"/>
    <n v="0.122"/>
    <n v="5"/>
    <n v="6"/>
    <n v="618.19979999999987"/>
    <n v="1090.2002759999998"/>
    <n v="584.85"/>
    <n v="33.349799999999846"/>
    <n v="505.35027599999978"/>
    <n v="5.3946636669891926E-2"/>
    <d v="2023-01-02T00:00:00"/>
    <s v="Jan-2023"/>
    <n v="0"/>
    <n v="0"/>
    <n v="0"/>
  </r>
  <r>
    <s v="ORD-2023-811823"/>
    <x v="224"/>
    <x v="28"/>
    <s v="2023-Q1"/>
    <d v="2023-02-15T00:00:00"/>
    <n v="20"/>
    <s v="NOT ACHIEVED"/>
    <x v="3"/>
    <x v="5"/>
    <s v="Berlin"/>
    <s v="Europe &gt; Germany &gt; Berlin"/>
    <s v="Small Business"/>
    <s v="Online"/>
    <x v="1"/>
    <x v="7"/>
    <x v="6"/>
    <s v="Low"/>
    <x v="258"/>
    <n v="492.62"/>
    <n v="566.51299999999992"/>
    <n v="366.7"/>
    <n v="366.7"/>
    <n v="421.70499999999993"/>
    <n v="8.8999999999999996E-2"/>
    <s v="OK"/>
    <n v="8.8999999999999996E-2"/>
    <n v="8.8999999999999996E-2"/>
    <n v="10"/>
    <n v="12"/>
    <n v="3340.6370000000002"/>
    <n v="5510.8409399999991"/>
    <n v="4926.2"/>
    <n v="-1585.5629999999996"/>
    <n v="584.64093999999932"/>
    <n v="-0.47462894052840809"/>
    <d v="2023-01-02T00:00:00"/>
    <s v="Jan-2023"/>
    <n v="0"/>
    <n v="0"/>
    <n v="0"/>
  </r>
  <r>
    <s v="ORD-2023-453699"/>
    <x v="182"/>
    <x v="14"/>
    <s v="2023-Q3"/>
    <d v="2023-07-08T00:00:00"/>
    <n v="7"/>
    <s v="ACHIEVED"/>
    <x v="3"/>
    <x v="5"/>
    <s v="Frankfurt"/>
    <s v="Europe &gt; Germany &gt; Frankfurt"/>
    <s v="Small Business"/>
    <s v="Distributor"/>
    <x v="3"/>
    <x v="5"/>
    <x v="3"/>
    <s v="Medium"/>
    <x v="259"/>
    <n v="460.21"/>
    <n v="529.24149999999997"/>
    <n v="1139.1500000000001"/>
    <n v="1139.1500000000001"/>
    <n v="1310.0225"/>
    <n v="0.115"/>
    <s v="OK"/>
    <n v="0.115"/>
    <n v="0.115"/>
    <n v="14"/>
    <n v="16.8"/>
    <n v="14114.068500000001"/>
    <n v="24539.341469999999"/>
    <n v="6442.94"/>
    <n v="7671.1285000000016"/>
    <n v="18096.401470000001"/>
    <n v="0.54350937151821255"/>
    <d v="2023-01-02T00:00:00"/>
    <s v="Jan-2023"/>
    <n v="0"/>
    <n v="0"/>
    <n v="0"/>
  </r>
  <r>
    <s v="ORD-2023-472078"/>
    <x v="168"/>
    <x v="5"/>
    <s v="2023-Q1"/>
    <d v="2023-03-06T00:00:00"/>
    <n v="6"/>
    <s v="ACHIEVED"/>
    <x v="3"/>
    <x v="5"/>
    <s v="Frankfurt"/>
    <s v="Europe &gt; Germany &gt; Frankfurt"/>
    <s v="Small Business"/>
    <s v="Marketplace"/>
    <x v="2"/>
    <x v="14"/>
    <x v="5"/>
    <s v="Medium"/>
    <x v="260"/>
    <n v="880.02"/>
    <n v="1012.0229999999999"/>
    <n v="1251.21"/>
    <n v="1251.21"/>
    <n v="1438.8915"/>
    <n v="0.123"/>
    <s v="OK"/>
    <n v="0.123"/>
    <n v="0.123"/>
    <n v="29"/>
    <n v="34.799999999999997"/>
    <n v="31822.023930000003"/>
    <n v="56232.455376599995"/>
    <n v="25520.579999999998"/>
    <n v="6301.4439300000049"/>
    <n v="30711.875376599997"/>
    <n v="0.19802146915172672"/>
    <d v="2023-01-02T00:00:00"/>
    <s v="Jan-2023"/>
    <n v="0"/>
    <n v="0"/>
    <n v="0"/>
  </r>
  <r>
    <s v="ORD-2025-337268"/>
    <x v="225"/>
    <x v="8"/>
    <s v="2025-Q1"/>
    <d v="2025-03-17T00:00:00"/>
    <n v="29"/>
    <s v="NOT ACHIEVED"/>
    <x v="3"/>
    <x v="5"/>
    <s v="Munich"/>
    <s v="Europe &gt; Germany &gt; Munich"/>
    <s v="Consumer"/>
    <s v="Retail"/>
    <x v="0"/>
    <x v="10"/>
    <x v="1"/>
    <s v="Medium"/>
    <x v="261"/>
    <n v="730.42"/>
    <n v="839.98299999999983"/>
    <n v="956.7"/>
    <n v="956.7"/>
    <n v="1100.2049999999999"/>
    <n v="4.2000000000000003E-2"/>
    <s v="OK"/>
    <n v="4.2000000000000003E-2"/>
    <n v="4.2000000000000003E-2"/>
    <n v="22"/>
    <n v="26.4"/>
    <n v="20163.409200000002"/>
    <n v="30265.319303999997"/>
    <n v="16069.24"/>
    <n v="4094.1692000000021"/>
    <n v="14196.079303999997"/>
    <n v="0.20304945256975698"/>
    <d v="2023-01-02T00:00:00"/>
    <s v="Jan-2023"/>
    <n v="0"/>
    <n v="0"/>
    <n v="0"/>
  </r>
  <r>
    <s v="ORD-2023-961864"/>
    <x v="226"/>
    <x v="9"/>
    <s v="2023-Q4"/>
    <d v="2024-01-02T00:00:00"/>
    <n v="26"/>
    <s v="NOT ACHIEVED"/>
    <x v="3"/>
    <x v="5"/>
    <s v="Frankfurt"/>
    <s v="Europe &gt; Germany &gt; Frankfurt"/>
    <s v="Enterprise"/>
    <s v="Distributor"/>
    <x v="3"/>
    <x v="11"/>
    <x v="0"/>
    <s v="High"/>
    <x v="262"/>
    <n v="1071.99"/>
    <n v="1232.7884999999999"/>
    <n v="2397.3000000000002"/>
    <n v="2397.3000000000002"/>
    <n v="2756.895"/>
    <n v="6.2E-2"/>
    <s v="OK"/>
    <n v="6.2E-2"/>
    <n v="6.2E-2"/>
    <n v="18"/>
    <n v="21.599999999999998"/>
    <n v="40476.013200000001"/>
    <n v="63240.965783999993"/>
    <n v="19295.82"/>
    <n v="21180.193200000002"/>
    <n v="43945.145783999993"/>
    <n v="0.52327765324476183"/>
    <d v="2023-01-02T00:00:00"/>
    <s v="Jan-2023"/>
    <n v="0"/>
    <n v="0"/>
    <n v="0"/>
  </r>
  <r>
    <s v="ORD-2024-336584"/>
    <x v="90"/>
    <x v="30"/>
    <s v="2024-Q4"/>
    <d v="2025-01-14T00:00:00"/>
    <n v="18"/>
    <s v="NOT ACHIEVED"/>
    <x v="2"/>
    <x v="6"/>
    <s v="Bengaluru"/>
    <s v="Asia &gt; India &gt; Bengaluru"/>
    <s v="Small Business"/>
    <s v="Marketplace"/>
    <x v="2"/>
    <x v="11"/>
    <x v="2"/>
    <s v="Medium"/>
    <x v="263"/>
    <n v="586.07000000000005"/>
    <n v="673.98050000000001"/>
    <n v="845.97"/>
    <n v="845.97"/>
    <n v="972.8655"/>
    <n v="0.14699999999999999"/>
    <s v="OK"/>
    <n v="0.14699999999999999"/>
    <n v="0.14699999999999999"/>
    <n v="4"/>
    <n v="4.8"/>
    <n v="2886.4496399999998"/>
    <n v="5356.2082967999995"/>
    <n v="2344.2800000000002"/>
    <n v="542.16963999999962"/>
    <n v="3011.9282967999993"/>
    <n v="0.18783270370862928"/>
    <d v="2023-01-02T00:00:00"/>
    <s v="Jan-2023"/>
    <n v="0"/>
    <n v="0"/>
    <n v="0"/>
  </r>
  <r>
    <s v="ORD-2024-170313"/>
    <x v="90"/>
    <x v="30"/>
    <s v="2024-Q4"/>
    <d v="2025-01-15T00:00:00"/>
    <n v="19"/>
    <s v="NOT ACHIEVED"/>
    <x v="2"/>
    <x v="6"/>
    <s v="Delhi"/>
    <s v="Asia &gt; India &gt; Delhi"/>
    <s v="Non-Profit"/>
    <s v="Distributor"/>
    <x v="3"/>
    <x v="4"/>
    <x v="0"/>
    <s v="Low"/>
    <x v="264"/>
    <n v="495.59"/>
    <n v="569.92849999999987"/>
    <n v="631.78"/>
    <n v="631.78"/>
    <n v="726.54699999999991"/>
    <n v="8.6999999999999994E-2"/>
    <s v="OK"/>
    <n v="8.6999999999999994E-2"/>
    <n v="8.6999999999999994E-2"/>
    <n v="17"/>
    <n v="20.399999999999999"/>
    <n v="9805.8573800000013"/>
    <n v="16111.034415599996"/>
    <n v="8425.0299999999988"/>
    <n v="1380.8273800000024"/>
    <n v="7686.0044155999967"/>
    <n v="0.14081658813601899"/>
    <d v="2023-01-02T00:00:00"/>
    <s v="Jan-2023"/>
    <n v="0"/>
    <n v="0"/>
    <n v="0"/>
  </r>
  <r>
    <s v="ORD-2023-864121"/>
    <x v="227"/>
    <x v="12"/>
    <s v="2023-Q1"/>
    <d v="2023-04-22T00:00:00"/>
    <n v="26"/>
    <s v="NOT ACHIEVED"/>
    <x v="2"/>
    <x v="6"/>
    <s v="Delhi"/>
    <s v="Asia &gt; India &gt; Delhi"/>
    <s v="Non-Profit"/>
    <s v="Marketplace"/>
    <x v="2"/>
    <x v="2"/>
    <x v="5"/>
    <s v="Low"/>
    <x v="265"/>
    <n v="178.53"/>
    <n v="205.30949999999999"/>
    <n v="199.37"/>
    <n v="199.37"/>
    <n v="229.27549999999999"/>
    <n v="0.10100000000000001"/>
    <s v="OK"/>
    <n v="0.10100000000000001"/>
    <n v="0.10100000000000001"/>
    <n v="37"/>
    <n v="44.4"/>
    <n v="6631.6443100000006"/>
    <n v="11207.995252199999"/>
    <n v="6605.61"/>
    <n v="26.034310000000914"/>
    <n v="4602.3852521999988"/>
    <n v="3.9257699573457538E-3"/>
    <d v="2023-01-02T00:00:00"/>
    <s v="Jan-2023"/>
    <n v="0"/>
    <n v="0"/>
    <n v="0"/>
  </r>
  <r>
    <s v="ORD-2023-308124"/>
    <x v="26"/>
    <x v="19"/>
    <s v="2023-Q2"/>
    <d v="2023-04-30T00:00:00"/>
    <n v="11"/>
    <s v="NOT ACHIEVED"/>
    <x v="2"/>
    <x v="6"/>
    <s v="Delhi"/>
    <s v="Asia &gt; India &gt; Delhi"/>
    <s v="Small Business"/>
    <s v="Retail"/>
    <x v="0"/>
    <x v="1"/>
    <x v="6"/>
    <s v="Medium"/>
    <x v="266"/>
    <n v="826.55"/>
    <n v="950.53249999999991"/>
    <n v="1397.05"/>
    <n v="1397.05"/>
    <n v="1606.6074999999998"/>
    <n v="0.16900000000000001"/>
    <s v="OK"/>
    <n v="0.16900000000000001"/>
    <n v="0.16900000000000001"/>
    <n v="28"/>
    <n v="33.6"/>
    <n v="32506.559399999998"/>
    <n v="63104.972027999996"/>
    <n v="23143.399999999998"/>
    <n v="9363.1594000000005"/>
    <n v="39961.572027999995"/>
    <n v="0.28803907804527601"/>
    <d v="2023-01-02T00:00:00"/>
    <s v="Jan-2023"/>
    <n v="0"/>
    <n v="0"/>
    <n v="0"/>
  </r>
  <r>
    <s v="ORD-2024-260775"/>
    <x v="228"/>
    <x v="32"/>
    <s v="2024-Q4"/>
    <d v="2024-11-06T00:00:00"/>
    <n v="20"/>
    <s v="NOT ACHIEVED"/>
    <x v="2"/>
    <x v="6"/>
    <s v="Bengaluru"/>
    <s v="Asia &gt; India &gt; Bengaluru"/>
    <s v="Enterprise"/>
    <s v="Distributor"/>
    <x v="3"/>
    <x v="7"/>
    <x v="2"/>
    <s v="Low"/>
    <x v="267"/>
    <n v="72.94"/>
    <n v="83.880999999999986"/>
    <n v="106.3"/>
    <n v="106.3"/>
    <n v="122.24499999999999"/>
    <n v="0.29499999999999998"/>
    <s v="OK"/>
    <n v="0.29499999999999998"/>
    <n v="0.25"/>
    <n v="8"/>
    <n v="9.6"/>
    <n v="599.53200000000004"/>
    <n v="1466.9399999999998"/>
    <n v="583.52"/>
    <n v="16.012000000000057"/>
    <n v="883.41999999999985"/>
    <n v="2.6707498515508857E-2"/>
    <d v="2023-01-02T00:00:00"/>
    <s v="Jan-2023"/>
    <n v="0"/>
    <n v="0"/>
    <n v="0"/>
  </r>
  <r>
    <s v="ORD-2024-247979"/>
    <x v="14"/>
    <x v="13"/>
    <s v="2024-Q4"/>
    <d v="2024-11-18T00:00:00"/>
    <n v="16"/>
    <s v="NOT ACHIEVED"/>
    <x v="2"/>
    <x v="6"/>
    <s v="Mumbai"/>
    <s v="Asia &gt; India &gt; Mumbai"/>
    <s v="Small Business"/>
    <s v="Distributor"/>
    <x v="3"/>
    <x v="7"/>
    <x v="2"/>
    <s v="High"/>
    <x v="268"/>
    <n v="1233.58"/>
    <n v="1418.6169999999997"/>
    <n v="1912.51"/>
    <n v="1912.51"/>
    <n v="2199.3864999999996"/>
    <n v="0.255"/>
    <s v="OK"/>
    <n v="0.255"/>
    <n v="0.25"/>
    <n v="51"/>
    <n v="61.199999999999996"/>
    <n v="72665.817450000002"/>
    <n v="168253.06724999996"/>
    <n v="62912.579999999994"/>
    <n v="9753.2374500000078"/>
    <n v="105340.48724999998"/>
    <n v="0.134220432553601"/>
    <d v="2023-01-02T00:00:00"/>
    <s v="Jan-2023"/>
    <n v="0"/>
    <n v="0"/>
    <n v="0"/>
  </r>
  <r>
    <s v="ORD-2023-722117"/>
    <x v="229"/>
    <x v="29"/>
    <s v="2023-Q3"/>
    <d v="2023-10-08T00:00:00"/>
    <n v="20"/>
    <s v="NOT ACHIEVED"/>
    <x v="2"/>
    <x v="6"/>
    <s v="Delhi"/>
    <s v="Asia &gt; India &gt; Delhi"/>
    <s v="Small Business"/>
    <s v="Direct"/>
    <x v="4"/>
    <x v="6"/>
    <x v="0"/>
    <s v="Medium"/>
    <x v="269"/>
    <n v="825.64"/>
    <n v="949.48599999999988"/>
    <n v="1108.43"/>
    <n v="1108.43"/>
    <n v="1274.6945000000001"/>
    <n v="0.114"/>
    <s v="OK"/>
    <n v="0.114"/>
    <n v="0.114"/>
    <n v="7"/>
    <n v="8.4"/>
    <n v="6874.4828600000001"/>
    <n v="11928.081253200002"/>
    <n v="5779.48"/>
    <n v="1095.0028600000005"/>
    <n v="6148.6012532000022"/>
    <n v="0.15928512475773349"/>
    <d v="2023-01-02T00:00:00"/>
    <s v="Jan-2023"/>
    <n v="0"/>
    <n v="0"/>
    <n v="0"/>
  </r>
  <r>
    <s v="ORD-2024-604471"/>
    <x v="230"/>
    <x v="22"/>
    <s v="2024-Q1"/>
    <d v="2024-01-25T00:00:00"/>
    <n v="4"/>
    <s v="ACHIEVED"/>
    <x v="2"/>
    <x v="6"/>
    <s v="Delhi"/>
    <s v="Asia &gt; India &gt; Delhi"/>
    <s v="Consumer"/>
    <s v="Direct"/>
    <x v="4"/>
    <x v="0"/>
    <x v="2"/>
    <s v="Medium"/>
    <x v="270"/>
    <n v="523.70000000000005"/>
    <n v="602.255"/>
    <n v="1109.92"/>
    <n v="1109.92"/>
    <n v="1276.4079999999999"/>
    <n v="0.03"/>
    <s v="OK"/>
    <n v="0.03"/>
    <n v="0.03"/>
    <n v="11"/>
    <n v="13.2"/>
    <n v="11842.8464"/>
    <n v="17354.043168"/>
    <n v="5760.7000000000007"/>
    <n v="6082.1463999999996"/>
    <n v="11593.343167999999"/>
    <n v="0.51357133197302973"/>
    <d v="2023-01-02T00:00:00"/>
    <s v="Jan-2023"/>
    <n v="0"/>
    <n v="0"/>
    <n v="0"/>
  </r>
  <r>
    <s v="ORD-2025-526752"/>
    <x v="152"/>
    <x v="31"/>
    <s v="2025-Q2"/>
    <d v="2025-06-25T00:00:00"/>
    <n v="16"/>
    <s v="NOT ACHIEVED"/>
    <x v="2"/>
    <x v="6"/>
    <s v="Hyderabad"/>
    <s v="Asia &gt; India &gt; Hyderabad"/>
    <s v="Enterprise"/>
    <s v="Distributor"/>
    <x v="3"/>
    <x v="13"/>
    <x v="4"/>
    <s v="Medium"/>
    <x v="271"/>
    <n v="527.33000000000004"/>
    <n v="606.42949999999996"/>
    <n v="911.72"/>
    <n v="911.72"/>
    <n v="1048.4779999999998"/>
    <n v="0.14399999999999999"/>
    <s v="OK"/>
    <n v="0.14399999999999999"/>
    <n v="0.14399999999999999"/>
    <n v="25"/>
    <n v="30"/>
    <n v="19510.808000000001"/>
    <n v="35983.764959999993"/>
    <n v="13183.250000000002"/>
    <n v="6327.5579999999991"/>
    <n v="22800.514959999993"/>
    <n v="0.32431040272652978"/>
    <d v="2023-01-02T00:00:00"/>
    <s v="Jan-2023"/>
    <n v="0"/>
    <n v="0"/>
    <n v="0"/>
  </r>
  <r>
    <s v="ORD-2025-262491"/>
    <x v="114"/>
    <x v="24"/>
    <s v="2025-Q3"/>
    <d v="2025-08-16T00:00:00"/>
    <n v="15"/>
    <s v="NOT ACHIEVED"/>
    <x v="2"/>
    <x v="6"/>
    <s v="Unkown"/>
    <s v="Asia &gt; India &gt; Unkown"/>
    <s v="Enterprise"/>
    <s v="Direct"/>
    <x v="4"/>
    <x v="7"/>
    <x v="2"/>
    <s v="Low"/>
    <x v="272"/>
    <n v="24.44"/>
    <n v="28.105999999999998"/>
    <n v="28.69"/>
    <n v="28.69"/>
    <n v="32.993499999999997"/>
    <n v="0.14599999999999999"/>
    <s v="OK"/>
    <n v="0.14599999999999999"/>
    <n v="0.14599999999999999"/>
    <n v="6"/>
    <n v="7.1999999999999993"/>
    <n v="147.00756000000001"/>
    <n v="272.23596719999989"/>
    <n v="146.64000000000001"/>
    <n v="0.36755999999999744"/>
    <n v="125.59596719999988"/>
    <n v="2.5002795774584476E-3"/>
    <d v="2023-01-02T00:00:00"/>
    <s v="Jan-2023"/>
    <n v="0"/>
    <n v="0"/>
    <n v="0"/>
  </r>
  <r>
    <s v="ORD-2024-851883"/>
    <x v="208"/>
    <x v="22"/>
    <s v="2024-Q1"/>
    <d v="2024-01-22T00:00:00"/>
    <n v="9"/>
    <s v="NOT ACHIEVED"/>
    <x v="2"/>
    <x v="6"/>
    <s v="Mumbai"/>
    <s v="Asia &gt; India &gt; Mumbai"/>
    <s v="Enterprise"/>
    <s v="Marketplace"/>
    <x v="2"/>
    <x v="2"/>
    <x v="0"/>
    <s v="Low"/>
    <x v="273"/>
    <n v="313.60000000000002"/>
    <n v="360.64"/>
    <n v="334.28"/>
    <n v="334.28"/>
    <n v="384.42199999999991"/>
    <n v="0.14000000000000001"/>
    <s v="OK"/>
    <n v="0.14000000000000001"/>
    <n v="0.14000000000000001"/>
    <n v="22"/>
    <n v="26.4"/>
    <n v="6324.5775999999996"/>
    <n v="11569.564511999999"/>
    <n v="6899.2000000000007"/>
    <n v="-574.62240000000111"/>
    <n v="4670.3645119999983"/>
    <n v="-9.0855458868905517E-2"/>
    <d v="2023-01-02T00:00:00"/>
    <s v="Jan-2023"/>
    <n v="0"/>
    <n v="0"/>
    <n v="0"/>
  </r>
  <r>
    <s v="ORD-2023-906481"/>
    <x v="139"/>
    <x v="26"/>
    <s v="2023-Q2"/>
    <d v="2023-05-18T00:00:00"/>
    <n v="16"/>
    <s v="NOT ACHIEVED"/>
    <x v="2"/>
    <x v="6"/>
    <s v="Delhi"/>
    <s v="Asia &gt; India &gt; Delhi"/>
    <s v="Small Business"/>
    <s v="Marketplace"/>
    <x v="2"/>
    <x v="3"/>
    <x v="2"/>
    <s v="High"/>
    <x v="274"/>
    <n v="1463.92"/>
    <n v="1683.508"/>
    <n v="2252.2399999999998"/>
    <n v="2252.2399999999998"/>
    <n v="2590.0759999999996"/>
    <n v="0.11799999999999999"/>
    <s v="OK"/>
    <n v="0.11799999999999999"/>
    <n v="0.11799999999999999"/>
    <n v="44"/>
    <n v="52.8"/>
    <n v="87404.929919999995"/>
    <n v="152893.22231039996"/>
    <n v="64412.480000000003"/>
    <n v="22992.449919999992"/>
    <n v="88480.742310399946"/>
    <n v="0.26305667130040061"/>
    <d v="2023-01-02T00:00:00"/>
    <s v="Jan-2023"/>
    <n v="0"/>
    <n v="0"/>
    <n v="0"/>
  </r>
  <r>
    <s v="ORD-2024-553449"/>
    <x v="193"/>
    <x v="10"/>
    <s v="2024-Q3"/>
    <d v="2024-09-18T00:00:00"/>
    <n v="22"/>
    <s v="NOT ACHIEVED"/>
    <x v="2"/>
    <x v="6"/>
    <s v="Delhi"/>
    <s v="Asia &gt; India &gt; Delhi"/>
    <s v="Consumer"/>
    <s v="Direct"/>
    <x v="4"/>
    <x v="6"/>
    <x v="0"/>
    <s v="High"/>
    <x v="275"/>
    <n v="896.75"/>
    <n v="1031.2624999999998"/>
    <n v="1651.14"/>
    <n v="1651.14"/>
    <n v="1898.8109999999999"/>
    <n v="2.5000000000000001E-2"/>
    <s v="OK"/>
    <n v="2.5000000000000001E-2"/>
    <n v="2.5000000000000001E-2"/>
    <n v="15"/>
    <n v="18"/>
    <n v="24147.922500000001"/>
    <n v="35033.062949999992"/>
    <n v="13451.25"/>
    <n v="10696.672500000001"/>
    <n v="21581.812949999992"/>
    <n v="0.44296450346815552"/>
    <d v="2023-01-02T00:00:00"/>
    <s v="Jan-2023"/>
    <n v="0"/>
    <n v="0"/>
    <n v="0"/>
  </r>
  <r>
    <s v="ORD-2023-848013"/>
    <x v="231"/>
    <x v="5"/>
    <s v="2023-Q1"/>
    <d v="2023-03-04T00:00:00"/>
    <n v="12"/>
    <s v="NOT ACHIEVED"/>
    <x v="2"/>
    <x v="6"/>
    <s v="Delhi"/>
    <s v="Asia &gt; India &gt; Delhi"/>
    <s v="Consumer"/>
    <s v="Distributor"/>
    <x v="3"/>
    <x v="13"/>
    <x v="2"/>
    <s v="Low"/>
    <x v="276"/>
    <n v="299.75"/>
    <n v="344.71249999999998"/>
    <n v="523.01"/>
    <n v="523.01"/>
    <n v="601.46149999999989"/>
    <n v="0.157"/>
    <s v="OK"/>
    <n v="0.157"/>
    <n v="0.157"/>
    <n v="50"/>
    <n v="60"/>
    <n v="22044.871499999997"/>
    <n v="41753.457329999997"/>
    <n v="14987.5"/>
    <n v="7057.3714999999975"/>
    <n v="26765.957329999997"/>
    <n v="0.32013665854210122"/>
    <d v="2023-01-02T00:00:00"/>
    <s v="Jan-2023"/>
    <n v="0"/>
    <n v="0"/>
    <n v="0"/>
  </r>
  <r>
    <s v="ORD-2023-304451"/>
    <x v="232"/>
    <x v="20"/>
    <s v="2023-Q4"/>
    <d v="2023-10-23T00:00:00"/>
    <n v="16"/>
    <s v="NOT ACHIEVED"/>
    <x v="2"/>
    <x v="6"/>
    <s v="Hyderabad"/>
    <s v="Asia &gt; India &gt; Hyderabad"/>
    <s v="Consumer"/>
    <s v="Retail"/>
    <x v="0"/>
    <x v="4"/>
    <x v="2"/>
    <s v="Medium"/>
    <x v="277"/>
    <n v="906.81"/>
    <n v="1042.8314999999998"/>
    <n v="1395.56"/>
    <n v="1395.56"/>
    <n v="1604.8939999999998"/>
    <n v="0.185"/>
    <s v="OK"/>
    <n v="0.185"/>
    <n v="0.185"/>
    <n v="6"/>
    <n v="7.1999999999999993"/>
    <n v="6824.2884000000004"/>
    <n v="13692.955607999997"/>
    <n v="5440.86"/>
    <n v="1383.4284000000007"/>
    <n v="8252.095607999996"/>
    <n v="0.20272126834498974"/>
    <d v="2023-01-02T00:00:00"/>
    <s v="Jan-2023"/>
    <n v="0"/>
    <n v="0"/>
    <n v="0"/>
  </r>
  <r>
    <s v="ORD-2023-431328"/>
    <x v="233"/>
    <x v="9"/>
    <s v="2023-Q4"/>
    <d v="2024-01-14T00:00:00"/>
    <n v="25"/>
    <s v="NOT ACHIEVED"/>
    <x v="2"/>
    <x v="6"/>
    <s v="Mumbai"/>
    <s v="Asia &gt; India &gt; Mumbai"/>
    <s v="Non-Profit"/>
    <s v="Marketplace"/>
    <x v="2"/>
    <x v="10"/>
    <x v="2"/>
    <s v="Medium"/>
    <x v="278"/>
    <n v="1085.6099999999999"/>
    <n v="1248.4514999999999"/>
    <n v="1246.4100000000001"/>
    <n v="1246.4100000000001"/>
    <n v="1433.3715"/>
    <n v="0.113"/>
    <s v="OK"/>
    <n v="0.113"/>
    <n v="0.113"/>
    <n v="7"/>
    <n v="8.4"/>
    <n v="7738.9596900000006"/>
    <n v="13400.876827800001"/>
    <n v="7599.2699999999995"/>
    <n v="139.68969000000106"/>
    <n v="5801.6068278000012"/>
    <n v="1.8050189637310417E-2"/>
    <d v="2023-01-02T00:00:00"/>
    <s v="Jan-2023"/>
    <n v="0"/>
    <n v="0"/>
    <n v="0"/>
  </r>
  <r>
    <s v="ORD-2023-964434"/>
    <x v="234"/>
    <x v="18"/>
    <s v="2023-Q4"/>
    <d v="2023-12-07T00:00:00"/>
    <n v="9"/>
    <s v="NOT ACHIEVED"/>
    <x v="2"/>
    <x v="6"/>
    <s v="Delhi"/>
    <s v="Asia &gt; India &gt; Delhi"/>
    <s v="Enterprise"/>
    <s v="Marketplace"/>
    <x v="2"/>
    <x v="10"/>
    <x v="4"/>
    <s v="Medium"/>
    <x v="279"/>
    <n v="699.33"/>
    <n v="804.22950000000003"/>
    <n v="873.75"/>
    <n v="873.75"/>
    <n v="1004.8124999999999"/>
    <n v="0.23499999999999999"/>
    <s v="OK"/>
    <n v="0.23499999999999999"/>
    <n v="0.23499999999999999"/>
    <n v="10"/>
    <n v="12"/>
    <n v="6684.1875"/>
    <n v="14891.321249999995"/>
    <n v="6993.3"/>
    <n v="-309.11250000000018"/>
    <n v="7898.0212499999952"/>
    <n v="-4.6245336475076469E-2"/>
    <d v="2023-01-02T00:00:00"/>
    <s v="Jan-2023"/>
    <n v="0"/>
    <n v="0"/>
    <n v="0"/>
  </r>
  <r>
    <s v="ORD-2023-517216"/>
    <x v="235"/>
    <x v="29"/>
    <s v="2023-Q3"/>
    <d v="2023-10-08T00:00:00"/>
    <n v="19"/>
    <s v="NOT ACHIEVED"/>
    <x v="2"/>
    <x v="6"/>
    <s v="Bengaluru"/>
    <s v="Asia &gt; India &gt; Bengaluru"/>
    <s v="Education"/>
    <s v="Direct"/>
    <x v="4"/>
    <x v="2"/>
    <x v="5"/>
    <s v="Low"/>
    <x v="280"/>
    <n v="385.32"/>
    <n v="443.11799999999994"/>
    <n v="606.76"/>
    <n v="606.76"/>
    <n v="697.77399999999989"/>
    <n v="8.5999999999999993E-2"/>
    <s v="OK"/>
    <n v="8.5999999999999993E-2"/>
    <n v="8.5999999999999993E-2"/>
    <n v="8"/>
    <n v="9.6"/>
    <n v="4436.6291200000005"/>
    <n v="7274.7126143999994"/>
    <n v="3082.56"/>
    <n v="1354.0691200000006"/>
    <n v="4192.1526143999999"/>
    <n v="0.30520223425842735"/>
    <d v="2023-01-02T00:00:00"/>
    <s v="Jan-2023"/>
    <n v="0"/>
    <n v="0"/>
    <n v="0"/>
  </r>
  <r>
    <s v="ORD-2023-474313"/>
    <x v="124"/>
    <x v="20"/>
    <s v="2023-Q4"/>
    <d v="2023-10-06T00:00:00"/>
    <n v="1"/>
    <s v="ACHIEVED"/>
    <x v="2"/>
    <x v="6"/>
    <s v="Bengaluru"/>
    <s v="Asia &gt; India &gt; Bengaluru"/>
    <s v="Non-Profit"/>
    <s v="Online"/>
    <x v="1"/>
    <x v="12"/>
    <x v="0"/>
    <s v="High"/>
    <x v="281"/>
    <n v="1470.26"/>
    <n v="1690.7989999999998"/>
    <n v="2562.5500000000002"/>
    <n v="2562.5500000000002"/>
    <n v="2946.9324999999999"/>
    <n v="0.17299999999999999"/>
    <s v="OK"/>
    <n v="0.17299999999999999"/>
    <n v="0.17299999999999999"/>
    <n v="9"/>
    <n v="10.799999999999999"/>
    <n v="19073.059649999999"/>
    <n v="37332.919682999993"/>
    <n v="13232.34"/>
    <n v="5840.7196499999991"/>
    <n v="24100.579682999993"/>
    <n v="0.30622877279157462"/>
    <d v="2023-01-02T00:00:00"/>
    <s v="Jan-2023"/>
    <n v="0"/>
    <n v="0"/>
    <n v="0"/>
  </r>
  <r>
    <s v="ORD-2025-484073"/>
    <x v="236"/>
    <x v="8"/>
    <s v="2025-Q1"/>
    <d v="2025-03-09T00:00:00"/>
    <n v="18"/>
    <s v="NOT ACHIEVED"/>
    <x v="2"/>
    <x v="6"/>
    <s v="Delhi"/>
    <s v="Asia &gt; India &gt; Delhi"/>
    <s v="Small Business"/>
    <s v="Direct"/>
    <x v="4"/>
    <x v="7"/>
    <x v="2"/>
    <s v="Low"/>
    <x v="282"/>
    <n v="325.87"/>
    <n v="374.75049999999999"/>
    <n v="538.79"/>
    <n v="538.79"/>
    <n v="619.60849999999994"/>
    <n v="0.17399999999999999"/>
    <s v="OK"/>
    <n v="0.17399999999999999"/>
    <n v="0.17399999999999999"/>
    <n v="16"/>
    <n v="19.2"/>
    <n v="7120.6486400000003"/>
    <n v="13966.471276799997"/>
    <n v="5213.92"/>
    <n v="1906.7286400000003"/>
    <n v="8752.5512767999971"/>
    <n v="0.26777457172778013"/>
    <d v="2023-01-02T00:00:00"/>
    <s v="Jan-2023"/>
    <n v="0"/>
    <n v="0"/>
    <n v="0"/>
  </r>
  <r>
    <s v="ORD-2023-211715"/>
    <x v="237"/>
    <x v="20"/>
    <s v="2023-Q4"/>
    <d v="2023-11-14T00:00:00"/>
    <n v="15"/>
    <s v="NOT ACHIEVED"/>
    <x v="2"/>
    <x v="6"/>
    <s v="Bengaluru"/>
    <s v="Asia &gt; India &gt; Bengaluru"/>
    <s v="Corporate"/>
    <s v="Online"/>
    <x v="1"/>
    <x v="8"/>
    <x v="3"/>
    <s v="High"/>
    <x v="283"/>
    <n v="953.46"/>
    <n v="1096.479"/>
    <n v="2066.75"/>
    <n v="2066.75"/>
    <n v="2376.7624999999998"/>
    <n v="0.13800000000000001"/>
    <s v="OK"/>
    <n v="0.13800000000000001"/>
    <n v="0.13800000000000001"/>
    <n v="5"/>
    <n v="6"/>
    <n v="8907.6924999999992"/>
    <n v="16228.534349999998"/>
    <n v="4767.3"/>
    <n v="4140.392499999999"/>
    <n v="11461.234349999999"/>
    <n v="0.46481089238318446"/>
    <d v="2023-01-02T00:00:00"/>
    <s v="Jan-2023"/>
    <n v="0"/>
    <n v="0"/>
    <n v="0"/>
  </r>
  <r>
    <s v="ORD-2025-983096"/>
    <x v="238"/>
    <x v="1"/>
    <s v="2025-Q2"/>
    <d v="2025-05-28T00:00:00"/>
    <n v="11"/>
    <s v="NOT ACHIEVED"/>
    <x v="2"/>
    <x v="6"/>
    <s v="Bengaluru"/>
    <s v="Asia &gt; India &gt; Bengaluru"/>
    <s v="Corporate"/>
    <s v="Distributor"/>
    <x v="3"/>
    <x v="6"/>
    <x v="3"/>
    <s v="Medium"/>
    <x v="284"/>
    <n v="623.4"/>
    <n v="716.91"/>
    <n v="1100.0899999999999"/>
    <n v="1100.0899999999999"/>
    <n v="1265.1034999999997"/>
    <n v="0.114"/>
    <s v="OK"/>
    <n v="0.114"/>
    <n v="0.114"/>
    <n v="12"/>
    <n v="14.399999999999999"/>
    <n v="11696.156879999999"/>
    <n v="20294.284305599995"/>
    <n v="7480.7999999999993"/>
    <n v="4215.3568799999994"/>
    <n v="12813.484305599995"/>
    <n v="0.36040529579490388"/>
    <d v="2023-01-02T00:00:00"/>
    <s v="Jan-2023"/>
    <n v="0"/>
    <n v="0"/>
    <n v="0"/>
  </r>
  <r>
    <s v="ORD-2024-862371"/>
    <x v="137"/>
    <x v="17"/>
    <s v="2024-Q3"/>
    <d v="2024-09-07T00:00:00"/>
    <n v="0"/>
    <s v="ACHIEVED"/>
    <x v="2"/>
    <x v="6"/>
    <s v="Mumbai"/>
    <s v="Asia &gt; India &gt; Mumbai"/>
    <s v="Education"/>
    <s v="Distributor"/>
    <x v="3"/>
    <x v="6"/>
    <x v="6"/>
    <s v="High"/>
    <x v="285"/>
    <n v="1066.6500000000001"/>
    <n v="1226.6475"/>
    <n v="2569.77"/>
    <n v="2569.77"/>
    <n v="2955.2354999999998"/>
    <n v="0.13400000000000001"/>
    <s v="OK"/>
    <n v="0.13400000000000001"/>
    <n v="0.13400000000000001"/>
    <n v="9"/>
    <n v="10.799999999999999"/>
    <n v="20028.787380000002"/>
    <n v="36193.360215599991"/>
    <n v="9599.85"/>
    <n v="10428.937380000001"/>
    <n v="26593.510215599992"/>
    <n v="0.52069739331368348"/>
    <d v="2023-01-02T00:00:00"/>
    <s v="Jan-2023"/>
    <n v="0"/>
    <n v="0"/>
    <n v="0"/>
  </r>
  <r>
    <s v="ORD-2024-153053"/>
    <x v="239"/>
    <x v="22"/>
    <s v="2024-Q1"/>
    <d v="2024-01-29T00:00:00"/>
    <n v="17"/>
    <s v="NOT ACHIEVED"/>
    <x v="2"/>
    <x v="6"/>
    <s v="Hyderabad"/>
    <s v="Asia &gt; India &gt; Hyderabad"/>
    <s v="Small Business"/>
    <s v="Direct"/>
    <x v="4"/>
    <x v="6"/>
    <x v="0"/>
    <s v="Low"/>
    <x v="286"/>
    <n v="310.02"/>
    <n v="356.52299999999997"/>
    <n v="619.51"/>
    <n v="619.51"/>
    <n v="712.43649999999991"/>
    <n v="4.2000000000000003E-2"/>
    <s v="OK"/>
    <n v="4.2000000000000003E-2"/>
    <n v="4.2000000000000003E-2"/>
    <n v="4"/>
    <n v="4.8"/>
    <n v="2373.9623200000001"/>
    <n v="3563.3223983999997"/>
    <n v="1240.08"/>
    <n v="1133.8823200000002"/>
    <n v="2323.2423983999997"/>
    <n v="0.47763282106347843"/>
    <d v="2023-01-02T00:00:00"/>
    <s v="Jan-2023"/>
    <n v="0"/>
    <n v="0"/>
    <n v="0"/>
  </r>
  <r>
    <s v="ORD-2023-944052"/>
    <x v="195"/>
    <x v="21"/>
    <s v="2023-Q3"/>
    <d v="2023-09-03T00:00:00"/>
    <n v="4"/>
    <s v="ACHIEVED"/>
    <x v="2"/>
    <x v="6"/>
    <s v="Delhi"/>
    <s v="Asia &gt; India &gt; Delhi"/>
    <s v="Small Business"/>
    <s v="Marketplace"/>
    <x v="2"/>
    <x v="10"/>
    <x v="1"/>
    <s v="High"/>
    <x v="287"/>
    <n v="1082.25"/>
    <n v="1244.5874999999999"/>
    <n v="2433.34"/>
    <n v="2433.34"/>
    <n v="2798.3409999999999"/>
    <n v="0.27"/>
    <s v="OK"/>
    <n v="0.27"/>
    <n v="0.25"/>
    <n v="4"/>
    <n v="4.8"/>
    <n v="7105.3528000000006"/>
    <n v="16790.045999999998"/>
    <n v="4329"/>
    <n v="2776.3528000000006"/>
    <n v="12461.045999999998"/>
    <n v="0.3907410199251472"/>
    <d v="2023-01-02T00:00:00"/>
    <s v="Jan-2023"/>
    <n v="0"/>
    <n v="0"/>
    <n v="0"/>
  </r>
  <r>
    <s v="ORD-2025-323492"/>
    <x v="154"/>
    <x v="7"/>
    <s v="2025-Q2"/>
    <d v="2025-05-27T00:00:00"/>
    <n v="30"/>
    <s v="NOT ACHIEVED"/>
    <x v="2"/>
    <x v="6"/>
    <s v="Unkown"/>
    <s v="Asia &gt; India &gt; Unkown"/>
    <s v="Enterprise"/>
    <s v="Marketplace"/>
    <x v="2"/>
    <x v="15"/>
    <x v="4"/>
    <s v="Medium"/>
    <x v="288"/>
    <n v="481.32"/>
    <n v="553.51799999999992"/>
    <n v="1135.99"/>
    <n v="1135.99"/>
    <n v="1306.3885"/>
    <n v="0.14499999999999999"/>
    <s v="OK"/>
    <n v="0.14499999999999999"/>
    <n v="0.14499999999999999"/>
    <n v="5"/>
    <n v="6"/>
    <n v="4856.35725"/>
    <n v="8974.8889950000012"/>
    <n v="2406.6"/>
    <n v="2449.7572500000001"/>
    <n v="6568.2889950000008"/>
    <n v="0.50444337677175621"/>
    <d v="2023-01-02T00:00:00"/>
    <s v="Jan-2023"/>
    <n v="0"/>
    <n v="0"/>
    <n v="0"/>
  </r>
  <r>
    <s v="ORD-2024-647473"/>
    <x v="240"/>
    <x v="23"/>
    <s v="2024-Q1"/>
    <d v="2024-03-04T00:00:00"/>
    <n v="16"/>
    <s v="NOT ACHIEVED"/>
    <x v="2"/>
    <x v="6"/>
    <s v="Delhi"/>
    <s v="Asia &gt; India &gt; Delhi"/>
    <s v="Small Business"/>
    <s v="Marketplace"/>
    <x v="2"/>
    <x v="8"/>
    <x v="4"/>
    <s v="High"/>
    <x v="289"/>
    <n v="1231.8"/>
    <n v="1416.57"/>
    <n v="2015.99"/>
    <n v="2015.99"/>
    <n v="2318.3885"/>
    <n v="0.26100000000000001"/>
    <s v="OK"/>
    <n v="0.26100000000000001"/>
    <n v="0.25"/>
    <n v="6"/>
    <n v="7.1999999999999993"/>
    <n v="8938.8996600000009"/>
    <n v="20865.496500000001"/>
    <n v="7390.7999999999993"/>
    <n v="1548.0996600000017"/>
    <n v="13474.696500000002"/>
    <n v="0.17318682599464391"/>
    <d v="2023-01-02T00:00:00"/>
    <s v="Jan-2023"/>
    <n v="0"/>
    <n v="0"/>
    <n v="0"/>
  </r>
  <r>
    <s v="ORD-2025-480172"/>
    <x v="241"/>
    <x v="31"/>
    <s v="2025-Q2"/>
    <d v="2025-07-05T00:00:00"/>
    <n v="18"/>
    <s v="NOT ACHIEVED"/>
    <x v="2"/>
    <x v="6"/>
    <s v="Delhi"/>
    <s v="Asia &gt; India &gt; Delhi"/>
    <s v="Consumer"/>
    <s v="Marketplace"/>
    <x v="2"/>
    <x v="10"/>
    <x v="3"/>
    <s v="High"/>
    <x v="290"/>
    <n v="982.93"/>
    <n v="1130.3694999999998"/>
    <n v="2299.3000000000002"/>
    <n v="2299.3000000000002"/>
    <n v="2644.1950000000002"/>
    <n v="0.113"/>
    <s v="OK"/>
    <n v="0.113"/>
    <n v="0.113"/>
    <n v="6"/>
    <n v="7.1999999999999993"/>
    <n v="12236.874600000001"/>
    <n v="21189.521051999996"/>
    <n v="5897.58"/>
    <n v="6339.2946000000011"/>
    <n v="15291.941051999996"/>
    <n v="0.51804850562087157"/>
    <d v="2023-01-02T00:00:00"/>
    <s v="Jan-2023"/>
    <n v="0"/>
    <n v="0"/>
    <n v="0"/>
  </r>
  <r>
    <s v="ORD-2025-624006"/>
    <x v="242"/>
    <x v="2"/>
    <s v="2025-Q1"/>
    <d v="2025-03-29T00:00:00"/>
    <n v="14"/>
    <s v="NOT ACHIEVED"/>
    <x v="2"/>
    <x v="6"/>
    <s v="Mumbai"/>
    <s v="Asia &gt; India &gt; Mumbai"/>
    <s v="Enterprise"/>
    <s v="Direct"/>
    <x v="4"/>
    <x v="0"/>
    <x v="0"/>
    <s v="High"/>
    <x v="291"/>
    <n v="935.83"/>
    <n v="1076.2045000000001"/>
    <n v="2303.46"/>
    <n v="2303.46"/>
    <n v="2648.9789999999998"/>
    <n v="0.105"/>
    <s v="OK"/>
    <n v="0.105"/>
    <n v="0.105"/>
    <n v="9"/>
    <n v="10.799999999999999"/>
    <n v="18554.370299999999"/>
    <n v="31612.915385999997"/>
    <n v="8422.4700000000012"/>
    <n v="10131.900299999998"/>
    <n v="23190.445385999996"/>
    <n v="0.54606543559174292"/>
    <d v="2023-01-02T00:00:00"/>
    <s v="Jan-2023"/>
    <n v="0"/>
    <n v="0"/>
    <n v="0"/>
  </r>
  <r>
    <s v="ORD-2023-676553"/>
    <x v="243"/>
    <x v="26"/>
    <s v="2023-Q2"/>
    <d v="2023-06-19T00:00:00"/>
    <n v="30"/>
    <s v="NOT ACHIEVED"/>
    <x v="2"/>
    <x v="6"/>
    <s v="Delhi"/>
    <s v="Asia &gt; India &gt; Delhi"/>
    <s v="Non-Profit"/>
    <s v="Marketplace"/>
    <x v="2"/>
    <x v="15"/>
    <x v="3"/>
    <s v="Medium"/>
    <x v="292"/>
    <n v="1161.2"/>
    <n v="1335.3799999999999"/>
    <n v="878.73"/>
    <n v="878.73"/>
    <n v="1010.5395"/>
    <n v="0.19"/>
    <s v="OK"/>
    <n v="0.19"/>
    <n v="0.19"/>
    <n v="31"/>
    <n v="37.199999999999996"/>
    <n v="22064.910300000003"/>
    <n v="44734.562585999993"/>
    <n v="35997.200000000004"/>
    <n v="-13932.289700000001"/>
    <n v="8737.3625859999884"/>
    <n v="-0.63142290227212028"/>
    <d v="2023-01-02T00:00:00"/>
    <s v="Jan-2023"/>
    <n v="0"/>
    <n v="0"/>
    <n v="0"/>
  </r>
  <r>
    <s v="ORD-2025-866565"/>
    <x v="244"/>
    <x v="1"/>
    <s v="2025-Q2"/>
    <d v="2025-05-26T00:00:00"/>
    <n v="14"/>
    <s v="NOT ACHIEVED"/>
    <x v="2"/>
    <x v="6"/>
    <s v="Hyderabad"/>
    <s v="Asia &gt; India &gt; Hyderabad"/>
    <s v="Corporate"/>
    <s v="Marketplace"/>
    <x v="2"/>
    <x v="4"/>
    <x v="5"/>
    <s v="Low"/>
    <x v="293"/>
    <n v="320.12"/>
    <n v="368.13799999999998"/>
    <n v="594.41999999999996"/>
    <n v="594.41999999999996"/>
    <n v="683.58299999999986"/>
    <n v="0.104"/>
    <s v="OK"/>
    <n v="0.104"/>
    <n v="0.104"/>
    <n v="18"/>
    <n v="21.599999999999998"/>
    <n v="9586.8057599999993"/>
    <n v="16300.993651199997"/>
    <n v="5762.16"/>
    <n v="3824.6457599999994"/>
    <n v="10538.833651199997"/>
    <n v="0.39894891538931104"/>
    <d v="2023-01-02T00:00:00"/>
    <s v="Jan-2023"/>
    <n v="0"/>
    <n v="0"/>
    <n v="0"/>
  </r>
  <r>
    <s v="ORD-2024-390951"/>
    <x v="245"/>
    <x v="30"/>
    <s v="2024-Q4"/>
    <d v="2025-01-14T00:00:00"/>
    <n v="25"/>
    <s v="NOT ACHIEVED"/>
    <x v="2"/>
    <x v="6"/>
    <s v="Delhi"/>
    <s v="Asia &gt; India &gt; Delhi"/>
    <s v="Small Business"/>
    <s v="Retail"/>
    <x v="0"/>
    <x v="13"/>
    <x v="5"/>
    <s v="High"/>
    <x v="294"/>
    <n v="1361.34"/>
    <n v="1565.5409999999997"/>
    <n v="1737.9"/>
    <n v="1737.9"/>
    <n v="1998.585"/>
    <n v="7.6999999999999999E-2"/>
    <s v="OK"/>
    <n v="7.6999999999999999E-2"/>
    <n v="7.6999999999999999E-2"/>
    <n v="14"/>
    <n v="16.8"/>
    <n v="22457.143800000002"/>
    <n v="36161.597556000001"/>
    <n v="19058.759999999998"/>
    <n v="3398.3838000000032"/>
    <n v="17102.837556000002"/>
    <n v="0.15132751654731813"/>
    <d v="2023-01-02T00:00:00"/>
    <s v="Jan-2023"/>
    <n v="0"/>
    <n v="0"/>
    <n v="0"/>
  </r>
  <r>
    <s v="ORD-2025-512310"/>
    <x v="246"/>
    <x v="2"/>
    <s v="2025-Q1"/>
    <d v="2025-03-15T00:00:00"/>
    <n v="7"/>
    <s v="ACHIEVED"/>
    <x v="2"/>
    <x v="6"/>
    <s v="Bengaluru"/>
    <s v="Asia &gt; India &gt; Bengaluru"/>
    <s v="Corporate"/>
    <s v="Distributor"/>
    <x v="3"/>
    <x v="3"/>
    <x v="3"/>
    <s v="Low"/>
    <x v="295"/>
    <n v="475.66"/>
    <n v="547.00900000000001"/>
    <n v="529.14"/>
    <n v="529.14"/>
    <n v="608.51099999999997"/>
    <n v="0.19600000000000001"/>
    <s v="OK"/>
    <n v="0.19600000000000001"/>
    <n v="0.19600000000000001"/>
    <n v="11"/>
    <n v="13.2"/>
    <n v="4679.7141600000004"/>
    <n v="9606.6848591999988"/>
    <n v="5232.26"/>
    <n v="-552.54583999999977"/>
    <n v="4374.4248591999985"/>
    <n v="-0.11807256193613323"/>
    <d v="2023-01-02T00:00:00"/>
    <s v="Jan-2023"/>
    <n v="0"/>
    <n v="0"/>
    <n v="0"/>
  </r>
  <r>
    <s v="ORD-2024-465898"/>
    <x v="247"/>
    <x v="6"/>
    <s v="2024-Q2"/>
    <d v="2024-06-24T00:00:00"/>
    <n v="18"/>
    <s v="NOT ACHIEVED"/>
    <x v="2"/>
    <x v="6"/>
    <s v="Bengaluru"/>
    <s v="Asia &gt; India &gt; Bengaluru"/>
    <s v="Small Business"/>
    <s v="Direct"/>
    <x v="4"/>
    <x v="15"/>
    <x v="6"/>
    <s v="High"/>
    <x v="296"/>
    <n v="1253.25"/>
    <n v="1441.2375"/>
    <n v="3087.13"/>
    <n v="3087.13"/>
    <n v="3550.1994999999997"/>
    <n v="7.1999999999999995E-2"/>
    <s v="OK"/>
    <n v="7.1999999999999995E-2"/>
    <n v="7.1999999999999995E-2"/>
    <n v="11"/>
    <n v="13.2"/>
    <n v="31513.423040000001"/>
    <n v="50236.743004799995"/>
    <n v="13785.75"/>
    <n v="17727.673040000001"/>
    <n v="36450.993004799995"/>
    <n v="0.562543555408064"/>
    <d v="2023-01-02T00:00:00"/>
    <s v="Jan-2023"/>
    <n v="0"/>
    <n v="0"/>
    <n v="0"/>
  </r>
  <r>
    <s v="ORD-2024-655710"/>
    <x v="148"/>
    <x v="13"/>
    <s v="2024-Q4"/>
    <d v="2024-12-10T00:00:00"/>
    <n v="10"/>
    <s v="NOT ACHIEVED"/>
    <x v="2"/>
    <x v="6"/>
    <s v="Hyderabad"/>
    <s v="Asia &gt; India &gt; Hyderabad"/>
    <s v="Small Business"/>
    <s v="Retail"/>
    <x v="0"/>
    <x v="8"/>
    <x v="1"/>
    <s v="Medium"/>
    <x v="297"/>
    <n v="851.49"/>
    <n v="979.21349999999995"/>
    <n v="901.79"/>
    <n v="901.79"/>
    <n v="1037.0584999999999"/>
    <n v="0.245"/>
    <s v="OK"/>
    <n v="0.245"/>
    <n v="0.245"/>
    <n v="16"/>
    <n v="19.2"/>
    <n v="10893.6232"/>
    <n v="24789.846383999997"/>
    <n v="13623.84"/>
    <n v="-2730.2168000000001"/>
    <n v="11166.006383999997"/>
    <n v="-0.25062522816100341"/>
    <d v="2023-01-02T00:00:00"/>
    <s v="Jan-2023"/>
    <n v="0"/>
    <n v="0"/>
    <n v="0"/>
  </r>
  <r>
    <s v="ORD-2025-411385"/>
    <x v="248"/>
    <x v="31"/>
    <s v="2025-Q2"/>
    <d v="2025-06-14T00:00:00"/>
    <n v="9"/>
    <s v="NOT ACHIEVED"/>
    <x v="2"/>
    <x v="6"/>
    <s v="Delhi"/>
    <s v="Asia &gt; India &gt; Delhi"/>
    <s v="Non-Profit"/>
    <s v="Retail"/>
    <x v="0"/>
    <x v="1"/>
    <x v="1"/>
    <s v="Low"/>
    <x v="298"/>
    <n v="618.69000000000005"/>
    <n v="711.49350000000004"/>
    <n v="796.15"/>
    <n v="796.15"/>
    <n v="915.57249999999988"/>
    <n v="0.09"/>
    <s v="OK"/>
    <n v="0.09"/>
    <n v="0.09"/>
    <n v="11"/>
    <n v="13.2"/>
    <n v="7969.4615000000003"/>
    <n v="13173.257129999998"/>
    <n v="6805.59"/>
    <n v="1163.8715000000002"/>
    <n v="6367.667129999998"/>
    <n v="0.14604142325049191"/>
    <d v="2023-01-02T00:00:00"/>
    <s v="Jan-2023"/>
    <n v="0"/>
    <n v="0"/>
    <n v="0"/>
  </r>
  <r>
    <s v="ORD-2025-831576"/>
    <x v="18"/>
    <x v="3"/>
    <s v="2025-Q3"/>
    <d v="2025-09-25T00:00:00"/>
    <n v="10"/>
    <s v="NOT ACHIEVED"/>
    <x v="2"/>
    <x v="6"/>
    <s v="Delhi"/>
    <s v="Asia &gt; India &gt; Delhi"/>
    <s v="Consumer"/>
    <s v="Retail"/>
    <x v="0"/>
    <x v="1"/>
    <x v="4"/>
    <s v="Medium"/>
    <x v="299"/>
    <n v="1488.91"/>
    <n v="1712.2465"/>
    <n v="1483.74"/>
    <n v="1483.74"/>
    <n v="1706.3009999999999"/>
    <n v="0.16800000000000001"/>
    <s v="OK"/>
    <n v="0.16800000000000001"/>
    <n v="0.16800000000000001"/>
    <n v="24"/>
    <n v="28.799999999999997"/>
    <n v="29627.320319999999"/>
    <n v="57397.235558399989"/>
    <n v="35733.840000000004"/>
    <n v="-6106.5196800000049"/>
    <n v="21663.395558399985"/>
    <n v="-0.20611110333450519"/>
    <d v="2023-01-02T00:00:00"/>
    <s v="Jan-2023"/>
    <n v="0"/>
    <n v="0"/>
    <n v="0"/>
  </r>
  <r>
    <s v="ORD-2024-515105"/>
    <x v="249"/>
    <x v="23"/>
    <s v="2024-Q1"/>
    <d v="2024-03-26T00:00:00"/>
    <n v="28"/>
    <s v="NOT ACHIEVED"/>
    <x v="2"/>
    <x v="6"/>
    <s v="Mumbai"/>
    <s v="Asia &gt; India &gt; Mumbai"/>
    <s v="Education"/>
    <s v="Marketplace"/>
    <x v="2"/>
    <x v="4"/>
    <x v="3"/>
    <s v="High"/>
    <x v="300"/>
    <n v="1035.19"/>
    <n v="1190.4684999999999"/>
    <n v="2322.6999999999998"/>
    <n v="2322.6999999999998"/>
    <n v="2671.1049999999996"/>
    <n v="0.17299999999999999"/>
    <s v="OK"/>
    <n v="0.17299999999999999"/>
    <n v="0.17299999999999999"/>
    <n v="8"/>
    <n v="9.6"/>
    <n v="15366.983199999999"/>
    <n v="30078.779183999995"/>
    <n v="8281.52"/>
    <n v="7085.4631999999983"/>
    <n v="21797.259183999995"/>
    <n v="0.46108355217047409"/>
    <d v="2023-01-02T00:00:00"/>
    <s v="Jan-2023"/>
    <n v="0"/>
    <n v="0"/>
    <n v="0"/>
  </r>
  <r>
    <s v="ORD-2024-993481"/>
    <x v="250"/>
    <x v="10"/>
    <s v="2024-Q3"/>
    <d v="2024-09-12T00:00:00"/>
    <n v="25"/>
    <s v="NOT ACHIEVED"/>
    <x v="2"/>
    <x v="6"/>
    <s v="Mumbai"/>
    <s v="Asia &gt; India &gt; Mumbai"/>
    <s v="Consumer"/>
    <s v="Marketplace"/>
    <x v="2"/>
    <x v="0"/>
    <x v="4"/>
    <s v="Medium"/>
    <x v="301"/>
    <n v="1154.03"/>
    <n v="1327.1344999999999"/>
    <n v="1590.36"/>
    <n v="1590.36"/>
    <n v="1828.9139999999998"/>
    <n v="0.3"/>
    <s v="OK"/>
    <n v="0.3"/>
    <n v="0.25"/>
    <n v="18"/>
    <n v="21.599999999999998"/>
    <n v="20038.536"/>
    <n v="49380.677999999985"/>
    <n v="20772.54"/>
    <n v="-734.00400000000081"/>
    <n v="28608.137999999984"/>
    <n v="-3.6629622044245191E-2"/>
    <d v="2023-01-02T00:00:00"/>
    <s v="Jan-2023"/>
    <n v="0"/>
    <n v="0"/>
    <n v="0"/>
  </r>
  <r>
    <s v="ORD-2025-673091"/>
    <x v="251"/>
    <x v="1"/>
    <s v="2025-Q2"/>
    <d v="2025-05-13T00:00:00"/>
    <n v="6"/>
    <s v="ACHIEVED"/>
    <x v="2"/>
    <x v="6"/>
    <s v="Bengaluru"/>
    <s v="Asia &gt; India &gt; Bengaluru"/>
    <s v="Enterprise"/>
    <s v="Direct"/>
    <x v="4"/>
    <x v="2"/>
    <x v="4"/>
    <s v="High"/>
    <x v="302"/>
    <n v="935.98"/>
    <n v="1076.377"/>
    <n v="2077.69"/>
    <n v="2077.69"/>
    <n v="2389.3434999999999"/>
    <n v="0.17499999999999999"/>
    <s v="OK"/>
    <n v="0.17499999999999999"/>
    <n v="0.17499999999999999"/>
    <n v="24"/>
    <n v="28.799999999999997"/>
    <n v="41138.261999999995"/>
    <n v="80855.384040000004"/>
    <n v="22463.52"/>
    <n v="18674.741999999995"/>
    <n v="58391.86404"/>
    <n v="0.45395067978321491"/>
    <d v="2023-01-02T00:00:00"/>
    <s v="Jan-2023"/>
    <n v="0"/>
    <n v="0"/>
    <n v="0"/>
  </r>
  <r>
    <s v="ORD-2024-972318"/>
    <x v="252"/>
    <x v="30"/>
    <s v="2024-Q4"/>
    <d v="2025-01-13T00:00:00"/>
    <n v="20"/>
    <s v="NOT ACHIEVED"/>
    <x v="2"/>
    <x v="6"/>
    <s v="Bengaluru"/>
    <s v="Asia &gt; India &gt; Bengaluru"/>
    <s v="Corporate"/>
    <s v="Marketplace"/>
    <x v="2"/>
    <x v="14"/>
    <x v="6"/>
    <s v="Low"/>
    <x v="303"/>
    <n v="126.15"/>
    <n v="145.07249999999999"/>
    <n v="284.23"/>
    <n v="284.23"/>
    <n v="326.86450000000002"/>
    <n v="0.113"/>
    <s v="OK"/>
    <n v="0.113"/>
    <n v="0.113"/>
    <n v="22"/>
    <n v="26.4"/>
    <n v="5546.4642200000008"/>
    <n v="9604.3249763999993"/>
    <n v="2775.3"/>
    <n v="2771.1642200000006"/>
    <n v="6829.0249763999991"/>
    <n v="0.49962716968541088"/>
    <d v="2023-01-02T00:00:00"/>
    <s v="Jan-2023"/>
    <n v="0"/>
    <n v="0"/>
    <n v="0"/>
  </r>
  <r>
    <s v="ORD-2024-446030"/>
    <x v="253"/>
    <x v="0"/>
    <s v="2024-Q1"/>
    <d v="2024-03-26T00:00:00"/>
    <n v="3"/>
    <s v="ACHIEVED"/>
    <x v="2"/>
    <x v="6"/>
    <s v="Bengaluru"/>
    <s v="Asia &gt; India &gt; Bengaluru"/>
    <s v="Education"/>
    <s v="Direct"/>
    <x v="4"/>
    <x v="4"/>
    <x v="4"/>
    <s v="Low"/>
    <x v="304"/>
    <n v="382.21"/>
    <n v="439.54149999999993"/>
    <n v="571.89"/>
    <n v="571.89"/>
    <n v="657.67349999999999"/>
    <n v="0.14799999999999999"/>
    <s v="OK"/>
    <n v="0.14799999999999999"/>
    <n v="0.14799999999999999"/>
    <n v="26"/>
    <n v="31.2"/>
    <n v="12668.50728"/>
    <n v="23556.286353599997"/>
    <n v="9937.4599999999991"/>
    <n v="2731.0472800000007"/>
    <n v="13618.826353599998"/>
    <n v="0.2155776698578809"/>
    <d v="2023-01-02T00:00:00"/>
    <s v="Jan-2023"/>
    <n v="0"/>
    <n v="0"/>
    <n v="0"/>
  </r>
  <r>
    <s v="ORD-2023-842820"/>
    <x v="254"/>
    <x v="29"/>
    <s v="2023-Q3"/>
    <d v="2023-09-28T00:00:00"/>
    <n v="8"/>
    <s v="NOT ACHIEVED"/>
    <x v="2"/>
    <x v="6"/>
    <s v="Unkown"/>
    <s v="Asia &gt; India &gt; Unkown"/>
    <s v="Corporate"/>
    <n v="0"/>
    <x v="5"/>
    <x v="6"/>
    <x v="1"/>
    <s v="High"/>
    <x v="305"/>
    <n v="1362.06"/>
    <n v="1566.3689999999999"/>
    <n v="3398.37"/>
    <n v="3398.37"/>
    <n v="3908.1254999999996"/>
    <n v="0.157"/>
    <s v="OK"/>
    <n v="0.157"/>
    <n v="0.157"/>
    <n v="11"/>
    <n v="13.2"/>
    <n v="31513.085009999999"/>
    <n v="59686.45588619999"/>
    <n v="14982.66"/>
    <n v="16530.425009999999"/>
    <n v="44703.795886199994"/>
    <n v="0.52455749745714919"/>
    <d v="2023-01-02T00:00:00"/>
    <s v="Jan-2023"/>
    <n v="0"/>
    <n v="0"/>
    <n v="0"/>
  </r>
  <r>
    <s v="ORD-2023-109927"/>
    <x v="255"/>
    <x v="14"/>
    <s v="2023-Q3"/>
    <d v="2023-07-27T00:00:00"/>
    <n v="5"/>
    <s v="ACHIEVED"/>
    <x v="2"/>
    <x v="6"/>
    <s v="Delhi"/>
    <s v="Asia &gt; India &gt; Delhi"/>
    <s v="Small Business"/>
    <s v="Distributor"/>
    <x v="3"/>
    <x v="11"/>
    <x v="5"/>
    <s v="High"/>
    <x v="306"/>
    <n v="946.99"/>
    <n v="1089.0384999999999"/>
    <n v="2132.19"/>
    <n v="2132.19"/>
    <n v="2452.0184999999997"/>
    <n v="0.16500000000000001"/>
    <s v="OK"/>
    <n v="0.16500000000000001"/>
    <n v="0.16500000000000001"/>
    <n v="7"/>
    <n v="8.4"/>
    <n v="12462.65055"/>
    <n v="23995.453041000001"/>
    <n v="6628.93"/>
    <n v="5833.72055"/>
    <n v="17366.523041"/>
    <n v="0.46809629513362228"/>
    <d v="2023-01-02T00:00:00"/>
    <s v="Jan-2023"/>
    <n v="0"/>
    <n v="0"/>
    <n v="0"/>
  </r>
  <r>
    <s v="ORD-2024-851993"/>
    <x v="222"/>
    <x v="16"/>
    <s v="2024-Q2"/>
    <d v="2024-05-16T00:00:00"/>
    <n v="15"/>
    <s v="NOT ACHIEVED"/>
    <x v="2"/>
    <x v="6"/>
    <s v="Bengaluru"/>
    <s v="Asia &gt; India &gt; Bengaluru"/>
    <s v="Small Business"/>
    <s v="Retail"/>
    <x v="0"/>
    <x v="10"/>
    <x v="0"/>
    <s v="High"/>
    <x v="307"/>
    <n v="901.19"/>
    <n v="1036.3685"/>
    <n v="2125.44"/>
    <n v="2125.44"/>
    <n v="2444.2559999999999"/>
    <n v="7.0999999999999994E-2"/>
    <s v="OK"/>
    <n v="7.0999999999999994E-2"/>
    <n v="7.0999999999999994E-2"/>
    <n v="12"/>
    <n v="14.399999999999999"/>
    <n v="23694.405119999999"/>
    <n v="37696.293734399995"/>
    <n v="10814.28"/>
    <n v="12880.125119999999"/>
    <n v="26882.013734399996"/>
    <n v="0.54359352154100415"/>
    <d v="2023-01-02T00:00:00"/>
    <s v="Jan-2023"/>
    <n v="0"/>
    <n v="0"/>
    <n v="0"/>
  </r>
  <r>
    <s v="ORD-2023-728177"/>
    <x v="256"/>
    <x v="9"/>
    <s v="2023-Q4"/>
    <d v="2024-01-14T00:00:00"/>
    <n v="27"/>
    <s v="NOT ACHIEVED"/>
    <x v="2"/>
    <x v="6"/>
    <s v="Mumbai"/>
    <s v="Asia &gt; India &gt; Mumbai"/>
    <s v="Consumer"/>
    <s v="Distributor"/>
    <x v="3"/>
    <x v="14"/>
    <x v="6"/>
    <s v="High"/>
    <x v="308"/>
    <n v="1408.3"/>
    <n v="1619.5449999999998"/>
    <n v="2193.13"/>
    <n v="2193.13"/>
    <n v="2522.0994999999998"/>
    <n v="7.0999999999999994E-2"/>
    <s v="OK"/>
    <n v="7.0999999999999994E-2"/>
    <n v="7.0999999999999994E-2"/>
    <n v="7"/>
    <n v="8.4"/>
    <n v="14261.92439"/>
    <n v="22689.8159418"/>
    <n v="9858.1"/>
    <n v="4403.8243899999998"/>
    <n v="12831.715941799999"/>
    <n v="0.30878191957656281"/>
    <d v="2023-01-02T00:00:00"/>
    <s v="Jan-2023"/>
    <n v="0"/>
    <n v="0"/>
    <n v="0"/>
  </r>
  <r>
    <s v="ORD-2024-578646"/>
    <x v="257"/>
    <x v="16"/>
    <s v="2024-Q2"/>
    <d v="2024-06-17T00:00:00"/>
    <n v="21"/>
    <s v="NOT ACHIEVED"/>
    <x v="2"/>
    <x v="6"/>
    <s v="Delhi"/>
    <s v="Asia &gt; India &gt; Delhi"/>
    <s v="Small Business"/>
    <s v="Online"/>
    <x v="1"/>
    <x v="15"/>
    <x v="1"/>
    <s v="Low"/>
    <x v="309"/>
    <n v="465.02"/>
    <n v="534.77299999999991"/>
    <n v="651.55999999999995"/>
    <n v="651.55999999999995"/>
    <n v="749.29399999999987"/>
    <n v="4.2000000000000003E-2"/>
    <s v="OK"/>
    <n v="4.2000000000000003E-2"/>
    <n v="4.2000000000000003E-2"/>
    <n v="19"/>
    <n v="22.8"/>
    <n v="11859.695119999998"/>
    <n v="17801.427134399997"/>
    <n v="8835.3799999999992"/>
    <n v="3024.3151199999993"/>
    <n v="8966.047134399998"/>
    <n v="0.25500783025187918"/>
    <d v="2023-01-02T00:00:00"/>
    <s v="Jan-2023"/>
    <n v="0"/>
    <n v="0"/>
    <n v="0"/>
  </r>
  <r>
    <s v="ORD-2023-573656"/>
    <x v="139"/>
    <x v="26"/>
    <s v="2023-Q2"/>
    <d v="2023-05-16T00:00:00"/>
    <n v="14"/>
    <s v="NOT ACHIEVED"/>
    <x v="2"/>
    <x v="6"/>
    <s v="Bengaluru"/>
    <s v="Asia &gt; India &gt; Bengaluru"/>
    <s v="Non-Profit"/>
    <s v="Retail"/>
    <x v="0"/>
    <x v="10"/>
    <x v="2"/>
    <s v="Medium"/>
    <x v="310"/>
    <n v="475.37"/>
    <n v="546.67549999999994"/>
    <n v="963.73"/>
    <n v="963.73"/>
    <n v="1108.2894999999999"/>
    <n v="4.1000000000000002E-2"/>
    <s v="OK"/>
    <n v="4.1000000000000002E-2"/>
    <n v="4.1000000000000002E-2"/>
    <n v="22"/>
    <n v="26.4"/>
    <n v="20332.775539999999"/>
    <n v="30458.455354799993"/>
    <n v="10458.14"/>
    <n v="9874.6355399999993"/>
    <n v="20000.315354799994"/>
    <n v="0.48565113604750881"/>
    <d v="2023-01-02T00:00:00"/>
    <s v="Jan-2023"/>
    <n v="0"/>
    <n v="0"/>
    <n v="0"/>
  </r>
  <r>
    <s v="ORD-2024-776337"/>
    <x v="258"/>
    <x v="13"/>
    <s v="2024-Q4"/>
    <d v="2024-11-21T00:00:00"/>
    <n v="9"/>
    <s v="NOT ACHIEVED"/>
    <x v="2"/>
    <x v="6"/>
    <s v="Mumbai"/>
    <s v="Asia &gt; India &gt; Mumbai"/>
    <s v="Corporate"/>
    <s v="Direct"/>
    <x v="4"/>
    <x v="15"/>
    <x v="3"/>
    <s v="High"/>
    <x v="311"/>
    <n v="903.41"/>
    <n v="1038.9214999999999"/>
    <n v="1860.41"/>
    <n v="1860.41"/>
    <n v="2139.4715000000001"/>
    <n v="0.108"/>
    <s v="OK"/>
    <n v="0.108"/>
    <n v="0.108"/>
    <n v="5"/>
    <n v="6"/>
    <n v="8297.4286000000011"/>
    <n v="14223.206532000004"/>
    <n v="4517.05"/>
    <n v="3780.3786000000009"/>
    <n v="9706.1565320000045"/>
    <n v="0.455608451996803"/>
    <d v="2023-01-02T00:00:00"/>
    <s v="Jan-2023"/>
    <n v="0"/>
    <n v="0"/>
    <n v="0"/>
  </r>
  <r>
    <s v="ORD-2023-913592"/>
    <x v="259"/>
    <x v="26"/>
    <s v="2023-Q2"/>
    <d v="2023-05-14T00:00:00"/>
    <n v="4"/>
    <s v="ACHIEVED"/>
    <x v="2"/>
    <x v="6"/>
    <s v="Delhi"/>
    <s v="Asia &gt; India &gt; Delhi"/>
    <s v="Non-Profit"/>
    <s v="Distributor"/>
    <x v="3"/>
    <x v="0"/>
    <x v="2"/>
    <s v="Medium"/>
    <x v="312"/>
    <n v="622.6"/>
    <n v="715.99"/>
    <n v="833.69"/>
    <n v="833.69"/>
    <n v="958.74350000000004"/>
    <n v="0.20899999999999999"/>
    <s v="OK"/>
    <n v="0.20899999999999999"/>
    <n v="0.20899999999999999"/>
    <n v="14"/>
    <n v="16.8"/>
    <n v="9232.2830599999998"/>
    <n v="19473.230977200001"/>
    <n v="8716.4"/>
    <n v="515.88306000000011"/>
    <n v="10756.830977200001"/>
    <n v="5.5878167582959715E-2"/>
    <d v="2023-01-02T00:00:00"/>
    <s v="Jan-2023"/>
    <n v="0"/>
    <n v="0"/>
    <n v="0"/>
  </r>
  <r>
    <s v="ORD-2025-137394"/>
    <x v="260"/>
    <x v="25"/>
    <s v="2025-Q1"/>
    <d v="2025-01-05T00:00:00"/>
    <n v="1"/>
    <s v="ACHIEVED"/>
    <x v="2"/>
    <x v="6"/>
    <s v="Delhi"/>
    <s v="Asia &gt; India &gt; Delhi"/>
    <s v="Education"/>
    <s v="Retail"/>
    <x v="0"/>
    <x v="12"/>
    <x v="0"/>
    <s v="High"/>
    <x v="313"/>
    <n v="1428.33"/>
    <n v="1642.5794999999998"/>
    <n v="3028.05"/>
    <n v="3028.05"/>
    <n v="3482.2575000000002"/>
    <n v="0"/>
    <s v="OK"/>
    <n v="0"/>
    <n v="0"/>
    <n v="11"/>
    <n v="13.2"/>
    <n v="33308.550000000003"/>
    <n v="45965.798999999999"/>
    <n v="15711.63"/>
    <n v="17596.920000000006"/>
    <n v="30254.169000000002"/>
    <n v="0.52830039134096207"/>
    <d v="2023-01-02T00:00:00"/>
    <s v="Jan-2023"/>
    <n v="0"/>
    <n v="0"/>
    <n v="0"/>
  </r>
  <r>
    <s v="ORD-2025-635337"/>
    <x v="261"/>
    <x v="24"/>
    <s v="2025-Q3"/>
    <d v="2025-08-28T00:00:00"/>
    <n v="23"/>
    <s v="NOT ACHIEVED"/>
    <x v="2"/>
    <x v="6"/>
    <s v="Mumbai"/>
    <s v="Asia &gt; India &gt; Mumbai"/>
    <s v="Non-Profit"/>
    <s v="Distributor"/>
    <x v="3"/>
    <x v="5"/>
    <x v="3"/>
    <s v="Medium"/>
    <x v="314"/>
    <n v="638.54"/>
    <n v="734.32099999999991"/>
    <n v="987.24"/>
    <n v="987.24"/>
    <n v="1135.326"/>
    <n v="0"/>
    <s v="OK"/>
    <n v="0"/>
    <n v="0"/>
    <n v="11"/>
    <n v="13.2"/>
    <n v="10859.64"/>
    <n v="14986.3032"/>
    <n v="7023.94"/>
    <n v="3835.7"/>
    <n v="7962.3632000000007"/>
    <n v="0.35320692030306716"/>
    <d v="2023-01-02T00:00:00"/>
    <s v="Jan-2023"/>
    <n v="0"/>
    <n v="0"/>
    <n v="0"/>
  </r>
  <r>
    <s v="ORD-2023-472050"/>
    <x v="259"/>
    <x v="26"/>
    <s v="2023-Q2"/>
    <d v="2023-05-27T00:00:00"/>
    <n v="17"/>
    <s v="NOT ACHIEVED"/>
    <x v="2"/>
    <x v="6"/>
    <s v="Mumbai"/>
    <s v="Asia &gt; India &gt; Mumbai"/>
    <s v="Consumer"/>
    <s v="Retail"/>
    <x v="0"/>
    <x v="13"/>
    <x v="3"/>
    <s v="High"/>
    <x v="315"/>
    <n v="1286.1600000000001"/>
    <n v="1479.0840000000001"/>
    <n v="3101.11"/>
    <n v="3101.11"/>
    <n v="3566.2764999999999"/>
    <n v="0.1"/>
    <s v="OK"/>
    <n v="0.1"/>
    <n v="0.1"/>
    <n v="23"/>
    <n v="27.599999999999998"/>
    <n v="64192.976999999999"/>
    <n v="108272.15454"/>
    <n v="29581.68"/>
    <n v="34611.296999999999"/>
    <n v="78690.474539999996"/>
    <n v="0.53917575749758417"/>
    <d v="2023-01-02T00:00:00"/>
    <s v="Jan-2023"/>
    <n v="0"/>
    <n v="0"/>
    <n v="0"/>
  </r>
  <r>
    <s v="ORD-2023-957692"/>
    <x v="262"/>
    <x v="26"/>
    <s v="2023-Q2"/>
    <d v="2023-05-20T00:00:00"/>
    <n v="13"/>
    <s v="NOT ACHIEVED"/>
    <x v="2"/>
    <x v="6"/>
    <s v="Mumbai"/>
    <s v="Asia &gt; India &gt; Mumbai"/>
    <s v="Enterprise"/>
    <s v="Retail"/>
    <x v="0"/>
    <x v="14"/>
    <x v="1"/>
    <s v="High"/>
    <x v="316"/>
    <n v="1443.28"/>
    <n v="1659.7719999999999"/>
    <n v="2580.5700000000002"/>
    <n v="2580.5700000000002"/>
    <n v="2967.6554999999998"/>
    <n v="0"/>
    <s v="OK"/>
    <n v="0"/>
    <n v="0"/>
    <n v="18"/>
    <n v="21.599999999999998"/>
    <n v="46450.26"/>
    <n v="64101.358799999987"/>
    <n v="25979.040000000001"/>
    <n v="20471.22"/>
    <n v="38122.318799999986"/>
    <n v="0.4407127107577008"/>
    <d v="2023-01-02T00:00:00"/>
    <s v="Jan-2023"/>
    <n v="0"/>
    <n v="0"/>
    <n v="0"/>
  </r>
  <r>
    <s v="ORD-2024-872291"/>
    <x v="263"/>
    <x v="22"/>
    <s v="2024-Q1"/>
    <d v="2024-01-12T00:00:00"/>
    <n v="4"/>
    <s v="ACHIEVED"/>
    <x v="2"/>
    <x v="6"/>
    <s v="Bengaluru"/>
    <s v="Asia &gt; India &gt; Bengaluru"/>
    <s v="Corporate"/>
    <s v="Direct"/>
    <x v="4"/>
    <x v="11"/>
    <x v="5"/>
    <s v="Low"/>
    <x v="317"/>
    <n v="802.32"/>
    <n v="922.66800000000001"/>
    <n v="602.34"/>
    <n v="602.34"/>
    <n v="692.69100000000003"/>
    <n v="0.12"/>
    <s v="OK"/>
    <n v="0.12"/>
    <n v="0.12"/>
    <n v="25"/>
    <n v="30"/>
    <n v="13251.48"/>
    <n v="23274.417600000001"/>
    <n v="20058"/>
    <n v="-6806.52"/>
    <n v="3216.4176000000007"/>
    <n v="-0.51364224977134632"/>
    <d v="2023-01-02T00:00:00"/>
    <s v="Jan-2023"/>
    <n v="0"/>
    <n v="0"/>
    <n v="0"/>
  </r>
  <r>
    <s v="ORD-2023-868460"/>
    <x v="221"/>
    <x v="11"/>
    <s v="2023-Q2"/>
    <d v="2023-06-01T00:00:00"/>
    <n v="0"/>
    <s v="ACHIEVED"/>
    <x v="2"/>
    <x v="6"/>
    <s v="Bengaluru"/>
    <s v="Asia &gt; India &gt; Bengaluru"/>
    <s v="Corporate"/>
    <s v="Retail"/>
    <x v="0"/>
    <x v="11"/>
    <x v="1"/>
    <s v="Medium"/>
    <x v="318"/>
    <n v="669.37"/>
    <n v="769.77549999999997"/>
    <n v="997.2"/>
    <n v="997.2"/>
    <n v="1146.78"/>
    <n v="8.2000000000000003E-2"/>
    <s v="OK"/>
    <n v="8.2000000000000003E-2"/>
    <n v="8.2000000000000003E-2"/>
    <n v="5"/>
    <n v="6"/>
    <n v="4577.1480000000001"/>
    <n v="7444.8957600000012"/>
    <n v="3346.85"/>
    <n v="1230.2980000000002"/>
    <n v="4098.0457600000009"/>
    <n v="0.26879139586484863"/>
    <d v="2023-01-02T00:00:00"/>
    <s v="Jan-2023"/>
    <n v="0"/>
    <n v="0"/>
    <n v="0"/>
  </r>
  <r>
    <s v="ORD-2025-177994"/>
    <x v="141"/>
    <x v="2"/>
    <s v="2025-Q1"/>
    <d v="2025-04-04T00:00:00"/>
    <n v="11"/>
    <s v="NOT ACHIEVED"/>
    <x v="2"/>
    <x v="6"/>
    <s v="Mumbai"/>
    <s v="Asia &gt; India &gt; Mumbai"/>
    <s v="Education"/>
    <s v="Marketplace"/>
    <x v="2"/>
    <x v="2"/>
    <x v="4"/>
    <s v="Low"/>
    <x v="319"/>
    <n v="23.83"/>
    <n v="27.404499999999995"/>
    <n v="47.29"/>
    <n v="47.29"/>
    <n v="54.383499999999998"/>
    <n v="6.4000000000000001E-2"/>
    <s v="OK"/>
    <n v="6.4000000000000001E-2"/>
    <n v="6.4000000000000001E-2"/>
    <n v="19"/>
    <n v="22.8"/>
    <n v="841.00536"/>
    <n v="1319.3002032000002"/>
    <n v="452.77"/>
    <n v="388.23536000000001"/>
    <n v="866.53020320000019"/>
    <n v="0.46163244429262618"/>
    <d v="2023-01-02T00:00:00"/>
    <s v="Jan-2023"/>
    <n v="0"/>
    <n v="0"/>
    <n v="0"/>
  </r>
  <r>
    <s v="ORD-2024-817997"/>
    <x v="264"/>
    <x v="27"/>
    <s v="2024-Q3"/>
    <d v="2024-08-23T00:00:00"/>
    <n v="26"/>
    <s v="NOT ACHIEVED"/>
    <x v="2"/>
    <x v="6"/>
    <s v="Hyderabad"/>
    <s v="Asia &gt; India &gt; Hyderabad"/>
    <s v="Corporate"/>
    <s v="Retail"/>
    <x v="0"/>
    <x v="2"/>
    <x v="6"/>
    <s v="Medium"/>
    <x v="320"/>
    <n v="1339.24"/>
    <n v="1540.126"/>
    <n v="1558.89"/>
    <n v="1558.89"/>
    <n v="1792.7235000000001"/>
    <n v="0.192"/>
    <s v="OK"/>
    <n v="0.192"/>
    <n v="0.192"/>
    <n v="24"/>
    <n v="28.799999999999997"/>
    <n v="30229.994880000002"/>
    <n v="61543.480665599993"/>
    <n v="32141.760000000002"/>
    <n v="-1911.76512"/>
    <n v="29401.720665599991"/>
    <n v="-6.3240669659021781E-2"/>
    <d v="2023-01-02T00:00:00"/>
    <s v="Jan-2023"/>
    <n v="0"/>
    <n v="0"/>
    <n v="0"/>
  </r>
  <r>
    <s v="ORD-2023-561823"/>
    <x v="156"/>
    <x v="18"/>
    <s v="2023-Q4"/>
    <d v="2023-12-12T00:00:00"/>
    <n v="23"/>
    <s v="NOT ACHIEVED"/>
    <x v="2"/>
    <x v="6"/>
    <s v="Delhi"/>
    <s v="Asia &gt; India &gt; Delhi"/>
    <s v="Small Business"/>
    <s v="Direct"/>
    <x v="4"/>
    <x v="0"/>
    <x v="6"/>
    <s v="High"/>
    <x v="321"/>
    <n v="1349.04"/>
    <n v="1551.3959999999997"/>
    <n v="2636.6"/>
    <n v="2636.6"/>
    <n v="3032.0899999999997"/>
    <n v="0.114"/>
    <s v="OK"/>
    <n v="0.114"/>
    <n v="0.114"/>
    <n v="14"/>
    <n v="16.8"/>
    <n v="32704.386400000003"/>
    <n v="56746.170767999996"/>
    <n v="18886.559999999998"/>
    <n v="13817.826400000005"/>
    <n v="37859.610767999999"/>
    <n v="0.42250682312143928"/>
    <d v="2023-01-02T00:00:00"/>
    <s v="Jan-2023"/>
    <n v="0"/>
    <n v="0"/>
    <n v="0"/>
  </r>
  <r>
    <s v="ORD-2023-249805"/>
    <x v="265"/>
    <x v="9"/>
    <s v="2023-Q4"/>
    <d v="2024-01-16T00:00:00"/>
    <n v="25"/>
    <s v="NOT ACHIEVED"/>
    <x v="2"/>
    <x v="6"/>
    <s v="Hyderabad"/>
    <s v="Asia &gt; India &gt; Hyderabad"/>
    <s v="Small Business"/>
    <s v="Retail"/>
    <x v="0"/>
    <x v="1"/>
    <x v="0"/>
    <s v="Medium"/>
    <x v="322"/>
    <n v="1346.81"/>
    <n v="1548.8314999999998"/>
    <n v="978.09"/>
    <n v="978.09"/>
    <n v="1124.8035"/>
    <n v="0.159"/>
    <s v="OK"/>
    <n v="0.159"/>
    <n v="0.159"/>
    <n v="17"/>
    <n v="20.399999999999999"/>
    <n v="13983.752729999998"/>
    <n v="26594.404032599999"/>
    <n v="22895.77"/>
    <n v="-8912.0172700000021"/>
    <n v="3698.634032599999"/>
    <n v="-0.6373122753293996"/>
    <d v="2023-01-02T00:00:00"/>
    <s v="Jan-2023"/>
    <n v="0"/>
    <n v="0"/>
    <n v="0"/>
  </r>
  <r>
    <s v="ORD-2023-824839"/>
    <x v="266"/>
    <x v="9"/>
    <s v="2023-Q4"/>
    <d v="2023-12-31T00:00:00"/>
    <n v="25"/>
    <s v="NOT ACHIEVED"/>
    <x v="2"/>
    <x v="7"/>
    <s v="Osaka"/>
    <s v="Asia &gt; Japan &gt; Osaka"/>
    <s v="Consumer"/>
    <s v="Retail"/>
    <x v="0"/>
    <x v="10"/>
    <x v="5"/>
    <s v="Low"/>
    <x v="323"/>
    <n v="663.03"/>
    <n v="762.48449999999991"/>
    <n v="813.51"/>
    <n v="813.51"/>
    <n v="935.53649999999993"/>
    <n v="0.10199999999999999"/>
    <s v="OK"/>
    <n v="0.10199999999999999"/>
    <n v="0.10199999999999999"/>
    <n v="15"/>
    <n v="18"/>
    <n v="10957.9797"/>
    <n v="18557.302014000001"/>
    <n v="9945.4499999999989"/>
    <n v="1012.529700000001"/>
    <n v="8611.8520140000019"/>
    <n v="9.2401129379715952E-2"/>
    <d v="2023-01-02T00:00:00"/>
    <s v="Jan-2023"/>
    <n v="0"/>
    <n v="0"/>
    <n v="0"/>
  </r>
  <r>
    <s v="ORD-2025-515515"/>
    <x v="267"/>
    <x v="25"/>
    <s v="2025-Q1"/>
    <d v="2025-01-23T00:00:00"/>
    <n v="20"/>
    <s v="NOT ACHIEVED"/>
    <x v="2"/>
    <x v="7"/>
    <s v="Osaka"/>
    <s v="Asia &gt; Japan &gt; Osaka"/>
    <s v="Corporate"/>
    <s v="Distributor"/>
    <x v="3"/>
    <x v="8"/>
    <x v="4"/>
    <s v="Low"/>
    <x v="324"/>
    <n v="908.6"/>
    <n v="1044.8899999999999"/>
    <n v="691.37"/>
    <n v="691.37"/>
    <n v="795.07549999999992"/>
    <n v="0.25"/>
    <s v="OK"/>
    <n v="0.25"/>
    <n v="0.25"/>
    <n v="20"/>
    <n v="24"/>
    <n v="10370.549999999999"/>
    <n v="23852.264999999999"/>
    <n v="18172"/>
    <n v="-7801.4500000000007"/>
    <n v="5680.2649999999994"/>
    <n v="-0.75226964818645115"/>
    <d v="2023-01-02T00:00:00"/>
    <s v="Jan-2023"/>
    <n v="0"/>
    <n v="0"/>
    <n v="0"/>
  </r>
  <r>
    <s v="ORD-2025-233883"/>
    <x v="49"/>
    <x v="3"/>
    <s v="2025-Q3"/>
    <d v="2025-09-16T00:00:00"/>
    <n v="8"/>
    <s v="NOT ACHIEVED"/>
    <x v="2"/>
    <x v="7"/>
    <s v="Osaka"/>
    <s v="Asia &gt; Japan &gt; Osaka"/>
    <s v="Corporate"/>
    <s v="Distributor"/>
    <x v="3"/>
    <x v="0"/>
    <x v="4"/>
    <s v="High"/>
    <x v="325"/>
    <n v="1225.57"/>
    <n v="1409.4054999999998"/>
    <n v="2705.57"/>
    <n v="2705.57"/>
    <n v="3111.4054999999998"/>
    <n v="0.183"/>
    <s v="OK"/>
    <n v="0.183"/>
    <n v="0.183"/>
    <n v="16"/>
    <n v="19.2"/>
    <n v="35367.211040000002"/>
    <n v="70671.219964799995"/>
    <n v="19609.12"/>
    <n v="15758.091040000003"/>
    <n v="51062.0999648"/>
    <n v="0.44555650775453404"/>
    <d v="2023-01-02T00:00:00"/>
    <s v="Jan-2023"/>
    <n v="0"/>
    <n v="0"/>
    <n v="0"/>
  </r>
  <r>
    <s v="ORD-2025-779574"/>
    <x v="268"/>
    <x v="3"/>
    <s v="2025-Q3"/>
    <d v="2025-09-12T00:00:00"/>
    <n v="2"/>
    <s v="ACHIEVED"/>
    <x v="2"/>
    <x v="7"/>
    <s v="Tokyo"/>
    <s v="Asia &gt; Japan &gt; Tokyo"/>
    <s v="Consumer"/>
    <s v="Online"/>
    <x v="1"/>
    <x v="7"/>
    <x v="0"/>
    <s v="High"/>
    <x v="326"/>
    <n v="1470.15"/>
    <n v="1690.6724999999999"/>
    <n v="2593.7800000000002"/>
    <n v="2593.7800000000002"/>
    <n v="2982.8470000000002"/>
    <n v="0.11"/>
    <s v="OK"/>
    <n v="0.11"/>
    <n v="0.11"/>
    <n v="12"/>
    <n v="14.399999999999999"/>
    <n v="27701.570400000001"/>
    <n v="47677.826448000007"/>
    <n v="17641.800000000003"/>
    <n v="10059.770399999998"/>
    <n v="30036.026448000004"/>
    <n v="0.36314801849645306"/>
    <d v="2023-01-02T00:00:00"/>
    <s v="Jan-2023"/>
    <n v="0"/>
    <n v="0"/>
    <n v="0"/>
  </r>
  <r>
    <s v="ORD-2024-347736"/>
    <x v="269"/>
    <x v="16"/>
    <s v="2024-Q2"/>
    <d v="2024-06-06T00:00:00"/>
    <n v="15"/>
    <s v="NOT ACHIEVED"/>
    <x v="2"/>
    <x v="7"/>
    <s v="Nagoya"/>
    <s v="Asia &gt; Japan &gt; Nagoya"/>
    <s v="Corporate"/>
    <s v="Distributor"/>
    <x v="3"/>
    <x v="0"/>
    <x v="2"/>
    <s v="Medium"/>
    <x v="327"/>
    <n v="673.88"/>
    <n v="774.96199999999999"/>
    <n v="1228.01"/>
    <n v="1228.01"/>
    <n v="1412.2114999999999"/>
    <n v="0.105"/>
    <s v="OK"/>
    <n v="0.105"/>
    <n v="0.105"/>
    <n v="13"/>
    <n v="15.6"/>
    <n v="14287.896349999999"/>
    <n v="24343.701836999997"/>
    <n v="8760.44"/>
    <n v="5527.4563499999986"/>
    <n v="15583.261836999996"/>
    <n v="0.38686285332689996"/>
    <d v="2023-01-02T00:00:00"/>
    <s v="Jan-2023"/>
    <n v="0"/>
    <n v="0"/>
    <n v="0"/>
  </r>
  <r>
    <s v="ORD-2023-258768"/>
    <x v="270"/>
    <x v="11"/>
    <s v="2023-Q2"/>
    <d v="2023-07-02T00:00:00"/>
    <n v="3"/>
    <s v="ACHIEVED"/>
    <x v="2"/>
    <x v="7"/>
    <s v="Nagoya"/>
    <s v="Asia &gt; Japan &gt; Nagoya"/>
    <s v="Education"/>
    <s v="Marketplace"/>
    <x v="2"/>
    <x v="8"/>
    <x v="2"/>
    <s v="Low"/>
    <x v="328"/>
    <n v="55.65"/>
    <n v="63.997499999999995"/>
    <n v="83.57"/>
    <n v="83.57"/>
    <n v="96.105499999999978"/>
    <n v="6.6000000000000003E-2"/>
    <s v="OK"/>
    <n v="6.6000000000000003E-2"/>
    <n v="6.6000000000000003E-2"/>
    <n v="8"/>
    <n v="9.6"/>
    <n v="624.43503999999996"/>
    <n v="983.50524479999979"/>
    <n v="445.2"/>
    <n v="179.23503999999997"/>
    <n v="538.30524479999985"/>
    <n v="0.2870355257449998"/>
    <d v="2023-01-02T00:00:00"/>
    <s v="Jan-2023"/>
    <n v="0"/>
    <n v="0"/>
    <n v="0"/>
  </r>
  <r>
    <s v="ORD-2025-626047"/>
    <x v="220"/>
    <x v="7"/>
    <s v="2025-Q2"/>
    <d v="2025-05-15T00:00:00"/>
    <n v="17"/>
    <s v="NOT ACHIEVED"/>
    <x v="2"/>
    <x v="7"/>
    <s v="Nagoya"/>
    <s v="Asia &gt; Japan &gt; Nagoya"/>
    <s v="Education"/>
    <s v="Direct"/>
    <x v="4"/>
    <x v="5"/>
    <x v="6"/>
    <s v="Medium"/>
    <x v="329"/>
    <n v="691.19"/>
    <n v="794.86850000000004"/>
    <n v="1284.3"/>
    <n v="1284.3"/>
    <n v="1476.9449999999999"/>
    <n v="7.3999999999999996E-2"/>
    <s v="OK"/>
    <n v="7.3999999999999996E-2"/>
    <n v="7.3999999999999996E-2"/>
    <n v="7"/>
    <n v="8.4"/>
    <n v="8324.8326000000015"/>
    <n v="13324.407012"/>
    <n v="4838.33"/>
    <n v="3486.5026000000016"/>
    <n v="8486.0770119999997"/>
    <n v="0.41880753253825198"/>
    <d v="2023-01-02T00:00:00"/>
    <s v="Jan-2023"/>
    <n v="0"/>
    <n v="0"/>
    <n v="0"/>
  </r>
  <r>
    <s v="ORD-2024-792558"/>
    <x v="271"/>
    <x v="32"/>
    <s v="2024-Q4"/>
    <d v="2024-11-08T00:00:00"/>
    <n v="23"/>
    <s v="NOT ACHIEVED"/>
    <x v="2"/>
    <x v="7"/>
    <s v="Osaka"/>
    <s v="Asia &gt; Japan &gt; Osaka"/>
    <s v="Small Business"/>
    <s v="Retail"/>
    <x v="0"/>
    <x v="2"/>
    <x v="6"/>
    <s v="Low"/>
    <x v="330"/>
    <n v="82.14"/>
    <n v="94.460999999999999"/>
    <n v="166.04"/>
    <n v="166.04"/>
    <n v="190.94599999999997"/>
    <n v="0"/>
    <s v="OK"/>
    <n v="0"/>
    <n v="0"/>
    <n v="10"/>
    <n v="12"/>
    <n v="1660.3999999999999"/>
    <n v="2291.3519999999999"/>
    <n v="821.4"/>
    <n v="838.99999999999989"/>
    <n v="1469.9519999999998"/>
    <n v="0.50529992772825827"/>
    <d v="2023-01-02T00:00:00"/>
    <s v="Jan-2023"/>
    <n v="0"/>
    <n v="0"/>
    <n v="0"/>
  </r>
  <r>
    <s v="ORD-2023-975863"/>
    <x v="272"/>
    <x v="18"/>
    <s v="2023-Q4"/>
    <d v="2023-12-05T00:00:00"/>
    <n v="15"/>
    <s v="NOT ACHIEVED"/>
    <x v="2"/>
    <x v="7"/>
    <s v="Tokyo"/>
    <s v="Asia &gt; Japan &gt; Tokyo"/>
    <s v="Enterprise"/>
    <s v="Retail"/>
    <x v="0"/>
    <x v="10"/>
    <x v="6"/>
    <s v="Low"/>
    <x v="331"/>
    <n v="354.24"/>
    <n v="407.37599999999998"/>
    <n v="249.87"/>
    <n v="249.87"/>
    <n v="287.35050000000001"/>
    <n v="0"/>
    <s v="OK"/>
    <n v="0"/>
    <n v="0"/>
    <n v="6"/>
    <n v="7.1999999999999993"/>
    <n v="1499.22"/>
    <n v="2068.9236000000001"/>
    <n v="2125.44"/>
    <n v="-626.22"/>
    <n v="-56.516399999999976"/>
    <n v="-0.41769720254532355"/>
    <d v="2023-01-02T00:00:00"/>
    <s v="Jan-2023"/>
    <n v="0"/>
    <n v="0"/>
    <n v="0"/>
  </r>
  <r>
    <s v="ORD-2023-596758"/>
    <x v="226"/>
    <x v="9"/>
    <s v="2023-Q4"/>
    <d v="2023-12-12T00:00:00"/>
    <n v="5"/>
    <s v="ACHIEVED"/>
    <x v="2"/>
    <x v="7"/>
    <s v="Tokyo"/>
    <s v="Asia &gt; Japan &gt; Tokyo"/>
    <s v="Non-Profit"/>
    <s v="Marketplace"/>
    <x v="2"/>
    <x v="15"/>
    <x v="5"/>
    <s v="Medium"/>
    <x v="332"/>
    <n v="1097.5899999999999"/>
    <n v="1262.2284999999997"/>
    <n v="845.55"/>
    <n v="845.55"/>
    <n v="972.38249999999982"/>
    <n v="0.184"/>
    <s v="OK"/>
    <n v="0.184"/>
    <n v="0.184"/>
    <n v="6"/>
    <n v="7.1999999999999993"/>
    <n v="4139.8127999999997"/>
    <n v="8289.3663359999973"/>
    <n v="6585.5399999999991"/>
    <n v="-2445.7271999999994"/>
    <n v="1703.8263359999983"/>
    <n v="-0.59078207594314402"/>
    <d v="2023-01-02T00:00:00"/>
    <s v="Jan-2023"/>
    <n v="0"/>
    <n v="0"/>
    <n v="0"/>
  </r>
  <r>
    <s v="ORD-2024-136321"/>
    <x v="273"/>
    <x v="10"/>
    <s v="2024-Q3"/>
    <d v="2024-08-17T00:00:00"/>
    <n v="10"/>
    <s v="NOT ACHIEVED"/>
    <x v="2"/>
    <x v="7"/>
    <s v="Osaka"/>
    <s v="Asia &gt; Japan &gt; Osaka"/>
    <s v="Consumer"/>
    <s v="Online"/>
    <x v="1"/>
    <x v="3"/>
    <x v="6"/>
    <s v="Low"/>
    <x v="333"/>
    <n v="436.58"/>
    <n v="502.06699999999995"/>
    <n v="527.48"/>
    <n v="527.48"/>
    <n v="606.60199999999998"/>
    <n v="0.111"/>
    <s v="OK"/>
    <n v="0.111"/>
    <n v="0.111"/>
    <n v="19"/>
    <n v="22.8"/>
    <n v="8909.6646800000017"/>
    <n v="15365.713941599999"/>
    <n v="8295.02"/>
    <n v="614.64468000000124"/>
    <n v="7070.6939415999987"/>
    <n v="6.8986286473802644E-2"/>
    <d v="2023-01-02T00:00:00"/>
    <s v="Jan-2023"/>
    <n v="0"/>
    <n v="0"/>
    <n v="0"/>
  </r>
  <r>
    <s v="ORD-2023-240507"/>
    <x v="274"/>
    <x v="12"/>
    <s v="2023-Q1"/>
    <d v="2023-03-26T00:00:00"/>
    <n v="1"/>
    <s v="ACHIEVED"/>
    <x v="2"/>
    <x v="7"/>
    <s v="Osaka"/>
    <s v="Asia &gt; Japan &gt; Osaka"/>
    <s v="Small Business"/>
    <s v="Distributor"/>
    <x v="3"/>
    <x v="12"/>
    <x v="2"/>
    <s v="Low"/>
    <x v="334"/>
    <n v="135.12"/>
    <n v="155.38800000000001"/>
    <n v="301.7"/>
    <n v="301.7"/>
    <n v="346.95499999999998"/>
    <n v="0.14000000000000001"/>
    <s v="OK"/>
    <n v="0.14000000000000001"/>
    <n v="0.14000000000000001"/>
    <n v="47"/>
    <n v="56.4"/>
    <n v="12194.714"/>
    <n v="22307.81868"/>
    <n v="6350.64"/>
    <n v="5844.0739999999996"/>
    <n v="15957.178680000001"/>
    <n v="0.47923009920527859"/>
    <d v="2023-01-02T00:00:00"/>
    <s v="Jan-2023"/>
    <n v="0"/>
    <n v="0"/>
    <n v="0"/>
  </r>
  <r>
    <s v="ORD-2024-605629"/>
    <x v="275"/>
    <x v="27"/>
    <s v="2024-Q3"/>
    <d v="2024-07-15T00:00:00"/>
    <n v="0"/>
    <s v="ACHIEVED"/>
    <x v="2"/>
    <x v="7"/>
    <s v="Tokyo"/>
    <s v="Asia &gt; Japan &gt; Tokyo"/>
    <s v="Small Business"/>
    <s v="Marketplace"/>
    <x v="2"/>
    <x v="4"/>
    <x v="1"/>
    <s v="Medium"/>
    <x v="335"/>
    <n v="801.77"/>
    <n v="922.03549999999996"/>
    <n v="1218.92"/>
    <n v="1218.92"/>
    <n v="1401.758"/>
    <n v="0.254"/>
    <s v="OK"/>
    <n v="0.254"/>
    <n v="0.25"/>
    <n v="16"/>
    <n v="19.2"/>
    <n v="14549.029120000001"/>
    <n v="33642.192000000003"/>
    <n v="12828.32"/>
    <n v="1720.7091200000013"/>
    <n v="20813.872000000003"/>
    <n v="0.11826968698788344"/>
    <d v="2023-01-02T00:00:00"/>
    <s v="Jan-2023"/>
    <n v="0"/>
    <n v="0"/>
    <n v="0"/>
  </r>
  <r>
    <s v="ORD-2023-450877"/>
    <x v="276"/>
    <x v="29"/>
    <s v="2023-Q3"/>
    <d v="2023-10-10T00:00:00"/>
    <n v="19"/>
    <s v="NOT ACHIEVED"/>
    <x v="2"/>
    <x v="7"/>
    <s v="Tokyo"/>
    <s v="Asia &gt; Japan &gt; Tokyo"/>
    <s v="Education"/>
    <s v="Online"/>
    <x v="1"/>
    <x v="14"/>
    <x v="0"/>
    <s v="High"/>
    <x v="336"/>
    <n v="845.63"/>
    <n v="972.47449999999992"/>
    <n v="2062.12"/>
    <n v="2062.12"/>
    <n v="2371.4379999999996"/>
    <n v="0.13400000000000001"/>
    <s v="OK"/>
    <n v="0.13400000000000001"/>
    <n v="0.13400000000000001"/>
    <n v="5"/>
    <n v="6"/>
    <n v="8928.9795999999988"/>
    <n v="16135.264151999994"/>
    <n v="4228.1499999999996"/>
    <n v="4700.8295999999991"/>
    <n v="11907.114151999995"/>
    <n v="0.52646884757133949"/>
    <d v="2023-01-02T00:00:00"/>
    <s v="Jan-2023"/>
    <n v="0"/>
    <n v="0"/>
    <n v="0"/>
  </r>
  <r>
    <s v="ORD-2025-898843"/>
    <x v="277"/>
    <x v="8"/>
    <s v="2025-Q1"/>
    <d v="2025-03-04T00:00:00"/>
    <n v="30"/>
    <s v="NOT ACHIEVED"/>
    <x v="2"/>
    <x v="7"/>
    <s v="Osaka"/>
    <s v="Asia &gt; Japan &gt; Osaka"/>
    <s v="Education"/>
    <s v="Distributor"/>
    <x v="3"/>
    <x v="10"/>
    <x v="1"/>
    <s v="High"/>
    <x v="337"/>
    <n v="766.59"/>
    <n v="881.57849999999996"/>
    <n v="1912.8"/>
    <n v="1912.8"/>
    <n v="2199.7199999999998"/>
    <n v="0.19600000000000001"/>
    <s v="OK"/>
    <n v="0.19600000000000001"/>
    <n v="0.19600000000000001"/>
    <n v="5"/>
    <n v="6"/>
    <n v="7689.4560000000001"/>
    <n v="15785.190719999999"/>
    <n v="3832.9500000000003"/>
    <n v="3856.5059999999999"/>
    <n v="11952.240719999998"/>
    <n v="0.50153170783472845"/>
    <d v="2023-01-02T00:00:00"/>
    <s v="Jan-2023"/>
    <n v="0"/>
    <n v="0"/>
    <n v="0"/>
  </r>
  <r>
    <s v="ORD-2024-668926"/>
    <x v="278"/>
    <x v="32"/>
    <s v="2024-Q4"/>
    <d v="2024-11-14T00:00:00"/>
    <n v="22"/>
    <s v="NOT ACHIEVED"/>
    <x v="2"/>
    <x v="7"/>
    <s v="Osaka"/>
    <s v="Asia &gt; Japan &gt; Osaka"/>
    <s v="Non-Profit"/>
    <s v="Direct"/>
    <x v="4"/>
    <x v="6"/>
    <x v="4"/>
    <s v="Medium"/>
    <x v="338"/>
    <n v="1406.4"/>
    <n v="1617.36"/>
    <n v="1564.76"/>
    <n v="1564.76"/>
    <n v="1799.4739999999999"/>
    <n v="0.185"/>
    <s v="OK"/>
    <n v="0.185"/>
    <n v="0.185"/>
    <n v="17"/>
    <n v="20.399999999999999"/>
    <n v="21679.749799999998"/>
    <n v="43500.484476000005"/>
    <n v="23908.800000000003"/>
    <n v="-2229.0502000000051"/>
    <n v="19591.684476000002"/>
    <n v="-0.10281715520536151"/>
    <d v="2023-01-02T00:00:00"/>
    <s v="Jan-2023"/>
    <n v="0"/>
    <n v="0"/>
    <n v="0"/>
  </r>
  <r>
    <s v="ORD-2024-197852"/>
    <x v="279"/>
    <x v="23"/>
    <s v="2024-Q1"/>
    <d v="2024-03-30T00:00:00"/>
    <n v="30"/>
    <s v="NOT ACHIEVED"/>
    <x v="2"/>
    <x v="7"/>
    <s v="Nagoya"/>
    <s v="Asia &gt; Japan &gt; Nagoya"/>
    <s v="Small Business"/>
    <s v="Direct"/>
    <x v="4"/>
    <x v="12"/>
    <x v="6"/>
    <s v="Low"/>
    <x v="339"/>
    <n v="231.11"/>
    <n v="265.7765"/>
    <n v="318.17"/>
    <n v="318.17"/>
    <n v="365.89549999999997"/>
    <n v="0.20100000000000001"/>
    <s v="OK"/>
    <n v="0.20100000000000001"/>
    <n v="0.20100000000000001"/>
    <n v="60"/>
    <n v="72"/>
    <n v="15253.069799999999"/>
    <n v="31639.715676"/>
    <n v="13866.6"/>
    <n v="1386.4697999999989"/>
    <n v="17773.115676000001"/>
    <n v="9.0897754889969692E-2"/>
    <d v="2023-01-02T00:00:00"/>
    <s v="Jan-2023"/>
    <n v="0"/>
    <n v="0"/>
    <n v="0"/>
  </r>
  <r>
    <s v="ORD-2023-290237"/>
    <x v="189"/>
    <x v="14"/>
    <s v="2023-Q3"/>
    <d v="2023-08-07T00:00:00"/>
    <n v="8"/>
    <s v="NOT ACHIEVED"/>
    <x v="2"/>
    <x v="7"/>
    <s v="Nagoya"/>
    <s v="Asia &gt; Japan &gt; Nagoya"/>
    <s v="Education"/>
    <s v="Marketplace"/>
    <x v="2"/>
    <x v="1"/>
    <x v="6"/>
    <s v="High"/>
    <x v="340"/>
    <n v="1352.44"/>
    <n v="1555.306"/>
    <n v="2698.01"/>
    <n v="2698.01"/>
    <n v="3102.7114999999999"/>
    <n v="0.13100000000000001"/>
    <s v="OK"/>
    <n v="0.13100000000000001"/>
    <n v="0.13100000000000001"/>
    <n v="13"/>
    <n v="15.6"/>
    <n v="30479.418970000002"/>
    <n v="54743.000621399995"/>
    <n v="17581.72"/>
    <n v="12897.698970000001"/>
    <n v="37161.280621399994"/>
    <n v="0.42316091992090887"/>
    <d v="2023-01-02T00:00:00"/>
    <s v="Jan-2023"/>
    <n v="0"/>
    <n v="0"/>
    <n v="0"/>
  </r>
  <r>
    <s v="ORD-2024-569164"/>
    <x v="280"/>
    <x v="17"/>
    <s v="2024-Q3"/>
    <d v="2024-09-25T00:00:00"/>
    <n v="20"/>
    <s v="NOT ACHIEVED"/>
    <x v="2"/>
    <x v="7"/>
    <s v="Osaka"/>
    <s v="Asia &gt; Japan &gt; Osaka"/>
    <s v="Enterprise"/>
    <s v="Distributor"/>
    <x v="3"/>
    <x v="14"/>
    <x v="2"/>
    <s v="Low"/>
    <x v="341"/>
    <n v="195.54"/>
    <n v="224.87099999999998"/>
    <n v="405.97"/>
    <n v="405.97"/>
    <n v="466.8655"/>
    <n v="0.187"/>
    <s v="OK"/>
    <n v="0.187"/>
    <n v="0.187"/>
    <n v="16"/>
    <n v="19.2"/>
    <n v="5280.8577599999999"/>
    <n v="10640.051491200002"/>
    <n v="3128.64"/>
    <n v="2152.21776"/>
    <n v="7511.4114912000023"/>
    <n v="0.40755079152141377"/>
    <d v="2023-01-02T00:00:00"/>
    <s v="Jan-2023"/>
    <n v="0"/>
    <n v="0"/>
    <n v="0"/>
  </r>
  <r>
    <s v="ORD-2024-281211"/>
    <x v="281"/>
    <x v="22"/>
    <s v="2024-Q1"/>
    <d v="2024-02-02T00:00:00"/>
    <n v="22"/>
    <s v="NOT ACHIEVED"/>
    <x v="2"/>
    <x v="7"/>
    <s v="Nagoya"/>
    <s v="Asia &gt; Japan &gt; Nagoya"/>
    <s v="Small Business"/>
    <s v="Online"/>
    <x v="1"/>
    <x v="9"/>
    <x v="5"/>
    <s v="Medium"/>
    <x v="342"/>
    <n v="1237.68"/>
    <n v="1423.3319999999999"/>
    <n v="1432.8"/>
    <n v="1432.8"/>
    <n v="1647.7199999999998"/>
    <n v="6.8000000000000005E-2"/>
    <s v="OK"/>
    <n v="6.8000000000000005E-2"/>
    <n v="6.8000000000000005E-2"/>
    <n v="13"/>
    <n v="15.6"/>
    <n v="17359.804799999998"/>
    <n v="27452.333375999999"/>
    <n v="16089.84"/>
    <n v="1269.9647999999979"/>
    <n v="11362.493375999999"/>
    <n v="7.315547695559331E-2"/>
    <d v="2023-01-02T00:00:00"/>
    <s v="Jan-2023"/>
    <n v="0"/>
    <n v="0"/>
    <n v="0"/>
  </r>
  <r>
    <s v="ORD-2025-646342"/>
    <x v="282"/>
    <x v="24"/>
    <s v="2025-Q3"/>
    <d v="2025-08-08T00:00:00"/>
    <n v="6"/>
    <s v="ACHIEVED"/>
    <x v="2"/>
    <x v="7"/>
    <s v="Osaka"/>
    <s v="Asia &gt; Japan &gt; Osaka"/>
    <s v="Consumer"/>
    <s v="Direct"/>
    <x v="4"/>
    <x v="5"/>
    <x v="3"/>
    <s v="High"/>
    <x v="343"/>
    <n v="1225.94"/>
    <n v="1409.8309999999999"/>
    <n v="1793.08"/>
    <n v="1793.08"/>
    <n v="2062.0419999999999"/>
    <n v="0.13600000000000001"/>
    <s v="OK"/>
    <n v="0.13600000000000001"/>
    <n v="0.13600000000000001"/>
    <n v="22"/>
    <n v="26.4"/>
    <n v="34082.864639999993"/>
    <n v="61841.464396800002"/>
    <n v="26970.68"/>
    <n v="7112.1846399999922"/>
    <n v="34870.784396800002"/>
    <n v="0.20867332353434462"/>
    <d v="2023-01-02T00:00:00"/>
    <s v="Jan-2023"/>
    <n v="0"/>
    <n v="0"/>
    <n v="0"/>
  </r>
  <r>
    <s v="ORD-2025-248586"/>
    <x v="283"/>
    <x v="3"/>
    <s v="2025-Q3"/>
    <d v="2025-09-30T00:00:00"/>
    <n v="18"/>
    <s v="NOT ACHIEVED"/>
    <x v="2"/>
    <x v="7"/>
    <s v="Nagoya"/>
    <s v="Asia &gt; Japan &gt; Nagoya"/>
    <s v="Non-Profit"/>
    <s v="Marketplace"/>
    <x v="2"/>
    <x v="8"/>
    <x v="2"/>
    <s v="High"/>
    <x v="344"/>
    <n v="1212.99"/>
    <n v="1394.9385"/>
    <n v="1653.64"/>
    <n v="1653.64"/>
    <n v="1901.6859999999999"/>
    <n v="0.107"/>
    <s v="OK"/>
    <n v="0.107"/>
    <n v="0.107"/>
    <n v="8"/>
    <n v="9.6"/>
    <n v="11813.604160000001"/>
    <n v="20209.597459199995"/>
    <n v="9703.92"/>
    <n v="2109.6841600000007"/>
    <n v="10505.677459199995"/>
    <n v="0.17858090819931455"/>
    <d v="2023-01-02T00:00:00"/>
    <s v="Jan-2023"/>
    <n v="0"/>
    <n v="0"/>
    <n v="0"/>
  </r>
  <r>
    <s v="ORD-2024-350100"/>
    <x v="284"/>
    <x v="32"/>
    <s v="2024-Q4"/>
    <d v="2024-11-20T00:00:00"/>
    <n v="24"/>
    <s v="NOT ACHIEVED"/>
    <x v="2"/>
    <x v="7"/>
    <s v="Nagoya"/>
    <s v="Asia &gt; Japan &gt; Nagoya"/>
    <s v="Non-Profit"/>
    <s v="Online"/>
    <x v="1"/>
    <x v="15"/>
    <x v="2"/>
    <s v="Low"/>
    <x v="345"/>
    <n v="317.25"/>
    <n v="364.83749999999998"/>
    <n v="758.92"/>
    <n v="758.92"/>
    <n v="872.75799999999992"/>
    <n v="5.2999999999999999E-2"/>
    <s v="OK"/>
    <n v="5.2999999999999999E-2"/>
    <n v="5.2999999999999999E-2"/>
    <n v="9"/>
    <n v="10.799999999999999"/>
    <n v="6468.2751599999992"/>
    <n v="9925.3530791999983"/>
    <n v="2855.25"/>
    <n v="3613.0251599999992"/>
    <n v="7070.1030791999983"/>
    <n v="0.5585762928489888"/>
    <d v="2023-01-02T00:00:00"/>
    <s v="Jan-2023"/>
    <n v="0"/>
    <n v="0"/>
    <n v="0"/>
  </r>
  <r>
    <s v="ORD-2025-685236"/>
    <x v="134"/>
    <x v="2"/>
    <s v="2025-Q1"/>
    <d v="2025-03-29T00:00:00"/>
    <n v="15"/>
    <s v="NOT ACHIEVED"/>
    <x v="2"/>
    <x v="7"/>
    <s v="Tokyo"/>
    <s v="Asia &gt; Japan &gt; Tokyo"/>
    <s v="Non-Profit"/>
    <s v="Direct"/>
    <x v="4"/>
    <x v="15"/>
    <x v="6"/>
    <s v="High"/>
    <x v="346"/>
    <n v="1106.96"/>
    <n v="1273.0039999999999"/>
    <n v="2726.62"/>
    <n v="2726.62"/>
    <n v="3135.6129999999998"/>
    <n v="0.3"/>
    <s v="OK"/>
    <n v="0.3"/>
    <n v="0.25"/>
    <n v="7"/>
    <n v="8.4"/>
    <n v="13360.438"/>
    <n v="32923.936499999996"/>
    <n v="7748.72"/>
    <n v="5611.7179999999998"/>
    <n v="25175.216499999995"/>
    <n v="0.42002500217432992"/>
    <d v="2023-01-02T00:00:00"/>
    <s v="Jan-2023"/>
    <n v="0"/>
    <n v="0"/>
    <n v="0"/>
  </r>
  <r>
    <s v="ORD-2023-610470"/>
    <x v="12"/>
    <x v="11"/>
    <s v="2023-Q2"/>
    <d v="2023-07-21T00:00:00"/>
    <n v="27"/>
    <s v="NOT ACHIEVED"/>
    <x v="2"/>
    <x v="7"/>
    <s v="Nagoya"/>
    <s v="Asia &gt; Japan &gt; Nagoya"/>
    <s v="Consumer"/>
    <s v="Marketplace"/>
    <x v="2"/>
    <x v="2"/>
    <x v="4"/>
    <s v="Low"/>
    <x v="347"/>
    <n v="554.76"/>
    <n v="637.97399999999993"/>
    <n v="728.69"/>
    <n v="728.69"/>
    <n v="837.99350000000004"/>
    <n v="0.22"/>
    <s v="OK"/>
    <n v="0.22"/>
    <n v="0.22"/>
    <n v="7"/>
    <n v="8.4"/>
    <n v="3978.6474000000003"/>
    <n v="8587.757388"/>
    <n v="3883.3199999999997"/>
    <n v="95.32740000000058"/>
    <n v="4704.4373880000003"/>
    <n v="2.395975074343119E-2"/>
    <d v="2023-01-02T00:00:00"/>
    <s v="Jan-2023"/>
    <n v="0"/>
    <n v="0"/>
    <n v="0"/>
  </r>
  <r>
    <s v="ORD-2025-487025"/>
    <x v="285"/>
    <x v="7"/>
    <s v="2025-Q2"/>
    <d v="2025-05-04T00:00:00"/>
    <n v="23"/>
    <s v="NOT ACHIEVED"/>
    <x v="2"/>
    <x v="7"/>
    <s v="Osaka"/>
    <s v="Asia &gt; Japan &gt; Osaka"/>
    <s v="Small Business"/>
    <s v="Online"/>
    <x v="1"/>
    <x v="13"/>
    <x v="0"/>
    <s v="Medium"/>
    <x v="348"/>
    <n v="786.2"/>
    <n v="904.13"/>
    <n v="1075.3"/>
    <n v="1075.3"/>
    <n v="1236.5949999999998"/>
    <n v="0.08"/>
    <s v="OK"/>
    <n v="0.08"/>
    <n v="0.08"/>
    <n v="9"/>
    <n v="10.799999999999999"/>
    <n v="8903.4839999999986"/>
    <n v="14423.644079999998"/>
    <n v="7075.8"/>
    <n v="1827.6839999999984"/>
    <n v="7347.844079999998"/>
    <n v="0.20527739478163815"/>
    <d v="2023-01-02T00:00:00"/>
    <s v="Jan-2023"/>
    <n v="0"/>
    <n v="0"/>
    <n v="0"/>
  </r>
  <r>
    <s v="ORD-2025-415018"/>
    <x v="165"/>
    <x v="25"/>
    <s v="2025-Q1"/>
    <d v="2025-02-04T00:00:00"/>
    <n v="13"/>
    <s v="NOT ACHIEVED"/>
    <x v="2"/>
    <x v="7"/>
    <s v="Tokyo"/>
    <s v="Asia &gt; Japan &gt; Tokyo"/>
    <s v="Small Business"/>
    <s v="Distributor"/>
    <x v="3"/>
    <x v="10"/>
    <x v="5"/>
    <s v="Low"/>
    <x v="349"/>
    <n v="122.29"/>
    <n v="140.6335"/>
    <n v="224.95"/>
    <n v="224.95"/>
    <n v="258.69249999999994"/>
    <n v="0.153"/>
    <s v="OK"/>
    <n v="0.153"/>
    <n v="0.153"/>
    <n v="28"/>
    <n v="33.6"/>
    <n v="5334.9141999999993"/>
    <n v="10021.954403999996"/>
    <n v="3424.1200000000003"/>
    <n v="1910.7941999999989"/>
    <n v="6597.8344039999956"/>
    <n v="0.3581677471026618"/>
    <d v="2023-01-02T00:00:00"/>
    <s v="Jan-2023"/>
    <n v="0"/>
    <n v="0"/>
    <n v="0"/>
  </r>
  <r>
    <s v="ORD-2023-363031"/>
    <x v="286"/>
    <x v="26"/>
    <s v="2023-Q2"/>
    <d v="2023-05-14T00:00:00"/>
    <n v="8"/>
    <s v="NOT ACHIEVED"/>
    <x v="2"/>
    <x v="7"/>
    <s v="Osaka"/>
    <s v="Asia &gt; Japan &gt; Osaka"/>
    <s v="Enterprise"/>
    <s v="Marketplace"/>
    <x v="2"/>
    <x v="6"/>
    <x v="4"/>
    <s v="Low"/>
    <x v="350"/>
    <n v="291.18"/>
    <n v="334.85699999999997"/>
    <n v="479.54"/>
    <n v="479.54"/>
    <n v="551.471"/>
    <n v="0.14099999999999999"/>
    <s v="OK"/>
    <n v="0.14099999999999999"/>
    <n v="0.14099999999999999"/>
    <n v="22"/>
    <n v="26.4"/>
    <n v="9062.34692"/>
    <n v="16611.630050399999"/>
    <n v="6405.96"/>
    <n v="2656.3869199999999"/>
    <n v="10205.6700504"/>
    <n v="0.29312350801066001"/>
    <d v="2023-01-02T00:00:00"/>
    <s v="Jan-2023"/>
    <n v="0"/>
    <n v="0"/>
    <n v="0"/>
  </r>
  <r>
    <s v="ORD-2024-892908"/>
    <x v="52"/>
    <x v="27"/>
    <s v="2024-Q3"/>
    <d v="2024-07-18T00:00:00"/>
    <n v="5"/>
    <s v="ACHIEVED"/>
    <x v="2"/>
    <x v="7"/>
    <s v="Nagoya"/>
    <s v="Asia &gt; Japan &gt; Nagoya"/>
    <s v="Small Business"/>
    <s v="Marketplace"/>
    <x v="2"/>
    <x v="8"/>
    <x v="6"/>
    <s v="Low"/>
    <x v="351"/>
    <n v="105.13"/>
    <n v="120.89949999999999"/>
    <n v="244.13"/>
    <n v="244.13"/>
    <n v="280.74949999999995"/>
    <n v="7.0999999999999994E-2"/>
    <s v="OK"/>
    <n v="7.0999999999999994E-2"/>
    <n v="7.0999999999999994E-2"/>
    <n v="14"/>
    <n v="16.8"/>
    <n v="3175.1547799999998"/>
    <n v="5051.4696035999996"/>
    <n v="1471.82"/>
    <n v="1703.3347799999999"/>
    <n v="3579.6496035999999"/>
    <n v="0.53645724319618837"/>
    <d v="2023-01-02T00:00:00"/>
    <s v="Jan-2023"/>
    <n v="0"/>
    <n v="0"/>
    <n v="0"/>
  </r>
  <r>
    <s v="ORD-2023-573146"/>
    <x v="287"/>
    <x v="9"/>
    <s v="2023-Q4"/>
    <d v="2023-12-18T00:00:00"/>
    <n v="17"/>
    <s v="NOT ACHIEVED"/>
    <x v="2"/>
    <x v="7"/>
    <s v="Nagoya"/>
    <s v="Asia &gt; Japan &gt; Nagoya"/>
    <s v="Small Business"/>
    <s v="Direct"/>
    <x v="4"/>
    <x v="5"/>
    <x v="3"/>
    <s v="High"/>
    <x v="352"/>
    <n v="1495.79"/>
    <n v="1720.1584999999998"/>
    <n v="2783.12"/>
    <n v="2783.12"/>
    <n v="3200.5879999999997"/>
    <n v="0.02"/>
    <s v="OK"/>
    <n v="0.02"/>
    <n v="0.02"/>
    <n v="5"/>
    <n v="6"/>
    <n v="13637.287999999999"/>
    <n v="19587.598559999999"/>
    <n v="7478.95"/>
    <n v="6158.3379999999988"/>
    <n v="12108.648559999998"/>
    <n v="0.45158084217331185"/>
    <d v="2023-01-02T00:00:00"/>
    <s v="Jan-2023"/>
    <n v="0"/>
    <n v="0"/>
    <n v="0"/>
  </r>
  <r>
    <s v="ORD-2024-915495"/>
    <x v="288"/>
    <x v="10"/>
    <s v="2024-Q3"/>
    <d v="2024-08-20T00:00:00"/>
    <n v="12"/>
    <s v="NOT ACHIEVED"/>
    <x v="2"/>
    <x v="7"/>
    <s v="Osaka"/>
    <s v="Asia &gt; Japan &gt; Osaka"/>
    <s v="Small Business"/>
    <s v="Retail"/>
    <x v="0"/>
    <x v="15"/>
    <x v="6"/>
    <s v="High"/>
    <x v="353"/>
    <n v="1233.3599999999999"/>
    <n v="1418.3639999999998"/>
    <n v="2120.4"/>
    <n v="2120.4"/>
    <n v="2438.46"/>
    <n v="0.17899999999999999"/>
    <s v="OK"/>
    <n v="0.17899999999999999"/>
    <n v="0.17899999999999999"/>
    <n v="20"/>
    <n v="24"/>
    <n v="34816.968000000001"/>
    <n v="68998.66416"/>
    <n v="24667.199999999997"/>
    <n v="10149.768000000004"/>
    <n v="44331.464160000003"/>
    <n v="0.29151785991244278"/>
    <d v="2023-01-02T00:00:00"/>
    <s v="Jan-2023"/>
    <n v="0"/>
    <n v="0"/>
    <n v="0"/>
  </r>
  <r>
    <s v="ORD-2025-125517"/>
    <x v="289"/>
    <x v="2"/>
    <s v="2025-Q1"/>
    <d v="2025-04-09T00:00:00"/>
    <n v="19"/>
    <s v="NOT ACHIEVED"/>
    <x v="2"/>
    <x v="7"/>
    <s v="Tokyo"/>
    <s v="Asia &gt; Japan &gt; Tokyo"/>
    <s v="Small Business"/>
    <s v="Distributor"/>
    <x v="3"/>
    <x v="11"/>
    <x v="0"/>
    <s v="Medium"/>
    <x v="354"/>
    <n v="1055.45"/>
    <n v="1213.7674999999999"/>
    <n v="1210.04"/>
    <n v="1210.04"/>
    <n v="1391.5459999999998"/>
    <n v="8.9999999999999993E-3"/>
    <s v="OK"/>
    <n v="8.9999999999999993E-3"/>
    <n v="8.9999999999999993E-3"/>
    <n v="18"/>
    <n v="21.599999999999998"/>
    <n v="21584.693520000001"/>
    <n v="30327.910142399989"/>
    <n v="18998.100000000002"/>
    <n v="2586.5935199999985"/>
    <n v="11329.810142399987"/>
    <n v="0.1198346188053727"/>
    <d v="2023-01-02T00:00:00"/>
    <s v="Jan-2023"/>
    <n v="0"/>
    <n v="0"/>
    <n v="0"/>
  </r>
  <r>
    <s v="ORD-2025-486350"/>
    <x v="290"/>
    <x v="1"/>
    <s v="2025-Q2"/>
    <d v="2025-06-08T00:00:00"/>
    <n v="12"/>
    <s v="NOT ACHIEVED"/>
    <x v="2"/>
    <x v="7"/>
    <s v="Osaka"/>
    <s v="Asia &gt; Japan &gt; Osaka"/>
    <s v="Corporate"/>
    <s v="Retail"/>
    <x v="0"/>
    <x v="15"/>
    <x v="1"/>
    <s v="Medium"/>
    <x v="355"/>
    <n v="653.6"/>
    <n v="751.64"/>
    <n v="842.09"/>
    <n v="842.09"/>
    <n v="968.40350000000001"/>
    <n v="9.8000000000000004E-2"/>
    <s v="OK"/>
    <n v="9.8000000000000004E-2"/>
    <n v="9.8000000000000004E-2"/>
    <n v="19"/>
    <n v="22.8"/>
    <n v="14431.738420000001"/>
    <n v="24243.400580400001"/>
    <n v="12418.4"/>
    <n v="2013.3384200000019"/>
    <n v="11825.000580400001"/>
    <n v="0.13950768517324622"/>
    <d v="2023-01-02T00:00:00"/>
    <s v="Jan-2023"/>
    <n v="0"/>
    <n v="0"/>
    <n v="0"/>
  </r>
  <r>
    <s v="ORD-2024-102866"/>
    <x v="291"/>
    <x v="30"/>
    <s v="2024-Q4"/>
    <d v="2024-12-20T00:00:00"/>
    <n v="8"/>
    <s v="NOT ACHIEVED"/>
    <x v="2"/>
    <x v="7"/>
    <s v="Tokyo"/>
    <s v="Asia &gt; Japan &gt; Tokyo"/>
    <s v="Corporate"/>
    <s v="Retail"/>
    <x v="0"/>
    <x v="6"/>
    <x v="3"/>
    <s v="Medium"/>
    <x v="356"/>
    <n v="1202.47"/>
    <n v="1382.8405"/>
    <n v="1444.72"/>
    <n v="1444.72"/>
    <n v="1661.4279999999999"/>
    <n v="0.24099999999999999"/>
    <s v="OK"/>
    <n v="0.24099999999999999"/>
    <n v="0.24099999999999999"/>
    <n v="17"/>
    <n v="20.399999999999999"/>
    <n v="18641.222160000001"/>
    <n v="42061.375819200002"/>
    <n v="20441.990000000002"/>
    <n v="-1800.7678400000004"/>
    <n v="21619.385819200001"/>
    <n v="-9.6601382921343834E-2"/>
    <d v="2023-01-02T00:00:00"/>
    <s v="Jan-2023"/>
    <n v="0"/>
    <n v="0"/>
    <n v="0"/>
  </r>
  <r>
    <s v="ORD-2024-542244"/>
    <x v="292"/>
    <x v="10"/>
    <s v="2024-Q3"/>
    <d v="2024-09-05T00:00:00"/>
    <n v="6"/>
    <s v="ACHIEVED"/>
    <x v="2"/>
    <x v="7"/>
    <s v="Nagoya"/>
    <s v="Asia &gt; Japan &gt; Nagoya"/>
    <s v="Education"/>
    <s v="Online"/>
    <x v="1"/>
    <x v="5"/>
    <x v="3"/>
    <s v="Medium"/>
    <x v="357"/>
    <n v="466.16"/>
    <n v="536.08399999999995"/>
    <n v="876.81"/>
    <n v="876.81"/>
    <n v="1008.3314999999999"/>
    <n v="0.24099999999999999"/>
    <s v="OK"/>
    <n v="0.24099999999999999"/>
    <n v="0.24099999999999999"/>
    <n v="8"/>
    <n v="9.6"/>
    <n v="5323.9903199999999"/>
    <n v="12012.8581584"/>
    <n v="3729.28"/>
    <n v="1594.7103199999997"/>
    <n v="8283.5781583999997"/>
    <n v="0.29953291124691594"/>
    <d v="2023-01-02T00:00:00"/>
    <s v="Jan-2023"/>
    <n v="0"/>
    <n v="0"/>
    <n v="0"/>
  </r>
  <r>
    <s v="ORD-2023-623293"/>
    <x v="293"/>
    <x v="20"/>
    <s v="2023-Q4"/>
    <d v="2023-10-29T00:00:00"/>
    <n v="17"/>
    <s v="NOT ACHIEVED"/>
    <x v="2"/>
    <x v="7"/>
    <s v="Nagoya"/>
    <s v="Asia &gt; Japan &gt; Nagoya"/>
    <s v="Non-Profit"/>
    <s v="Direct"/>
    <x v="4"/>
    <x v="15"/>
    <x v="4"/>
    <s v="High"/>
    <x v="358"/>
    <n v="1102.19"/>
    <n v="1267.5184999999999"/>
    <n v="1711.16"/>
    <n v="1711.16"/>
    <n v="1967.8339999999998"/>
    <n v="0.151"/>
    <s v="OK"/>
    <n v="0.151"/>
    <n v="0.151"/>
    <n v="10"/>
    <n v="12"/>
    <n v="14527.748400000002"/>
    <n v="27179.723207999999"/>
    <n v="11021.900000000001"/>
    <n v="3505.8484000000008"/>
    <n v="16157.823207999998"/>
    <n v="0.24132083675127525"/>
    <d v="2023-01-02T00:00:00"/>
    <s v="Jan-2023"/>
    <n v="0"/>
    <n v="0"/>
    <n v="0"/>
  </r>
  <r>
    <s v="ORD-2023-752962"/>
    <x v="102"/>
    <x v="19"/>
    <s v="2023-Q2"/>
    <d v="2023-04-26T00:00:00"/>
    <n v="5"/>
    <s v="ACHIEVED"/>
    <x v="2"/>
    <x v="7"/>
    <s v="Nagoya"/>
    <s v="Asia &gt; Japan &gt; Nagoya"/>
    <s v="Small Business"/>
    <s v="Direct"/>
    <x v="4"/>
    <x v="13"/>
    <x v="0"/>
    <s v="Medium"/>
    <x v="359"/>
    <n v="607.04"/>
    <n v="698.09599999999989"/>
    <n v="1229.3399999999999"/>
    <n v="1229.3399999999999"/>
    <n v="1413.7409999999998"/>
    <n v="0.14699999999999999"/>
    <s v="OK"/>
    <n v="0.14699999999999999"/>
    <n v="0.14699999999999999"/>
    <n v="7"/>
    <n v="8.4"/>
    <n v="7340.3891399999993"/>
    <n v="13621.111786799998"/>
    <n v="4249.28"/>
    <n v="3091.1091399999996"/>
    <n v="9371.8317867999976"/>
    <n v="0.42110970972310058"/>
    <d v="2023-01-02T00:00:00"/>
    <s v="Jan-2023"/>
    <n v="0"/>
    <n v="0"/>
    <n v="0"/>
  </r>
  <r>
    <s v="ORD-2023-580751"/>
    <x v="29"/>
    <x v="9"/>
    <s v="2023-Q4"/>
    <d v="2024-01-13T00:00:00"/>
    <n v="20"/>
    <s v="NOT ACHIEVED"/>
    <x v="2"/>
    <x v="7"/>
    <s v="Nagoya"/>
    <s v="Asia &gt; Japan &gt; Nagoya"/>
    <s v="Education"/>
    <s v="Direct"/>
    <x v="4"/>
    <x v="6"/>
    <x v="3"/>
    <s v="Medium"/>
    <x v="360"/>
    <n v="625.37"/>
    <n v="719.17549999999994"/>
    <n v="1319.04"/>
    <n v="1319.04"/>
    <n v="1516.8959999999997"/>
    <n v="7.3999999999999996E-2"/>
    <s v="OK"/>
    <n v="7.3999999999999996E-2"/>
    <n v="7.3999999999999996E-2"/>
    <n v="8"/>
    <n v="9.6"/>
    <n v="9771.4483199999995"/>
    <n v="15639.804518399997"/>
    <n v="5002.96"/>
    <n v="4768.4883199999995"/>
    <n v="10636.844518399997"/>
    <n v="0.48800220436513547"/>
    <d v="2023-01-02T00:00:00"/>
    <s v="Jan-2023"/>
    <n v="0"/>
    <n v="0"/>
    <n v="0"/>
  </r>
  <r>
    <s v="ORD-2025-417942"/>
    <x v="152"/>
    <x v="31"/>
    <s v="2025-Q2"/>
    <d v="2025-06-24T00:00:00"/>
    <n v="15"/>
    <s v="NOT ACHIEVED"/>
    <x v="2"/>
    <x v="7"/>
    <s v="Nagoya"/>
    <s v="Asia &gt; Japan &gt; Nagoya"/>
    <s v="Corporate"/>
    <s v="Direct"/>
    <x v="4"/>
    <x v="6"/>
    <x v="4"/>
    <s v="Low"/>
    <x v="361"/>
    <n v="400.39"/>
    <n v="460.44849999999997"/>
    <n v="712.75"/>
    <n v="712.75"/>
    <n v="819.66249999999991"/>
    <n v="0.115"/>
    <s v="OK"/>
    <n v="0.115"/>
    <n v="0.115"/>
    <n v="19"/>
    <n v="22.8"/>
    <n v="11984.891250000001"/>
    <n v="20837.460074999999"/>
    <n v="7607.41"/>
    <n v="4377.4812500000007"/>
    <n v="13230.050074999999"/>
    <n v="0.36524997671547504"/>
    <d v="2023-01-02T00:00:00"/>
    <s v="Jan-2023"/>
    <n v="0"/>
    <n v="0"/>
    <n v="0"/>
  </r>
  <r>
    <s v="ORD-2023-539967"/>
    <x v="294"/>
    <x v="14"/>
    <s v="2023-Q3"/>
    <d v="2023-07-19T00:00:00"/>
    <n v="10"/>
    <s v="NOT ACHIEVED"/>
    <x v="2"/>
    <x v="7"/>
    <s v="Tokyo"/>
    <s v="Asia &gt; Japan &gt; Tokyo"/>
    <s v="Enterprise"/>
    <s v="Distributor"/>
    <x v="3"/>
    <x v="5"/>
    <x v="0"/>
    <s v="Low"/>
    <x v="362"/>
    <n v="141.26"/>
    <n v="162.44899999999998"/>
    <n v="206.88"/>
    <n v="206.88"/>
    <n v="237.91199999999998"/>
    <n v="0.107"/>
    <s v="OK"/>
    <n v="0.107"/>
    <n v="0.107"/>
    <n v="9"/>
    <n v="10.799999999999999"/>
    <n v="1662.6945600000001"/>
    <n v="2844.3807071999995"/>
    <n v="1271.3399999999999"/>
    <n v="391.35456000000022"/>
    <n v="1573.0407071999996"/>
    <n v="0.23537369365062469"/>
    <d v="2023-01-02T00:00:00"/>
    <s v="Jan-2023"/>
    <n v="0"/>
    <n v="0"/>
    <n v="0"/>
  </r>
  <r>
    <s v="ORD-2025-496178"/>
    <x v="295"/>
    <x v="4"/>
    <s v="2025-Q3"/>
    <d v="2025-08-15T00:00:00"/>
    <n v="19"/>
    <s v="NOT ACHIEVED"/>
    <x v="2"/>
    <x v="7"/>
    <s v="Tokyo"/>
    <s v="Asia &gt; Japan &gt; Tokyo"/>
    <s v="Small Business"/>
    <s v="Marketplace"/>
    <x v="2"/>
    <x v="2"/>
    <x v="0"/>
    <s v="Low"/>
    <x v="363"/>
    <n v="275.43"/>
    <n v="316.74449999999996"/>
    <n v="608.36"/>
    <n v="608.36"/>
    <n v="699.61399999999992"/>
    <n v="0.25700000000000001"/>
    <s v="OK"/>
    <n v="0.25700000000000001"/>
    <n v="0.25"/>
    <n v="4"/>
    <n v="4.8"/>
    <n v="1808.04592"/>
    <n v="4197.6839999999993"/>
    <n v="1101.72"/>
    <n v="706.32592"/>
    <n v="3095.963999999999"/>
    <n v="0.39065706915231446"/>
    <d v="2023-01-02T00:00:00"/>
    <s v="Jan-2023"/>
    <n v="0"/>
    <n v="0"/>
    <n v="0"/>
  </r>
  <r>
    <s v="ORD-2024-105586"/>
    <x v="95"/>
    <x v="22"/>
    <s v="2024-Q1"/>
    <d v="2024-01-15T00:00:00"/>
    <n v="13"/>
    <s v="NOT ACHIEVED"/>
    <x v="2"/>
    <x v="7"/>
    <s v="Nagoya"/>
    <s v="Asia &gt; Japan &gt; Nagoya"/>
    <s v="Small Business"/>
    <s v="Marketplace"/>
    <x v="2"/>
    <x v="4"/>
    <x v="6"/>
    <s v="High"/>
    <x v="364"/>
    <n v="1219.06"/>
    <n v="1401.9189999999999"/>
    <n v="2738.69"/>
    <n v="2738.69"/>
    <n v="3149.4935"/>
    <n v="7.5999999999999998E-2"/>
    <s v="OK"/>
    <n v="7.5999999999999998E-2"/>
    <n v="7.5999999999999998E-2"/>
    <n v="16"/>
    <n v="19.2"/>
    <n v="40488.792960000006"/>
    <n v="65066.0161152"/>
    <n v="19504.96"/>
    <n v="20983.832960000007"/>
    <n v="45561.056115200001"/>
    <n v="0.51826274447673737"/>
    <d v="2023-01-02T00:00:00"/>
    <s v="Jan-2023"/>
    <n v="0"/>
    <n v="0"/>
    <n v="0"/>
  </r>
  <r>
    <s v="ORD-2024-207792"/>
    <x v="296"/>
    <x v="17"/>
    <s v="2024-Q3"/>
    <d v="2024-09-07T00:00:00"/>
    <n v="4"/>
    <s v="ACHIEVED"/>
    <x v="2"/>
    <x v="7"/>
    <s v="Tokyo"/>
    <s v="Asia &gt; Japan &gt; Tokyo"/>
    <s v="Small Business"/>
    <s v="Distributor"/>
    <x v="3"/>
    <x v="5"/>
    <x v="5"/>
    <s v="Low"/>
    <x v="365"/>
    <n v="43.23"/>
    <n v="49.714499999999994"/>
    <n v="94.78"/>
    <n v="94.78"/>
    <n v="108.997"/>
    <n v="9.0999999999999998E-2"/>
    <s v="OK"/>
    <n v="9.0999999999999998E-2"/>
    <n v="9.0999999999999998E-2"/>
    <n v="55"/>
    <n v="66"/>
    <n v="4738.5261"/>
    <n v="7848.4379819999995"/>
    <n v="2377.6499999999996"/>
    <n v="2360.8761000000004"/>
    <n v="5470.7879819999998"/>
    <n v="0.49823005090127082"/>
    <d v="2023-01-02T00:00:00"/>
    <s v="Jan-2023"/>
    <n v="0"/>
    <n v="0"/>
    <n v="0"/>
  </r>
  <r>
    <s v="ORD-2025-254721"/>
    <x v="297"/>
    <x v="1"/>
    <s v="2025-Q2"/>
    <d v="2025-06-05T00:00:00"/>
    <n v="21"/>
    <s v="NOT ACHIEVED"/>
    <x v="2"/>
    <x v="7"/>
    <s v="Osaka"/>
    <s v="Asia &gt; Japan &gt; Osaka"/>
    <s v="Enterprise"/>
    <s v="Direct"/>
    <x v="4"/>
    <x v="15"/>
    <x v="4"/>
    <s v="High"/>
    <x v="366"/>
    <n v="1466.5"/>
    <n v="1686.4749999999999"/>
    <n v="2778.74"/>
    <n v="2778.74"/>
    <n v="3195.5509999999995"/>
    <n v="0.13500000000000001"/>
    <s v="OK"/>
    <n v="0.13500000000000001"/>
    <n v="0.13500000000000001"/>
    <n v="4"/>
    <n v="4.8"/>
    <n v="9614.4403999999995"/>
    <n v="17409.361847999997"/>
    <n v="5866"/>
    <n v="3748.4403999999995"/>
    <n v="11543.361847999997"/>
    <n v="0.38987608680792279"/>
    <d v="2023-01-02T00:00:00"/>
    <s v="Jan-2023"/>
    <n v="0"/>
    <n v="0"/>
    <n v="0"/>
  </r>
  <r>
    <s v="ORD-2025-703623"/>
    <x v="298"/>
    <x v="4"/>
    <s v="2025-Q3"/>
    <d v="2025-08-19T00:00:00"/>
    <n v="27"/>
    <s v="NOT ACHIEVED"/>
    <x v="2"/>
    <x v="7"/>
    <s v="Nagoya"/>
    <s v="Asia &gt; Japan &gt; Nagoya"/>
    <s v="Consumer"/>
    <s v="Marketplace"/>
    <x v="2"/>
    <x v="6"/>
    <x v="1"/>
    <s v="Low"/>
    <x v="367"/>
    <n v="896.09"/>
    <n v="1030.5035"/>
    <n v="744.27"/>
    <n v="744.27"/>
    <n v="855.91049999999996"/>
    <n v="8.3000000000000004E-2"/>
    <s v="OK"/>
    <n v="8.3000000000000004E-2"/>
    <n v="8.3000000000000004E-2"/>
    <n v="11"/>
    <n v="13.2"/>
    <n v="7507.4514899999995"/>
    <n v="12235.754143799999"/>
    <n v="9856.99"/>
    <n v="-2349.5385100000003"/>
    <n v="2378.7641437999991"/>
    <n v="-0.31296086469950679"/>
    <d v="2023-01-02T00:00:00"/>
    <s v="Jan-2023"/>
    <n v="0"/>
    <n v="0"/>
    <n v="0"/>
  </r>
  <r>
    <s v="ORD-2023-568013"/>
    <x v="130"/>
    <x v="29"/>
    <s v="2023-Q3"/>
    <d v="2023-10-30T00:00:00"/>
    <n v="30"/>
    <s v="NOT ACHIEVED"/>
    <x v="2"/>
    <x v="7"/>
    <s v="Tokyo"/>
    <s v="Asia &gt; Japan &gt; Tokyo"/>
    <s v="Enterprise"/>
    <s v="Online"/>
    <x v="1"/>
    <x v="14"/>
    <x v="5"/>
    <s v="Medium"/>
    <x v="368"/>
    <n v="649.13"/>
    <n v="746.4994999999999"/>
    <n v="975.43"/>
    <n v="975.43"/>
    <n v="1121.7444999999998"/>
    <n v="0.157"/>
    <s v="OK"/>
    <n v="0.157"/>
    <n v="0.157"/>
    <n v="27"/>
    <n v="32.4"/>
    <n v="22201.762229999997"/>
    <n v="42050.611722599999"/>
    <n v="17526.509999999998"/>
    <n v="4675.2522299999982"/>
    <n v="24524.1017226"/>
    <n v="0.21058023149543473"/>
    <d v="2023-01-02T00:00:00"/>
    <s v="Jan-2023"/>
    <n v="0"/>
    <n v="0"/>
    <n v="0"/>
  </r>
  <r>
    <s v="ORD-2024-532184"/>
    <x v="31"/>
    <x v="22"/>
    <s v="2024-Q1"/>
    <d v="2024-02-08T00:00:00"/>
    <n v="14"/>
    <s v="NOT ACHIEVED"/>
    <x v="2"/>
    <x v="7"/>
    <s v="Osaka"/>
    <s v="Asia &gt; Japan &gt; Osaka"/>
    <s v="Consumer"/>
    <s v="Marketplace"/>
    <x v="2"/>
    <x v="12"/>
    <x v="6"/>
    <s v="Medium"/>
    <x v="369"/>
    <n v="937.16"/>
    <n v="1077.7339999999999"/>
    <n v="1069.77"/>
    <n v="1069.77"/>
    <n v="1230.2354999999998"/>
    <n v="3.7999999999999999E-2"/>
    <s v="OK"/>
    <n v="3.7999999999999999E-2"/>
    <n v="3.7999999999999999E-2"/>
    <n v="9"/>
    <n v="10.799999999999999"/>
    <n v="9262.0686600000008"/>
    <n v="13791.432049199997"/>
    <n v="8434.44"/>
    <n v="827.62866000000031"/>
    <n v="5356.9920491999965"/>
    <n v="8.9356783066645962E-2"/>
    <d v="2023-01-02T00:00:00"/>
    <s v="Jan-2023"/>
    <n v="0"/>
    <n v="0"/>
    <n v="0"/>
  </r>
  <r>
    <s v="ORD-2023-139236"/>
    <x v="299"/>
    <x v="12"/>
    <s v="2023-Q1"/>
    <d v="2023-03-20T00:00:00"/>
    <n v="17"/>
    <s v="NOT ACHIEVED"/>
    <x v="2"/>
    <x v="7"/>
    <s v="Nagoya"/>
    <s v="Asia &gt; Japan &gt; Nagoya"/>
    <s v="Small Business"/>
    <s v="Online"/>
    <x v="1"/>
    <x v="14"/>
    <x v="6"/>
    <s v="High"/>
    <x v="370"/>
    <n v="1171.17"/>
    <n v="1346.8454999999999"/>
    <n v="2030.64"/>
    <n v="2030.64"/>
    <n v="2335.2359999999999"/>
    <n v="0.157"/>
    <s v="OK"/>
    <n v="0.157"/>
    <n v="0.157"/>
    <n v="11"/>
    <n v="13.2"/>
    <n v="18830.12472"/>
    <n v="35664.658286399994"/>
    <n v="12882.87"/>
    <n v="5947.254719999999"/>
    <n v="22781.788286399991"/>
    <n v="0.31583724528830415"/>
    <d v="2023-01-02T00:00:00"/>
    <s v="Jan-2023"/>
    <n v="0"/>
    <n v="0"/>
    <n v="0"/>
  </r>
  <r>
    <s v="ORD-2024-536442"/>
    <x v="300"/>
    <x v="10"/>
    <s v="2024-Q3"/>
    <d v="2024-09-26T00:00:00"/>
    <n v="26"/>
    <s v="NOT ACHIEVED"/>
    <x v="2"/>
    <x v="7"/>
    <s v="Tokyo"/>
    <s v="Asia &gt; Japan &gt; Tokyo"/>
    <s v="Education"/>
    <s v="Online"/>
    <x v="1"/>
    <x v="12"/>
    <x v="4"/>
    <s v="High"/>
    <x v="371"/>
    <n v="1189.03"/>
    <n v="1367.3844999999999"/>
    <n v="2949.62"/>
    <n v="2949.62"/>
    <n v="3392.0629999999996"/>
    <n v="0.125"/>
    <s v="OK"/>
    <n v="0.125"/>
    <n v="0.125"/>
    <n v="13"/>
    <n v="15.6"/>
    <n v="33551.927499999998"/>
    <n v="59530.705649999996"/>
    <n v="15457.39"/>
    <n v="18094.537499999999"/>
    <n v="44073.315649999997"/>
    <n v="0.53929949330034765"/>
    <d v="2023-01-02T00:00:00"/>
    <s v="Jan-2023"/>
    <n v="0"/>
    <n v="0"/>
    <n v="0"/>
  </r>
  <r>
    <s v="ORD-2025-169093"/>
    <x v="301"/>
    <x v="7"/>
    <s v="2025-Q2"/>
    <d v="2025-04-14T00:00:00"/>
    <n v="1"/>
    <s v="ACHIEVED"/>
    <x v="2"/>
    <x v="7"/>
    <s v="Osaka"/>
    <s v="Asia &gt; Japan &gt; Osaka"/>
    <s v="Enterprise"/>
    <s v="Online"/>
    <x v="1"/>
    <x v="4"/>
    <x v="0"/>
    <s v="Low"/>
    <x v="372"/>
    <n v="138.9"/>
    <n v="159.73499999999999"/>
    <n v="289.92"/>
    <n v="289.92"/>
    <n v="333.40800000000002"/>
    <n v="2.9000000000000001E-2"/>
    <s v="OK"/>
    <n v="2.9000000000000001E-2"/>
    <n v="2.9000000000000001E-2"/>
    <n v="12"/>
    <n v="14.399999999999999"/>
    <n v="3378.1478400000001"/>
    <n v="4940.3063807999988"/>
    <n v="1666.8000000000002"/>
    <n v="1711.3478399999999"/>
    <n v="3273.5063807999986"/>
    <n v="0.50659353025828491"/>
    <d v="2023-01-02T00:00:00"/>
    <s v="Jan-2023"/>
    <n v="0"/>
    <n v="0"/>
    <n v="0"/>
  </r>
  <r>
    <s v="ORD-2024-594527"/>
    <x v="302"/>
    <x v="17"/>
    <s v="2024-Q3"/>
    <d v="2024-09-11T00:00:00"/>
    <n v="5"/>
    <s v="ACHIEVED"/>
    <x v="2"/>
    <x v="7"/>
    <s v="Osaka"/>
    <s v="Asia &gt; Japan &gt; Osaka"/>
    <s v="Corporate"/>
    <s v="Direct"/>
    <x v="4"/>
    <x v="1"/>
    <x v="3"/>
    <s v="High"/>
    <x v="373"/>
    <n v="1368.17"/>
    <n v="1573.3954999999999"/>
    <n v="2307.75"/>
    <n v="2307.75"/>
    <n v="2653.9124999999999"/>
    <n v="0.16300000000000001"/>
    <s v="OK"/>
    <n v="0.16300000000000001"/>
    <n v="0.16300000000000001"/>
    <n v="21"/>
    <n v="25.2"/>
    <n v="40563.321749999996"/>
    <n v="77779.805984999999"/>
    <n v="28731.57"/>
    <n v="11831.751749999996"/>
    <n v="49048.235984999999"/>
    <n v="0.29168596750831921"/>
    <d v="2023-01-02T00:00:00"/>
    <s v="Jan-2023"/>
    <n v="0"/>
    <n v="0"/>
    <n v="0"/>
  </r>
  <r>
    <s v="ORD-2024-572312"/>
    <x v="303"/>
    <x v="6"/>
    <s v="2024-Q2"/>
    <d v="2024-06-21T00:00:00"/>
    <n v="5"/>
    <s v="ACHIEVED"/>
    <x v="2"/>
    <x v="7"/>
    <s v="Tokyo"/>
    <s v="Asia &gt; Japan &gt; Tokyo"/>
    <s v="Small Business"/>
    <s v="Distributor"/>
    <x v="3"/>
    <x v="8"/>
    <x v="4"/>
    <s v="High"/>
    <x v="374"/>
    <n v="1367.13"/>
    <n v="1572.1994999999999"/>
    <n v="3062.01"/>
    <n v="3062.01"/>
    <n v="3521.3114999999998"/>
    <n v="0.10299999999999999"/>
    <s v="OK"/>
    <n v="0.10299999999999999"/>
    <n v="0.10299999999999999"/>
    <n v="25"/>
    <n v="30"/>
    <n v="68665.574250000005"/>
    <n v="116520.197535"/>
    <n v="34178.25"/>
    <n v="34487.324250000005"/>
    <n v="82341.947534999999"/>
    <n v="0.50225057645971705"/>
    <d v="2023-01-02T00:00:00"/>
    <s v="Jan-2023"/>
    <n v="0"/>
    <n v="0"/>
    <n v="0"/>
  </r>
  <r>
    <s v="ORD-2024-947056"/>
    <x v="304"/>
    <x v="27"/>
    <s v="2024-Q3"/>
    <d v="2024-08-15T00:00:00"/>
    <n v="15"/>
    <s v="NOT ACHIEVED"/>
    <x v="2"/>
    <x v="7"/>
    <s v="Tokyo"/>
    <s v="Asia &gt; Japan &gt; Tokyo"/>
    <s v="Corporate"/>
    <s v="Marketplace"/>
    <x v="2"/>
    <x v="8"/>
    <x v="2"/>
    <s v="Medium"/>
    <x v="375"/>
    <n v="1252.52"/>
    <n v="1440.3979999999999"/>
    <n v="1417.24"/>
    <n v="1417.24"/>
    <n v="1629.8259999999998"/>
    <n v="0.192"/>
    <s v="OK"/>
    <n v="0.192"/>
    <n v="0.192"/>
    <n v="5"/>
    <n v="6"/>
    <n v="5725.6496000000006"/>
    <n v="11656.515551999997"/>
    <n v="6262.6"/>
    <n v="-536.95039999999972"/>
    <n v="5393.9155519999968"/>
    <n v="-9.3779821943696953E-2"/>
    <d v="2023-01-02T00:00:00"/>
    <s v="Jan-2023"/>
    <n v="0"/>
    <n v="0"/>
    <n v="0"/>
  </r>
  <r>
    <s v="ORD-2025-683247"/>
    <x v="50"/>
    <x v="2"/>
    <s v="2025-Q1"/>
    <d v="2025-04-04T00:00:00"/>
    <n v="25"/>
    <s v="NOT ACHIEVED"/>
    <x v="2"/>
    <x v="7"/>
    <s v="Osaka"/>
    <s v="Asia &gt; Japan &gt; Osaka"/>
    <s v="Corporate"/>
    <s v="Direct"/>
    <x v="4"/>
    <x v="15"/>
    <x v="5"/>
    <s v="Medium"/>
    <x v="376"/>
    <n v="783.72"/>
    <n v="901.27799999999991"/>
    <n v="1355.94"/>
    <n v="1355.94"/>
    <n v="1559.3309999999999"/>
    <n v="0.187"/>
    <s v="OK"/>
    <n v="0.187"/>
    <n v="0.187"/>
    <n v="4"/>
    <n v="4.8"/>
    <n v="4409.5168800000001"/>
    <n v="8884.4443056"/>
    <n v="3134.88"/>
    <n v="1274.63688"/>
    <n v="5749.5643055999999"/>
    <n v="0.28906497348525856"/>
    <d v="2023-01-02T00:00:00"/>
    <s v="Jan-2023"/>
    <n v="0"/>
    <n v="0"/>
    <n v="0"/>
  </r>
  <r>
    <s v="ORD-2025-752192"/>
    <x v="123"/>
    <x v="1"/>
    <s v="2025-Q2"/>
    <d v="2025-05-18T00:00:00"/>
    <n v="2"/>
    <s v="ACHIEVED"/>
    <x v="2"/>
    <x v="7"/>
    <s v="Tokyo"/>
    <s v="Asia &gt; Japan &gt; Tokyo"/>
    <s v="Enterprise"/>
    <s v="Retail"/>
    <x v="0"/>
    <x v="2"/>
    <x v="5"/>
    <s v="High"/>
    <x v="377"/>
    <n v="1144.3800000000001"/>
    <n v="1316.037"/>
    <n v="2755.04"/>
    <n v="2755.04"/>
    <n v="3168.2959999999998"/>
    <n v="0.15"/>
    <s v="OK"/>
    <n v="0.15"/>
    <n v="0.15"/>
    <n v="17"/>
    <n v="20.399999999999999"/>
    <n v="39810.328000000001"/>
    <n v="74328.224159999983"/>
    <n v="19454.460000000003"/>
    <n v="20355.867999999999"/>
    <n v="54873.764159999977"/>
    <n v="0.51132128326096682"/>
    <d v="2023-01-02T00:00:00"/>
    <s v="Jan-2023"/>
    <n v="0"/>
    <n v="0"/>
    <n v="0"/>
  </r>
  <r>
    <s v="ORD-2023-107265"/>
    <x v="305"/>
    <x v="19"/>
    <s v="2023-Q2"/>
    <d v="2023-05-14T00:00:00"/>
    <n v="22"/>
    <s v="NOT ACHIEVED"/>
    <x v="2"/>
    <x v="7"/>
    <s v="Nagoya"/>
    <s v="Asia &gt; Japan &gt; Nagoya"/>
    <s v="Enterprise"/>
    <s v="Retail"/>
    <x v="0"/>
    <x v="1"/>
    <x v="1"/>
    <s v="Medium"/>
    <x v="378"/>
    <n v="1209.22"/>
    <n v="1390.6029999999998"/>
    <n v="1404.33"/>
    <n v="1404.33"/>
    <n v="1614.9794999999997"/>
    <n v="0.10299999999999999"/>
    <s v="OK"/>
    <n v="0.10299999999999999"/>
    <n v="0.10299999999999999"/>
    <n v="11"/>
    <n v="13.2"/>
    <n v="13856.52411"/>
    <n v="23513.455528199996"/>
    <n v="13301.42"/>
    <n v="555.10411000000022"/>
    <n v="10212.035528199996"/>
    <n v="4.0060848275751328E-2"/>
    <d v="2023-01-02T00:00:00"/>
    <s v="Jan-2023"/>
    <n v="0"/>
    <n v="0"/>
    <n v="0"/>
  </r>
  <r>
    <s v="ORD-2025-532859"/>
    <x v="223"/>
    <x v="2"/>
    <s v="2025-Q1"/>
    <d v="2025-03-27T00:00:00"/>
    <n v="16"/>
    <s v="NOT ACHIEVED"/>
    <x v="2"/>
    <x v="7"/>
    <s v="Tokyo"/>
    <s v="Asia &gt; Japan &gt; Tokyo"/>
    <s v="Enterprise"/>
    <s v="Distributor"/>
    <x v="3"/>
    <x v="6"/>
    <x v="5"/>
    <s v="High"/>
    <x v="379"/>
    <n v="1317.58"/>
    <n v="1515.2169999999999"/>
    <n v="1897.74"/>
    <n v="1897.74"/>
    <n v="2182.4009999999998"/>
    <n v="8.1000000000000003E-2"/>
    <s v="OK"/>
    <n v="8.1000000000000003E-2"/>
    <n v="8.1000000000000003E-2"/>
    <n v="6"/>
    <n v="7.1999999999999993"/>
    <n v="10464.138360000001"/>
    <n v="16986.063463199996"/>
    <n v="7905.48"/>
    <n v="2558.6583600000013"/>
    <n v="9080.5834631999969"/>
    <n v="0.24451687009230266"/>
    <d v="2023-01-02T00:00:00"/>
    <s v="Jan-2023"/>
    <n v="0"/>
    <n v="0"/>
    <n v="0"/>
  </r>
  <r>
    <s v="ORD-2023-455933"/>
    <x v="156"/>
    <x v="18"/>
    <s v="2023-Q4"/>
    <d v="2023-12-19T00:00:00"/>
    <n v="30"/>
    <s v="NOT ACHIEVED"/>
    <x v="2"/>
    <x v="7"/>
    <s v="Nagoya"/>
    <s v="Asia &gt; Japan &gt; Nagoya"/>
    <s v="Consumer"/>
    <s v="Retail"/>
    <x v="0"/>
    <x v="9"/>
    <x v="4"/>
    <s v="High"/>
    <x v="380"/>
    <n v="807.11"/>
    <n v="928.17649999999992"/>
    <n v="1853.86"/>
    <n v="1853.86"/>
    <n v="2131.9389999999999"/>
    <n v="0.13900000000000001"/>
    <s v="OK"/>
    <n v="0.13900000000000001"/>
    <n v="0.13900000000000001"/>
    <n v="8"/>
    <n v="9.6"/>
    <n v="12769.38768"/>
    <n v="23311.473801599997"/>
    <n v="6456.88"/>
    <n v="6312.5076799999997"/>
    <n v="16854.593801599996"/>
    <n v="0.49434693645388639"/>
    <d v="2023-01-02T00:00:00"/>
    <s v="Jan-2023"/>
    <n v="0"/>
    <n v="0"/>
    <n v="0"/>
  </r>
  <r>
    <s v="ORD-2025-728935"/>
    <x v="306"/>
    <x v="8"/>
    <s v="2025-Q1"/>
    <d v="2025-03-10T00:00:00"/>
    <n v="10"/>
    <s v="NOT ACHIEVED"/>
    <x v="2"/>
    <x v="7"/>
    <s v="Osaka"/>
    <s v="Asia &gt; Japan &gt; Osaka"/>
    <s v="Education"/>
    <s v="Distributor"/>
    <x v="3"/>
    <x v="5"/>
    <x v="3"/>
    <s v="Low"/>
    <x v="381"/>
    <n v="51.86"/>
    <n v="59.638999999999996"/>
    <n v="45.98"/>
    <n v="45.98"/>
    <n v="52.876999999999995"/>
    <n v="0.17299999999999999"/>
    <s v="OK"/>
    <n v="0.17299999999999999"/>
    <n v="0.17299999999999999"/>
    <n v="7"/>
    <n v="8.4"/>
    <n v="266.17821999999995"/>
    <n v="521.00765639999997"/>
    <n v="363.02"/>
    <n v="-96.841780000000028"/>
    <n v="157.98765639999999"/>
    <n v="-0.3638230806412337"/>
    <d v="2023-01-02T00:00:00"/>
    <s v="Jan-2023"/>
    <n v="0"/>
    <n v="0"/>
    <n v="0"/>
  </r>
  <r>
    <s v="ORD-2023-373538"/>
    <x v="168"/>
    <x v="5"/>
    <s v="2023-Q1"/>
    <d v="2023-03-25T00:00:00"/>
    <n v="25"/>
    <s v="NOT ACHIEVED"/>
    <x v="0"/>
    <x v="0"/>
    <s v="Nairobi"/>
    <s v="Africa &gt; Kenya &gt; Nairobi"/>
    <s v="Corporate"/>
    <s v="Retail"/>
    <x v="0"/>
    <x v="12"/>
    <x v="6"/>
    <s v="Low"/>
    <x v="382"/>
    <n v="1460.76"/>
    <n v="1679.8739999999998"/>
    <n v="0"/>
    <n v="0"/>
    <n v="0"/>
    <n v="0.13100000000000001"/>
    <s v="OK"/>
    <n v="0.13100000000000001"/>
    <n v="0.13100000000000001"/>
    <n v="12"/>
    <n v="14.399999999999999"/>
    <n v="0"/>
    <n v="0"/>
    <n v="17529.12"/>
    <n v="-17529.12"/>
    <n v="-17529.12"/>
    <n v="0"/>
    <d v="2023-01-02T00:00:00"/>
    <s v="Jan-2023"/>
    <n v="0"/>
    <n v="0"/>
    <n v="0"/>
  </r>
  <r>
    <s v="ORD-2023-937291"/>
    <x v="307"/>
    <x v="19"/>
    <s v="2023-Q2"/>
    <d v="2023-04-28T00:00:00"/>
    <n v="5"/>
    <s v="ACHIEVED"/>
    <x v="0"/>
    <x v="0"/>
    <s v="Nairobi"/>
    <s v="Africa &gt; Kenya &gt; Nairobi"/>
    <s v="Small Business"/>
    <s v="Direct"/>
    <x v="4"/>
    <x v="11"/>
    <x v="3"/>
    <s v="Medium"/>
    <x v="383"/>
    <n v="756.51"/>
    <n v="869.98649999999998"/>
    <n v="850.8"/>
    <n v="850.8"/>
    <n v="978.41999999999985"/>
    <n v="7.3999999999999996E-2"/>
    <s v="OK"/>
    <n v="7.3999999999999996E-2"/>
    <n v="7.3999999999999996E-2"/>
    <n v="9"/>
    <n v="10.799999999999999"/>
    <n v="7090.5672000000004"/>
    <n v="11348.889263999998"/>
    <n v="6808.59"/>
    <n v="281.97720000000027"/>
    <n v="4540.2992639999975"/>
    <n v="3.9767932810791252E-2"/>
    <d v="2023-01-02T00:00:00"/>
    <s v="Jan-2023"/>
    <n v="0"/>
    <n v="0"/>
    <n v="0"/>
  </r>
  <r>
    <s v="ORD-2024-798002"/>
    <x v="82"/>
    <x v="27"/>
    <s v="2024-Q3"/>
    <d v="2024-07-30T00:00:00"/>
    <n v="5"/>
    <s v="ACHIEVED"/>
    <x v="0"/>
    <x v="0"/>
    <s v="Mombasa"/>
    <s v="Africa &gt; Kenya &gt; Mombasa"/>
    <s v="Non-Profit"/>
    <s v="Direct"/>
    <x v="4"/>
    <x v="2"/>
    <x v="3"/>
    <s v="High"/>
    <x v="384"/>
    <n v="1494.4"/>
    <n v="1718.56"/>
    <n v="3661.07"/>
    <n v="3661.07"/>
    <n v="4210.2304999999997"/>
    <n v="7.1999999999999995E-2"/>
    <s v="OK"/>
    <n v="7.1999999999999995E-2"/>
    <n v="7.1999999999999995E-2"/>
    <n v="7"/>
    <n v="8.4"/>
    <n v="23782.310720000001"/>
    <n v="37912.2836064"/>
    <n v="10460.800000000001"/>
    <n v="13321.51072"/>
    <n v="27451.483606399997"/>
    <n v="0.56014366630897339"/>
    <d v="2023-01-02T00:00:00"/>
    <s v="Jan-2023"/>
    <n v="0"/>
    <n v="0"/>
    <n v="0"/>
  </r>
  <r>
    <s v="ORD-2024-855073"/>
    <x v="308"/>
    <x v="27"/>
    <s v="2024-Q3"/>
    <d v="2024-07-19T00:00:00"/>
    <n v="0"/>
    <s v="ACHIEVED"/>
    <x v="0"/>
    <x v="0"/>
    <s v="Kisumu"/>
    <s v="Africa &gt; Kenya &gt; Kisumu"/>
    <s v="Small Business"/>
    <s v="Retail"/>
    <x v="0"/>
    <x v="1"/>
    <x v="4"/>
    <s v="Low"/>
    <x v="385"/>
    <n v="857.24"/>
    <n v="985.82599999999991"/>
    <n v="758.23"/>
    <n v="758.23"/>
    <n v="871.96449999999993"/>
    <n v="0.125"/>
    <s v="OK"/>
    <n v="0.125"/>
    <n v="0.125"/>
    <n v="6"/>
    <n v="7.1999999999999993"/>
    <n v="3980.7075"/>
    <n v="7062.9124499999989"/>
    <n v="5143.4400000000005"/>
    <n v="-1162.7325000000005"/>
    <n v="1919.4724499999984"/>
    <n v="-0.29209192084572921"/>
    <d v="2023-01-02T00:00:00"/>
    <s v="Jan-2023"/>
    <n v="0"/>
    <n v="0"/>
    <n v="0"/>
  </r>
  <r>
    <s v="ORD-2023-897079"/>
    <x v="202"/>
    <x v="19"/>
    <s v="2023-Q2"/>
    <d v="2023-05-14T00:00:00"/>
    <n v="30"/>
    <s v="NOT ACHIEVED"/>
    <x v="0"/>
    <x v="0"/>
    <s v="Nakuru"/>
    <s v="Africa &gt; Kenya &gt; Nakuru"/>
    <s v="Consumer"/>
    <s v="Marketplace"/>
    <x v="2"/>
    <x v="13"/>
    <x v="4"/>
    <s v="Low"/>
    <x v="386"/>
    <n v="209.25"/>
    <n v="240.63749999999999"/>
    <n v="434.8"/>
    <n v="434.8"/>
    <n v="500.02"/>
    <n v="0"/>
    <s v="OK"/>
    <n v="0"/>
    <n v="0"/>
    <n v="9"/>
    <n v="10.799999999999999"/>
    <n v="3913.2000000000003"/>
    <n v="5400.2159999999994"/>
    <n v="1883.25"/>
    <n v="2029.9500000000003"/>
    <n v="3516.9659999999994"/>
    <n v="0.51874425022999082"/>
    <d v="2023-01-02T00:00:00"/>
    <s v="Jan-2023"/>
    <n v="0"/>
    <n v="0"/>
    <n v="0"/>
  </r>
  <r>
    <s v="ORD-2024-998320"/>
    <x v="309"/>
    <x v="32"/>
    <s v="2024-Q4"/>
    <d v="2024-11-14T00:00:00"/>
    <n v="20"/>
    <s v="NOT ACHIEVED"/>
    <x v="0"/>
    <x v="0"/>
    <s v="Mombasa"/>
    <s v="Africa &gt; Kenya &gt; Mombasa"/>
    <s v="Corporate"/>
    <s v="Direct"/>
    <x v="4"/>
    <x v="15"/>
    <x v="5"/>
    <s v="High"/>
    <x v="387"/>
    <n v="1396.48"/>
    <n v="1605.952"/>
    <n v="3204.5"/>
    <n v="3204.5"/>
    <n v="3685.1749999999997"/>
    <n v="0.3"/>
    <s v="OK"/>
    <n v="0.3"/>
    <n v="0.25"/>
    <n v="14"/>
    <n v="16.8"/>
    <n v="31404.1"/>
    <n v="77388.674999999988"/>
    <n v="19550.72"/>
    <n v="11853.379999999997"/>
    <n v="57837.954999999987"/>
    <n v="0.3774468938769141"/>
    <d v="2023-01-02T00:00:00"/>
    <s v="Jan-2023"/>
    <n v="0"/>
    <n v="0"/>
    <n v="0"/>
  </r>
  <r>
    <s v="ORD-2023-419187"/>
    <x v="310"/>
    <x v="12"/>
    <s v="2023-Q1"/>
    <d v="2023-04-05T00:00:00"/>
    <n v="5"/>
    <s v="ACHIEVED"/>
    <x v="0"/>
    <x v="0"/>
    <s v="Nakuru"/>
    <s v="Africa &gt; Kenya &gt; Nakuru"/>
    <s v="Education"/>
    <s v="Marketplace"/>
    <x v="2"/>
    <x v="6"/>
    <x v="3"/>
    <s v="Low"/>
    <x v="388"/>
    <n v="533.26"/>
    <n v="613.24899999999991"/>
    <n v="385.72"/>
    <n v="385.72"/>
    <n v="443.57799999999997"/>
    <n v="0"/>
    <s v="OK"/>
    <n v="0"/>
    <n v="0"/>
    <n v="15"/>
    <n v="18"/>
    <n v="5785.8"/>
    <n v="7984.4039999999995"/>
    <n v="7998.9"/>
    <n v="-2213.0999999999995"/>
    <n v="-14.496000000000095"/>
    <n v="-0.38250544436378708"/>
    <d v="2023-01-02T00:00:00"/>
    <s v="Jan-2023"/>
    <n v="0"/>
    <n v="0"/>
    <n v="0"/>
  </r>
  <r>
    <s v="ORD-2025-762301"/>
    <x v="311"/>
    <x v="1"/>
    <s v="2025-Q2"/>
    <d v="2025-05-13T00:00:00"/>
    <n v="11"/>
    <s v="NOT ACHIEVED"/>
    <x v="0"/>
    <x v="0"/>
    <s v="Nakuru"/>
    <s v="Africa &gt; Kenya &gt; Nakuru"/>
    <s v="Small Business"/>
    <s v="Online"/>
    <x v="1"/>
    <x v="1"/>
    <x v="1"/>
    <s v="Medium"/>
    <x v="389"/>
    <n v="1057.5999999999999"/>
    <n v="1216.2399999999998"/>
    <n v="1437.06"/>
    <n v="1437.06"/>
    <n v="1652.6189999999999"/>
    <n v="0.20499999999999999"/>
    <s v="OK"/>
    <n v="0.20499999999999999"/>
    <n v="0.20499999999999999"/>
    <n v="4"/>
    <n v="4.8"/>
    <n v="4569.8508000000002"/>
    <n v="9558.7482959999998"/>
    <n v="4230.3999999999996"/>
    <n v="339.45080000000053"/>
    <n v="5328.3482960000001"/>
    <n v="7.4280499485891424E-2"/>
    <d v="2023-01-02T00:00:00"/>
    <s v="Jan-2023"/>
    <n v="0"/>
    <n v="0"/>
    <n v="0"/>
  </r>
  <r>
    <s v="ORD-2025-863978"/>
    <x v="84"/>
    <x v="24"/>
    <s v="2025-Q3"/>
    <d v="2025-08-19T00:00:00"/>
    <n v="12"/>
    <s v="NOT ACHIEVED"/>
    <x v="0"/>
    <x v="0"/>
    <s v="Nakuru"/>
    <s v="Africa &gt; Kenya &gt; Nakuru"/>
    <s v="Corporate"/>
    <n v="0"/>
    <x v="5"/>
    <x v="13"/>
    <x v="0"/>
    <s v="Low"/>
    <x v="390"/>
    <n v="601.51"/>
    <n v="691.73649999999998"/>
    <n v="679.35"/>
    <n v="679.35"/>
    <n v="781.25249999999994"/>
    <n v="0.188"/>
    <s v="OK"/>
    <n v="0.188"/>
    <n v="0.188"/>
    <n v="3"/>
    <n v="3.5999999999999996"/>
    <n v="1654.8966000000003"/>
    <n v="3341.2606919999994"/>
    <n v="1804.53"/>
    <n v="-149.63339999999971"/>
    <n v="1536.7306919999994"/>
    <n v="-9.0418579626062243E-2"/>
    <d v="2023-01-02T00:00:00"/>
    <s v="Jan-2023"/>
    <n v="0"/>
    <n v="0"/>
    <n v="0"/>
  </r>
  <r>
    <s v="ORD-2025-725646"/>
    <x v="268"/>
    <x v="3"/>
    <s v="2025-Q3"/>
    <d v="2025-09-30T00:00:00"/>
    <n v="20"/>
    <s v="NOT ACHIEVED"/>
    <x v="0"/>
    <x v="0"/>
    <s v="Mombasa"/>
    <s v="Africa &gt; Kenya &gt; Mombasa"/>
    <s v="Corporate"/>
    <s v="Direct"/>
    <x v="4"/>
    <x v="10"/>
    <x v="4"/>
    <s v="Medium"/>
    <x v="391"/>
    <n v="1009.48"/>
    <n v="1160.902"/>
    <n v="1088.81"/>
    <n v="1088.81"/>
    <n v="1252.1314999999997"/>
    <n v="0.16"/>
    <s v="OK"/>
    <n v="0.16"/>
    <n v="0.16"/>
    <n v="6"/>
    <n v="7.1999999999999993"/>
    <n v="5487.6023999999998"/>
    <n v="10457.802287999997"/>
    <n v="6056.88"/>
    <n v="-569.27760000000035"/>
    <n v="4400.922287999997"/>
    <n v="-0.10373885688219693"/>
    <d v="2023-01-02T00:00:00"/>
    <s v="Jan-2023"/>
    <n v="0"/>
    <n v="0"/>
    <n v="0"/>
  </r>
  <r>
    <s v="ORD-2025-662997"/>
    <x v="312"/>
    <x v="2"/>
    <s v="2025-Q1"/>
    <d v="2025-04-04T00:00:00"/>
    <n v="4"/>
    <s v="ACHIEVED"/>
    <x v="0"/>
    <x v="0"/>
    <s v="Nakuru"/>
    <s v="Africa &gt; Kenya &gt; Nakuru"/>
    <s v="Corporate"/>
    <s v="Direct"/>
    <x v="4"/>
    <x v="0"/>
    <x v="3"/>
    <s v="High"/>
    <x v="392"/>
    <n v="862.08"/>
    <n v="991.39199999999994"/>
    <n v="1952.83"/>
    <n v="1952.83"/>
    <n v="2245.7544999999996"/>
    <n v="0"/>
    <s v="OK"/>
    <n v="0"/>
    <n v="0"/>
    <n v="7"/>
    <n v="8.4"/>
    <n v="13669.81"/>
    <n v="18864.337799999998"/>
    <n v="6034.56"/>
    <n v="7635.2499999999991"/>
    <n v="12829.777799999996"/>
    <n v="0.5585483631447693"/>
    <d v="2023-01-02T00:00:00"/>
    <s v="Jan-2023"/>
    <n v="0"/>
    <n v="0"/>
    <n v="0"/>
  </r>
  <r>
    <s v="ORD-2023-251563"/>
    <x v="101"/>
    <x v="26"/>
    <s v="2023-Q2"/>
    <d v="2023-06-07T00:00:00"/>
    <n v="27"/>
    <s v="NOT ACHIEVED"/>
    <x v="0"/>
    <x v="0"/>
    <s v="Mombasa"/>
    <s v="Africa &gt; Kenya &gt; Mombasa"/>
    <s v="Corporate"/>
    <s v="Online"/>
    <x v="1"/>
    <x v="2"/>
    <x v="4"/>
    <s v="Low"/>
    <x v="393"/>
    <n v="12.85"/>
    <n v="14.777499999999998"/>
    <n v="15.41"/>
    <n v="15.41"/>
    <n v="17.721499999999999"/>
    <n v="0.13700000000000001"/>
    <s v="OK"/>
    <n v="0.13700000000000001"/>
    <n v="0.13700000000000001"/>
    <n v="39"/>
    <n v="46.8"/>
    <n v="518.65436999999997"/>
    <n v="942.98936939999999"/>
    <n v="501.15"/>
    <n v="17.504369999999994"/>
    <n v="441.83936940000001"/>
    <n v="3.3749585489851353E-2"/>
    <d v="2023-01-02T00:00:00"/>
    <s v="Jan-2023"/>
    <n v="0"/>
    <n v="0"/>
    <n v="0"/>
  </r>
  <r>
    <s v="ORD-2024-166150"/>
    <x v="313"/>
    <x v="6"/>
    <s v="2024-Q2"/>
    <d v="2024-06-08T00:00:00"/>
    <n v="6"/>
    <s v="ACHIEVED"/>
    <x v="0"/>
    <x v="0"/>
    <s v="Kisumu"/>
    <s v="Africa &gt; Kenya &gt; Kisumu"/>
    <s v="Consumer"/>
    <s v="Marketplace"/>
    <x v="2"/>
    <x v="1"/>
    <x v="1"/>
    <s v="Low"/>
    <x v="394"/>
    <n v="292.94"/>
    <n v="336.88099999999997"/>
    <n v="356.55"/>
    <n v="356.55"/>
    <n v="410.03249999999997"/>
    <n v="0.22900000000000001"/>
    <s v="OK"/>
    <n v="0.22900000000000001"/>
    <n v="0.22900000000000001"/>
    <n v="2"/>
    <n v="2.4"/>
    <n v="549.80010000000004"/>
    <n v="1209.4318619999999"/>
    <n v="585.88"/>
    <n v="-36.079899999999952"/>
    <n v="623.55186199999991"/>
    <n v="-6.5623669402751925E-2"/>
    <d v="2023-01-02T00:00:00"/>
    <s v="Jan-2023"/>
    <n v="0"/>
    <n v="0"/>
    <n v="0"/>
  </r>
  <r>
    <s v="ORD-2023-178249"/>
    <x v="314"/>
    <x v="9"/>
    <s v="2023-Q4"/>
    <d v="2024-01-20T00:00:00"/>
    <n v="22"/>
    <s v="NOT ACHIEVED"/>
    <x v="0"/>
    <x v="0"/>
    <s v="Kisumu"/>
    <s v="Africa &gt; Kenya &gt; Kisumu"/>
    <s v="Corporate"/>
    <s v="Direct"/>
    <x v="4"/>
    <x v="10"/>
    <x v="4"/>
    <s v="High"/>
    <x v="395"/>
    <n v="1395.49"/>
    <n v="1604.8135"/>
    <n v="1679.42"/>
    <n v="1679.42"/>
    <n v="1931.3329999999999"/>
    <n v="0.20300000000000001"/>
    <s v="OK"/>
    <n v="0.20300000000000001"/>
    <n v="0.20300000000000001"/>
    <n v="12"/>
    <n v="14.399999999999999"/>
    <n v="16061.972879999999"/>
    <n v="33456.867825599998"/>
    <n v="16745.88"/>
    <n v="-683.90712000000167"/>
    <n v="16710.987825599997"/>
    <n v="-4.2579272490964493E-2"/>
    <d v="2023-01-02T00:00:00"/>
    <s v="Jan-2023"/>
    <n v="0"/>
    <n v="0"/>
    <n v="0"/>
  </r>
  <r>
    <s v="ORD-2023-613287"/>
    <x v="310"/>
    <x v="12"/>
    <s v="2023-Q1"/>
    <d v="2023-04-12T00:00:00"/>
    <n v="12"/>
    <s v="NOT ACHIEVED"/>
    <x v="0"/>
    <x v="0"/>
    <s v="Mombasa"/>
    <s v="Africa &gt; Kenya &gt; Mombasa"/>
    <s v="Small Business"/>
    <s v="Online"/>
    <x v="1"/>
    <x v="0"/>
    <x v="4"/>
    <s v="Low"/>
    <x v="396"/>
    <n v="304.22000000000003"/>
    <n v="349.85300000000001"/>
    <n v="393.31"/>
    <n v="393.31"/>
    <n v="452.30649999999997"/>
    <n v="0.26500000000000001"/>
    <s v="OK"/>
    <n v="0.26500000000000001"/>
    <n v="0.25"/>
    <n v="15"/>
    <n v="18"/>
    <n v="4336.2427499999994"/>
    <n v="10176.89625"/>
    <n v="4563.3"/>
    <n v="-227.05725000000075"/>
    <n v="5613.5962499999996"/>
    <n v="-5.2362670424759034E-2"/>
    <d v="2023-01-02T00:00:00"/>
    <s v="Jan-2023"/>
    <n v="0"/>
    <n v="0"/>
    <n v="0"/>
  </r>
  <r>
    <s v="ORD-2025-244832"/>
    <x v="315"/>
    <x v="3"/>
    <s v="2025-Q3"/>
    <d v="2025-09-28T00:00:00"/>
    <n v="17"/>
    <s v="NOT ACHIEVED"/>
    <x v="0"/>
    <x v="0"/>
    <s v="Nairobi"/>
    <s v="Africa &gt; Kenya &gt; Nairobi"/>
    <s v="Non-Profit"/>
    <s v="Distributor"/>
    <x v="3"/>
    <x v="2"/>
    <x v="3"/>
    <s v="Low"/>
    <x v="397"/>
    <n v="891.46"/>
    <n v="1025.1789999999999"/>
    <n v="728.61"/>
    <n v="728.61"/>
    <n v="837.90149999999994"/>
    <n v="0.185"/>
    <s v="OK"/>
    <n v="0.185"/>
    <n v="0.185"/>
    <n v="6"/>
    <n v="7.1999999999999993"/>
    <n v="3562.9028999999996"/>
    <n v="7148.9755979999991"/>
    <n v="5348.76"/>
    <n v="-1785.8571000000006"/>
    <n v="1800.2155979999989"/>
    <n v="-0.50123653383874167"/>
    <d v="2023-01-02T00:00:00"/>
    <s v="Jan-2023"/>
    <n v="0"/>
    <n v="0"/>
    <n v="0"/>
  </r>
  <r>
    <s v="ORD-2024-201376"/>
    <x v="36"/>
    <x v="23"/>
    <s v="2024-Q1"/>
    <d v="2024-03-04T00:00:00"/>
    <n v="15"/>
    <s v="NOT ACHIEVED"/>
    <x v="0"/>
    <x v="0"/>
    <s v="Kisumu"/>
    <s v="Africa &gt; Kenya &gt; Kisumu"/>
    <s v="Education"/>
    <s v="Direct"/>
    <x v="4"/>
    <x v="3"/>
    <x v="5"/>
    <s v="High"/>
    <x v="398"/>
    <n v="928.68"/>
    <n v="1067.982"/>
    <n v="2145.17"/>
    <n v="2145.17"/>
    <n v="2466.9454999999998"/>
    <n v="0.13600000000000001"/>
    <s v="OK"/>
    <n v="0.13600000000000001"/>
    <n v="0.13600000000000001"/>
    <n v="16"/>
    <n v="19.2"/>
    <n v="29654.83008"/>
    <n v="53807.041689600002"/>
    <n v="14858.88"/>
    <n v="14795.950080000001"/>
    <n v="38948.161689600005"/>
    <n v="0.49893896003062177"/>
    <d v="2023-01-02T00:00:00"/>
    <s v="Jan-2023"/>
    <n v="0"/>
    <n v="0"/>
    <n v="0"/>
  </r>
  <r>
    <s v="ORD-2023-842488"/>
    <x v="316"/>
    <x v="20"/>
    <s v="2023-Q4"/>
    <d v="2023-11-02T00:00:00"/>
    <n v="2"/>
    <s v="ACHIEVED"/>
    <x v="0"/>
    <x v="0"/>
    <s v="Kisumu"/>
    <s v="Africa &gt; Kenya &gt; Kisumu"/>
    <s v="Education"/>
    <s v="Retail"/>
    <x v="0"/>
    <x v="7"/>
    <x v="1"/>
    <s v="Medium"/>
    <x v="399"/>
    <n v="867.89"/>
    <n v="998.07349999999985"/>
    <n v="1349.94"/>
    <n v="1349.94"/>
    <n v="1552.431"/>
    <n v="0.184"/>
    <s v="OK"/>
    <n v="0.184"/>
    <n v="0.184"/>
    <n v="10"/>
    <n v="12"/>
    <n v="11015.510400000003"/>
    <n v="22056.939647999996"/>
    <n v="8678.9"/>
    <n v="2336.6104000000032"/>
    <n v="13378.039647999996"/>
    <n v="0.21212003031652557"/>
    <d v="2023-01-02T00:00:00"/>
    <s v="Jan-2023"/>
    <n v="0"/>
    <n v="0"/>
    <n v="0"/>
  </r>
  <r>
    <s v="ORD-2024-968374"/>
    <x v="317"/>
    <x v="23"/>
    <s v="2024-Q1"/>
    <d v="2024-03-03T00:00:00"/>
    <n v="21"/>
    <s v="NOT ACHIEVED"/>
    <x v="0"/>
    <x v="0"/>
    <s v="Kisumu"/>
    <s v="Africa &gt; Kenya &gt; Kisumu"/>
    <s v="Enterprise"/>
    <s v="Online"/>
    <x v="1"/>
    <x v="6"/>
    <x v="4"/>
    <s v="Medium"/>
    <x v="400"/>
    <n v="516.86"/>
    <n v="594.38900000000001"/>
    <n v="852.54"/>
    <n v="852.54"/>
    <n v="980.42099999999994"/>
    <n v="5.0999999999999997E-2"/>
    <s v="OK"/>
    <n v="5.0999999999999997E-2"/>
    <n v="5.0999999999999997E-2"/>
    <n v="14"/>
    <n v="16.8"/>
    <n v="11326.846439999999"/>
    <n v="17311.097512799995"/>
    <n v="7236.04"/>
    <n v="4090.8064399999994"/>
    <n v="10075.057512799995"/>
    <n v="0.36116022775355994"/>
    <d v="2023-01-02T00:00:00"/>
    <s v="Jan-2023"/>
    <n v="0"/>
    <n v="0"/>
    <n v="0"/>
  </r>
  <r>
    <s v="ORD-2023-586275"/>
    <x v="318"/>
    <x v="28"/>
    <s v="2023-Q1"/>
    <d v="2023-02-03T00:00:00"/>
    <n v="14"/>
    <s v="NOT ACHIEVED"/>
    <x v="0"/>
    <x v="0"/>
    <s v="Kisumu"/>
    <s v="Africa &gt; Kenya &gt; Kisumu"/>
    <s v="Corporate"/>
    <s v="Retail"/>
    <x v="0"/>
    <x v="13"/>
    <x v="6"/>
    <s v="Medium"/>
    <x v="401"/>
    <n v="884.36"/>
    <n v="1017.0139999999999"/>
    <n v="1545.34"/>
    <n v="1545.34"/>
    <n v="1777.1409999999998"/>
    <n v="0.24299999999999999"/>
    <s v="OK"/>
    <n v="0.24299999999999999"/>
    <n v="0.24299999999999999"/>
    <n v="41"/>
    <n v="49.199999999999996"/>
    <n v="47962.717579999997"/>
    <n v="108682.12413959997"/>
    <n v="36258.76"/>
    <n v="11703.957579999995"/>
    <n v="72423.364139599958"/>
    <n v="0.24402198562827965"/>
    <d v="2023-01-02T00:00:00"/>
    <s v="Jan-2023"/>
    <n v="0"/>
    <n v="0"/>
    <n v="0"/>
  </r>
  <r>
    <s v="ORD-2025-146850"/>
    <x v="151"/>
    <x v="25"/>
    <s v="2025-Q1"/>
    <d v="2025-02-14T00:00:00"/>
    <n v="24"/>
    <s v="NOT ACHIEVED"/>
    <x v="0"/>
    <x v="0"/>
    <s v="Nairobi"/>
    <s v="Africa &gt; Kenya &gt; Nairobi"/>
    <s v="Small Business"/>
    <s v="Retail"/>
    <x v="0"/>
    <x v="2"/>
    <x v="1"/>
    <s v="High"/>
    <x v="402"/>
    <n v="1030.44"/>
    <n v="1185.0059999999999"/>
    <n v="2562.84"/>
    <n v="2562.84"/>
    <n v="2947.2660000000001"/>
    <n v="0.14799999999999999"/>
    <s v="OK"/>
    <n v="0.14799999999999999"/>
    <n v="0.14799999999999999"/>
    <n v="13"/>
    <n v="15.6"/>
    <n v="28386.015839999996"/>
    <n v="52781.997340800001"/>
    <n v="13395.720000000001"/>
    <n v="14990.295839999995"/>
    <n v="39386.277340799999"/>
    <n v="0.52808734852027039"/>
    <d v="2023-01-02T00:00:00"/>
    <s v="Jan-2023"/>
    <n v="0"/>
    <n v="0"/>
    <n v="0"/>
  </r>
  <r>
    <s v="ORD-2024-687100"/>
    <x v="319"/>
    <x v="17"/>
    <s v="2024-Q3"/>
    <d v="2024-10-07T00:00:00"/>
    <n v="27"/>
    <s v="NOT ACHIEVED"/>
    <x v="0"/>
    <x v="0"/>
    <s v="Kisumu"/>
    <s v="Africa &gt; Kenya &gt; Kisumu"/>
    <s v="Consumer"/>
    <s v="Retail"/>
    <x v="0"/>
    <x v="10"/>
    <x v="5"/>
    <s v="High"/>
    <x v="403"/>
    <n v="1248.3900000000001"/>
    <n v="1435.6485"/>
    <n v="1805.11"/>
    <n v="1805.11"/>
    <n v="2075.8764999999999"/>
    <n v="0.20300000000000001"/>
    <s v="OK"/>
    <n v="0.20300000000000001"/>
    <n v="0.20300000000000001"/>
    <n v="11"/>
    <n v="13.2"/>
    <n v="15825.399369999997"/>
    <n v="32964.088469399998"/>
    <n v="13732.29"/>
    <n v="2093.1093699999965"/>
    <n v="19231.798469399997"/>
    <n v="0.13226265707820786"/>
    <d v="2023-01-02T00:00:00"/>
    <s v="Jan-2023"/>
    <n v="0"/>
    <n v="0"/>
    <n v="0"/>
  </r>
  <r>
    <s v="ORD-2025-564184"/>
    <x v="320"/>
    <x v="25"/>
    <s v="2025-Q1"/>
    <d v="2025-02-06T00:00:00"/>
    <n v="8"/>
    <s v="NOT ACHIEVED"/>
    <x v="0"/>
    <x v="0"/>
    <s v="Kisumu"/>
    <s v="Africa &gt; Kenya &gt; Kisumu"/>
    <s v="Education"/>
    <s v="Retail"/>
    <x v="0"/>
    <x v="6"/>
    <x v="4"/>
    <s v="High"/>
    <x v="404"/>
    <n v="1445.27"/>
    <n v="1662.0604999999998"/>
    <n v="2691.45"/>
    <n v="2691.45"/>
    <n v="3095.1674999999996"/>
    <n v="0"/>
    <s v="OK"/>
    <n v="0"/>
    <n v="0"/>
    <n v="9"/>
    <n v="10.799999999999999"/>
    <n v="24223.05"/>
    <n v="33427.808999999994"/>
    <n v="13007.43"/>
    <n v="11215.619999999999"/>
    <n v="20420.378999999994"/>
    <n v="0.46301436028906351"/>
    <d v="2023-01-02T00:00:00"/>
    <s v="Jan-2023"/>
    <n v="0"/>
    <n v="0"/>
    <n v="0"/>
  </r>
  <r>
    <s v="ORD-2025-762212"/>
    <x v="321"/>
    <x v="24"/>
    <s v="2025-Q3"/>
    <d v="2025-09-24T00:00:00"/>
    <n v="30"/>
    <s v="NOT ACHIEVED"/>
    <x v="0"/>
    <x v="0"/>
    <s v="Nairobi"/>
    <s v="Africa &gt; Kenya &gt; Nairobi"/>
    <s v="Consumer"/>
    <s v="Direct"/>
    <x v="4"/>
    <x v="6"/>
    <x v="0"/>
    <s v="Medium"/>
    <x v="405"/>
    <n v="589.14"/>
    <n v="677.51099999999997"/>
    <n v="1300.58"/>
    <n v="1300.58"/>
    <n v="1495.6669999999997"/>
    <n v="5.5E-2"/>
    <s v="OK"/>
    <n v="5.5E-2"/>
    <n v="5.5E-2"/>
    <n v="11"/>
    <n v="13.2"/>
    <n v="13519.529099999998"/>
    <n v="20828.658641999991"/>
    <n v="6480.54"/>
    <n v="7038.989099999998"/>
    <n v="14348.11864199999"/>
    <n v="0.52065342275863724"/>
    <d v="2023-01-02T00:00:00"/>
    <s v="Jan-2023"/>
    <n v="0"/>
    <n v="0"/>
    <n v="0"/>
  </r>
  <r>
    <s v="ORD-2023-949710"/>
    <x v="322"/>
    <x v="12"/>
    <s v="2023-Q1"/>
    <d v="2023-04-01T00:00:00"/>
    <n v="25"/>
    <s v="NOT ACHIEVED"/>
    <x v="0"/>
    <x v="0"/>
    <s v="Nairobi"/>
    <s v="Africa &gt; Kenya &gt; Nairobi"/>
    <s v="Consumer"/>
    <s v="Marketplace"/>
    <x v="2"/>
    <x v="14"/>
    <x v="5"/>
    <s v="Medium"/>
    <x v="406"/>
    <n v="1024.0999999999999"/>
    <n v="1177.7149999999997"/>
    <n v="918.19"/>
    <n v="918.19"/>
    <n v="1055.9185"/>
    <n v="0.189"/>
    <s v="OK"/>
    <n v="0.189"/>
    <n v="0.189"/>
    <n v="10"/>
    <n v="12"/>
    <n v="7446.5209000000004"/>
    <n v="15065.845158000002"/>
    <n v="10241"/>
    <n v="-2794.4790999999996"/>
    <n v="4824.8451580000019"/>
    <n v="-0.37527311579827827"/>
    <d v="2023-01-02T00:00:00"/>
    <s v="Jan-2023"/>
    <n v="0"/>
    <n v="0"/>
    <n v="0"/>
  </r>
  <r>
    <s v="ORD-2024-805860"/>
    <x v="323"/>
    <x v="17"/>
    <s v="2024-Q3"/>
    <d v="2024-10-02T00:00:00"/>
    <n v="19"/>
    <s v="NOT ACHIEVED"/>
    <x v="0"/>
    <x v="0"/>
    <s v="Mombasa"/>
    <s v="Africa &gt; Kenya &gt; Mombasa"/>
    <s v="Small Business"/>
    <s v="Retail"/>
    <x v="0"/>
    <x v="13"/>
    <x v="4"/>
    <s v="High"/>
    <x v="407"/>
    <n v="1338.99"/>
    <n v="1539.8384999999998"/>
    <n v="1765.76"/>
    <n v="1765.76"/>
    <n v="2030.6239999999998"/>
    <n v="0.126"/>
    <s v="OK"/>
    <n v="0.126"/>
    <n v="0.126"/>
    <n v="24"/>
    <n v="28.799999999999997"/>
    <n v="37038.581760000001"/>
    <n v="65850.699571199977"/>
    <n v="32135.760000000002"/>
    <n v="4902.8217599999989"/>
    <n v="33714.939571199975"/>
    <n v="0.1323706666677725"/>
    <d v="2023-01-02T00:00:00"/>
    <s v="Jan-2023"/>
    <n v="0"/>
    <n v="0"/>
    <n v="0"/>
  </r>
  <r>
    <s v="ORD-2024-320972"/>
    <x v="324"/>
    <x v="13"/>
    <s v="2024-Q4"/>
    <d v="2024-11-08T00:00:00"/>
    <n v="0"/>
    <s v="ACHIEVED"/>
    <x v="0"/>
    <x v="0"/>
    <s v="Nakuru"/>
    <s v="Africa &gt; Kenya &gt; Nakuru"/>
    <s v="Enterprise"/>
    <s v="Marketplace"/>
    <x v="2"/>
    <x v="13"/>
    <x v="6"/>
    <s v="Medium"/>
    <x v="408"/>
    <n v="803.28"/>
    <n v="923.77199999999993"/>
    <n v="1009"/>
    <n v="1009"/>
    <n v="1160.3499999999999"/>
    <n v="0.11"/>
    <s v="OK"/>
    <n v="0.11"/>
    <n v="0.11"/>
    <n v="4"/>
    <n v="4.8"/>
    <n v="3592.04"/>
    <n v="6182.3447999999999"/>
    <n v="3213.12"/>
    <n v="378.92000000000007"/>
    <n v="2969.2248"/>
    <n v="0.10548880302001093"/>
    <d v="2023-01-02T00:00:00"/>
    <s v="Jan-2023"/>
    <n v="0"/>
    <n v="0"/>
    <n v="0"/>
  </r>
  <r>
    <s v="ORD-2023-274037"/>
    <x v="325"/>
    <x v="21"/>
    <s v="2023-Q3"/>
    <d v="2023-08-25T00:00:00"/>
    <n v="10"/>
    <s v="NOT ACHIEVED"/>
    <x v="0"/>
    <x v="0"/>
    <s v="Nairobi"/>
    <s v="Africa &gt; Kenya &gt; Nairobi"/>
    <s v="Small Business"/>
    <s v="Retail"/>
    <x v="0"/>
    <x v="5"/>
    <x v="4"/>
    <s v="Low"/>
    <x v="409"/>
    <n v="91.85"/>
    <n v="105.62749999999998"/>
    <n v="111.29"/>
    <n v="111.29"/>
    <n v="127.98349999999999"/>
    <n v="0"/>
    <s v="OK"/>
    <n v="0"/>
    <n v="0"/>
    <n v="6"/>
    <n v="7.1999999999999993"/>
    <n v="667.74"/>
    <n v="921.48119999999983"/>
    <n v="551.09999999999991"/>
    <n v="116.6400000000001"/>
    <n v="370.38119999999992"/>
    <n v="0.17467876718483258"/>
    <d v="2023-01-02T00:00:00"/>
    <s v="Jan-2023"/>
    <n v="0"/>
    <n v="0"/>
    <n v="0"/>
  </r>
  <r>
    <s v="ORD-2024-878493"/>
    <x v="326"/>
    <x v="6"/>
    <s v="2024-Q2"/>
    <d v="2024-06-20T00:00:00"/>
    <n v="1"/>
    <s v="ACHIEVED"/>
    <x v="0"/>
    <x v="0"/>
    <s v="Kisumu"/>
    <s v="Africa &gt; Kenya &gt; Kisumu"/>
    <s v="Small Business"/>
    <s v="Direct"/>
    <x v="4"/>
    <x v="2"/>
    <x v="3"/>
    <s v="Low"/>
    <x v="410"/>
    <n v="231.63"/>
    <n v="266.37449999999995"/>
    <n v="537.39"/>
    <n v="537.39"/>
    <n v="617.99849999999992"/>
    <n v="0.08"/>
    <s v="OK"/>
    <n v="0.08"/>
    <n v="0.08"/>
    <n v="12"/>
    <n v="14.399999999999999"/>
    <n v="5932.7856000000002"/>
    <n v="9611.1126719999993"/>
    <n v="2779.56"/>
    <n v="3153.2256000000002"/>
    <n v="6831.5526719999998"/>
    <n v="0.53149158129024587"/>
    <d v="2023-01-02T00:00:00"/>
    <s v="Jan-2023"/>
    <n v="0"/>
    <n v="0"/>
    <n v="0"/>
  </r>
  <r>
    <s v="ORD-2023-835010"/>
    <x v="327"/>
    <x v="12"/>
    <s v="2023-Q1"/>
    <d v="2023-04-15T00:00:00"/>
    <n v="23"/>
    <s v="NOT ACHIEVED"/>
    <x v="0"/>
    <x v="0"/>
    <s v="Mombasa"/>
    <s v="Africa &gt; Kenya &gt; Mombasa"/>
    <s v="Small Business"/>
    <s v="Retail"/>
    <x v="0"/>
    <x v="0"/>
    <x v="1"/>
    <s v="Medium"/>
    <x v="411"/>
    <n v="875.36"/>
    <n v="1006.664"/>
    <n v="1178.6199999999999"/>
    <n v="1178.6199999999999"/>
    <n v="1355.4129999999998"/>
    <n v="0.151"/>
    <s v="OK"/>
    <n v="0.151"/>
    <n v="0.151"/>
    <n v="53"/>
    <n v="63.599999999999994"/>
    <n v="53034.364139999991"/>
    <n v="99221.111086799981"/>
    <n v="46394.080000000002"/>
    <n v="6640.2841399999888"/>
    <n v="52827.03108679998"/>
    <n v="0.12520719815685888"/>
    <d v="2023-01-02T00:00:00"/>
    <s v="Jan-2023"/>
    <n v="0"/>
    <n v="0"/>
    <n v="0"/>
  </r>
  <r>
    <s v="ORD-2023-536542"/>
    <x v="328"/>
    <x v="11"/>
    <s v="2023-Q2"/>
    <d v="2023-06-18T00:00:00"/>
    <n v="8"/>
    <s v="NOT ACHIEVED"/>
    <x v="0"/>
    <x v="0"/>
    <s v="Nakuru"/>
    <s v="Africa &gt; Kenya &gt; Nakuru"/>
    <s v="Enterprise"/>
    <s v="Direct"/>
    <x v="4"/>
    <x v="15"/>
    <x v="4"/>
    <s v="Medium"/>
    <x v="412"/>
    <n v="894.23"/>
    <n v="1028.3644999999999"/>
    <n v="1421.55"/>
    <n v="1421.55"/>
    <n v="1634.7824999999998"/>
    <n v="0.109"/>
    <s v="OK"/>
    <n v="0.109"/>
    <n v="0.109"/>
    <n v="3"/>
    <n v="3.5999999999999996"/>
    <n v="3799.8031499999997"/>
    <n v="6526.7056529999982"/>
    <n v="2682.69"/>
    <n v="1117.1131499999997"/>
    <n v="3844.0156529999981"/>
    <n v="0.29399237431549574"/>
    <d v="2023-01-02T00:00:00"/>
    <s v="Jan-2023"/>
    <n v="0"/>
    <n v="0"/>
    <n v="0"/>
  </r>
  <r>
    <s v="ORD-2023-261081"/>
    <x v="78"/>
    <x v="14"/>
    <s v="2023-Q3"/>
    <d v="2023-08-19T00:00:00"/>
    <n v="26"/>
    <s v="NOT ACHIEVED"/>
    <x v="0"/>
    <x v="0"/>
    <s v="Nairobi"/>
    <s v="Africa &gt; Kenya &gt; Nairobi"/>
    <s v="Enterprise"/>
    <s v="Distributor"/>
    <x v="3"/>
    <x v="13"/>
    <x v="1"/>
    <s v="High"/>
    <x v="413"/>
    <n v="661.45"/>
    <n v="760.66750000000002"/>
    <n v="1634.86"/>
    <n v="1634.86"/>
    <n v="1880.0889999999997"/>
    <n v="0.3"/>
    <s v="OK"/>
    <n v="0.3"/>
    <n v="0.25"/>
    <n v="24"/>
    <n v="28.799999999999997"/>
    <n v="27465.647999999997"/>
    <n v="67683.203999999983"/>
    <n v="15874.800000000001"/>
    <n v="11590.847999999996"/>
    <n v="51808.40399999998"/>
    <n v="0.42201254454291404"/>
    <d v="2023-01-02T00:00:00"/>
    <s v="Jan-2023"/>
    <n v="0"/>
    <n v="0"/>
    <n v="0"/>
  </r>
  <r>
    <s v="ORD-2024-333192"/>
    <x v="329"/>
    <x v="32"/>
    <s v="2024-Q4"/>
    <d v="2024-11-04T00:00:00"/>
    <n v="6"/>
    <s v="ACHIEVED"/>
    <x v="0"/>
    <x v="0"/>
    <s v="Nairobi"/>
    <s v="Africa &gt; Kenya &gt; Nairobi"/>
    <s v="Corporate"/>
    <s v="Distributor"/>
    <x v="3"/>
    <x v="13"/>
    <x v="5"/>
    <s v="High"/>
    <x v="414"/>
    <n v="805.81"/>
    <n v="926.68149999999991"/>
    <n v="1823.04"/>
    <n v="1823.04"/>
    <n v="2096.4959999999996"/>
    <n v="0"/>
    <s v="OK"/>
    <n v="0"/>
    <n v="0"/>
    <n v="11"/>
    <n v="13.2"/>
    <n v="20053.439999999999"/>
    <n v="27673.747199999994"/>
    <n v="8863.91"/>
    <n v="11189.529999999999"/>
    <n v="18809.837199999994"/>
    <n v="0.55798556257679477"/>
    <d v="2023-01-02T00:00:00"/>
    <s v="Jan-2023"/>
    <n v="0"/>
    <n v="0"/>
    <n v="0"/>
  </r>
  <r>
    <s v="ORD-2024-819778"/>
    <x v="313"/>
    <x v="6"/>
    <s v="2024-Q2"/>
    <d v="2024-06-15T00:00:00"/>
    <n v="13"/>
    <s v="NOT ACHIEVED"/>
    <x v="0"/>
    <x v="0"/>
    <s v="Mombasa"/>
    <s v="Africa &gt; Kenya &gt; Mombasa"/>
    <s v="Education"/>
    <s v="Online"/>
    <x v="1"/>
    <x v="7"/>
    <x v="4"/>
    <s v="High"/>
    <x v="415"/>
    <n v="1295.18"/>
    <n v="1489.4569999999999"/>
    <n v="3024.03"/>
    <n v="3024.03"/>
    <n v="3477.6345000000001"/>
    <n v="0.192"/>
    <s v="OK"/>
    <n v="0.192"/>
    <n v="0.192"/>
    <n v="8"/>
    <n v="9.6"/>
    <n v="19547.329920000004"/>
    <n v="39795.267110399996"/>
    <n v="10361.44"/>
    <n v="9185.8899200000033"/>
    <n v="29433.827110399994"/>
    <n v="0.46993067378483178"/>
    <d v="2023-01-02T00:00:00"/>
    <s v="Jan-2023"/>
    <n v="0"/>
    <n v="0"/>
    <n v="0"/>
  </r>
  <r>
    <s v="ORD-2025-608069"/>
    <x v="330"/>
    <x v="7"/>
    <s v="2025-Q2"/>
    <d v="2025-04-30T00:00:00"/>
    <n v="18"/>
    <s v="NOT ACHIEVED"/>
    <x v="0"/>
    <x v="0"/>
    <s v="Kisumu"/>
    <s v="Africa &gt; Kenya &gt; Kisumu"/>
    <s v="Corporate"/>
    <s v="Marketplace"/>
    <x v="2"/>
    <x v="8"/>
    <x v="6"/>
    <s v="Medium"/>
    <x v="416"/>
    <n v="1119.04"/>
    <n v="1286.896"/>
    <n v="1299.02"/>
    <n v="1299.02"/>
    <n v="1493.8729999999998"/>
    <n v="2.5000000000000001E-2"/>
    <s v="OK"/>
    <n v="2.5000000000000001E-2"/>
    <n v="2.5000000000000001E-2"/>
    <n v="14"/>
    <n v="16.8"/>
    <n v="17731.623"/>
    <n v="25724.493059999997"/>
    <n v="15666.56"/>
    <n v="2065.0630000000001"/>
    <n v="10057.933059999998"/>
    <n v="0.11646215352085933"/>
    <d v="2023-01-02T00:00:00"/>
    <s v="Jan-2023"/>
    <n v="0"/>
    <n v="0"/>
    <n v="0"/>
  </r>
  <r>
    <s v="ORD-2023-378104"/>
    <x v="331"/>
    <x v="20"/>
    <s v="2023-Q4"/>
    <d v="2023-10-20T00:00:00"/>
    <n v="2"/>
    <s v="ACHIEVED"/>
    <x v="0"/>
    <x v="0"/>
    <s v="Kisumu"/>
    <s v="Africa &gt; Kenya &gt; Kisumu"/>
    <s v="Consumer"/>
    <s v="Retail"/>
    <x v="0"/>
    <x v="2"/>
    <x v="4"/>
    <s v="Medium"/>
    <x v="417"/>
    <n v="774.12"/>
    <n v="890.23799999999994"/>
    <n v="908.3"/>
    <n v="908.3"/>
    <n v="1044.5449999999998"/>
    <n v="0"/>
    <s v="OK"/>
    <n v="0"/>
    <n v="0"/>
    <n v="30"/>
    <n v="36"/>
    <n v="27249"/>
    <n v="37603.619999999995"/>
    <n v="23223.599999999999"/>
    <n v="4025.4000000000015"/>
    <n v="14380.019999999997"/>
    <n v="0.14772652207420461"/>
    <d v="2023-01-02T00:00:00"/>
    <s v="Jan-2023"/>
    <n v="0"/>
    <n v="0"/>
    <n v="0"/>
  </r>
  <r>
    <s v="ORD-2023-156396"/>
    <x v="332"/>
    <x v="5"/>
    <s v="2023-Q1"/>
    <d v="2023-03-12T00:00:00"/>
    <n v="19"/>
    <s v="NOT ACHIEVED"/>
    <x v="0"/>
    <x v="0"/>
    <s v="Nakuru"/>
    <s v="Africa &gt; Kenya &gt; Nakuru"/>
    <s v="Corporate"/>
    <s v="Online"/>
    <x v="1"/>
    <x v="8"/>
    <x v="6"/>
    <s v="Low"/>
    <x v="418"/>
    <n v="352.65"/>
    <n v="405.54749999999996"/>
    <n v="485.86"/>
    <n v="485.86"/>
    <n v="558.73899999999992"/>
    <n v="4.1000000000000002E-2"/>
    <s v="OK"/>
    <n v="4.1000000000000002E-2"/>
    <n v="4.1000000000000002E-2"/>
    <n v="6"/>
    <n v="7.1999999999999993"/>
    <n v="2795.6384399999997"/>
    <n v="4187.8605527999989"/>
    <n v="2115.8999999999996"/>
    <n v="679.73844000000008"/>
    <n v="2071.9605527999993"/>
    <n v="0.24314247159943908"/>
    <d v="2023-01-02T00:00:00"/>
    <s v="Jan-2023"/>
    <n v="0"/>
    <n v="0"/>
    <n v="0"/>
  </r>
  <r>
    <s v="ORD-2024-508213"/>
    <x v="333"/>
    <x v="13"/>
    <s v="2024-Q4"/>
    <d v="2024-12-15T00:00:00"/>
    <n v="23"/>
    <s v="NOT ACHIEVED"/>
    <x v="0"/>
    <x v="0"/>
    <s v="Mombasa"/>
    <s v="Africa &gt; Kenya &gt; Mombasa"/>
    <s v="Non-Profit"/>
    <s v="Distributor"/>
    <x v="3"/>
    <x v="0"/>
    <x v="0"/>
    <s v="High"/>
    <x v="419"/>
    <n v="1335.76"/>
    <n v="1536.1239999999998"/>
    <n v="2665.91"/>
    <n v="2665.91"/>
    <n v="3065.7964999999995"/>
    <n v="0.21099999999999999"/>
    <s v="OK"/>
    <n v="0.21099999999999999"/>
    <n v="0.21099999999999999"/>
    <n v="40"/>
    <n v="48"/>
    <n v="84136.119600000005"/>
    <n v="178208.61895199996"/>
    <n v="53430.400000000001"/>
    <n v="30705.719600000004"/>
    <n v="124778.21895199997"/>
    <n v="0.36495288522909253"/>
    <d v="2023-01-02T00:00:00"/>
    <s v="Jan-2023"/>
    <n v="0"/>
    <n v="0"/>
    <n v="0"/>
  </r>
  <r>
    <s v="ORD-2023-931633"/>
    <x v="334"/>
    <x v="26"/>
    <s v="2023-Q2"/>
    <d v="2023-05-22T00:00:00"/>
    <n v="8"/>
    <s v="NOT ACHIEVED"/>
    <x v="0"/>
    <x v="0"/>
    <s v="Mombasa"/>
    <s v="Africa &gt; Kenya &gt; Mombasa"/>
    <s v="Small Business"/>
    <s v="Distributor"/>
    <x v="3"/>
    <x v="8"/>
    <x v="5"/>
    <s v="Medium"/>
    <x v="420"/>
    <n v="432.01"/>
    <n v="496.81149999999997"/>
    <n v="913.78"/>
    <n v="913.78"/>
    <n v="1050.847"/>
    <n v="4.9000000000000002E-2"/>
    <s v="OK"/>
    <n v="4.9000000000000002E-2"/>
    <n v="4.9000000000000002E-2"/>
    <n v="12"/>
    <n v="14.399999999999999"/>
    <n v="10428.057360000001"/>
    <n v="15873.674443199996"/>
    <n v="5184.12"/>
    <n v="5243.9373600000008"/>
    <n v="10689.554443199995"/>
    <n v="0.50286809699711899"/>
    <d v="2023-01-02T00:00:00"/>
    <s v="Jan-2023"/>
    <n v="0"/>
    <n v="0"/>
    <n v="0"/>
  </r>
  <r>
    <s v="ORD-2024-647571"/>
    <x v="335"/>
    <x v="23"/>
    <s v="2024-Q1"/>
    <d v="2024-02-28T00:00:00"/>
    <n v="22"/>
    <s v="NOT ACHIEVED"/>
    <x v="0"/>
    <x v="0"/>
    <s v="Kisumu"/>
    <s v="Africa &gt; Kenya &gt; Kisumu"/>
    <s v="Non-Profit"/>
    <s v="Online"/>
    <x v="1"/>
    <x v="3"/>
    <x v="2"/>
    <s v="Medium"/>
    <x v="421"/>
    <n v="834.93"/>
    <n v="960.16949999999986"/>
    <n v="1588.53"/>
    <n v="1588.53"/>
    <n v="1826.8094999999998"/>
    <n v="0.126"/>
    <s v="OK"/>
    <n v="0.126"/>
    <n v="0.126"/>
    <n v="6"/>
    <n v="7.1999999999999993"/>
    <n v="8330.2513199999994"/>
    <n v="14810.309978399995"/>
    <n v="5009.58"/>
    <n v="3320.6713199999995"/>
    <n v="9800.7299783999952"/>
    <n v="0.39862798761274343"/>
    <d v="2023-01-02T00:00:00"/>
    <s v="Jan-2023"/>
    <n v="0"/>
    <n v="0"/>
    <n v="0"/>
  </r>
  <r>
    <s v="ORD-2024-833375"/>
    <x v="336"/>
    <x v="15"/>
    <s v="2024-Q2"/>
    <d v="2024-05-10T00:00:00"/>
    <n v="16"/>
    <s v="NOT ACHIEVED"/>
    <x v="0"/>
    <x v="0"/>
    <s v="Kisumu"/>
    <s v="Africa &gt; Kenya &gt; Kisumu"/>
    <s v="Non-Profit"/>
    <s v="Online"/>
    <x v="1"/>
    <x v="5"/>
    <x v="2"/>
    <s v="Medium"/>
    <x v="422"/>
    <n v="513.30999999999995"/>
    <n v="590.30649999999991"/>
    <n v="1186.26"/>
    <n v="1186.26"/>
    <n v="1364.1989999999998"/>
    <n v="9.4E-2"/>
    <s v="OK"/>
    <n v="9.4E-2"/>
    <n v="9.4E-2"/>
    <n v="15"/>
    <n v="18"/>
    <n v="16121.273400000002"/>
    <n v="26863.806708"/>
    <n v="7699.65"/>
    <n v="8421.6234000000022"/>
    <n v="19164.156708000002"/>
    <n v="0.52239194702820446"/>
    <d v="2023-01-02T00:00:00"/>
    <s v="Jan-2023"/>
    <n v="0"/>
    <n v="0"/>
    <n v="0"/>
  </r>
  <r>
    <s v="ORD-2024-364080"/>
    <x v="337"/>
    <x v="15"/>
    <s v="2024-Q2"/>
    <d v="2024-04-27T00:00:00"/>
    <n v="11"/>
    <s v="NOT ACHIEVED"/>
    <x v="0"/>
    <x v="0"/>
    <s v="Nakuru"/>
    <s v="Africa &gt; Kenya &gt; Nakuru"/>
    <s v="Enterprise"/>
    <s v="Online"/>
    <x v="1"/>
    <x v="14"/>
    <x v="5"/>
    <s v="Medium"/>
    <x v="423"/>
    <n v="401.3"/>
    <n v="461.495"/>
    <n v="826.47"/>
    <n v="826.47"/>
    <n v="950.44049999999993"/>
    <n v="0.22500000000000001"/>
    <s v="OK"/>
    <n v="0.22500000000000001"/>
    <n v="0.22500000000000001"/>
    <n v="13"/>
    <n v="15.6"/>
    <n v="8326.6852500000005"/>
    <n v="18162.917955000001"/>
    <n v="5216.9000000000005"/>
    <n v="3109.7852499999999"/>
    <n v="12946.017954999999"/>
    <n v="0.37347217489696755"/>
    <d v="2023-01-02T00:00:00"/>
    <s v="Jan-2023"/>
    <n v="0"/>
    <n v="0"/>
    <n v="0"/>
  </r>
  <r>
    <s v="ORD-2024-713332"/>
    <x v="338"/>
    <x v="6"/>
    <s v="2024-Q2"/>
    <d v="2024-06-23T00:00:00"/>
    <n v="18"/>
    <s v="NOT ACHIEVED"/>
    <x v="0"/>
    <x v="0"/>
    <s v="Nairobi"/>
    <s v="Africa &gt; Kenya &gt; Nairobi"/>
    <s v="Consumer"/>
    <s v="Distributor"/>
    <x v="3"/>
    <x v="14"/>
    <x v="3"/>
    <s v="Medium"/>
    <x v="424"/>
    <n v="1208.74"/>
    <n v="1390.0509999999999"/>
    <n v="1594.78"/>
    <n v="1594.78"/>
    <n v="1833.9969999999998"/>
    <n v="5.8999999999999997E-2"/>
    <s v="OK"/>
    <n v="5.8999999999999997E-2"/>
    <n v="5.8999999999999997E-2"/>
    <n v="39"/>
    <n v="46.8"/>
    <n v="58526.83122"/>
    <n v="90895.092116399988"/>
    <n v="47140.86"/>
    <n v="11385.971219999999"/>
    <n v="43754.232116399988"/>
    <n v="0.1945427589817838"/>
    <d v="2023-01-02T00:00:00"/>
    <s v="Jan-2023"/>
    <n v="0"/>
    <n v="0"/>
    <n v="0"/>
  </r>
  <r>
    <s v="ORD-2023-286720"/>
    <x v="339"/>
    <x v="14"/>
    <s v="2023-Q3"/>
    <d v="2023-07-09T00:00:00"/>
    <n v="1"/>
    <s v="ACHIEVED"/>
    <x v="0"/>
    <x v="0"/>
    <s v="Nairobi"/>
    <s v="Africa &gt; Kenya &gt; Nairobi"/>
    <s v="Consumer"/>
    <s v="Online"/>
    <x v="1"/>
    <x v="14"/>
    <x v="3"/>
    <s v="High"/>
    <x v="425"/>
    <n v="1258.72"/>
    <n v="1447.528"/>
    <n v="2797.41"/>
    <n v="2797.41"/>
    <n v="3217.0214999999994"/>
    <n v="0"/>
    <s v="OK"/>
    <n v="0"/>
    <n v="0"/>
    <n v="7"/>
    <n v="8.4"/>
    <n v="19581.87"/>
    <n v="27022.980599999995"/>
    <n v="8811.0400000000009"/>
    <n v="10770.829999999998"/>
    <n v="18211.940599999994"/>
    <n v="0.55004093071805704"/>
    <d v="2023-01-02T00:00:00"/>
    <s v="Jan-2023"/>
    <n v="0"/>
    <n v="0"/>
    <n v="0"/>
  </r>
  <r>
    <s v="ORD-2025-332931"/>
    <x v="185"/>
    <x v="8"/>
    <s v="2025-Q1"/>
    <d v="2025-03-01T00:00:00"/>
    <n v="14"/>
    <s v="NOT ACHIEVED"/>
    <x v="0"/>
    <x v="0"/>
    <s v="Mombasa"/>
    <s v="Africa &gt; Kenya &gt; Mombasa"/>
    <s v="Education"/>
    <s v="Direct"/>
    <x v="4"/>
    <x v="10"/>
    <x v="1"/>
    <s v="Medium"/>
    <x v="426"/>
    <n v="1162.8599999999999"/>
    <n v="1337.2889999999998"/>
    <n v="1447.68"/>
    <n v="1447.68"/>
    <n v="1664.8319999999999"/>
    <n v="8.6999999999999994E-2"/>
    <s v="OK"/>
    <n v="8.6999999999999994E-2"/>
    <n v="8.6999999999999994E-2"/>
    <n v="12"/>
    <n v="14.399999999999999"/>
    <n v="15860.782080000001"/>
    <n v="26059.282329599995"/>
    <n v="13954.32"/>
    <n v="1906.4620800000012"/>
    <n v="12104.962329599995"/>
    <n v="0.12019975247021369"/>
    <d v="2023-01-02T00:00:00"/>
    <s v="Jan-2023"/>
    <n v="0"/>
    <n v="0"/>
    <n v="0"/>
  </r>
  <r>
    <s v="ORD-2024-555229"/>
    <x v="174"/>
    <x v="16"/>
    <s v="2024-Q2"/>
    <d v="2024-05-22T00:00:00"/>
    <n v="4"/>
    <s v="ACHIEVED"/>
    <x v="0"/>
    <x v="0"/>
    <s v="Nairobi"/>
    <s v="Africa &gt; Kenya &gt; Nairobi"/>
    <s v="Corporate"/>
    <s v="Direct"/>
    <x v="4"/>
    <x v="15"/>
    <x v="1"/>
    <s v="High"/>
    <x v="427"/>
    <n v="857.42"/>
    <n v="986.0329999999999"/>
    <n v="1658.92"/>
    <n v="1658.92"/>
    <n v="1907.758"/>
    <n v="0.122"/>
    <s v="OK"/>
    <n v="0.122"/>
    <n v="0.122"/>
    <n v="9"/>
    <n v="10.799999999999999"/>
    <n v="13108.78584"/>
    <n v="23117.448340799994"/>
    <n v="7716.78"/>
    <n v="5392.0058400000007"/>
    <n v="15400.668340799995"/>
    <n v="0.41132763215544305"/>
    <d v="2023-01-02T00:00:00"/>
    <s v="Jan-2023"/>
    <n v="0"/>
    <n v="0"/>
    <n v="0"/>
  </r>
  <r>
    <s v="ORD-2024-331226"/>
    <x v="148"/>
    <x v="13"/>
    <s v="2024-Q4"/>
    <d v="2024-12-19T00:00:00"/>
    <n v="19"/>
    <s v="NOT ACHIEVED"/>
    <x v="0"/>
    <x v="0"/>
    <s v="Kisumu"/>
    <s v="Africa &gt; Kenya &gt; Kisumu"/>
    <s v="Corporate"/>
    <s v="Online"/>
    <x v="1"/>
    <x v="10"/>
    <x v="4"/>
    <s v="High"/>
    <x v="428"/>
    <n v="1195.98"/>
    <n v="1375.377"/>
    <n v="1841.9"/>
    <n v="1841.9"/>
    <n v="2118.1849999999999"/>
    <n v="5.5E-2"/>
    <s v="OK"/>
    <n v="5.5E-2"/>
    <n v="5.5E-2"/>
    <n v="19"/>
    <n v="22.8"/>
    <n v="33071.3145"/>
    <n v="50950.821989999997"/>
    <n v="22723.62"/>
    <n v="10347.694500000001"/>
    <n v="28227.201989999998"/>
    <n v="0.31289032977506842"/>
    <d v="2023-01-02T00:00:00"/>
    <s v="Jan-2023"/>
    <n v="0"/>
    <n v="0"/>
    <n v="0"/>
  </r>
  <r>
    <s v="ORD-2024-979401"/>
    <x v="340"/>
    <x v="23"/>
    <s v="2024-Q1"/>
    <d v="2024-02-09T00:00:00"/>
    <n v="1"/>
    <s v="ACHIEVED"/>
    <x v="0"/>
    <x v="0"/>
    <s v="Mombasa"/>
    <s v="Africa &gt; Kenya &gt; Mombasa"/>
    <s v="Corporate"/>
    <s v="Direct"/>
    <x v="4"/>
    <x v="8"/>
    <x v="0"/>
    <s v="Medium"/>
    <x v="429"/>
    <n v="1233.52"/>
    <n v="1418.5479999999998"/>
    <n v="1543.76"/>
    <n v="1543.76"/>
    <n v="1775.3239999999998"/>
    <n v="0.126"/>
    <s v="OK"/>
    <n v="0.126"/>
    <n v="0.126"/>
    <n v="13"/>
    <n v="15.6"/>
    <n v="17540.201120000002"/>
    <n v="31184.631254399996"/>
    <n v="16035.76"/>
    <n v="1504.4411200000013"/>
    <n v="15148.871254399995"/>
    <n v="8.5771030201277493E-2"/>
    <d v="2023-01-02T00:00:00"/>
    <s v="Jan-2023"/>
    <n v="0"/>
    <n v="0"/>
    <n v="0"/>
  </r>
  <r>
    <s v="ORD-2025-155182"/>
    <x v="341"/>
    <x v="4"/>
    <s v="2025-Q3"/>
    <d v="2025-08-03T00:00:00"/>
    <n v="23"/>
    <s v="NOT ACHIEVED"/>
    <x v="0"/>
    <x v="0"/>
    <s v="Nakuru"/>
    <s v="Africa &gt; Kenya &gt; Nakuru"/>
    <s v="Small Business"/>
    <s v="Retail"/>
    <x v="0"/>
    <x v="0"/>
    <x v="4"/>
    <s v="Low"/>
    <x v="430"/>
    <n v="389.93"/>
    <n v="448.41949999999997"/>
    <n v="486.13"/>
    <n v="486.13"/>
    <n v="559.04949999999997"/>
    <n v="0.13200000000000001"/>
    <s v="OK"/>
    <n v="0.13200000000000001"/>
    <n v="0.13200000000000001"/>
    <n v="17"/>
    <n v="20.399999999999999"/>
    <n v="7173.3342799999991"/>
    <n v="12910.0182936"/>
    <n v="6628.81"/>
    <n v="544.52427999999873"/>
    <n v="6281.2082935999997"/>
    <n v="7.5909508569562828E-2"/>
    <d v="2023-01-02T00:00:00"/>
    <s v="Jan-2023"/>
    <n v="0"/>
    <n v="0"/>
    <n v="0"/>
  </r>
  <r>
    <s v="ORD-2024-689872"/>
    <x v="342"/>
    <x v="10"/>
    <s v="2024-Q3"/>
    <d v="2024-08-09T00:00:00"/>
    <n v="6"/>
    <s v="ACHIEVED"/>
    <x v="0"/>
    <x v="0"/>
    <s v="Mombasa"/>
    <s v="Africa &gt; Kenya &gt; Mombasa"/>
    <s v="Consumer"/>
    <s v="Marketplace"/>
    <x v="2"/>
    <x v="15"/>
    <x v="3"/>
    <s v="Medium"/>
    <x v="431"/>
    <n v="643.21"/>
    <n v="739.69150000000002"/>
    <n v="1112.81"/>
    <n v="1112.81"/>
    <n v="1279.7314999999999"/>
    <n v="0.14099999999999999"/>
    <s v="OK"/>
    <n v="0.14099999999999999"/>
    <n v="0.14099999999999999"/>
    <n v="4"/>
    <n v="4.8"/>
    <n v="3823.6151599999998"/>
    <n v="7008.8334791999987"/>
    <n v="2572.84"/>
    <n v="1250.7751599999997"/>
    <n v="4435.9934791999985"/>
    <n v="0.32711847496702562"/>
    <d v="2023-01-02T00:00:00"/>
    <s v="Jan-2023"/>
    <n v="0"/>
    <n v="0"/>
    <n v="0"/>
  </r>
  <r>
    <s v="ORD-2024-442776"/>
    <x v="6"/>
    <x v="6"/>
    <s v="2024-Q2"/>
    <d v="2024-07-21T00:00:00"/>
    <n v="21"/>
    <s v="NOT ACHIEVED"/>
    <x v="0"/>
    <x v="0"/>
    <s v="Kisumu"/>
    <s v="Africa &gt; Kenya &gt; Kisumu"/>
    <s v="Small Business"/>
    <s v="Retail"/>
    <x v="0"/>
    <x v="3"/>
    <x v="3"/>
    <s v="High"/>
    <x v="432"/>
    <n v="753.43"/>
    <n v="866.44449999999983"/>
    <n v="1787.2"/>
    <n v="1787.2"/>
    <n v="2055.2799999999997"/>
    <n v="7.2999999999999995E-2"/>
    <s v="OK"/>
    <n v="7.2999999999999995E-2"/>
    <n v="7.2999999999999995E-2"/>
    <n v="9"/>
    <n v="10.799999999999999"/>
    <n v="14910.609600000002"/>
    <n v="23817.406751999992"/>
    <n v="6780.87"/>
    <n v="8129.7396000000017"/>
    <n v="17036.536751999993"/>
    <n v="0.54523187301476939"/>
    <d v="2023-01-02T00:00:00"/>
    <s v="Jan-2023"/>
    <n v="0"/>
    <n v="0"/>
    <n v="0"/>
  </r>
  <r>
    <s v="ORD-2024-266562"/>
    <x v="343"/>
    <x v="13"/>
    <s v="2024-Q4"/>
    <d v="2024-12-24T00:00:00"/>
    <n v="27"/>
    <s v="NOT ACHIEVED"/>
    <x v="0"/>
    <x v="0"/>
    <s v="Mombasa"/>
    <s v="Africa &gt; Kenya &gt; Mombasa"/>
    <s v="Corporate"/>
    <s v="Distributor"/>
    <x v="3"/>
    <x v="6"/>
    <x v="5"/>
    <s v="Low"/>
    <x v="433"/>
    <n v="143.33000000000001"/>
    <n v="164.8295"/>
    <n v="233.51"/>
    <n v="233.51"/>
    <n v="268.53649999999999"/>
    <n v="0.16300000000000001"/>
    <s v="OK"/>
    <n v="0.16300000000000001"/>
    <n v="0.16300000000000001"/>
    <n v="14"/>
    <n v="16.8"/>
    <n v="2736.27018"/>
    <n v="5246.7735516000002"/>
    <n v="2006.6200000000001"/>
    <n v="729.65017999999986"/>
    <n v="3240.1535516000004"/>
    <n v="0.26665867476580835"/>
    <d v="2023-01-02T00:00:00"/>
    <s v="Jan-2023"/>
    <n v="0"/>
    <n v="0"/>
    <n v="0"/>
  </r>
  <r>
    <s v="ORD-2024-341535"/>
    <x v="344"/>
    <x v="6"/>
    <s v="2024-Q2"/>
    <d v="2024-06-30T00:00:00"/>
    <n v="5"/>
    <s v="ACHIEVED"/>
    <x v="0"/>
    <x v="0"/>
    <s v="Kisumu"/>
    <s v="Africa &gt; Kenya &gt; Kisumu"/>
    <s v="Education"/>
    <s v="Direct"/>
    <x v="4"/>
    <x v="13"/>
    <x v="6"/>
    <s v="High"/>
    <x v="434"/>
    <n v="1323.55"/>
    <n v="1522.0824999999998"/>
    <n v="3230.35"/>
    <n v="3230.35"/>
    <n v="3714.9024999999997"/>
    <n v="2.1999999999999999E-2"/>
    <s v="OK"/>
    <n v="2.1999999999999999E-2"/>
    <n v="2.1999999999999999E-2"/>
    <n v="26"/>
    <n v="31.2"/>
    <n v="82141.339799999987"/>
    <n v="118454.86707599998"/>
    <n v="34412.299999999996"/>
    <n v="47729.039799999991"/>
    <n v="84042.567075999978"/>
    <n v="0.58105991351263542"/>
    <d v="2023-01-02T00:00:00"/>
    <s v="Jan-2023"/>
    <n v="0"/>
    <n v="0"/>
    <n v="0"/>
  </r>
  <r>
    <s v="ORD-2023-755337"/>
    <x v="92"/>
    <x v="29"/>
    <s v="2023-Q3"/>
    <d v="2023-09-14T00:00:00"/>
    <n v="6"/>
    <s v="ACHIEVED"/>
    <x v="0"/>
    <x v="0"/>
    <s v="Nakuru"/>
    <s v="Africa &gt; Kenya &gt; Nakuru"/>
    <s v="Education"/>
    <s v="Direct"/>
    <x v="4"/>
    <x v="12"/>
    <x v="1"/>
    <s v="Low"/>
    <x v="435"/>
    <n v="251.03"/>
    <n v="288.68449999999996"/>
    <n v="411.48"/>
    <n v="411.48"/>
    <n v="473.202"/>
    <n v="0.16500000000000001"/>
    <s v="OK"/>
    <n v="0.16500000000000001"/>
    <n v="0.16500000000000001"/>
    <n v="3"/>
    <n v="3.5999999999999996"/>
    <n v="1030.7574"/>
    <n v="1984.6091879999997"/>
    <n v="753.09"/>
    <n v="277.66739999999993"/>
    <n v="1231.5191879999998"/>
    <n v="0.26938191275658069"/>
    <d v="2023-01-02T00:00:00"/>
    <s v="Jan-2023"/>
    <n v="0"/>
    <n v="0"/>
    <n v="0"/>
  </r>
  <r>
    <s v="ORD-2025-649633"/>
    <x v="345"/>
    <x v="4"/>
    <s v="2025-Q3"/>
    <d v="2025-07-31T00:00:00"/>
    <n v="12"/>
    <s v="NOT ACHIEVED"/>
    <x v="0"/>
    <x v="0"/>
    <s v="Nairobi"/>
    <s v="Africa &gt; Kenya &gt; Nairobi"/>
    <s v="Small Business"/>
    <s v="Marketplace"/>
    <x v="2"/>
    <x v="7"/>
    <x v="1"/>
    <s v="Medium"/>
    <x v="436"/>
    <n v="619.64"/>
    <n v="712.5859999999999"/>
    <n v="861.16"/>
    <n v="861.16"/>
    <n v="990.33399999999983"/>
    <n v="0.113"/>
    <s v="OK"/>
    <n v="0.113"/>
    <n v="0.113"/>
    <n v="14"/>
    <n v="16.8"/>
    <n v="10693.88488"/>
    <n v="18517.6612656"/>
    <n v="8674.9599999999991"/>
    <n v="2018.9248800000005"/>
    <n v="9842.7012656000006"/>
    <n v="0.18879246435276761"/>
    <d v="2023-01-02T00:00:00"/>
    <s v="Jan-2023"/>
    <n v="0"/>
    <n v="0"/>
    <n v="0"/>
  </r>
  <r>
    <s v="ORD-2024-358795"/>
    <x v="278"/>
    <x v="32"/>
    <s v="2024-Q4"/>
    <d v="2024-10-28T00:00:00"/>
    <n v="5"/>
    <s v="ACHIEVED"/>
    <x v="0"/>
    <x v="8"/>
    <s v="Port Harcourt"/>
    <s v="Africa &gt; Nigeria &gt; Port Harcourt"/>
    <s v="Education"/>
    <s v="Online"/>
    <x v="1"/>
    <x v="2"/>
    <x v="5"/>
    <s v="Low"/>
    <x v="437"/>
    <n v="1084.3900000000001"/>
    <n v="1247.0485000000001"/>
    <n v="759.33"/>
    <n v="759.33"/>
    <n v="873.22950000000003"/>
    <n v="0.23699999999999999"/>
    <s v="OK"/>
    <n v="0.23699999999999999"/>
    <n v="0.23699999999999999"/>
    <n v="31"/>
    <n v="37.199999999999996"/>
    <n v="17960.432489999999"/>
    <n v="40182.877963799998"/>
    <n v="33616.090000000004"/>
    <n v="-15655.657510000005"/>
    <n v="6566.787963799994"/>
    <n v="-0.87167486187856302"/>
    <d v="2023-01-02T00:00:00"/>
    <s v="Jan-2023"/>
    <s v="Medium/High cutoff"/>
    <n v="1620.05"/>
    <n v="0"/>
  </r>
  <r>
    <s v="ORD-2025-168148"/>
    <x v="346"/>
    <x v="2"/>
    <s v="2025-Q1"/>
    <d v="2025-04-02T00:00:00"/>
    <n v="4"/>
    <s v="ACHIEVED"/>
    <x v="0"/>
    <x v="8"/>
    <s v="Lagos"/>
    <s v="Africa &gt; Nigeria &gt; Lagos"/>
    <s v="Non-Profit"/>
    <s v="Marketplace"/>
    <x v="2"/>
    <x v="4"/>
    <x v="4"/>
    <s v="Low"/>
    <x v="438"/>
    <n v="259.93"/>
    <n v="298.91949999999997"/>
    <n v="255.94"/>
    <n v="255.94"/>
    <n v="294.33099999999996"/>
    <n v="7.1999999999999995E-2"/>
    <s v="OK"/>
    <n v="7.1999999999999995E-2"/>
    <n v="7.1999999999999995E-2"/>
    <n v="22"/>
    <n v="26.4"/>
    <n v="5225.2710400000005"/>
    <n v="8329.8027647999988"/>
    <n v="5718.46"/>
    <n v="-493.1889599999995"/>
    <n v="2611.3427647999988"/>
    <n v="-9.4385335463861311E-2"/>
    <d v="2023-01-02T00:00:00"/>
    <s v="Jan-2023"/>
    <n v="0"/>
    <n v="0"/>
    <n v="0"/>
  </r>
  <r>
    <s v="ORD-2023-112666"/>
    <x v="347"/>
    <x v="28"/>
    <s v="2023-Q1"/>
    <d v="2023-01-20T00:00:00"/>
    <n v="5"/>
    <s v="ACHIEVED"/>
    <x v="0"/>
    <x v="8"/>
    <s v="Abuja"/>
    <s v="Africa &gt; Nigeria &gt; Abuja"/>
    <s v="Education"/>
    <s v="Online"/>
    <x v="1"/>
    <x v="7"/>
    <x v="5"/>
    <s v="Low"/>
    <x v="439"/>
    <n v="28.38"/>
    <n v="32.636999999999993"/>
    <n v="47.22"/>
    <n v="47.22"/>
    <n v="54.302999999999997"/>
    <n v="0.19400000000000001"/>
    <s v="OK"/>
    <n v="0.19400000000000001"/>
    <n v="0.19400000000000001"/>
    <n v="18"/>
    <n v="21.599999999999998"/>
    <n v="685.06776000000002"/>
    <n v="1400.4960911999997"/>
    <n v="510.84"/>
    <n v="174.22776000000005"/>
    <n v="889.65609119999976"/>
    <n v="0.25432193743871417"/>
    <d v="2023-01-02T00:00:00"/>
    <s v="Jan-2023"/>
    <n v="0"/>
    <n v="0"/>
    <n v="0"/>
  </r>
  <r>
    <s v="ORD-2024-589570"/>
    <x v="348"/>
    <x v="16"/>
    <s v="2024-Q2"/>
    <d v="2024-05-29T00:00:00"/>
    <n v="25"/>
    <s v="NOT ACHIEVED"/>
    <x v="0"/>
    <x v="8"/>
    <s v="Abuja"/>
    <s v="Africa &gt; Nigeria &gt; Abuja"/>
    <s v="Non-Profit"/>
    <s v="Marketplace"/>
    <x v="2"/>
    <x v="7"/>
    <x v="2"/>
    <s v="High"/>
    <x v="440"/>
    <n v="1295.3399999999999"/>
    <n v="1489.6409999999998"/>
    <n v="2530.81"/>
    <n v="2530.81"/>
    <n v="2910.4314999999997"/>
    <n v="3.1E-2"/>
    <s v="OK"/>
    <n v="3.1E-2"/>
    <n v="3.1E-2"/>
    <n v="6"/>
    <n v="7.1999999999999993"/>
    <n v="14714.12934"/>
    <n v="21604.715110799993"/>
    <n v="7772.0399999999991"/>
    <n v="6942.0893400000004"/>
    <n v="13832.675110799993"/>
    <n v="0.4717974933880798"/>
    <d v="2023-01-02T00:00:00"/>
    <s v="Jan-2023"/>
    <n v="0"/>
    <n v="0"/>
    <n v="0"/>
  </r>
  <r>
    <s v="ORD-2025-580047"/>
    <x v="349"/>
    <x v="31"/>
    <s v="2025-Q2"/>
    <d v="2025-06-29T00:00:00"/>
    <n v="15"/>
    <s v="NOT ACHIEVED"/>
    <x v="0"/>
    <x v="8"/>
    <s v="Port Harcourt"/>
    <s v="Africa &gt; Nigeria &gt; Port Harcourt"/>
    <s v="Consumer"/>
    <s v="Marketplace"/>
    <x v="2"/>
    <x v="13"/>
    <x v="1"/>
    <s v="Medium"/>
    <x v="441"/>
    <n v="730.99"/>
    <n v="840.63849999999991"/>
    <n v="1242.8399999999999"/>
    <n v="1242.8399999999999"/>
    <n v="1429.2659999999998"/>
    <n v="0.12"/>
    <s v="OK"/>
    <n v="0.12"/>
    <n v="0.12"/>
    <n v="10"/>
    <n v="12"/>
    <n v="10936.992"/>
    <n v="19209.335040000002"/>
    <n v="7309.9"/>
    <n v="3627.0920000000006"/>
    <n v="11899.435040000002"/>
    <n v="0.33163524303574515"/>
    <d v="2023-01-02T00:00:00"/>
    <s v="Jan-2023"/>
    <n v="0"/>
    <n v="0"/>
    <n v="0"/>
  </r>
  <r>
    <s v="ORD-2024-599522"/>
    <x v="350"/>
    <x v="15"/>
    <s v="2024-Q2"/>
    <d v="2024-05-06T00:00:00"/>
    <n v="17"/>
    <s v="NOT ACHIEVED"/>
    <x v="0"/>
    <x v="8"/>
    <s v="Port Harcourt"/>
    <s v="Africa &gt; Nigeria &gt; Port Harcourt"/>
    <s v="Non-Profit"/>
    <s v="Online"/>
    <x v="1"/>
    <x v="1"/>
    <x v="5"/>
    <s v="Medium"/>
    <x v="442"/>
    <n v="865.33"/>
    <n v="995.12950000000001"/>
    <n v="1395.64"/>
    <n v="1395.64"/>
    <n v="1604.9860000000001"/>
    <n v="0.17499999999999999"/>
    <s v="OK"/>
    <n v="0.17499999999999999"/>
    <n v="0.17499999999999999"/>
    <n v="13"/>
    <n v="15.6"/>
    <n v="14968.239"/>
    <n v="29419.393380000005"/>
    <n v="11249.29"/>
    <n v="3718.9489999999987"/>
    <n v="18170.103380000004"/>
    <n v="0.24845601409758347"/>
    <d v="2023-01-02T00:00:00"/>
    <s v="Jan-2023"/>
    <n v="0"/>
    <n v="0"/>
    <n v="0"/>
  </r>
  <r>
    <s v="ORD-2023-128295"/>
    <x v="100"/>
    <x v="11"/>
    <s v="2023-Q2"/>
    <d v="2023-07-03T00:00:00"/>
    <n v="10"/>
    <s v="NOT ACHIEVED"/>
    <x v="0"/>
    <x v="8"/>
    <s v="Abuja"/>
    <s v="Africa &gt; Nigeria &gt; Abuja"/>
    <s v="Consumer"/>
    <s v="Online"/>
    <x v="1"/>
    <x v="2"/>
    <x v="5"/>
    <s v="Low"/>
    <x v="443"/>
    <n v="337.75"/>
    <n v="388.41249999999997"/>
    <n v="548.89"/>
    <n v="548.89"/>
    <n v="631.22349999999994"/>
    <n v="0"/>
    <s v="OK"/>
    <n v="0"/>
    <n v="0"/>
    <n v="13"/>
    <n v="15.6"/>
    <n v="7135.57"/>
    <n v="9847.0865999999987"/>
    <n v="4390.75"/>
    <n v="2744.8199999999997"/>
    <n v="5456.3365999999987"/>
    <n v="0.38466723751571352"/>
    <d v="2023-01-02T00:00:00"/>
    <s v="Jan-2023"/>
    <n v="0"/>
    <n v="0"/>
    <n v="0"/>
  </r>
  <r>
    <s v="ORD-2024-966651"/>
    <x v="351"/>
    <x v="32"/>
    <s v="2024-Q4"/>
    <d v="2024-11-08T00:00:00"/>
    <n v="25"/>
    <s v="NOT ACHIEVED"/>
    <x v="0"/>
    <x v="8"/>
    <s v="Lagos"/>
    <s v="Africa &gt; Nigeria &gt; Lagos"/>
    <s v="Enterprise"/>
    <s v="Online"/>
    <x v="1"/>
    <x v="7"/>
    <x v="6"/>
    <s v="High"/>
    <x v="444"/>
    <n v="859.35"/>
    <n v="988.25249999999994"/>
    <n v="1825.61"/>
    <n v="1825.61"/>
    <n v="2099.4514999999997"/>
    <n v="0.187"/>
    <s v="OK"/>
    <n v="0.187"/>
    <n v="0.187"/>
    <n v="24"/>
    <n v="28.799999999999997"/>
    <n v="35621.302319999995"/>
    <n v="71771.009198399988"/>
    <n v="20624.400000000001"/>
    <n v="14996.902319999994"/>
    <n v="51146.609198399987"/>
    <n v="0.42100937762681989"/>
    <d v="2023-01-02T00:00:00"/>
    <s v="Jan-2023"/>
    <n v="0"/>
    <n v="0"/>
    <n v="0"/>
  </r>
  <r>
    <s v="ORD-2024-997336"/>
    <x v="352"/>
    <x v="32"/>
    <s v="2024-Q4"/>
    <d v="2024-11-02T00:00:00"/>
    <n v="29"/>
    <s v="NOT ACHIEVED"/>
    <x v="0"/>
    <x v="8"/>
    <s v="Abuja"/>
    <s v="Africa &gt; Nigeria &gt; Abuja"/>
    <s v="Corporate"/>
    <s v="Distributor"/>
    <x v="3"/>
    <x v="8"/>
    <x v="1"/>
    <s v="Medium"/>
    <x v="445"/>
    <n v="412.09"/>
    <n v="473.90349999999995"/>
    <n v="968.94"/>
    <n v="968.94"/>
    <n v="1114.2809999999999"/>
    <n v="9.9000000000000005E-2"/>
    <s v="OK"/>
    <n v="9.9000000000000005E-2"/>
    <n v="9.9000000000000005E-2"/>
    <n v="23"/>
    <n v="27.599999999999998"/>
    <n v="20079.343620000003"/>
    <n v="33798.817004399993"/>
    <n v="9478.07"/>
    <n v="10601.273620000004"/>
    <n v="24320.747004399993"/>
    <n v="0.52796913189137418"/>
    <d v="2023-01-02T00:00:00"/>
    <s v="Jan-2023"/>
    <n v="0"/>
    <n v="0"/>
    <n v="0"/>
  </r>
  <r>
    <s v="ORD-2024-638884"/>
    <x v="210"/>
    <x v="16"/>
    <s v="2024-Q2"/>
    <d v="2024-06-02T00:00:00"/>
    <n v="5"/>
    <s v="ACHIEVED"/>
    <x v="0"/>
    <x v="8"/>
    <s v="Abuja"/>
    <s v="Africa &gt; Nigeria &gt; Abuja"/>
    <s v="Enterprise"/>
    <s v="Online"/>
    <x v="1"/>
    <x v="8"/>
    <x v="1"/>
    <s v="High"/>
    <x v="446"/>
    <n v="1227.08"/>
    <n v="1411.1419999999998"/>
    <n v="1896.62"/>
    <n v="1896.62"/>
    <n v="2181.1129999999998"/>
    <n v="0"/>
    <s v="OK"/>
    <n v="0"/>
    <n v="0"/>
    <n v="18"/>
    <n v="21.599999999999998"/>
    <n v="34139.159999999996"/>
    <n v="47112.040799999995"/>
    <n v="22087.439999999999"/>
    <n v="12051.719999999998"/>
    <n v="25024.600799999997"/>
    <n v="0.353017473189147"/>
    <d v="2023-01-02T00:00:00"/>
    <s v="Jan-2023"/>
    <n v="0"/>
    <n v="0"/>
    <n v="0"/>
  </r>
  <r>
    <s v="ORD-2025-501927"/>
    <x v="353"/>
    <x v="2"/>
    <s v="2025-Q1"/>
    <d v="2025-03-24T00:00:00"/>
    <n v="21"/>
    <s v="NOT ACHIEVED"/>
    <x v="0"/>
    <x v="8"/>
    <s v="Abuja"/>
    <s v="Africa &gt; Nigeria &gt; Abuja"/>
    <s v="Enterprise"/>
    <s v="Direct"/>
    <x v="4"/>
    <x v="15"/>
    <x v="1"/>
    <s v="Low"/>
    <x v="447"/>
    <n v="555.95000000000005"/>
    <n v="639.34249999999997"/>
    <n v="468.09"/>
    <n v="468.09"/>
    <n v="538.30349999999999"/>
    <n v="0.14199999999999999"/>
    <s v="OK"/>
    <n v="0.14199999999999999"/>
    <n v="0.14199999999999999"/>
    <n v="11"/>
    <n v="13.2"/>
    <n v="4417.8334199999999"/>
    <n v="8114.6022803999986"/>
    <n v="6115.4500000000007"/>
    <n v="-1697.6165800000008"/>
    <n v="1999.1522803999978"/>
    <n v="-0.38426450674095375"/>
    <d v="2023-01-02T00:00:00"/>
    <s v="Jan-2023"/>
    <n v="0"/>
    <n v="0"/>
    <n v="0"/>
  </r>
  <r>
    <s v="ORD-2023-334213"/>
    <x v="63"/>
    <x v="21"/>
    <s v="2023-Q3"/>
    <d v="2023-08-23T00:00:00"/>
    <n v="4"/>
    <s v="ACHIEVED"/>
    <x v="0"/>
    <x v="8"/>
    <s v="Abuja"/>
    <s v="Africa &gt; Nigeria &gt; Abuja"/>
    <s v="Small Business"/>
    <s v="Online"/>
    <x v="1"/>
    <x v="2"/>
    <x v="2"/>
    <s v="Medium"/>
    <x v="448"/>
    <n v="790.63"/>
    <n v="909.22449999999992"/>
    <n v="1382.31"/>
    <n v="1382.31"/>
    <n v="1589.6564999999998"/>
    <n v="0.10100000000000001"/>
    <s v="OK"/>
    <n v="0.10100000000000001"/>
    <n v="0.10100000000000001"/>
    <n v="7"/>
    <n v="8.4"/>
    <n v="8698.8768300000011"/>
    <n v="14701.779174599998"/>
    <n v="5534.41"/>
    <n v="3164.4668300000012"/>
    <n v="9167.3691745999986"/>
    <n v="0.36377878338116448"/>
    <d v="2023-01-02T00:00:00"/>
    <s v="Jan-2023"/>
    <n v="0"/>
    <n v="0"/>
    <n v="0"/>
  </r>
  <r>
    <s v="ORD-2024-640340"/>
    <x v="354"/>
    <x v="32"/>
    <s v="2024-Q4"/>
    <d v="2024-10-29T00:00:00"/>
    <n v="7"/>
    <s v="ACHIEVED"/>
    <x v="0"/>
    <x v="8"/>
    <s v="Port Harcourt"/>
    <s v="Africa &gt; Nigeria &gt; Port Harcourt"/>
    <s v="Enterprise"/>
    <s v="Distributor"/>
    <x v="3"/>
    <x v="13"/>
    <x v="2"/>
    <s v="Medium"/>
    <x v="449"/>
    <n v="1023.06"/>
    <n v="1176.5189999999998"/>
    <n v="1355.61"/>
    <n v="1355.61"/>
    <n v="1558.9514999999997"/>
    <n v="0.153"/>
    <s v="OK"/>
    <n v="0.153"/>
    <n v="0.153"/>
    <n v="23"/>
    <n v="27.599999999999998"/>
    <n v="26408.63841"/>
    <n v="49610.20179419998"/>
    <n v="23530.379999999997"/>
    <n v="2878.2584100000022"/>
    <n v="26079.821794199983"/>
    <n v="0.10898927711888809"/>
    <d v="2023-01-02T00:00:00"/>
    <s v="Jan-2023"/>
    <n v="0"/>
    <n v="0"/>
    <n v="0"/>
  </r>
  <r>
    <s v="ORD-2025-629393"/>
    <x v="355"/>
    <x v="4"/>
    <s v="2025-Q3"/>
    <d v="2025-08-07T00:00:00"/>
    <n v="17"/>
    <s v="NOT ACHIEVED"/>
    <x v="0"/>
    <x v="8"/>
    <s v="Lagos"/>
    <s v="Africa &gt; Nigeria &gt; Lagos"/>
    <s v="Enterprise"/>
    <s v="Direct"/>
    <x v="4"/>
    <x v="13"/>
    <x v="1"/>
    <s v="High"/>
    <x v="450"/>
    <n v="1204.95"/>
    <n v="1385.6924999999999"/>
    <n v="2065.73"/>
    <n v="2065.73"/>
    <n v="2375.5895"/>
    <n v="0.13600000000000001"/>
    <s v="OK"/>
    <n v="0.13600000000000001"/>
    <n v="0.13600000000000001"/>
    <n v="10"/>
    <n v="12"/>
    <n v="17847.907199999998"/>
    <n v="32384.036064000004"/>
    <n v="12049.5"/>
    <n v="5798.4071999999978"/>
    <n v="20334.536064000004"/>
    <n v="0.32487882949100039"/>
    <d v="2023-01-02T00:00:00"/>
    <s v="Jan-2023"/>
    <n v="0"/>
    <n v="0"/>
    <n v="0"/>
  </r>
  <r>
    <s v="ORD-2024-423853"/>
    <x v="296"/>
    <x v="17"/>
    <s v="2024-Q3"/>
    <d v="2024-09-08T00:00:00"/>
    <n v="5"/>
    <s v="ACHIEVED"/>
    <x v="0"/>
    <x v="8"/>
    <s v="Lagos"/>
    <s v="Africa &gt; Nigeria &gt; Lagos"/>
    <s v="Small Business"/>
    <s v="Direct"/>
    <x v="4"/>
    <x v="3"/>
    <x v="5"/>
    <s v="Low"/>
    <x v="451"/>
    <n v="197.63"/>
    <n v="227.27449999999999"/>
    <n v="325.79000000000002"/>
    <n v="325.79000000000002"/>
    <n v="374.6585"/>
    <n v="0.11600000000000001"/>
    <s v="OK"/>
    <n v="0.11600000000000001"/>
    <n v="0.11600000000000001"/>
    <n v="10"/>
    <n v="12"/>
    <n v="2879.9836"/>
    <n v="5017.4266320000006"/>
    <n v="1976.3"/>
    <n v="903.68360000000007"/>
    <n v="3041.1266320000004"/>
    <n v="0.31378081458519419"/>
    <d v="2023-01-02T00:00:00"/>
    <s v="Jan-2023"/>
    <n v="0"/>
    <n v="0"/>
    <n v="0"/>
  </r>
  <r>
    <s v="ORD-2024-853298"/>
    <x v="356"/>
    <x v="0"/>
    <s v="2024-Q1"/>
    <d v="2024-03-26T00:00:00"/>
    <n v="20"/>
    <s v="NOT ACHIEVED"/>
    <x v="0"/>
    <x v="8"/>
    <s v="Port Harcourt"/>
    <s v="Africa &gt; Nigeria &gt; Port Harcourt"/>
    <s v="Consumer"/>
    <s v="Marketplace"/>
    <x v="2"/>
    <x v="12"/>
    <x v="4"/>
    <s v="Low"/>
    <x v="452"/>
    <n v="65.64"/>
    <n v="75.48599999999999"/>
    <n v="151.88"/>
    <n v="151.88"/>
    <n v="174.66199999999998"/>
    <n v="0.16700000000000001"/>
    <s v="OK"/>
    <n v="0.16700000000000001"/>
    <n v="0.16700000000000001"/>
    <n v="23"/>
    <n v="27.599999999999998"/>
    <n v="2909.8689199999999"/>
    <n v="5625.7232903999984"/>
    <n v="1509.72"/>
    <n v="1400.1489199999999"/>
    <n v="4116.0032903999981"/>
    <n v="0.48117250587356353"/>
    <d v="2023-01-02T00:00:00"/>
    <s v="Jan-2023"/>
    <n v="0"/>
    <n v="0"/>
    <n v="0"/>
  </r>
  <r>
    <s v="ORD-2023-638181"/>
    <x v="243"/>
    <x v="26"/>
    <s v="2023-Q2"/>
    <d v="2023-06-07T00:00:00"/>
    <n v="18"/>
    <s v="NOT ACHIEVED"/>
    <x v="0"/>
    <x v="8"/>
    <s v="Port Harcourt"/>
    <s v="Africa &gt; Nigeria &gt; Port Harcourt"/>
    <s v="Enterprise"/>
    <s v="Distributor"/>
    <x v="3"/>
    <x v="11"/>
    <x v="0"/>
    <s v="High"/>
    <x v="453"/>
    <n v="1120.06"/>
    <n v="1288.0689999999997"/>
    <n v="2068.21"/>
    <n v="2068.21"/>
    <n v="2378.4414999999999"/>
    <n v="7.8E-2"/>
    <s v="OK"/>
    <n v="7.8E-2"/>
    <n v="7.8E-2"/>
    <n v="12"/>
    <n v="14.399999999999999"/>
    <n v="22882.675440000003"/>
    <n v="36921.023092799995"/>
    <n v="13440.72"/>
    <n v="9441.9554400000034"/>
    <n v="23480.303092799993"/>
    <n v="0.41262462795303284"/>
    <d v="2023-01-02T00:00:00"/>
    <s v="Jan-2023"/>
    <n v="0"/>
    <n v="0"/>
    <n v="0"/>
  </r>
  <r>
    <s v="ORD-2025-440093"/>
    <x v="70"/>
    <x v="7"/>
    <s v="2025-Q2"/>
    <d v="2025-04-26T00:00:00"/>
    <n v="10"/>
    <s v="NOT ACHIEVED"/>
    <x v="0"/>
    <x v="8"/>
    <s v="Port Harcourt"/>
    <s v="Africa &gt; Nigeria &gt; Port Harcourt"/>
    <s v="Enterprise"/>
    <s v="Marketplace"/>
    <x v="2"/>
    <x v="8"/>
    <x v="3"/>
    <s v="High"/>
    <x v="454"/>
    <n v="1457.44"/>
    <n v="1676.056"/>
    <n v="1996.81"/>
    <n v="1996.81"/>
    <n v="2296.3314999999998"/>
    <n v="0.126"/>
    <s v="OK"/>
    <n v="0.126"/>
    <n v="0.126"/>
    <n v="23"/>
    <n v="27.599999999999998"/>
    <n v="40139.874619999995"/>
    <n v="71364.471824399981"/>
    <n v="33521.120000000003"/>
    <n v="6618.7546199999924"/>
    <n v="37843.351824399979"/>
    <n v="0.16489225944672353"/>
    <d v="2023-01-02T00:00:00"/>
    <s v="Jan-2023"/>
    <n v="0"/>
    <n v="0"/>
    <n v="0"/>
  </r>
  <r>
    <s v="ORD-2023-632893"/>
    <x v="262"/>
    <x v="26"/>
    <s v="2023-Q2"/>
    <d v="2023-05-12T00:00:00"/>
    <n v="5"/>
    <s v="ACHIEVED"/>
    <x v="0"/>
    <x v="8"/>
    <s v="Port Harcourt"/>
    <s v="Africa &gt; Nigeria &gt; Port Harcourt"/>
    <s v="Non-Profit"/>
    <s v="Marketplace"/>
    <x v="2"/>
    <x v="1"/>
    <x v="0"/>
    <s v="High"/>
    <x v="455"/>
    <n v="1269.6500000000001"/>
    <n v="1460.0975000000001"/>
    <n v="2462.77"/>
    <n v="2462.77"/>
    <n v="2832.1854999999996"/>
    <n v="0.107"/>
    <s v="OK"/>
    <n v="0.107"/>
    <n v="0.107"/>
    <n v="8"/>
    <n v="9.6"/>
    <n v="17594.028880000002"/>
    <n v="30098.201745599992"/>
    <n v="10157.200000000001"/>
    <n v="7436.8288800000009"/>
    <n v="19941.001745599991"/>
    <n v="0.42269050089225502"/>
    <d v="2023-01-02T00:00:00"/>
    <s v="Jan-2023"/>
    <n v="0"/>
    <n v="0"/>
    <n v="0"/>
  </r>
  <r>
    <s v="ORD-2025-922513"/>
    <x v="357"/>
    <x v="24"/>
    <s v="2025-Q3"/>
    <d v="2025-09-02T00:00:00"/>
    <n v="5"/>
    <s v="ACHIEVED"/>
    <x v="0"/>
    <x v="8"/>
    <s v="Port Harcourt"/>
    <s v="Africa &gt; Nigeria &gt; Port Harcourt"/>
    <s v="Small Business"/>
    <s v="Retail"/>
    <x v="0"/>
    <x v="1"/>
    <x v="1"/>
    <s v="Medium"/>
    <x v="456"/>
    <n v="521.05999999999995"/>
    <n v="599.21899999999994"/>
    <n v="1240.31"/>
    <n v="1240.31"/>
    <n v="1426.3564999999999"/>
    <n v="0.14599999999999999"/>
    <s v="OK"/>
    <n v="0.14599999999999999"/>
    <n v="0.14599999999999999"/>
    <n v="18"/>
    <n v="21.599999999999998"/>
    <n v="19066.045319999997"/>
    <n v="35307.458258399987"/>
    <n v="9379.0799999999981"/>
    <n v="9686.9653199999993"/>
    <n v="25928.378258399989"/>
    <n v="0.50807417885650974"/>
    <d v="2023-01-02T00:00:00"/>
    <s v="Jan-2023"/>
    <n v="0"/>
    <n v="0"/>
    <n v="0"/>
  </r>
  <r>
    <s v="ORD-2025-944081"/>
    <x v="358"/>
    <x v="2"/>
    <s v="2025-Q1"/>
    <d v="2025-03-26T00:00:00"/>
    <n v="1"/>
    <s v="ACHIEVED"/>
    <x v="0"/>
    <x v="8"/>
    <s v="Lagos"/>
    <s v="Africa &gt; Nigeria &gt; Lagos"/>
    <s v="Education"/>
    <s v="Distributor"/>
    <x v="3"/>
    <x v="4"/>
    <x v="1"/>
    <s v="High"/>
    <x v="457"/>
    <n v="1450.43"/>
    <n v="1667.9945"/>
    <n v="1994.67"/>
    <n v="1994.67"/>
    <n v="2293.8705"/>
    <n v="0.1"/>
    <s v="OK"/>
    <n v="0.1"/>
    <n v="0.1"/>
    <n v="24"/>
    <n v="28.799999999999997"/>
    <n v="43084.872000000003"/>
    <n v="72669.817439999999"/>
    <n v="34810.32"/>
    <n v="8274.5520000000033"/>
    <n v="37859.497439999999"/>
    <n v="0.19205237513529116"/>
    <d v="2023-01-02T00:00:00"/>
    <s v="Jan-2023"/>
    <n v="0"/>
    <n v="0"/>
    <n v="0"/>
  </r>
  <r>
    <s v="ORD-2023-660608"/>
    <x v="359"/>
    <x v="14"/>
    <s v="2023-Q3"/>
    <d v="2023-08-10T00:00:00"/>
    <n v="16"/>
    <s v="NOT ACHIEVED"/>
    <x v="0"/>
    <x v="8"/>
    <s v="Port Harcourt"/>
    <s v="Africa &gt; Nigeria &gt; Port Harcourt"/>
    <s v="Corporate"/>
    <s v="Distributor"/>
    <x v="3"/>
    <x v="12"/>
    <x v="1"/>
    <s v="Low"/>
    <x v="458"/>
    <n v="506.83"/>
    <n v="582.85449999999992"/>
    <n v="441.74"/>
    <n v="441.74"/>
    <n v="508.00099999999998"/>
    <n v="0.24"/>
    <s v="OK"/>
    <n v="0.24"/>
    <n v="0.24"/>
    <n v="9"/>
    <n v="10.799999999999999"/>
    <n v="3021.5016000000001"/>
    <n v="6803.1493919999994"/>
    <n v="4561.47"/>
    <n v="-1539.9684000000002"/>
    <n v="2241.6793919999991"/>
    <n v="-0.50966989393618067"/>
    <d v="2023-01-02T00:00:00"/>
    <s v="Jan-2023"/>
    <n v="0"/>
    <n v="0"/>
    <n v="0"/>
  </r>
  <r>
    <s v="ORD-2023-898009"/>
    <x v="360"/>
    <x v="26"/>
    <s v="2023-Q2"/>
    <d v="2023-05-16T00:00:00"/>
    <n v="12"/>
    <s v="NOT ACHIEVED"/>
    <x v="0"/>
    <x v="8"/>
    <s v="Abuja"/>
    <s v="Africa &gt; Nigeria &gt; Abuja"/>
    <s v="Small Business"/>
    <s v="Marketplace"/>
    <x v="2"/>
    <x v="2"/>
    <x v="4"/>
    <s v="Low"/>
    <x v="459"/>
    <n v="77.739999999999995"/>
    <n v="89.400999999999982"/>
    <n v="147.12"/>
    <n v="147.12"/>
    <n v="169.18799999999999"/>
    <n v="0"/>
    <s v="OK"/>
    <n v="0"/>
    <n v="0"/>
    <n v="15"/>
    <n v="18"/>
    <n v="2206.8000000000002"/>
    <n v="3045.384"/>
    <n v="1166.0999999999999"/>
    <n v="1040.7000000000003"/>
    <n v="1879.2840000000001"/>
    <n v="0.47158781946710177"/>
    <d v="2023-01-02T00:00:00"/>
    <s v="Jan-2023"/>
    <n v="0"/>
    <n v="0"/>
    <n v="0"/>
  </r>
  <r>
    <s v="ORD-2023-208944"/>
    <x v="361"/>
    <x v="9"/>
    <s v="2023-Q4"/>
    <d v="2024-01-06T00:00:00"/>
    <n v="16"/>
    <s v="NOT ACHIEVED"/>
    <x v="0"/>
    <x v="8"/>
    <s v="Unkown"/>
    <s v="Africa &gt; Nigeria &gt; Unkown"/>
    <s v="Corporate"/>
    <s v="Marketplace"/>
    <x v="2"/>
    <x v="3"/>
    <x v="0"/>
    <s v="High"/>
    <x v="460"/>
    <n v="932.61"/>
    <n v="1072.5014999999999"/>
    <n v="1982.98"/>
    <n v="1982.98"/>
    <n v="2280.4269999999997"/>
    <n v="0.14399999999999999"/>
    <s v="OK"/>
    <n v="0.14399999999999999"/>
    <n v="0.14399999999999999"/>
    <n v="16"/>
    <n v="19.2"/>
    <n v="27158.894079999998"/>
    <n v="50089.122969599986"/>
    <n v="14921.76"/>
    <n v="12237.134079999998"/>
    <n v="35167.362969599984"/>
    <n v="0.45057556629345635"/>
    <d v="2023-01-02T00:00:00"/>
    <s v="Jan-2023"/>
    <n v="0"/>
    <n v="0"/>
    <n v="0"/>
  </r>
  <r>
    <s v="ORD-2023-479747"/>
    <x v="362"/>
    <x v="14"/>
    <s v="2023-Q3"/>
    <d v="2023-07-14T00:00:00"/>
    <n v="0"/>
    <s v="ACHIEVED"/>
    <x v="0"/>
    <x v="8"/>
    <s v="Lagos"/>
    <s v="Africa &gt; Nigeria &gt; Lagos"/>
    <s v="Education"/>
    <s v="Retail"/>
    <x v="0"/>
    <x v="12"/>
    <x v="1"/>
    <s v="Medium"/>
    <x v="461"/>
    <n v="956.38"/>
    <n v="1099.837"/>
    <n v="1454.22"/>
    <n v="1454.22"/>
    <n v="1672.3529999999998"/>
    <n v="3.9E-2"/>
    <s v="OK"/>
    <n v="3.9E-2"/>
    <n v="3.9E-2"/>
    <n v="19"/>
    <n v="22.8"/>
    <n v="26552.60298"/>
    <n v="39616.704687599995"/>
    <n v="18171.22"/>
    <n v="8381.3829799999985"/>
    <n v="21445.484687599994"/>
    <n v="0.31565202802576603"/>
    <d v="2023-01-02T00:00:00"/>
    <s v="Jan-2023"/>
    <n v="0"/>
    <n v="0"/>
    <n v="0"/>
  </r>
  <r>
    <s v="ORD-2023-159821"/>
    <x v="182"/>
    <x v="14"/>
    <s v="2023-Q3"/>
    <d v="2023-07-08T00:00:00"/>
    <n v="7"/>
    <s v="ACHIEVED"/>
    <x v="0"/>
    <x v="8"/>
    <s v="Port Harcourt"/>
    <s v="Africa &gt; Nigeria &gt; Port Harcourt"/>
    <s v="Corporate"/>
    <s v="Retail"/>
    <x v="0"/>
    <x v="1"/>
    <x v="3"/>
    <s v="High"/>
    <x v="462"/>
    <n v="834.26"/>
    <n v="959.39899999999989"/>
    <n v="1780.56"/>
    <n v="1780.56"/>
    <n v="2047.6439999999998"/>
    <n v="1.4E-2"/>
    <s v="OK"/>
    <n v="1.4E-2"/>
    <n v="1.4E-2"/>
    <n v="47"/>
    <n v="56.4"/>
    <n v="82514.711519999997"/>
    <n v="117103.94130239998"/>
    <n v="39210.22"/>
    <n v="43304.491519999996"/>
    <n v="77893.721302399979"/>
    <n v="0.5248093427497933"/>
    <d v="2023-01-02T00:00:00"/>
    <s v="Jan-2023"/>
    <n v="0"/>
    <n v="0"/>
    <n v="0"/>
  </r>
  <r>
    <s v="ORD-2023-545150"/>
    <x v="363"/>
    <x v="19"/>
    <s v="2023-Q2"/>
    <d v="2023-04-08T00:00:00"/>
    <n v="2"/>
    <s v="ACHIEVED"/>
    <x v="0"/>
    <x v="8"/>
    <s v="Abuja"/>
    <s v="Africa &gt; Nigeria &gt; Abuja"/>
    <s v="Small Business"/>
    <s v="Marketplace"/>
    <x v="2"/>
    <x v="3"/>
    <x v="2"/>
    <s v="Medium"/>
    <x v="463"/>
    <n v="720.35"/>
    <n v="828.40249999999992"/>
    <n v="1571.66"/>
    <n v="1571.66"/>
    <n v="1807.4089999999999"/>
    <n v="0.107"/>
    <s v="OK"/>
    <n v="0.107"/>
    <n v="0.107"/>
    <n v="23"/>
    <n v="27.599999999999998"/>
    <n v="32280.32474"/>
    <n v="55222.128658799993"/>
    <n v="16568.05"/>
    <n v="15712.274740000001"/>
    <n v="38654.07865879999"/>
    <n v="0.4867446305622265"/>
    <d v="2023-01-02T00:00:00"/>
    <s v="Jan-2023"/>
    <n v="0"/>
    <n v="0"/>
    <n v="0"/>
  </r>
  <r>
    <s v="ORD-2024-527858"/>
    <x v="364"/>
    <x v="16"/>
    <s v="2024-Q2"/>
    <d v="2024-05-12T00:00:00"/>
    <n v="5"/>
    <s v="ACHIEVED"/>
    <x v="0"/>
    <x v="8"/>
    <s v="Abuja"/>
    <s v="Africa &gt; Nigeria &gt; Abuja"/>
    <s v="Non-Profit"/>
    <s v="Distributor"/>
    <x v="3"/>
    <x v="10"/>
    <x v="3"/>
    <s v="Medium"/>
    <x v="464"/>
    <n v="1163.99"/>
    <n v="1338.5884999999998"/>
    <n v="1617.85"/>
    <n v="1617.85"/>
    <n v="1860.5274999999997"/>
    <n v="0.127"/>
    <s v="OK"/>
    <n v="0.127"/>
    <n v="0.127"/>
    <n v="14"/>
    <n v="16.8"/>
    <n v="19773.362699999998"/>
    <n v="35226.483474000001"/>
    <n v="16295.86"/>
    <n v="3477.5026999999973"/>
    <n v="18930.623474"/>
    <n v="0.17586804797749436"/>
    <d v="2023-01-02T00:00:00"/>
    <s v="Jan-2023"/>
    <n v="0"/>
    <n v="0"/>
    <n v="0"/>
  </r>
  <r>
    <s v="ORD-2025-881624"/>
    <x v="365"/>
    <x v="8"/>
    <s v="2025-Q1"/>
    <d v="2025-03-21T00:00:00"/>
    <n v="28"/>
    <s v="NOT ACHIEVED"/>
    <x v="0"/>
    <x v="8"/>
    <s v="Abuja"/>
    <s v="Africa &gt; Nigeria &gt; Abuja"/>
    <s v="Enterprise"/>
    <s v="Marketplace"/>
    <x v="2"/>
    <x v="12"/>
    <x v="4"/>
    <s v="Medium"/>
    <x v="465"/>
    <n v="1437.39"/>
    <n v="1652.9984999999999"/>
    <n v="1388.31"/>
    <n v="1388.31"/>
    <n v="1596.5564999999999"/>
    <n v="0.13800000000000001"/>
    <s v="OK"/>
    <n v="0.13800000000000001"/>
    <n v="0.13800000000000001"/>
    <n v="18"/>
    <n v="21.599999999999998"/>
    <n v="21541.017959999997"/>
    <n v="39244.636015199991"/>
    <n v="25873.02"/>
    <n v="-4332.002040000003"/>
    <n v="13371.61601519999"/>
    <n v="-0.20110479681341872"/>
    <d v="2023-01-02T00:00:00"/>
    <s v="Jan-2023"/>
    <n v="0"/>
    <n v="0"/>
    <n v="0"/>
  </r>
  <r>
    <s v="ORD-2023-732585"/>
    <x v="366"/>
    <x v="21"/>
    <s v="2023-Q3"/>
    <d v="2023-09-16T00:00:00"/>
    <n v="22"/>
    <s v="NOT ACHIEVED"/>
    <x v="0"/>
    <x v="8"/>
    <s v="Abuja"/>
    <s v="Africa &gt; Nigeria &gt; Abuja"/>
    <s v="Corporate"/>
    <s v="Marketplace"/>
    <x v="2"/>
    <x v="10"/>
    <x v="4"/>
    <s v="High"/>
    <x v="466"/>
    <n v="1196.83"/>
    <n v="1376.3544999999999"/>
    <n v="2513.5100000000002"/>
    <n v="2513.5100000000002"/>
    <n v="2890.5365000000002"/>
    <n v="8.3000000000000004E-2"/>
    <s v="OK"/>
    <n v="8.3000000000000004E-2"/>
    <n v="8.3000000000000004E-2"/>
    <n v="7"/>
    <n v="8.4"/>
    <n v="16134.22069"/>
    <n v="26295.7886478"/>
    <n v="8377.81"/>
    <n v="7756.4106900000006"/>
    <n v="17917.978647800002"/>
    <n v="0.48074281609445374"/>
    <d v="2023-01-02T00:00:00"/>
    <s v="Jan-2023"/>
    <n v="0"/>
    <n v="0"/>
    <n v="0"/>
  </r>
  <r>
    <s v="ORD-2025-650841"/>
    <x v="140"/>
    <x v="4"/>
    <s v="2025-Q3"/>
    <d v="2025-07-06T00:00:00"/>
    <n v="3"/>
    <s v="ACHIEVED"/>
    <x v="0"/>
    <x v="8"/>
    <s v="Lagos"/>
    <s v="Africa &gt; Nigeria &gt; Lagos"/>
    <s v="Consumer"/>
    <s v="Online"/>
    <x v="1"/>
    <x v="9"/>
    <x v="3"/>
    <s v="High"/>
    <x v="467"/>
    <n v="1313.3"/>
    <n v="1510.2949999999998"/>
    <n v="2884.34"/>
    <n v="2884.34"/>
    <n v="3316.991"/>
    <n v="0.157"/>
    <s v="OK"/>
    <n v="0.157"/>
    <n v="0.157"/>
    <n v="42"/>
    <n v="50.4"/>
    <n v="102122.94203999999"/>
    <n v="193423.03278479999"/>
    <n v="55158.6"/>
    <n v="46964.342039999996"/>
    <n v="138264.43278479998"/>
    <n v="0.45988042551305253"/>
    <d v="2023-01-02T00:00:00"/>
    <s v="Jan-2023"/>
    <n v="0"/>
    <n v="0"/>
    <n v="0"/>
  </r>
  <r>
    <s v="ORD-2025-803803"/>
    <x v="357"/>
    <x v="24"/>
    <s v="2025-Q3"/>
    <d v="2025-09-05T00:00:00"/>
    <n v="8"/>
    <s v="NOT ACHIEVED"/>
    <x v="0"/>
    <x v="8"/>
    <s v="Port Harcourt"/>
    <s v="Africa &gt; Nigeria &gt; Port Harcourt"/>
    <s v="Small Business"/>
    <s v="Marketplace"/>
    <x v="2"/>
    <x v="11"/>
    <x v="3"/>
    <s v="High"/>
    <x v="468"/>
    <n v="1271.0999999999999"/>
    <n v="1461.7649999999999"/>
    <n v="1932.42"/>
    <n v="1932.42"/>
    <n v="2222.2829999999999"/>
    <n v="0.25"/>
    <s v="OK"/>
    <n v="0.25"/>
    <n v="0.25"/>
    <n v="21"/>
    <n v="25.2"/>
    <n v="30435.614999999998"/>
    <n v="70001.914499999999"/>
    <n v="26693.1"/>
    <n v="3742.5149999999994"/>
    <n v="43308.8145"/>
    <n v="0.12296498690760807"/>
    <d v="2023-01-02T00:00:00"/>
    <s v="Jan-2023"/>
    <n v="0"/>
    <n v="0"/>
    <n v="0"/>
  </r>
  <r>
    <s v="ORD-2024-837651"/>
    <x v="147"/>
    <x v="30"/>
    <s v="2024-Q4"/>
    <d v="2024-12-19T00:00:00"/>
    <n v="9"/>
    <s v="NOT ACHIEVED"/>
    <x v="0"/>
    <x v="8"/>
    <s v="Lagos"/>
    <s v="Africa &gt; Nigeria &gt; Lagos"/>
    <s v="Corporate"/>
    <s v="Retail"/>
    <x v="0"/>
    <x v="7"/>
    <x v="2"/>
    <s v="Medium"/>
    <x v="469"/>
    <n v="488.68"/>
    <n v="561.98199999999997"/>
    <n v="984.36"/>
    <n v="984.36"/>
    <n v="1132.0139999999999"/>
    <n v="5.8999999999999997E-2"/>
    <s v="OK"/>
    <n v="5.8999999999999997E-2"/>
    <n v="5.8999999999999997E-2"/>
    <n v="14"/>
    <n v="16.8"/>
    <n v="12967.958640000001"/>
    <n v="20139.887476799995"/>
    <n v="6841.52"/>
    <n v="6126.4386400000003"/>
    <n v="13298.367476799995"/>
    <n v="0.47242891576649876"/>
    <d v="2023-01-02T00:00:00"/>
    <s v="Jan-2023"/>
    <n v="0"/>
    <n v="0"/>
    <n v="0"/>
  </r>
  <r>
    <s v="ORD-2024-566589"/>
    <x v="367"/>
    <x v="6"/>
    <s v="2024-Q2"/>
    <d v="2024-07-09T00:00:00"/>
    <n v="28"/>
    <s v="NOT ACHIEVED"/>
    <x v="0"/>
    <x v="8"/>
    <s v="Port Harcourt"/>
    <s v="Africa &gt; Nigeria &gt; Port Harcourt"/>
    <s v="Corporate"/>
    <s v="Marketplace"/>
    <x v="2"/>
    <x v="12"/>
    <x v="4"/>
    <s v="Medium"/>
    <x v="470"/>
    <n v="895.54"/>
    <n v="1029.8709999999999"/>
    <n v="1045"/>
    <n v="1045"/>
    <n v="1201.75"/>
    <n v="0.216"/>
    <s v="OK"/>
    <n v="0.216"/>
    <n v="0.216"/>
    <n v="15"/>
    <n v="18"/>
    <n v="12289.2"/>
    <n v="26303.903999999999"/>
    <n v="13433.099999999999"/>
    <n v="-1143.8999999999978"/>
    <n v="12870.804"/>
    <n v="-9.3081730299775234E-2"/>
    <d v="2023-01-02T00:00:00"/>
    <s v="Jan-2023"/>
    <n v="0"/>
    <n v="0"/>
    <n v="0"/>
  </r>
  <r>
    <s v="ORD-2024-787018"/>
    <x v="368"/>
    <x v="6"/>
    <s v="2024-Q2"/>
    <d v="2024-06-28T00:00:00"/>
    <n v="5"/>
    <s v="ACHIEVED"/>
    <x v="0"/>
    <x v="8"/>
    <s v="Port Harcourt"/>
    <s v="Africa &gt; Nigeria &gt; Port Harcourt"/>
    <s v="Non-Profit"/>
    <s v="Direct"/>
    <x v="4"/>
    <x v="13"/>
    <x v="1"/>
    <s v="Low"/>
    <x v="471"/>
    <n v="242.31"/>
    <n v="278.65649999999999"/>
    <n v="587.95000000000005"/>
    <n v="587.95000000000005"/>
    <n v="676.14250000000004"/>
    <n v="0.22900000000000001"/>
    <s v="OK"/>
    <n v="0.22900000000000001"/>
    <n v="0.22900000000000001"/>
    <n v="6"/>
    <n v="7.1999999999999993"/>
    <n v="2719.8567000000003"/>
    <n v="5983.0497539999997"/>
    <n v="1453.8600000000001"/>
    <n v="1265.9967000000001"/>
    <n v="4529.1897539999991"/>
    <n v="0.46546448568411714"/>
    <d v="2023-01-02T00:00:00"/>
    <s v="Jan-2023"/>
    <n v="0"/>
    <n v="0"/>
    <n v="0"/>
  </r>
  <r>
    <s v="ORD-2024-247032"/>
    <x v="369"/>
    <x v="15"/>
    <s v="2024-Q2"/>
    <d v="2024-05-19T00:00:00"/>
    <n v="28"/>
    <s v="NOT ACHIEVED"/>
    <x v="0"/>
    <x v="8"/>
    <s v="Lagos"/>
    <s v="Africa &gt; Nigeria &gt; Lagos"/>
    <s v="Corporate"/>
    <s v="Distributor"/>
    <x v="3"/>
    <x v="1"/>
    <x v="1"/>
    <s v="Low"/>
    <x v="472"/>
    <n v="187.22"/>
    <n v="215.30299999999997"/>
    <n v="309.47000000000003"/>
    <n v="309.47000000000003"/>
    <n v="355.89050000000003"/>
    <n v="0"/>
    <s v="OK"/>
    <n v="0"/>
    <n v="0"/>
    <n v="5"/>
    <n v="6"/>
    <n v="1547.3500000000001"/>
    <n v="2135.3430000000003"/>
    <n v="936.1"/>
    <n v="611.25000000000011"/>
    <n v="1199.2430000000004"/>
    <n v="0.39503021294471197"/>
    <d v="2023-01-02T00:00:00"/>
    <s v="Jan-2023"/>
    <n v="0"/>
    <n v="0"/>
    <n v="0"/>
  </r>
  <r>
    <s v="ORD-2024-310809"/>
    <x v="370"/>
    <x v="15"/>
    <s v="2024-Q2"/>
    <d v="2024-04-09T00:00:00"/>
    <n v="4"/>
    <s v="ACHIEVED"/>
    <x v="0"/>
    <x v="8"/>
    <s v="Lagos"/>
    <s v="Africa &gt; Nigeria &gt; Lagos"/>
    <s v="Non-Profit"/>
    <s v="Direct"/>
    <x v="4"/>
    <x v="3"/>
    <x v="0"/>
    <s v="Medium"/>
    <x v="473"/>
    <n v="395.07"/>
    <n v="454.33049999999997"/>
    <n v="970.27"/>
    <n v="970.27"/>
    <n v="1115.8104999999998"/>
    <n v="0.123"/>
    <s v="OK"/>
    <n v="0.123"/>
    <n v="0.123"/>
    <n v="38"/>
    <n v="45.6"/>
    <n v="32335.21802"/>
    <n v="57139.316732399995"/>
    <n v="15012.66"/>
    <n v="17322.55802"/>
    <n v="42126.656732399992"/>
    <n v="0.53571799049833657"/>
    <d v="2023-01-02T00:00:00"/>
    <s v="Jan-2023"/>
    <n v="0"/>
    <n v="0"/>
    <n v="0"/>
  </r>
  <r>
    <s v="ORD-2025-828263"/>
    <x v="238"/>
    <x v="1"/>
    <s v="2025-Q2"/>
    <d v="2025-05-30T00:00:00"/>
    <n v="13"/>
    <s v="NOT ACHIEVED"/>
    <x v="0"/>
    <x v="8"/>
    <s v="Lagos"/>
    <s v="Africa &gt; Nigeria &gt; Lagos"/>
    <s v="Consumer"/>
    <s v="Distributor"/>
    <x v="3"/>
    <x v="8"/>
    <x v="1"/>
    <s v="Low"/>
    <x v="474"/>
    <n v="66.400000000000006"/>
    <n v="76.36"/>
    <n v="141.43"/>
    <n v="141.43"/>
    <n v="162.64449999999999"/>
    <n v="0.107"/>
    <s v="OK"/>
    <n v="0.107"/>
    <n v="0.107"/>
    <n v="8"/>
    <n v="9.6"/>
    <n v="1010.3759200000001"/>
    <n v="1728.4556303999998"/>
    <n v="531.20000000000005"/>
    <n v="479.17592000000002"/>
    <n v="1197.2556303999997"/>
    <n v="0.47425508715607551"/>
    <d v="2023-01-02T00:00:00"/>
    <s v="Jan-2023"/>
    <n v="0"/>
    <n v="0"/>
    <n v="0"/>
  </r>
  <r>
    <s v="ORD-2023-125739"/>
    <x v="371"/>
    <x v="26"/>
    <s v="2023-Q2"/>
    <d v="2023-05-18T00:00:00"/>
    <n v="17"/>
    <s v="NOT ACHIEVED"/>
    <x v="0"/>
    <x v="8"/>
    <s v="Port Harcourt"/>
    <s v="Africa &gt; Nigeria &gt; Port Harcourt"/>
    <s v="Corporate"/>
    <s v="Direct"/>
    <x v="4"/>
    <x v="8"/>
    <x v="0"/>
    <s v="Low"/>
    <x v="475"/>
    <n v="327.97"/>
    <n v="377.16550000000001"/>
    <n v="299.94"/>
    <n v="299.94"/>
    <n v="344.93099999999998"/>
    <n v="4.9000000000000002E-2"/>
    <s v="OK"/>
    <n v="4.9000000000000002E-2"/>
    <n v="4.9000000000000002E-2"/>
    <n v="3"/>
    <n v="3.5999999999999996"/>
    <n v="855.72881999999993"/>
    <n v="1302.5974283999997"/>
    <n v="983.91000000000008"/>
    <n v="-128.18118000000015"/>
    <n v="318.68742839999959"/>
    <n v="-0.14979182306843442"/>
    <d v="2023-01-02T00:00:00"/>
    <s v="Jan-2023"/>
    <n v="0"/>
    <n v="0"/>
    <n v="0"/>
  </r>
  <r>
    <s v="ORD-2025-460466"/>
    <x v="372"/>
    <x v="8"/>
    <s v="2025-Q1"/>
    <d v="2025-02-16T00:00:00"/>
    <n v="9"/>
    <s v="NOT ACHIEVED"/>
    <x v="0"/>
    <x v="8"/>
    <s v="Lagos"/>
    <s v="Africa &gt; Nigeria &gt; Lagos"/>
    <s v="Small Business"/>
    <s v="Distributor"/>
    <x v="3"/>
    <x v="0"/>
    <x v="5"/>
    <s v="Low"/>
    <x v="476"/>
    <n v="90.68"/>
    <n v="104.282"/>
    <n v="118.17"/>
    <n v="118.17"/>
    <n v="135.8955"/>
    <n v="0.13500000000000001"/>
    <s v="OK"/>
    <n v="0.13500000000000001"/>
    <n v="0.13500000000000001"/>
    <n v="21"/>
    <n v="25.2"/>
    <n v="2146.5580500000001"/>
    <n v="3886.8830909999997"/>
    <n v="1904.2800000000002"/>
    <n v="242.27804999999989"/>
    <n v="1982.6030909999995"/>
    <n v="0.11286815653552899"/>
    <d v="2023-01-02T00:00:00"/>
    <s v="Jan-2023"/>
    <n v="0"/>
    <n v="0"/>
    <n v="0"/>
  </r>
  <r>
    <s v="ORD-2023-960380"/>
    <x v="373"/>
    <x v="5"/>
    <s v="2023-Q1"/>
    <d v="2023-02-12T00:00:00"/>
    <n v="1"/>
    <s v="ACHIEVED"/>
    <x v="0"/>
    <x v="8"/>
    <s v="Port Harcourt"/>
    <s v="Africa &gt; Nigeria &gt; Port Harcourt"/>
    <s v="Non-Profit"/>
    <s v="Direct"/>
    <x v="4"/>
    <x v="14"/>
    <x v="1"/>
    <s v="Medium"/>
    <x v="477"/>
    <n v="944.61"/>
    <n v="1086.3015"/>
    <n v="839.04"/>
    <n v="839.04"/>
    <n v="964.89599999999984"/>
    <n v="5.8999999999999997E-2"/>
    <s v="OK"/>
    <n v="5.8999999999999997E-2"/>
    <n v="5.8999999999999997E-2"/>
    <n v="6"/>
    <n v="7.1999999999999993"/>
    <n v="4737.2198399999997"/>
    <n v="7357.1390207999975"/>
    <n v="5667.66"/>
    <n v="-930.44016000000011"/>
    <n v="1689.4790207999977"/>
    <n v="-0.19641059343363726"/>
    <d v="2023-01-02T00:00:00"/>
    <s v="Jan-2023"/>
    <n v="0"/>
    <n v="0"/>
    <n v="0"/>
  </r>
  <r>
    <s v="ORD-2025-929414"/>
    <x v="374"/>
    <x v="31"/>
    <s v="2025-Q2"/>
    <d v="2025-07-11T00:00:00"/>
    <n v="15"/>
    <s v="NOT ACHIEVED"/>
    <x v="0"/>
    <x v="8"/>
    <s v="Port Harcourt"/>
    <s v="Africa &gt; Nigeria &gt; Port Harcourt"/>
    <s v="Small Business"/>
    <s v="Online"/>
    <x v="1"/>
    <x v="1"/>
    <x v="3"/>
    <s v="High"/>
    <x v="478"/>
    <n v="1170.1500000000001"/>
    <n v="1345.6724999999999"/>
    <n v="2115.19"/>
    <n v="2115.19"/>
    <n v="2432.4684999999999"/>
    <n v="9.1999999999999998E-2"/>
    <s v="OK"/>
    <n v="9.1999999999999998E-2"/>
    <n v="9.1999999999999998E-2"/>
    <n v="23"/>
    <n v="27.599999999999998"/>
    <n v="44173.627960000005"/>
    <n v="73312.654615199994"/>
    <n v="26913.45"/>
    <n v="17260.177960000005"/>
    <n v="46399.204615199997"/>
    <n v="0.39073489674946776"/>
    <d v="2023-01-02T00:00:00"/>
    <s v="Jan-2023"/>
    <n v="0"/>
    <n v="0"/>
    <n v="0"/>
  </r>
  <r>
    <s v="ORD-2024-243988"/>
    <x v="375"/>
    <x v="0"/>
    <s v="2024-Q1"/>
    <d v="2024-04-06T00:00:00"/>
    <n v="24"/>
    <s v="NOT ACHIEVED"/>
    <x v="0"/>
    <x v="8"/>
    <s v="Abuja"/>
    <s v="Africa &gt; Nigeria &gt; Abuja"/>
    <s v="Consumer"/>
    <s v="Distributor"/>
    <x v="3"/>
    <x v="10"/>
    <x v="0"/>
    <s v="High"/>
    <x v="479"/>
    <n v="1232.78"/>
    <n v="1417.6969999999999"/>
    <n v="1731.75"/>
    <n v="1731.75"/>
    <n v="1991.5124999999998"/>
    <n v="9.2999999999999999E-2"/>
    <s v="OK"/>
    <n v="9.2999999999999999E-2"/>
    <n v="9.2999999999999999E-2"/>
    <n v="16"/>
    <n v="19.2"/>
    <n v="25131.155999999999"/>
    <n v="41793.084719999992"/>
    <n v="19724.48"/>
    <n v="5406.6759999999995"/>
    <n v="22068.604719999992"/>
    <n v="0.21513837246484005"/>
    <d v="2023-01-02T00:00:00"/>
    <s v="Jan-2023"/>
    <n v="0"/>
    <n v="0"/>
    <n v="0"/>
  </r>
  <r>
    <s v="ORD-2023-502205"/>
    <x v="131"/>
    <x v="20"/>
    <s v="2023-Q4"/>
    <d v="2023-10-11T00:00:00"/>
    <n v="2"/>
    <s v="ACHIEVED"/>
    <x v="0"/>
    <x v="8"/>
    <s v="Port Harcourt"/>
    <s v="Africa &gt; Nigeria &gt; Port Harcourt"/>
    <s v="Education"/>
    <s v="Marketplace"/>
    <x v="2"/>
    <x v="3"/>
    <x v="6"/>
    <s v="Medium"/>
    <x v="480"/>
    <n v="391.16"/>
    <n v="449.834"/>
    <n v="902.47"/>
    <n v="902.47"/>
    <n v="1037.8405"/>
    <n v="4.0000000000000001E-3"/>
    <s v="OK"/>
    <n v="4.0000000000000001E-3"/>
    <n v="4.0000000000000001E-3"/>
    <n v="12"/>
    <n v="14.399999999999999"/>
    <n v="10786.32144"/>
    <n v="15004.6828128"/>
    <n v="4693.92"/>
    <n v="6092.4014399999996"/>
    <n v="10310.7628128"/>
    <n v="0.56482661618139207"/>
    <d v="2023-01-02T00:00:00"/>
    <s v="Jan-2023"/>
    <n v="0"/>
    <n v="0"/>
    <n v="0"/>
  </r>
  <r>
    <s v="ORD-2025-474710"/>
    <x v="376"/>
    <x v="4"/>
    <s v="2025-Q3"/>
    <d v="2025-08-06T00:00:00"/>
    <n v="13"/>
    <s v="NOT ACHIEVED"/>
    <x v="0"/>
    <x v="9"/>
    <s v="Johannesburg"/>
    <s v="Africa &gt; South Africa &gt; Johannesburg"/>
    <s v="Education"/>
    <s v="Marketplace"/>
    <x v="2"/>
    <x v="14"/>
    <x v="6"/>
    <s v="High"/>
    <x v="481"/>
    <n v="1463.9"/>
    <n v="1683.4849999999999"/>
    <n v="2633.02"/>
    <n v="2633.02"/>
    <n v="3027.973"/>
    <n v="8.4000000000000005E-2"/>
    <s v="OK"/>
    <n v="8.4000000000000005E-2"/>
    <n v="8.4000000000000005E-2"/>
    <n v="4"/>
    <n v="4.8"/>
    <n v="9647.3852800000004"/>
    <n v="15755.1491136"/>
    <n v="5855.6"/>
    <n v="3791.7852800000001"/>
    <n v="9899.5491136000001"/>
    <n v="0.39303761277791527"/>
    <d v="2023-01-02T00:00:00"/>
    <s v="Jan-2023"/>
    <n v="0"/>
    <n v="0"/>
    <n v="0"/>
  </r>
  <r>
    <s v="ORD-2024-167215"/>
    <x v="377"/>
    <x v="10"/>
    <s v="2024-Q3"/>
    <d v="2024-08-28T00:00:00"/>
    <n v="5"/>
    <s v="ACHIEVED"/>
    <x v="0"/>
    <x v="9"/>
    <s v="Johannesburg"/>
    <s v="Africa &gt; South Africa &gt; Johannesburg"/>
    <s v="Education"/>
    <s v="Retail"/>
    <x v="0"/>
    <x v="11"/>
    <x v="0"/>
    <s v="High"/>
    <x v="482"/>
    <n v="1432.52"/>
    <n v="1647.3979999999999"/>
    <n v="3036.87"/>
    <n v="3036.87"/>
    <n v="3492.4004999999997"/>
    <n v="0"/>
    <s v="OK"/>
    <n v="0"/>
    <n v="0"/>
    <n v="9"/>
    <n v="10.799999999999999"/>
    <n v="27331.829999999998"/>
    <n v="37717.925399999993"/>
    <n v="12892.68"/>
    <n v="14439.149999999998"/>
    <n v="24825.245399999993"/>
    <n v="0.52829064135112791"/>
    <d v="2023-01-02T00:00:00"/>
    <s v="Jan-2023"/>
    <n v="0"/>
    <n v="0"/>
    <n v="0"/>
  </r>
  <r>
    <s v="ORD-2024-296582"/>
    <x v="281"/>
    <x v="22"/>
    <s v="2024-Q1"/>
    <d v="2024-02-02T00:00:00"/>
    <n v="22"/>
    <s v="NOT ACHIEVED"/>
    <x v="0"/>
    <x v="9"/>
    <s v="Durban"/>
    <s v="Africa &gt; South Africa &gt; Durban"/>
    <s v="Consumer"/>
    <s v="Online"/>
    <x v="1"/>
    <x v="3"/>
    <x v="6"/>
    <s v="High"/>
    <x v="483"/>
    <n v="1206.2"/>
    <n v="1387.1299999999999"/>
    <n v="1759.79"/>
    <n v="1759.79"/>
    <n v="2023.7584999999999"/>
    <n v="0"/>
    <s v="OK"/>
    <n v="0"/>
    <n v="0"/>
    <n v="6"/>
    <n v="7.1999999999999993"/>
    <n v="10558.74"/>
    <n v="14571.061199999998"/>
    <n v="7237.2000000000007"/>
    <n v="3321.5399999999991"/>
    <n v="7333.8611999999976"/>
    <n v="0.31457730751964713"/>
    <d v="2023-01-02T00:00:00"/>
    <s v="Jan-2023"/>
    <n v="0"/>
    <n v="0"/>
    <n v="0"/>
  </r>
  <r>
    <s v="ORD-2023-480975"/>
    <x v="378"/>
    <x v="5"/>
    <s v="2023-Q1"/>
    <d v="2023-02-26T00:00:00"/>
    <n v="11"/>
    <s v="NOT ACHIEVED"/>
    <x v="0"/>
    <x v="9"/>
    <s v="Johannesburg"/>
    <s v="Africa &gt; South Africa &gt; Johannesburg"/>
    <s v="Non-Profit"/>
    <s v="Retail"/>
    <x v="0"/>
    <x v="3"/>
    <x v="3"/>
    <s v="Low"/>
    <x v="484"/>
    <n v="498.5"/>
    <n v="573.27499999999998"/>
    <n v="755.87"/>
    <n v="755.87"/>
    <n v="869.25049999999999"/>
    <n v="0.13"/>
    <s v="OK"/>
    <n v="0.13"/>
    <n v="0.13"/>
    <n v="40"/>
    <n v="48"/>
    <n v="26304.275999999998"/>
    <n v="47148.147119999994"/>
    <n v="19940"/>
    <n v="6364.275999999998"/>
    <n v="27208.147119999994"/>
    <n v="0.24194834330357537"/>
    <d v="2023-01-02T00:00:00"/>
    <s v="Jan-2023"/>
    <n v="0"/>
    <n v="0"/>
    <n v="0"/>
  </r>
  <r>
    <s v="ORD-2023-749324"/>
    <x v="63"/>
    <x v="21"/>
    <s v="2023-Q3"/>
    <d v="2023-09-07T00:00:00"/>
    <n v="19"/>
    <s v="NOT ACHIEVED"/>
    <x v="0"/>
    <x v="9"/>
    <s v="Johannesburg"/>
    <s v="Africa &gt; South Africa &gt; Johannesburg"/>
    <s v="Enterprise"/>
    <s v="Retail"/>
    <x v="0"/>
    <x v="14"/>
    <x v="2"/>
    <s v="Low"/>
    <x v="485"/>
    <n v="494.61"/>
    <n v="568.80149999999992"/>
    <n v="605.23"/>
    <n v="605.23"/>
    <n v="696.0145"/>
    <n v="0.20399999999999999"/>
    <s v="OK"/>
    <n v="0.20399999999999999"/>
    <n v="0.20399999999999999"/>
    <n v="18"/>
    <n v="21.599999999999998"/>
    <n v="8671.7354400000004"/>
    <n v="18100.8314928"/>
    <n v="8902.98"/>
    <n v="-231.24455999999918"/>
    <n v="9197.8514928000004"/>
    <n v="-2.6666468505639647E-2"/>
    <d v="2023-01-02T00:00:00"/>
    <s v="Jan-2023"/>
    <n v="0"/>
    <n v="0"/>
    <n v="0"/>
  </r>
  <r>
    <s v="ORD-2024-939873"/>
    <x v="379"/>
    <x v="15"/>
    <s v="2024-Q2"/>
    <d v="2024-05-07T00:00:00"/>
    <n v="25"/>
    <s v="NOT ACHIEVED"/>
    <x v="0"/>
    <x v="9"/>
    <s v="Johannesburg"/>
    <s v="Africa &gt; South Africa &gt; Johannesburg"/>
    <s v="Education"/>
    <s v="Distributor"/>
    <x v="3"/>
    <x v="1"/>
    <x v="3"/>
    <s v="Medium"/>
    <x v="486"/>
    <n v="1376.51"/>
    <n v="1582.9865"/>
    <n v="1455.91"/>
    <n v="1455.91"/>
    <n v="1674.2964999999999"/>
    <n v="0.185"/>
    <s v="OK"/>
    <n v="0.185"/>
    <n v="0.185"/>
    <n v="17"/>
    <n v="20.399999999999999"/>
    <n v="20171.63305"/>
    <n v="40474.443590999996"/>
    <n v="23400.67"/>
    <n v="-3229.0369499999979"/>
    <n v="17073.773590999997"/>
    <n v="-0.1600781127634085"/>
    <d v="2023-01-02T00:00:00"/>
    <s v="Jan-2023"/>
    <n v="0"/>
    <n v="0"/>
    <n v="0"/>
  </r>
  <r>
    <s v="ORD-2023-382272"/>
    <x v="243"/>
    <x v="26"/>
    <s v="2023-Q2"/>
    <d v="2023-05-25T00:00:00"/>
    <n v="5"/>
    <s v="ACHIEVED"/>
    <x v="0"/>
    <x v="9"/>
    <s v="Durban"/>
    <s v="Africa &gt; South Africa &gt; Durban"/>
    <s v="Corporate"/>
    <s v="Distributor"/>
    <x v="3"/>
    <x v="1"/>
    <x v="0"/>
    <s v="Medium"/>
    <x v="487"/>
    <n v="917.88"/>
    <n v="1055.5619999999999"/>
    <n v="1347.92"/>
    <n v="1347.92"/>
    <n v="1550.1079999999999"/>
    <n v="0.3"/>
    <s v="OK"/>
    <n v="0.3"/>
    <n v="0.25"/>
    <n v="5"/>
    <n v="6"/>
    <n v="4717.72"/>
    <n v="11625.81"/>
    <n v="4589.3999999999996"/>
    <n v="128.32000000000062"/>
    <n v="7036.41"/>
    <n v="2.7199579457873848E-2"/>
    <d v="2023-01-02T00:00:00"/>
    <s v="Jan-2023"/>
    <n v="0"/>
    <n v="0"/>
    <n v="0"/>
  </r>
  <r>
    <s v="ORD-2023-159379"/>
    <x v="380"/>
    <x v="5"/>
    <s v="2023-Q1"/>
    <d v="2023-02-11T00:00:00"/>
    <n v="3"/>
    <s v="ACHIEVED"/>
    <x v="0"/>
    <x v="9"/>
    <s v="Cape Town"/>
    <s v="Africa &gt; South Africa &gt; Cape Town"/>
    <s v="Corporate"/>
    <s v="Direct"/>
    <x v="4"/>
    <x v="13"/>
    <x v="6"/>
    <s v="High"/>
    <x v="488"/>
    <n v="1410.05"/>
    <n v="1621.5574999999999"/>
    <n v="2763.95"/>
    <n v="2763.95"/>
    <n v="3178.5424999999996"/>
    <n v="0.161"/>
    <s v="OK"/>
    <n v="0.161"/>
    <n v="0.161"/>
    <n v="26"/>
    <n v="31.2"/>
    <n v="60292.805299999993"/>
    <n v="115136.98068599998"/>
    <n v="36661.299999999996"/>
    <n v="23631.505299999997"/>
    <n v="78475.680685999978"/>
    <n v="0.39194569206750779"/>
    <d v="2023-01-02T00:00:00"/>
    <s v="Jan-2023"/>
    <n v="0"/>
    <n v="0"/>
    <n v="0"/>
  </r>
  <r>
    <s v="ORD-2023-841426"/>
    <x v="265"/>
    <x v="9"/>
    <s v="2023-Q4"/>
    <d v="2023-12-23T00:00:00"/>
    <n v="1"/>
    <s v="ACHIEVED"/>
    <x v="0"/>
    <x v="9"/>
    <s v="Cape Town"/>
    <s v="Africa &gt; South Africa &gt; Cape Town"/>
    <s v="Non-Profit"/>
    <s v="Marketplace"/>
    <x v="2"/>
    <x v="14"/>
    <x v="0"/>
    <s v="Medium"/>
    <x v="489"/>
    <n v="1186.18"/>
    <n v="1364.107"/>
    <n v="1285.0899999999999"/>
    <n v="1285.0899999999999"/>
    <n v="1477.8534999999997"/>
    <n v="7.0000000000000007E-2"/>
    <s v="OK"/>
    <n v="7.0000000000000007E-2"/>
    <n v="7.0000000000000007E-2"/>
    <n v="11"/>
    <n v="13.2"/>
    <n v="13146.470699999998"/>
    <n v="20873.202833999996"/>
    <n v="13047.980000000001"/>
    <n v="98.49069999999665"/>
    <n v="7825.2228339999947"/>
    <n v="7.4917977796121861E-3"/>
    <d v="2023-01-02T00:00:00"/>
    <s v="Jan-2023"/>
    <n v="0"/>
    <n v="0"/>
    <n v="0"/>
  </r>
  <r>
    <s v="ORD-2024-155337"/>
    <x v="381"/>
    <x v="16"/>
    <s v="2024-Q2"/>
    <d v="2024-05-27T00:00:00"/>
    <n v="6"/>
    <s v="ACHIEVED"/>
    <x v="0"/>
    <x v="9"/>
    <s v="Johannesburg"/>
    <s v="Africa &gt; South Africa &gt; Johannesburg"/>
    <s v="Non-Profit"/>
    <s v="Online"/>
    <x v="1"/>
    <x v="13"/>
    <x v="0"/>
    <s v="Medium"/>
    <x v="490"/>
    <n v="1157.51"/>
    <n v="1331.1364999999998"/>
    <n v="1394.3"/>
    <n v="1394.3"/>
    <n v="1603.4449999999999"/>
    <n v="0.27800000000000002"/>
    <s v="OK"/>
    <n v="0.27800000000000002"/>
    <n v="0.25"/>
    <n v="12"/>
    <n v="14.399999999999999"/>
    <n v="12080.215199999999"/>
    <n v="28862.009999999995"/>
    <n v="13890.119999999999"/>
    <n v="-1809.9048000000003"/>
    <n v="14971.889999999996"/>
    <n v="-0.14982388724333326"/>
    <d v="2023-01-02T00:00:00"/>
    <s v="Jan-2023"/>
    <n v="0"/>
    <n v="0"/>
    <n v="0"/>
  </r>
  <r>
    <s v="ORD-2024-919471"/>
    <x v="382"/>
    <x v="6"/>
    <s v="2024-Q2"/>
    <d v="2024-07-26T00:00:00"/>
    <n v="27"/>
    <s v="NOT ACHIEVED"/>
    <x v="0"/>
    <x v="9"/>
    <s v="Durban"/>
    <s v="Africa &gt; South Africa &gt; Durban"/>
    <s v="Enterprise"/>
    <s v="Distributor"/>
    <x v="3"/>
    <x v="6"/>
    <x v="6"/>
    <s v="Low"/>
    <x v="491"/>
    <n v="5.36"/>
    <n v="6.1639999999999997"/>
    <n v="4.37"/>
    <n v="4.37"/>
    <n v="5.0255000000000001"/>
    <n v="0.11799999999999999"/>
    <s v="OK"/>
    <n v="0.11799999999999999"/>
    <n v="0.11799999999999999"/>
    <n v="9"/>
    <n v="10.799999999999999"/>
    <n v="34.689059999999998"/>
    <n v="60.679897199999992"/>
    <n v="48.24"/>
    <n v="-13.550940000000004"/>
    <n v="12.43989719999999"/>
    <n v="-0.39064016148030545"/>
    <d v="2023-01-02T00:00:00"/>
    <s v="Jan-2023"/>
    <n v="0"/>
    <n v="0"/>
    <n v="0"/>
  </r>
  <r>
    <s v="ORD-2023-825495"/>
    <x v="216"/>
    <x v="18"/>
    <s v="2023-Q4"/>
    <d v="2023-12-05T00:00:00"/>
    <n v="5"/>
    <s v="ACHIEVED"/>
    <x v="0"/>
    <x v="9"/>
    <s v="Durban"/>
    <s v="Africa &gt; South Africa &gt; Durban"/>
    <s v="Small Business"/>
    <s v="Marketplace"/>
    <x v="2"/>
    <x v="11"/>
    <x v="3"/>
    <s v="Low"/>
    <x v="492"/>
    <n v="275.56"/>
    <n v="316.89400000000001"/>
    <n v="630.72"/>
    <n v="630.72"/>
    <n v="725.32799999999997"/>
    <n v="0.107"/>
    <s v="OK"/>
    <n v="0.107"/>
    <n v="0.107"/>
    <n v="23"/>
    <n v="27.599999999999998"/>
    <n v="12954.358080000002"/>
    <n v="22161.091449599997"/>
    <n v="6337.88"/>
    <n v="6616.4780800000017"/>
    <n v="15823.211449599996"/>
    <n v="0.5107530638831933"/>
    <d v="2023-01-02T00:00:00"/>
    <s v="Jan-2023"/>
    <n v="0"/>
    <n v="0"/>
    <n v="0"/>
  </r>
  <r>
    <s v="ORD-2023-497686"/>
    <x v="383"/>
    <x v="14"/>
    <s v="2023-Q3"/>
    <d v="2023-07-23T00:00:00"/>
    <n v="20"/>
    <s v="NOT ACHIEVED"/>
    <x v="0"/>
    <x v="9"/>
    <s v="Johannesburg"/>
    <s v="Africa &gt; South Africa &gt; Johannesburg"/>
    <s v="Small Business"/>
    <s v="Distributor"/>
    <x v="3"/>
    <x v="8"/>
    <x v="3"/>
    <s v="Medium"/>
    <x v="493"/>
    <n v="1001.96"/>
    <n v="1152.2539999999999"/>
    <n v="1254.95"/>
    <n v="1254.95"/>
    <n v="1443.1924999999999"/>
    <n v="4.4999999999999998E-2"/>
    <s v="OK"/>
    <n v="4.4999999999999998E-2"/>
    <n v="4.4999999999999998E-2"/>
    <n v="18"/>
    <n v="21.599999999999998"/>
    <n v="21572.590500000002"/>
    <n v="32575.741109999992"/>
    <n v="18035.28"/>
    <n v="3537.3105000000032"/>
    <n v="14540.461109999993"/>
    <n v="0.16397244920585699"/>
    <d v="2023-01-02T00:00:00"/>
    <s v="Jan-2023"/>
    <n v="0"/>
    <n v="0"/>
    <n v="0"/>
  </r>
  <r>
    <s v="ORD-2025-700847"/>
    <x v="1"/>
    <x v="1"/>
    <s v="2025-Q2"/>
    <d v="2025-05-26T00:00:00"/>
    <n v="5"/>
    <s v="ACHIEVED"/>
    <x v="0"/>
    <x v="9"/>
    <s v="Johannesburg"/>
    <s v="Africa &gt; South Africa &gt; Johannesburg"/>
    <s v="Non-Profit"/>
    <s v="Distributor"/>
    <x v="3"/>
    <x v="7"/>
    <x v="3"/>
    <s v="High"/>
    <x v="494"/>
    <n v="1263.8399999999999"/>
    <n v="1453.4159999999997"/>
    <n v="2281.7199999999998"/>
    <n v="2281.7199999999998"/>
    <n v="2623.9779999999996"/>
    <n v="7.8E-2"/>
    <s v="OK"/>
    <n v="7.8E-2"/>
    <n v="7.8E-2"/>
    <n v="15"/>
    <n v="18"/>
    <n v="31556.187599999997"/>
    <n v="50915.669111999996"/>
    <n v="18957.599999999999"/>
    <n v="12598.587599999999"/>
    <n v="31958.069111999997"/>
    <n v="0.39924301882398494"/>
    <d v="2023-01-02T00:00:00"/>
    <s v="Jan-2023"/>
    <n v="0"/>
    <n v="0"/>
    <n v="0"/>
  </r>
  <r>
    <s v="ORD-2024-970848"/>
    <x v="34"/>
    <x v="16"/>
    <s v="2024-Q2"/>
    <d v="2024-06-03T00:00:00"/>
    <n v="11"/>
    <s v="NOT ACHIEVED"/>
    <x v="0"/>
    <x v="9"/>
    <s v="Johannesburg"/>
    <s v="Africa &gt; South Africa &gt; Johannesburg"/>
    <s v="Small Business"/>
    <s v="Distributor"/>
    <x v="3"/>
    <x v="8"/>
    <x v="5"/>
    <s v="Low"/>
    <x v="495"/>
    <n v="180.89"/>
    <n v="208.02349999999996"/>
    <n v="249.57"/>
    <n v="249.57"/>
    <n v="287.00549999999998"/>
    <n v="2.1999999999999999E-2"/>
    <s v="OK"/>
    <n v="2.1999999999999999E-2"/>
    <n v="2.1999999999999999E-2"/>
    <n v="8"/>
    <n v="9.6"/>
    <n v="1952.6356799999999"/>
    <n v="2815.8683615999998"/>
    <n v="1447.12"/>
    <n v="505.51567999999997"/>
    <n v="1368.7483616"/>
    <n v="0.25888888806948362"/>
    <d v="2023-01-02T00:00:00"/>
    <s v="Jan-2023"/>
    <n v="0"/>
    <n v="0"/>
    <n v="0"/>
  </r>
  <r>
    <s v="ORD-2024-686712"/>
    <x v="384"/>
    <x v="32"/>
    <s v="2024-Q4"/>
    <d v="2024-10-23T00:00:00"/>
    <n v="21"/>
    <s v="NOT ACHIEVED"/>
    <x v="0"/>
    <x v="9"/>
    <s v="Durban"/>
    <s v="Africa &gt; South Africa &gt; Durban"/>
    <s v="Corporate"/>
    <s v="Marketplace"/>
    <x v="2"/>
    <x v="1"/>
    <x v="0"/>
    <s v="High"/>
    <x v="496"/>
    <n v="1095.6099999999999"/>
    <n v="1259.9514999999999"/>
    <n v="2366.5100000000002"/>
    <n v="2366.5100000000002"/>
    <n v="2721.4865"/>
    <n v="0.152"/>
    <s v="OK"/>
    <n v="0.152"/>
    <n v="0.152"/>
    <n v="9"/>
    <n v="10.799999999999999"/>
    <n v="18061.204320000004"/>
    <n v="33859.646438399999"/>
    <n v="9860.49"/>
    <n v="8200.7143200000046"/>
    <n v="23999.156438400001"/>
    <n v="0.4540513564158607"/>
    <d v="2023-01-02T00:00:00"/>
    <s v="Jan-2023"/>
    <n v="0"/>
    <n v="0"/>
    <n v="0"/>
  </r>
  <r>
    <s v="ORD-2023-713375"/>
    <x v="385"/>
    <x v="21"/>
    <s v="2023-Q3"/>
    <d v="2023-09-10T00:00:00"/>
    <n v="15"/>
    <s v="NOT ACHIEVED"/>
    <x v="0"/>
    <x v="9"/>
    <s v="Cape Town"/>
    <s v="Africa &gt; South Africa &gt; Cape Town"/>
    <s v="Non-Profit"/>
    <s v="Direct"/>
    <x v="4"/>
    <x v="5"/>
    <x v="0"/>
    <s v="Low"/>
    <x v="497"/>
    <n v="241.14"/>
    <n v="277.31099999999998"/>
    <n v="496.52"/>
    <n v="496.52"/>
    <n v="570.99799999999993"/>
    <n v="9.2999999999999999E-2"/>
    <s v="OK"/>
    <n v="9.2999999999999999E-2"/>
    <n v="9.2999999999999999E-2"/>
    <n v="10"/>
    <n v="12"/>
    <n v="4503.4363999999996"/>
    <n v="7489.2097679999988"/>
    <n v="2411.3999999999996"/>
    <n v="2092.0364"/>
    <n v="5077.8097679999992"/>
    <n v="0.46454223268257994"/>
    <d v="2023-01-02T00:00:00"/>
    <s v="Jan-2023"/>
    <n v="0"/>
    <n v="0"/>
    <n v="0"/>
  </r>
  <r>
    <s v="ORD-2025-678688"/>
    <x v="386"/>
    <x v="4"/>
    <s v="2025-Q3"/>
    <d v="2025-07-17T00:00:00"/>
    <n v="1"/>
    <s v="ACHIEVED"/>
    <x v="0"/>
    <x v="9"/>
    <s v="Durban"/>
    <s v="Africa &gt; South Africa &gt; Durban"/>
    <s v="Small Business"/>
    <s v="Distributor"/>
    <x v="3"/>
    <x v="6"/>
    <x v="6"/>
    <s v="High"/>
    <x v="498"/>
    <n v="1198.9000000000001"/>
    <n v="1378.7349999999999"/>
    <n v="2941.2"/>
    <n v="2941.2"/>
    <n v="3382.3799999999997"/>
    <n v="5.0999999999999997E-2"/>
    <s v="OK"/>
    <n v="5.0999999999999997E-2"/>
    <n v="5.0999999999999997E-2"/>
    <n v="24"/>
    <n v="28.799999999999997"/>
    <n v="66988.771199999988"/>
    <n v="102380.58374399997"/>
    <n v="28773.600000000002"/>
    <n v="38215.171199999982"/>
    <n v="73606.983743999968"/>
    <n v="0.57047129713583977"/>
    <d v="2023-01-02T00:00:00"/>
    <s v="Jan-2023"/>
    <n v="0"/>
    <n v="0"/>
    <n v="0"/>
  </r>
  <r>
    <s v="ORD-2023-946143"/>
    <x v="218"/>
    <x v="12"/>
    <s v="2023-Q1"/>
    <d v="2023-03-30T00:00:00"/>
    <n v="16"/>
    <s v="NOT ACHIEVED"/>
    <x v="0"/>
    <x v="9"/>
    <s v="Cape Town"/>
    <s v="Africa &gt; South Africa &gt; Cape Town"/>
    <s v="Consumer"/>
    <s v="Distributor"/>
    <x v="3"/>
    <x v="3"/>
    <x v="0"/>
    <s v="Medium"/>
    <x v="499"/>
    <n v="1309.77"/>
    <n v="1506.2354999999998"/>
    <n v="1589.07"/>
    <n v="1589.07"/>
    <n v="1827.4304999999997"/>
    <n v="0.10199999999999999"/>
    <s v="OK"/>
    <n v="0.10199999999999999"/>
    <n v="0.10199999999999999"/>
    <n v="10"/>
    <n v="12"/>
    <n v="14269.848599999999"/>
    <n v="24165.940931999998"/>
    <n v="13097.7"/>
    <n v="1172.1485999999986"/>
    <n v="11068.240931999997"/>
    <n v="8.2141628328137886E-2"/>
    <d v="2023-01-02T00:00:00"/>
    <s v="Jan-2023"/>
    <n v="0"/>
    <n v="0"/>
    <n v="0"/>
  </r>
  <r>
    <s v="ORD-2025-908258"/>
    <x v="387"/>
    <x v="31"/>
    <s v="2025-Q2"/>
    <d v="2025-06-27T00:00:00"/>
    <n v="6"/>
    <s v="ACHIEVED"/>
    <x v="0"/>
    <x v="9"/>
    <s v="Durban"/>
    <s v="Africa &gt; South Africa &gt; Durban"/>
    <s v="Enterprise"/>
    <s v="Distributor"/>
    <x v="3"/>
    <x v="5"/>
    <x v="4"/>
    <s v="Low"/>
    <x v="500"/>
    <n v="93.91"/>
    <n v="107.99649999999998"/>
    <n v="99.04"/>
    <n v="99.04"/>
    <n v="113.896"/>
    <n v="5.7000000000000002E-2"/>
    <s v="OK"/>
    <n v="5.7000000000000002E-2"/>
    <n v="5.7000000000000002E-2"/>
    <n v="6"/>
    <n v="7.1999999999999993"/>
    <n v="560.36831999999993"/>
    <n v="866.79411839999977"/>
    <n v="563.46"/>
    <n v="-3.0916800000001103"/>
    <n v="303.33411839999974"/>
    <n v="-5.5172283829323376E-3"/>
    <d v="2023-01-02T00:00:00"/>
    <s v="Jan-2023"/>
    <n v="0"/>
    <n v="0"/>
    <n v="0"/>
  </r>
  <r>
    <s v="ORD-2024-580808"/>
    <x v="303"/>
    <x v="6"/>
    <s v="2024-Q2"/>
    <d v="2024-07-03T00:00:00"/>
    <n v="17"/>
    <s v="NOT ACHIEVED"/>
    <x v="0"/>
    <x v="9"/>
    <s v="Johannesburg"/>
    <s v="Africa &gt; South Africa &gt; Johannesburg"/>
    <s v="Enterprise"/>
    <s v="Marketplace"/>
    <x v="2"/>
    <x v="8"/>
    <x v="4"/>
    <s v="High"/>
    <x v="501"/>
    <n v="1173.83"/>
    <n v="1349.9044999999999"/>
    <n v="2328.9"/>
    <n v="2328.9"/>
    <n v="2678.2349999999997"/>
    <n v="0.12"/>
    <s v="OK"/>
    <n v="0.12"/>
    <n v="0.12"/>
    <n v="17"/>
    <n v="20.399999999999999"/>
    <n v="34840.344000000005"/>
    <n v="61192.313279999995"/>
    <n v="19955.11"/>
    <n v="14885.234000000004"/>
    <n v="41237.203279999994"/>
    <n v="0.42724130393201637"/>
    <d v="2023-01-02T00:00:00"/>
    <s v="Jan-2023"/>
    <n v="0"/>
    <n v="0"/>
    <n v="0"/>
  </r>
  <r>
    <s v="ORD-2024-277241"/>
    <x v="191"/>
    <x v="22"/>
    <s v="2024-Q1"/>
    <d v="2024-01-30T00:00:00"/>
    <n v="2"/>
    <s v="ACHIEVED"/>
    <x v="0"/>
    <x v="9"/>
    <s v="Cape Town"/>
    <s v="Africa &gt; South Africa &gt; Cape Town"/>
    <s v="Consumer"/>
    <s v="Direct"/>
    <x v="4"/>
    <x v="8"/>
    <x v="1"/>
    <s v="Medium"/>
    <x v="502"/>
    <n v="798.45"/>
    <n v="918.21749999999997"/>
    <n v="1592.02"/>
    <n v="1592.02"/>
    <n v="1830.8229999999999"/>
    <n v="6.6000000000000003E-2"/>
    <s v="OK"/>
    <n v="6.6000000000000003E-2"/>
    <n v="6.6000000000000003E-2"/>
    <n v="18"/>
    <n v="21.599999999999998"/>
    <n v="26765.040239999998"/>
    <n v="42155.798068799995"/>
    <n v="14372.1"/>
    <n v="12392.940239999998"/>
    <n v="27783.698068799997"/>
    <n v="0.46302714768494585"/>
    <d v="2023-01-02T00:00:00"/>
    <s v="Jan-2023"/>
    <n v="0"/>
    <n v="0"/>
    <n v="0"/>
  </r>
  <r>
    <s v="ORD-2023-369150"/>
    <x v="33"/>
    <x v="14"/>
    <s v="2023-Q3"/>
    <d v="2023-08-10T00:00:00"/>
    <n v="23"/>
    <s v="NOT ACHIEVED"/>
    <x v="0"/>
    <x v="9"/>
    <s v="Johannesburg"/>
    <s v="Africa &gt; South Africa &gt; Johannesburg"/>
    <s v="Small Business"/>
    <s v="Retail"/>
    <x v="0"/>
    <x v="10"/>
    <x v="0"/>
    <s v="Medium"/>
    <x v="503"/>
    <n v="1271.56"/>
    <n v="1462.2939999999999"/>
    <n v="995.47"/>
    <n v="995.47"/>
    <n v="1144.7904999999998"/>
    <n v="0.192"/>
    <s v="OK"/>
    <n v="0.192"/>
    <n v="0.192"/>
    <n v="13"/>
    <n v="15.6"/>
    <n v="10456.416880000001"/>
    <n v="21287.608305599995"/>
    <n v="16530.28"/>
    <n v="-6073.8631199999982"/>
    <n v="4757.3283055999964"/>
    <n v="-0.58087423155607754"/>
    <d v="2023-01-02T00:00:00"/>
    <s v="Jan-2023"/>
    <n v="0"/>
    <n v="0"/>
    <n v="0"/>
  </r>
  <r>
    <s v="ORD-2024-427031"/>
    <x v="388"/>
    <x v="6"/>
    <s v="2024-Q2"/>
    <d v="2024-06-24T00:00:00"/>
    <n v="16"/>
    <s v="NOT ACHIEVED"/>
    <x v="0"/>
    <x v="9"/>
    <s v="Durban"/>
    <s v="Africa &gt; South Africa &gt; Durban"/>
    <s v="Education"/>
    <s v="Distributor"/>
    <x v="3"/>
    <x v="15"/>
    <x v="2"/>
    <s v="Low"/>
    <x v="504"/>
    <n v="597.85"/>
    <n v="687.52749999999992"/>
    <n v="741.92"/>
    <n v="741.92"/>
    <n v="853.20799999999986"/>
    <n v="3.1E-2"/>
    <s v="OK"/>
    <n v="3.1E-2"/>
    <n v="3.1E-2"/>
    <n v="7"/>
    <n v="8.4"/>
    <n v="5032.4433599999993"/>
    <n v="7389.1225631999978"/>
    <n v="4184.95"/>
    <n v="847.49335999999948"/>
    <n v="3204.172563199998"/>
    <n v="0.16840594108544515"/>
    <d v="2023-01-02T00:00:00"/>
    <s v="Jan-2023"/>
    <n v="0"/>
    <n v="0"/>
    <n v="0"/>
  </r>
  <r>
    <s v="ORD-2023-144816"/>
    <x v="262"/>
    <x v="26"/>
    <s v="2023-Q2"/>
    <d v="2023-05-29T00:00:00"/>
    <n v="22"/>
    <s v="NOT ACHIEVED"/>
    <x v="0"/>
    <x v="9"/>
    <s v="Durban"/>
    <s v="Africa &gt; South Africa &gt; Durban"/>
    <s v="Education"/>
    <s v="Distributor"/>
    <x v="3"/>
    <x v="3"/>
    <x v="1"/>
    <s v="Medium"/>
    <x v="505"/>
    <n v="653.86"/>
    <n v="751.93899999999996"/>
    <n v="931.84"/>
    <n v="931.84"/>
    <n v="1071.616"/>
    <n v="0.121"/>
    <s v="OK"/>
    <n v="0.121"/>
    <n v="0.121"/>
    <n v="12"/>
    <n v="14.399999999999999"/>
    <n v="9829.0483199999999"/>
    <n v="17298.454118399997"/>
    <n v="7846.32"/>
    <n v="1982.7283200000002"/>
    <n v="9452.1341183999975"/>
    <n v="0.20172129136506273"/>
    <d v="2023-01-02T00:00:00"/>
    <s v="Jan-2023"/>
    <n v="0"/>
    <n v="0"/>
    <n v="0"/>
  </r>
  <r>
    <s v="ORD-2023-825084"/>
    <x v="362"/>
    <x v="14"/>
    <s v="2023-Q3"/>
    <d v="2023-07-21T00:00:00"/>
    <n v="7"/>
    <s v="ACHIEVED"/>
    <x v="0"/>
    <x v="9"/>
    <s v="Durban"/>
    <s v="Africa &gt; South Africa &gt; Durban"/>
    <s v="Enterprise"/>
    <s v="Marketplace"/>
    <x v="2"/>
    <x v="9"/>
    <x v="2"/>
    <s v="Medium"/>
    <x v="506"/>
    <n v="620.74"/>
    <n v="713.851"/>
    <n v="1330.07"/>
    <n v="1330.07"/>
    <n v="1529.5804999999998"/>
    <n v="0.29899999999999999"/>
    <s v="OK"/>
    <n v="0.29899999999999999"/>
    <n v="0.25"/>
    <n v="28"/>
    <n v="33.6"/>
    <n v="26106.613960000002"/>
    <n v="64242.380999999994"/>
    <n v="17380.72"/>
    <n v="8725.8939600000012"/>
    <n v="46861.660999999993"/>
    <n v="0.33424073965967516"/>
    <d v="2023-01-02T00:00:00"/>
    <s v="Jan-2023"/>
    <n v="0"/>
    <n v="0"/>
    <n v="0"/>
  </r>
  <r>
    <s v="ORD-2024-892173"/>
    <x v="389"/>
    <x v="22"/>
    <s v="2024-Q1"/>
    <d v="2024-02-03T00:00:00"/>
    <n v="16"/>
    <s v="NOT ACHIEVED"/>
    <x v="0"/>
    <x v="9"/>
    <s v="Cape Town"/>
    <s v="Africa &gt; South Africa &gt; Cape Town"/>
    <s v="Non-Profit"/>
    <s v="Distributor"/>
    <x v="3"/>
    <x v="10"/>
    <x v="5"/>
    <s v="Medium"/>
    <x v="507"/>
    <n v="666.23"/>
    <n v="766.16449999999998"/>
    <n v="1382.91"/>
    <n v="1382.91"/>
    <n v="1590.3464999999999"/>
    <n v="0.17599999999999999"/>
    <s v="OK"/>
    <n v="0.17599999999999999"/>
    <n v="0.17599999999999999"/>
    <n v="13"/>
    <n v="15.6"/>
    <n v="14813.731920000002"/>
    <n v="29175.860750399992"/>
    <n v="8660.99"/>
    <n v="6152.7419200000022"/>
    <n v="20514.87075039999"/>
    <n v="0.41534043907553048"/>
    <d v="2023-01-02T00:00:00"/>
    <s v="Jan-2023"/>
    <n v="0"/>
    <n v="0"/>
    <n v="0"/>
  </r>
  <r>
    <s v="ORD-2023-281890"/>
    <x v="390"/>
    <x v="12"/>
    <s v="2023-Q1"/>
    <d v="2023-04-04T00:00:00"/>
    <n v="22"/>
    <s v="NOT ACHIEVED"/>
    <x v="0"/>
    <x v="9"/>
    <s v="Durban"/>
    <s v="Africa &gt; South Africa &gt; Durban"/>
    <s v="Small Business"/>
    <s v="Retail"/>
    <x v="0"/>
    <x v="1"/>
    <x v="0"/>
    <s v="High"/>
    <x v="508"/>
    <n v="1113.7"/>
    <n v="1280.7549999999999"/>
    <n v="1620.6"/>
    <n v="1620.6"/>
    <n v="1863.6899999999998"/>
    <n v="0.13900000000000001"/>
    <s v="OK"/>
    <n v="0.13900000000000001"/>
    <n v="0.13900000000000001"/>
    <n v="11"/>
    <n v="13.2"/>
    <n v="15348.702599999999"/>
    <n v="28020.206411999996"/>
    <n v="12250.7"/>
    <n v="3098.002599999998"/>
    <n v="15769.506411999995"/>
    <n v="0.20184133348182787"/>
    <d v="2023-01-02T00:00:00"/>
    <s v="Jan-2023"/>
    <n v="0"/>
    <n v="0"/>
    <n v="0"/>
  </r>
  <r>
    <s v="ORD-2025-636162"/>
    <x v="391"/>
    <x v="25"/>
    <s v="2025-Q1"/>
    <d v="2025-01-20T00:00:00"/>
    <n v="13"/>
    <s v="NOT ACHIEVED"/>
    <x v="0"/>
    <x v="9"/>
    <s v="Cape Town"/>
    <s v="Africa &gt; South Africa &gt; Cape Town"/>
    <s v="Corporate"/>
    <s v="Direct"/>
    <x v="4"/>
    <x v="3"/>
    <x v="6"/>
    <s v="Medium"/>
    <x v="509"/>
    <n v="432.13"/>
    <n v="496.94949999999994"/>
    <n v="1034.6600000000001"/>
    <n v="1034.6600000000001"/>
    <n v="1189.8589999999999"/>
    <n v="9.1999999999999998E-2"/>
    <s v="OK"/>
    <n v="9.1999999999999998E-2"/>
    <n v="9.1999999999999998E-2"/>
    <n v="7"/>
    <n v="8.4"/>
    <n v="6576.298960000001"/>
    <n v="10914.338635200002"/>
    <n v="3024.91"/>
    <n v="3551.3889600000011"/>
    <n v="7889.4286352000017"/>
    <n v="0.54002851476204794"/>
    <d v="2023-01-02T00:00:00"/>
    <s v="Jan-2023"/>
    <n v="0"/>
    <n v="0"/>
    <n v="0"/>
  </r>
  <r>
    <s v="ORD-2023-835226"/>
    <x v="392"/>
    <x v="20"/>
    <s v="2023-Q4"/>
    <d v="2023-11-05T00:00:00"/>
    <n v="10"/>
    <s v="NOT ACHIEVED"/>
    <x v="0"/>
    <x v="9"/>
    <s v="Cape Town"/>
    <s v="Africa &gt; South Africa &gt; Cape Town"/>
    <s v="Non-Profit"/>
    <s v="Online"/>
    <x v="1"/>
    <x v="12"/>
    <x v="3"/>
    <s v="Low"/>
    <x v="510"/>
    <n v="20.38"/>
    <n v="23.436999999999998"/>
    <n v="42.56"/>
    <n v="42.56"/>
    <n v="48.943999999999996"/>
    <n v="7.1999999999999995E-2"/>
    <s v="OK"/>
    <n v="7.1999999999999995E-2"/>
    <n v="7.1999999999999995E-2"/>
    <n v="11"/>
    <n v="13.2"/>
    <n v="434.45248000000004"/>
    <n v="692.57717759999991"/>
    <n v="224.17999999999998"/>
    <n v="210.27248000000006"/>
    <n v="468.39717759999996"/>
    <n v="0.48399419885921713"/>
    <d v="2023-01-02T00:00:00"/>
    <s v="Jan-2023"/>
    <n v="0"/>
    <n v="0"/>
    <n v="0"/>
  </r>
  <r>
    <s v="ORD-2025-485946"/>
    <x v="187"/>
    <x v="31"/>
    <s v="2025-Q2"/>
    <d v="2025-06-30T00:00:00"/>
    <n v="15"/>
    <s v="NOT ACHIEVED"/>
    <x v="0"/>
    <x v="9"/>
    <s v="Johannesburg"/>
    <s v="Africa &gt; South Africa &gt; Johannesburg"/>
    <s v="Small Business"/>
    <s v="Direct"/>
    <x v="4"/>
    <x v="0"/>
    <x v="2"/>
    <s v="Medium"/>
    <x v="511"/>
    <n v="1487.59"/>
    <n v="1710.7284999999997"/>
    <n v="1480.83"/>
    <n v="1480.83"/>
    <n v="1702.9544999999998"/>
    <n v="8.9999999999999993E-3"/>
    <s v="OK"/>
    <n v="8.9999999999999993E-3"/>
    <n v="8.9999999999999993E-3"/>
    <n v="11"/>
    <n v="13.2"/>
    <n v="16142.527829999999"/>
    <n v="22681.310394599994"/>
    <n v="16363.49"/>
    <n v="-220.9621700000007"/>
    <n v="6317.820394599994"/>
    <n v="-1.3688201273492908E-2"/>
    <d v="2023-01-02T00:00:00"/>
    <s v="Jan-2023"/>
    <n v="0"/>
    <n v="0"/>
    <n v="0"/>
  </r>
  <r>
    <s v="ORD-2025-588029"/>
    <x v="393"/>
    <x v="3"/>
    <s v="2025-Q3"/>
    <d v="2025-09-23T00:00:00"/>
    <n v="9"/>
    <s v="NOT ACHIEVED"/>
    <x v="0"/>
    <x v="9"/>
    <s v="Durban"/>
    <s v="Africa &gt; South Africa &gt; Durban"/>
    <s v="Non-Profit"/>
    <s v="Online"/>
    <x v="1"/>
    <x v="14"/>
    <x v="0"/>
    <s v="High"/>
    <x v="512"/>
    <n v="1310.3"/>
    <n v="1506.8449999999998"/>
    <n v="2875.8"/>
    <n v="2875.8"/>
    <n v="3307.17"/>
    <n v="8.3000000000000004E-2"/>
    <s v="OK"/>
    <n v="8.3000000000000004E-2"/>
    <n v="8.3000000000000004E-2"/>
    <n v="5"/>
    <n v="6"/>
    <n v="13185.543"/>
    <n v="21489.990659999999"/>
    <n v="6551.5"/>
    <n v="6634.0429999999997"/>
    <n v="14938.490659999999"/>
    <n v="0.50313005691157353"/>
    <d v="2023-01-02T00:00:00"/>
    <s v="Jan-2023"/>
    <n v="0"/>
    <n v="0"/>
    <n v="0"/>
  </r>
  <r>
    <s v="ORD-2024-972999"/>
    <x v="302"/>
    <x v="17"/>
    <s v="2024-Q3"/>
    <d v="2024-10-04T00:00:00"/>
    <n v="28"/>
    <s v="NOT ACHIEVED"/>
    <x v="0"/>
    <x v="9"/>
    <s v="Cape Town"/>
    <s v="Africa &gt; South Africa &gt; Cape Town"/>
    <s v="Corporate"/>
    <s v="Marketplace"/>
    <x v="2"/>
    <x v="14"/>
    <x v="2"/>
    <s v="High"/>
    <x v="513"/>
    <n v="1174.17"/>
    <n v="1350.2954999999999"/>
    <n v="1641.61"/>
    <n v="1641.61"/>
    <n v="1887.8514999999998"/>
    <n v="0.122"/>
    <s v="OK"/>
    <n v="0.122"/>
    <n v="0.122"/>
    <n v="9"/>
    <n v="10.799999999999999"/>
    <n v="12972.00222"/>
    <n v="22876.229336399996"/>
    <n v="10567.53"/>
    <n v="2404.4722199999997"/>
    <n v="12308.699336399995"/>
    <n v="0.18535860380079394"/>
    <d v="2023-01-02T00:00:00"/>
    <s v="Jan-2023"/>
    <n v="0"/>
    <n v="0"/>
    <n v="0"/>
  </r>
  <r>
    <s v="ORD-2025-473192"/>
    <x v="32"/>
    <x v="2"/>
    <s v="2025-Q1"/>
    <d v="2025-04-29T00:00:00"/>
    <n v="30"/>
    <s v="NOT ACHIEVED"/>
    <x v="0"/>
    <x v="9"/>
    <s v="Durban"/>
    <s v="Africa &gt; South Africa &gt; Durban"/>
    <s v="Consumer"/>
    <s v="Marketplace"/>
    <x v="2"/>
    <x v="2"/>
    <x v="2"/>
    <s v="Low"/>
    <x v="514"/>
    <n v="194.6"/>
    <n v="223.78999999999996"/>
    <n v="314.87"/>
    <n v="314.87"/>
    <n v="362.10049999999995"/>
    <n v="0.29299999999999998"/>
    <s v="OK"/>
    <n v="0.29299999999999998"/>
    <n v="0.25"/>
    <n v="25"/>
    <n v="30"/>
    <n v="5565.3272500000003"/>
    <n v="13578.768749999999"/>
    <n v="4865"/>
    <n v="700.32725000000028"/>
    <n v="8713.7687499999993"/>
    <n v="0.1258375686712763"/>
    <d v="2023-01-02T00:00:00"/>
    <s v="Jan-2023"/>
    <n v="0"/>
    <n v="0"/>
    <n v="0"/>
  </r>
  <r>
    <s v="ORD-2023-704111"/>
    <x v="138"/>
    <x v="26"/>
    <s v="2023-Q2"/>
    <d v="2023-06-15T00:00:00"/>
    <n v="29"/>
    <s v="NOT ACHIEVED"/>
    <x v="0"/>
    <x v="9"/>
    <s v="Durban"/>
    <s v="Africa &gt; South Africa &gt; Durban"/>
    <s v="Enterprise"/>
    <s v="Retail"/>
    <x v="0"/>
    <x v="3"/>
    <x v="1"/>
    <s v="Low"/>
    <x v="515"/>
    <n v="40.89"/>
    <n v="47.023499999999999"/>
    <n v="62.82"/>
    <n v="62.82"/>
    <n v="72.242999999999995"/>
    <n v="0.129"/>
    <s v="OK"/>
    <n v="0.129"/>
    <n v="0.129"/>
    <n v="17"/>
    <n v="20.399999999999999"/>
    <n v="930.17574000000002"/>
    <n v="1663.8718787999996"/>
    <n v="695.13"/>
    <n v="235.04574000000002"/>
    <n v="968.74187879999965"/>
    <n v="0.25268960465470752"/>
    <d v="2023-01-02T00:00:00"/>
    <s v="Jan-2023"/>
    <n v="0"/>
    <n v="0"/>
    <n v="0"/>
  </r>
  <r>
    <s v="ORD-2025-306251"/>
    <x v="394"/>
    <x v="7"/>
    <s v="2025-Q2"/>
    <d v="2025-04-19T00:00:00"/>
    <n v="9"/>
    <s v="NOT ACHIEVED"/>
    <x v="0"/>
    <x v="9"/>
    <s v="Durban"/>
    <s v="Africa &gt; South Africa &gt; Durban"/>
    <s v="Enterprise"/>
    <n v="0"/>
    <x v="5"/>
    <x v="4"/>
    <x v="6"/>
    <s v="Low"/>
    <x v="516"/>
    <n v="113.74"/>
    <n v="130.80099999999999"/>
    <n v="165.7"/>
    <n v="165.7"/>
    <n v="190.55499999999998"/>
    <n v="0.124"/>
    <s v="OK"/>
    <n v="0.124"/>
    <n v="0.124"/>
    <n v="13"/>
    <n v="15.6"/>
    <n v="1886.9915999999998"/>
    <n v="3341.2675919999997"/>
    <n v="1478.62"/>
    <n v="408.37159999999994"/>
    <n v="1862.6475919999998"/>
    <n v="0.21641410592394794"/>
    <d v="2023-01-02T00:00:00"/>
    <s v="Jan-2023"/>
    <n v="0"/>
    <n v="0"/>
    <n v="0"/>
  </r>
  <r>
    <s v="ORD-2023-640022"/>
    <x v="395"/>
    <x v="21"/>
    <s v="2023-Q3"/>
    <d v="2023-09-20T00:00:00"/>
    <n v="27"/>
    <s v="NOT ACHIEVED"/>
    <x v="0"/>
    <x v="9"/>
    <s v="Durban"/>
    <s v="Africa &gt; South Africa &gt; Durban"/>
    <s v="Small Business"/>
    <s v="Marketplace"/>
    <x v="2"/>
    <x v="13"/>
    <x v="5"/>
    <s v="High"/>
    <x v="517"/>
    <n v="1399.64"/>
    <n v="1609.586"/>
    <n v="3342.11"/>
    <n v="3342.11"/>
    <n v="3843.4265"/>
    <n v="0"/>
    <s v="OK"/>
    <n v="0"/>
    <n v="0"/>
    <n v="10"/>
    <n v="12"/>
    <n v="33421.1"/>
    <n v="46121.118000000002"/>
    <n v="13996.400000000001"/>
    <n v="19424.699999999997"/>
    <n v="32124.718000000001"/>
    <n v="0.58121067229983447"/>
    <d v="2023-01-02T00:00:00"/>
    <s v="Jan-2023"/>
    <n v="0"/>
    <n v="0"/>
    <n v="0"/>
  </r>
  <r>
    <s v="ORD-2023-525643"/>
    <x v="396"/>
    <x v="21"/>
    <s v="2023-Q3"/>
    <d v="2023-09-03T00:00:00"/>
    <n v="17"/>
    <s v="NOT ACHIEVED"/>
    <x v="0"/>
    <x v="9"/>
    <s v="Durban"/>
    <s v="Africa &gt; South Africa &gt; Durban"/>
    <s v="Enterprise"/>
    <s v="Retail"/>
    <x v="0"/>
    <x v="1"/>
    <x v="4"/>
    <s v="Medium"/>
    <x v="518"/>
    <n v="676.37"/>
    <n v="777.82549999999992"/>
    <n v="1276.67"/>
    <n v="1276.67"/>
    <n v="1468.1704999999999"/>
    <n v="6.6000000000000003E-2"/>
    <s v="OK"/>
    <n v="6.6000000000000003E-2"/>
    <n v="6.6000000000000003E-2"/>
    <n v="10"/>
    <n v="12"/>
    <n v="11924.0978"/>
    <n v="18780.837036000001"/>
    <n v="6763.7"/>
    <n v="5160.3977999999997"/>
    <n v="12017.137036"/>
    <n v="0.4327705027712872"/>
    <d v="2023-01-02T00:00:00"/>
    <s v="Jan-2023"/>
    <n v="0"/>
    <n v="0"/>
    <n v="0"/>
  </r>
  <r>
    <s v="ORD-2025-312803"/>
    <x v="83"/>
    <x v="31"/>
    <s v="2025-Q2"/>
    <d v="2025-07-14T00:00:00"/>
    <n v="20"/>
    <s v="NOT ACHIEVED"/>
    <x v="0"/>
    <x v="9"/>
    <s v="Johannesburg"/>
    <s v="Africa &gt; South Africa &gt; Johannesburg"/>
    <s v="Enterprise"/>
    <s v="Marketplace"/>
    <x v="2"/>
    <x v="2"/>
    <x v="3"/>
    <s v="High"/>
    <x v="519"/>
    <n v="1151.06"/>
    <n v="1323.7189999999998"/>
    <n v="2821.36"/>
    <n v="2821.36"/>
    <n v="3244.5639999999999"/>
    <n v="0.248"/>
    <s v="OK"/>
    <n v="0.248"/>
    <n v="0.248"/>
    <n v="20"/>
    <n v="24"/>
    <n v="42433.254400000005"/>
    <n v="97181.180927999987"/>
    <n v="23021.199999999997"/>
    <n v="19412.054400000008"/>
    <n v="74159.98092799999"/>
    <n v="0.45747267501594235"/>
    <d v="2023-01-02T00:00:00"/>
    <s v="Jan-2023"/>
    <n v="0"/>
    <n v="0"/>
    <n v="0"/>
  </r>
  <r>
    <s v="ORD-2023-621393"/>
    <x v="397"/>
    <x v="14"/>
    <s v="2023-Q3"/>
    <d v="2023-07-13T00:00:00"/>
    <n v="6"/>
    <s v="ACHIEVED"/>
    <x v="0"/>
    <x v="9"/>
    <s v="Cape Town"/>
    <s v="Africa &gt; South Africa &gt; Cape Town"/>
    <s v="Small Business"/>
    <s v="Marketplace"/>
    <x v="2"/>
    <x v="6"/>
    <x v="1"/>
    <s v="Medium"/>
    <x v="520"/>
    <n v="612.59"/>
    <n v="704.47849999999994"/>
    <n v="1424.74"/>
    <n v="1424.74"/>
    <n v="1638.4509999999998"/>
    <n v="4.3999999999999997E-2"/>
    <s v="OK"/>
    <n v="4.3999999999999997E-2"/>
    <n v="4.3999999999999997E-2"/>
    <n v="15"/>
    <n v="18"/>
    <n v="20430.771599999996"/>
    <n v="30789.771191999997"/>
    <n v="9188.85"/>
    <n v="11241.921599999996"/>
    <n v="21600.921191999994"/>
    <n v="0.55024459281802152"/>
    <d v="2023-01-02T00:00:00"/>
    <s v="Jan-2023"/>
    <n v="0"/>
    <n v="0"/>
    <n v="0"/>
  </r>
  <r>
    <s v="ORD-2023-974506"/>
    <x v="398"/>
    <x v="9"/>
    <s v="2023-Q4"/>
    <d v="2024-01-01T00:00:00"/>
    <n v="4"/>
    <s v="ACHIEVED"/>
    <x v="0"/>
    <x v="9"/>
    <s v="Cape Town"/>
    <s v="Africa &gt; South Africa &gt; Cape Town"/>
    <s v="Education"/>
    <s v="Distributor"/>
    <x v="3"/>
    <x v="1"/>
    <x v="5"/>
    <s v="High"/>
    <x v="521"/>
    <n v="1141.8"/>
    <n v="1313.07"/>
    <n v="2318.7399999999998"/>
    <n v="2318.7399999999998"/>
    <n v="2666.5509999999995"/>
    <n v="0.107"/>
    <s v="OK"/>
    <n v="0.107"/>
    <n v="0.107"/>
    <n v="32"/>
    <n v="38.4"/>
    <n v="66260.314239999992"/>
    <n v="113351.88314879997"/>
    <n v="36537.599999999999"/>
    <n v="29722.714239999994"/>
    <n v="76814.283148799965"/>
    <n v="0.44857490612468304"/>
    <d v="2023-01-02T00:00:00"/>
    <s v="Jan-2023"/>
    <n v="0"/>
    <n v="0"/>
    <n v="0"/>
  </r>
  <r>
    <s v="ORD-2024-419248"/>
    <x v="399"/>
    <x v="0"/>
    <s v="2024-Q1"/>
    <d v="2024-03-16T00:00:00"/>
    <n v="12"/>
    <s v="NOT ACHIEVED"/>
    <x v="0"/>
    <x v="9"/>
    <s v="Johannesburg"/>
    <s v="Africa &gt; South Africa &gt; Johannesburg"/>
    <s v="Enterprise"/>
    <s v="Distributor"/>
    <x v="3"/>
    <x v="13"/>
    <x v="2"/>
    <s v="Medium"/>
    <x v="522"/>
    <n v="441.08"/>
    <n v="507.24199999999996"/>
    <n v="1054.29"/>
    <n v="1054.29"/>
    <n v="1212.4334999999999"/>
    <n v="0.23699999999999999"/>
    <s v="OK"/>
    <n v="0.23699999999999999"/>
    <n v="0.23699999999999999"/>
    <n v="6"/>
    <n v="7.1999999999999993"/>
    <n v="4826.5396199999996"/>
    <n v="10798.417724399998"/>
    <n v="2646.48"/>
    <n v="2180.0596199999995"/>
    <n v="8151.9377243999988"/>
    <n v="0.45168169985932899"/>
    <d v="2023-01-02T00:00:00"/>
    <s v="Jan-2023"/>
    <n v="0"/>
    <n v="0"/>
    <n v="0"/>
  </r>
  <r>
    <s v="ORD-2023-689428"/>
    <x v="400"/>
    <x v="28"/>
    <s v="2023-Q1"/>
    <d v="2023-01-30T00:00:00"/>
    <n v="23"/>
    <s v="NOT ACHIEVED"/>
    <x v="0"/>
    <x v="9"/>
    <s v="Cape Town"/>
    <s v="Africa &gt; South Africa &gt; Cape Town"/>
    <s v="Consumer"/>
    <s v="Online"/>
    <x v="1"/>
    <x v="1"/>
    <x v="5"/>
    <s v="Low"/>
    <x v="523"/>
    <n v="299.02"/>
    <n v="343.87299999999993"/>
    <n v="724.7"/>
    <n v="724.7"/>
    <n v="833.40499999999997"/>
    <n v="0.14000000000000001"/>
    <s v="OK"/>
    <n v="0.14000000000000001"/>
    <n v="0.14000000000000001"/>
    <n v="5"/>
    <n v="6"/>
    <n v="3116.21"/>
    <n v="5700.4902000000011"/>
    <n v="1495.1"/>
    <n v="1621.1100000000001"/>
    <n v="4205.3902000000016"/>
    <n v="0.52021847051386139"/>
    <d v="2023-01-02T00:00:00"/>
    <s v="Jan-2023"/>
    <n v="0"/>
    <n v="0"/>
    <n v="0"/>
  </r>
  <r>
    <s v="ORD-2025-262434"/>
    <x v="401"/>
    <x v="31"/>
    <s v="2025-Q2"/>
    <d v="2025-06-21T00:00:00"/>
    <n v="2"/>
    <s v="ACHIEVED"/>
    <x v="0"/>
    <x v="9"/>
    <s v="Johannesburg"/>
    <s v="Africa &gt; South Africa &gt; Johannesburg"/>
    <s v="Small Business"/>
    <n v="0"/>
    <x v="5"/>
    <x v="15"/>
    <x v="4"/>
    <s v="High"/>
    <x v="524"/>
    <n v="1466.27"/>
    <n v="1686.2104999999999"/>
    <n v="3589.89"/>
    <n v="3589.89"/>
    <n v="4128.3734999999997"/>
    <n v="9.7000000000000003E-2"/>
    <s v="OK"/>
    <n v="9.7000000000000003E-2"/>
    <n v="9.7000000000000003E-2"/>
    <n v="9"/>
    <n v="10.799999999999999"/>
    <n v="29175.036029999999"/>
    <n v="48911.317878599992"/>
    <n v="13196.43"/>
    <n v="15978.606029999999"/>
    <n v="35714.887878599991"/>
    <n v="0.54768076425234147"/>
    <d v="2023-01-02T00:00:00"/>
    <s v="Jan-2023"/>
    <n v="0"/>
    <n v="0"/>
    <n v="0"/>
  </r>
  <r>
    <s v="ORD-2024-838925"/>
    <x v="191"/>
    <x v="22"/>
    <s v="2024-Q1"/>
    <d v="2024-02-02T00:00:00"/>
    <n v="5"/>
    <s v="ACHIEVED"/>
    <x v="0"/>
    <x v="9"/>
    <s v="Cape Town"/>
    <s v="Africa &gt; South Africa &gt; Cape Town"/>
    <s v="Enterprise"/>
    <s v="Direct"/>
    <x v="4"/>
    <x v="7"/>
    <x v="0"/>
    <s v="Low"/>
    <x v="525"/>
    <n v="109.75"/>
    <n v="126.21249999999999"/>
    <n v="124.25"/>
    <n v="124.25"/>
    <n v="142.88749999999999"/>
    <n v="0.12"/>
    <s v="OK"/>
    <n v="0.12"/>
    <n v="0.12"/>
    <n v="19"/>
    <n v="22.8"/>
    <n v="2077.46"/>
    <n v="3648.7752000000005"/>
    <n v="2085.25"/>
    <n v="-7.7899999999999636"/>
    <n v="1563.5252000000005"/>
    <n v="-3.7497713554051405E-3"/>
    <d v="2023-01-02T00:00:00"/>
    <s v="Jan-2023"/>
    <n v="0"/>
    <n v="0"/>
    <n v="0"/>
  </r>
  <r>
    <s v="ORD-2025-745263"/>
    <x v="1"/>
    <x v="1"/>
    <s v="2025-Q2"/>
    <d v="2025-05-26T00:00:00"/>
    <n v="5"/>
    <s v="ACHIEVED"/>
    <x v="3"/>
    <x v="10"/>
    <s v="Birmingham"/>
    <s v="Europe &gt; United Kingdom &gt; Birmingham"/>
    <s v="Enterprise"/>
    <s v="Online"/>
    <x v="1"/>
    <x v="13"/>
    <x v="3"/>
    <s v="High"/>
    <x v="526"/>
    <n v="1015.16"/>
    <n v="1167.434"/>
    <n v="2148.14"/>
    <n v="2148.14"/>
    <n v="2470.3609999999999"/>
    <n v="3.7999999999999999E-2"/>
    <s v="OK"/>
    <n v="3.7999999999999999E-2"/>
    <n v="3.7999999999999999E-2"/>
    <n v="19"/>
    <n v="22.8"/>
    <n v="39263.702919999996"/>
    <n v="58464.551570399999"/>
    <n v="19288.04"/>
    <n v="19975.662919999995"/>
    <n v="39176.511570399998"/>
    <n v="0.50875647059322227"/>
    <d v="2023-01-02T00:00:00"/>
    <s v="Jan-2023"/>
    <n v="0"/>
    <n v="0"/>
    <n v="0"/>
  </r>
  <r>
    <s v="ORD-2024-629525"/>
    <x v="402"/>
    <x v="15"/>
    <s v="2024-Q2"/>
    <d v="2024-05-08T00:00:00"/>
    <n v="20"/>
    <s v="NOT ACHIEVED"/>
    <x v="3"/>
    <x v="10"/>
    <s v="London"/>
    <s v="Europe &gt; United Kingdom &gt; London"/>
    <s v="Non-Profit"/>
    <n v="0"/>
    <x v="5"/>
    <x v="14"/>
    <x v="3"/>
    <s v="Medium"/>
    <x v="527"/>
    <n v="645.33000000000004"/>
    <n v="742.12950000000001"/>
    <n v="1321.85"/>
    <n v="1321.85"/>
    <n v="1520.1274999999998"/>
    <n v="0"/>
    <s v="OK"/>
    <n v="0"/>
    <n v="0"/>
    <n v="10"/>
    <n v="12"/>
    <n v="13218.5"/>
    <n v="18241.53"/>
    <n v="6453.3"/>
    <n v="6765.2"/>
    <n v="11788.23"/>
    <n v="0.51179785906116426"/>
    <d v="2023-01-02T00:00:00"/>
    <s v="Jan-2023"/>
    <n v="0"/>
    <n v="0"/>
    <n v="0"/>
  </r>
  <r>
    <s v="ORD-2024-548345"/>
    <x v="403"/>
    <x v="16"/>
    <s v="2024-Q2"/>
    <d v="2024-05-28T00:00:00"/>
    <n v="14"/>
    <s v="NOT ACHIEVED"/>
    <x v="3"/>
    <x v="10"/>
    <s v="Birmingham"/>
    <s v="Europe &gt; United Kingdom &gt; Birmingham"/>
    <s v="Consumer"/>
    <s v="Retail"/>
    <x v="0"/>
    <x v="6"/>
    <x v="6"/>
    <s v="High"/>
    <x v="528"/>
    <n v="1421.14"/>
    <n v="1634.3109999999999"/>
    <n v="3524"/>
    <n v="3524"/>
    <n v="4052.6"/>
    <n v="0"/>
    <s v="OK"/>
    <n v="0"/>
    <n v="0"/>
    <n v="31"/>
    <n v="37.199999999999996"/>
    <n v="109244"/>
    <n v="150756.71999999997"/>
    <n v="44055.340000000004"/>
    <n v="65188.659999999996"/>
    <n v="106701.37999999998"/>
    <n v="0.59672531214528945"/>
    <d v="2023-01-02T00:00:00"/>
    <s v="Jan-2023"/>
    <n v="0"/>
    <n v="0"/>
    <n v="0"/>
  </r>
  <r>
    <s v="ORD-2023-548874"/>
    <x v="404"/>
    <x v="12"/>
    <s v="2023-Q1"/>
    <d v="2023-04-09T00:00:00"/>
    <n v="21"/>
    <s v="NOT ACHIEVED"/>
    <x v="3"/>
    <x v="10"/>
    <s v="Manchester"/>
    <s v="Europe &gt; United Kingdom &gt; Manchester"/>
    <s v="Consumer"/>
    <s v="Retail"/>
    <x v="0"/>
    <x v="10"/>
    <x v="1"/>
    <s v="Medium"/>
    <x v="529"/>
    <n v="1082.17"/>
    <n v="1244.4955"/>
    <n v="1234.0999999999999"/>
    <n v="1234.0999999999999"/>
    <n v="1419.2149999999997"/>
    <n v="0.189"/>
    <s v="OK"/>
    <n v="0.189"/>
    <n v="0.189"/>
    <n v="16"/>
    <n v="19.2"/>
    <n v="16013.681599999998"/>
    <n v="32398.975391999993"/>
    <n v="17314.72"/>
    <n v="-1301.0384000000031"/>
    <n v="15084.255391999992"/>
    <n v="-8.124542703534228E-2"/>
    <d v="2023-01-02T00:00:00"/>
    <s v="Jan-2023"/>
    <n v="0"/>
    <n v="0"/>
    <n v="0"/>
  </r>
  <r>
    <s v="ORD-2023-290279"/>
    <x v="405"/>
    <x v="11"/>
    <s v="2023-Q2"/>
    <d v="2023-06-16T00:00:00"/>
    <n v="2"/>
    <s v="ACHIEVED"/>
    <x v="3"/>
    <x v="10"/>
    <s v="Manchester"/>
    <s v="Europe &gt; United Kingdom &gt; Manchester"/>
    <s v="Non-Profit"/>
    <s v="Direct"/>
    <x v="4"/>
    <x v="3"/>
    <x v="0"/>
    <s v="Low"/>
    <x v="530"/>
    <n v="357.36"/>
    <n v="410.964"/>
    <n v="703.62"/>
    <n v="703.62"/>
    <n v="809.1629999999999"/>
    <n v="0.25700000000000001"/>
    <s v="OK"/>
    <n v="0.25700000000000001"/>
    <n v="0.25"/>
    <n v="20"/>
    <n v="24"/>
    <n v="10455.7932"/>
    <n v="24274.889999999996"/>
    <n v="7147.2000000000007"/>
    <n v="3308.5931999999993"/>
    <n v="17127.689999999995"/>
    <n v="0.31643636563125593"/>
    <d v="2023-01-02T00:00:00"/>
    <s v="Jan-2023"/>
    <n v="0"/>
    <n v="0"/>
    <n v="0"/>
  </r>
  <r>
    <s v="ORD-2025-330203"/>
    <x v="358"/>
    <x v="2"/>
    <s v="2025-Q1"/>
    <d v="2025-04-17T00:00:00"/>
    <n v="23"/>
    <s v="NOT ACHIEVED"/>
    <x v="3"/>
    <x v="10"/>
    <s v="London"/>
    <s v="Europe &gt; United Kingdom &gt; London"/>
    <s v="Consumer"/>
    <s v="Retail"/>
    <x v="0"/>
    <x v="15"/>
    <x v="6"/>
    <s v="High"/>
    <x v="531"/>
    <n v="1421.19"/>
    <n v="1634.3685"/>
    <n v="1808.26"/>
    <n v="1808.26"/>
    <n v="2079.4989999999998"/>
    <n v="0.104"/>
    <s v="OK"/>
    <n v="0.104"/>
    <n v="0.104"/>
    <n v="13"/>
    <n v="15.6"/>
    <n v="21062.61248"/>
    <n v="35813.9635776"/>
    <n v="18475.47"/>
    <n v="2587.1424799999986"/>
    <n v="17338.493577599998"/>
    <n v="0.12283103449093123"/>
    <d v="2023-01-02T00:00:00"/>
    <s v="Jan-2023"/>
    <n v="0"/>
    <n v="0"/>
    <n v="0"/>
  </r>
  <r>
    <s v="ORD-2023-868734"/>
    <x v="363"/>
    <x v="19"/>
    <s v="2023-Q2"/>
    <d v="2023-04-27T00:00:00"/>
    <n v="21"/>
    <s v="NOT ACHIEVED"/>
    <x v="3"/>
    <x v="10"/>
    <s v="Manchester"/>
    <s v="Europe &gt; United Kingdom &gt; Manchester"/>
    <s v="Enterprise"/>
    <s v="Distributor"/>
    <x v="3"/>
    <x v="12"/>
    <x v="5"/>
    <s v="High"/>
    <x v="532"/>
    <n v="1084.79"/>
    <n v="1247.5084999999999"/>
    <n v="2484.9899999999998"/>
    <n v="2484.9899999999998"/>
    <n v="2857.7384999999995"/>
    <n v="3.4000000000000002E-2"/>
    <s v="OK"/>
    <n v="3.4000000000000002E-2"/>
    <n v="3.4000000000000002E-2"/>
    <n v="18"/>
    <n v="21.599999999999998"/>
    <n v="43209.006119999991"/>
    <n v="63825.874754399985"/>
    <n v="19526.22"/>
    <n v="23682.78611999999"/>
    <n v="44299.654754399984"/>
    <n v="0.54809837685755114"/>
    <d v="2023-01-02T00:00:00"/>
    <s v="Jan-2023"/>
    <n v="0"/>
    <n v="0"/>
    <n v="0"/>
  </r>
  <r>
    <s v="ORD-2024-286833"/>
    <x v="406"/>
    <x v="10"/>
    <s v="2024-Q3"/>
    <d v="2024-09-04T00:00:00"/>
    <n v="21"/>
    <s v="NOT ACHIEVED"/>
    <x v="3"/>
    <x v="10"/>
    <s v="Manchester"/>
    <s v="Europe &gt; United Kingdom &gt; Manchester"/>
    <s v="Non-Profit"/>
    <s v="Online"/>
    <x v="1"/>
    <x v="2"/>
    <x v="4"/>
    <s v="High"/>
    <x v="533"/>
    <n v="1138.8"/>
    <n v="1309.6199999999999"/>
    <n v="2250.81"/>
    <n v="2250.81"/>
    <n v="2588.4314999999997"/>
    <n v="0.123"/>
    <s v="OK"/>
    <n v="0.123"/>
    <n v="0.123"/>
    <n v="12"/>
    <n v="14.399999999999999"/>
    <n v="23687.524440000001"/>
    <n v="41858.043472799989"/>
    <n v="13665.599999999999"/>
    <n v="10021.924440000003"/>
    <n v="28192.443472799991"/>
    <n v="0.42308872188756258"/>
    <d v="2023-01-02T00:00:00"/>
    <s v="Jan-2023"/>
    <n v="0"/>
    <n v="0"/>
    <n v="0"/>
  </r>
  <r>
    <s v="ORD-2024-223618"/>
    <x v="407"/>
    <x v="6"/>
    <s v="2024-Q2"/>
    <d v="2024-06-11T00:00:00"/>
    <n v="1"/>
    <s v="ACHIEVED"/>
    <x v="3"/>
    <x v="10"/>
    <s v="Birmingham"/>
    <s v="Europe &gt; United Kingdom &gt; Birmingham"/>
    <s v="Small Business"/>
    <s v="Marketplace"/>
    <x v="2"/>
    <x v="13"/>
    <x v="3"/>
    <s v="High"/>
    <x v="534"/>
    <n v="1187.1300000000001"/>
    <n v="1365.1994999999999"/>
    <n v="1795.17"/>
    <n v="1795.17"/>
    <n v="2064.4454999999998"/>
    <n v="1.2E-2"/>
    <s v="OK"/>
    <n v="1.2E-2"/>
    <n v="1.2E-2"/>
    <n v="17"/>
    <n v="20.399999999999999"/>
    <n v="30151.675319999998"/>
    <n v="42620.064458399989"/>
    <n v="20181.210000000003"/>
    <n v="9970.4653199999957"/>
    <n v="22438.854458399986"/>
    <n v="0.33067699271046663"/>
    <d v="2023-01-02T00:00:00"/>
    <s v="Jan-2023"/>
    <n v="0"/>
    <n v="0"/>
    <n v="0"/>
  </r>
  <r>
    <s v="ORD-2025-184082"/>
    <x v="401"/>
    <x v="31"/>
    <s v="2025-Q2"/>
    <d v="2025-07-12T00:00:00"/>
    <n v="23"/>
    <s v="NOT ACHIEVED"/>
    <x v="3"/>
    <x v="10"/>
    <s v="Unkown"/>
    <s v="Europe &gt; United Kingdom &gt; Unkown"/>
    <s v="Non-Profit"/>
    <s v="Direct"/>
    <x v="4"/>
    <x v="9"/>
    <x v="6"/>
    <s v="High"/>
    <x v="535"/>
    <n v="801.24"/>
    <n v="921.42599999999993"/>
    <n v="1959.09"/>
    <n v="1959.09"/>
    <n v="2252.9534999999996"/>
    <n v="0.123"/>
    <s v="OK"/>
    <n v="0.123"/>
    <n v="0.123"/>
    <n v="23"/>
    <n v="27.599999999999998"/>
    <n v="39516.804389999998"/>
    <n v="69829.843141799982"/>
    <n v="18428.52"/>
    <n v="21088.284389999997"/>
    <n v="51401.323141799978"/>
    <n v="0.53365358650651762"/>
    <d v="2023-01-02T00:00:00"/>
    <s v="Jan-2023"/>
    <n v="0"/>
    <n v="0"/>
    <n v="0"/>
  </r>
  <r>
    <s v="ORD-2025-537785"/>
    <x v="261"/>
    <x v="24"/>
    <s v="2025-Q3"/>
    <d v="2025-08-14T00:00:00"/>
    <n v="9"/>
    <s v="NOT ACHIEVED"/>
    <x v="3"/>
    <x v="10"/>
    <s v="London"/>
    <s v="Europe &gt; United Kingdom &gt; London"/>
    <s v="Non-Profit"/>
    <s v="Direct"/>
    <x v="4"/>
    <x v="11"/>
    <x v="0"/>
    <s v="Low"/>
    <x v="536"/>
    <n v="41.76"/>
    <n v="48.023999999999994"/>
    <n v="45.19"/>
    <n v="45.19"/>
    <n v="51.968499999999992"/>
    <n v="0.17899999999999999"/>
    <s v="OK"/>
    <n v="0.17899999999999999"/>
    <n v="0.17899999999999999"/>
    <n v="23"/>
    <n v="27.599999999999998"/>
    <n v="853.32276999999988"/>
    <n v="1691.0757773999994"/>
    <n v="960.4799999999999"/>
    <n v="-107.15723000000003"/>
    <n v="730.59577739999952"/>
    <n v="-0.12557643340514638"/>
    <d v="2023-01-02T00:00:00"/>
    <s v="Jan-2023"/>
    <n v="0"/>
    <n v="0"/>
    <n v="0"/>
  </r>
  <r>
    <s v="ORD-2023-430904"/>
    <x v="408"/>
    <x v="28"/>
    <s v="2023-Q1"/>
    <d v="2023-01-31T00:00:00"/>
    <n v="4"/>
    <s v="ACHIEVED"/>
    <x v="3"/>
    <x v="10"/>
    <s v="Manchester"/>
    <s v="Europe &gt; United Kingdom &gt; Manchester"/>
    <s v="Enterprise"/>
    <s v="Online"/>
    <x v="1"/>
    <x v="5"/>
    <x v="3"/>
    <s v="Low"/>
    <x v="537"/>
    <n v="941.2"/>
    <n v="1082.3799999999999"/>
    <n v="668.02"/>
    <n v="668.02"/>
    <n v="768.22299999999996"/>
    <n v="0.22"/>
    <s v="OK"/>
    <n v="0.22"/>
    <n v="0.22"/>
    <n v="16"/>
    <n v="19.2"/>
    <n v="8336.8896000000004"/>
    <n v="17994.855551999997"/>
    <n v="15059.2"/>
    <n v="-6722.3104000000003"/>
    <n v="2935.6555519999965"/>
    <n v="-0.80633314371825193"/>
    <d v="2023-01-02T00:00:00"/>
    <s v="Jan-2023"/>
    <n v="0"/>
    <n v="0"/>
    <n v="0"/>
  </r>
  <r>
    <s v="ORD-2024-942981"/>
    <x v="409"/>
    <x v="32"/>
    <s v="2024-Q4"/>
    <d v="2024-11-08T00:00:00"/>
    <n v="30"/>
    <s v="NOT ACHIEVED"/>
    <x v="3"/>
    <x v="10"/>
    <s v="Manchester"/>
    <s v="Europe &gt; United Kingdom &gt; Manchester"/>
    <s v="Small Business"/>
    <s v="Distributor"/>
    <x v="3"/>
    <x v="2"/>
    <x v="0"/>
    <s v="Low"/>
    <x v="538"/>
    <n v="343.85"/>
    <n v="395.42750000000001"/>
    <n v="538.04"/>
    <n v="538.04"/>
    <n v="618.74599999999987"/>
    <n v="0.13900000000000001"/>
    <s v="OK"/>
    <n v="0.13900000000000001"/>
    <n v="0.13900000000000001"/>
    <n v="5"/>
    <n v="6"/>
    <n v="2316.2621999999997"/>
    <n v="4228.5101639999993"/>
    <n v="1719.25"/>
    <n v="597.01219999999967"/>
    <n v="2509.2601639999993"/>
    <n v="0.25774810813732563"/>
    <d v="2023-01-02T00:00:00"/>
    <s v="Jan-2023"/>
    <n v="0"/>
    <n v="0"/>
    <n v="0"/>
  </r>
  <r>
    <s v="ORD-2025-845715"/>
    <x v="410"/>
    <x v="7"/>
    <s v="2025-Q2"/>
    <d v="2025-05-04T00:00:00"/>
    <n v="20"/>
    <s v="NOT ACHIEVED"/>
    <x v="3"/>
    <x v="10"/>
    <s v="Birmingham"/>
    <s v="Europe &gt; United Kingdom &gt; Birmingham"/>
    <s v="Enterprise"/>
    <s v="Marketplace"/>
    <x v="2"/>
    <x v="3"/>
    <x v="2"/>
    <s v="High"/>
    <x v="539"/>
    <n v="1413.87"/>
    <n v="1625.9504999999997"/>
    <n v="3275"/>
    <n v="3275"/>
    <n v="3766.2499999999995"/>
    <n v="0.255"/>
    <s v="OK"/>
    <n v="0.255"/>
    <n v="0.25"/>
    <n v="38"/>
    <n v="45.6"/>
    <n v="92715.25"/>
    <n v="214676.24999999997"/>
    <n v="53727.06"/>
    <n v="38988.19"/>
    <n v="160949.18999999997"/>
    <n v="0.42051539525590453"/>
    <d v="2023-01-02T00:00:00"/>
    <s v="Jan-2023"/>
    <n v="0"/>
    <n v="0"/>
    <n v="0"/>
  </r>
  <r>
    <s v="ORD-2023-664749"/>
    <x v="411"/>
    <x v="21"/>
    <s v="2023-Q3"/>
    <d v="2023-09-11T00:00:00"/>
    <n v="15"/>
    <s v="NOT ACHIEVED"/>
    <x v="3"/>
    <x v="10"/>
    <s v="London"/>
    <s v="Europe &gt; United Kingdom &gt; London"/>
    <s v="Consumer"/>
    <s v="Marketplace"/>
    <x v="2"/>
    <x v="5"/>
    <x v="5"/>
    <s v="High"/>
    <x v="540"/>
    <n v="943.79"/>
    <n v="1085.3584999999998"/>
    <n v="1913.76"/>
    <n v="1913.76"/>
    <n v="2200.8239999999996"/>
    <n v="9.0999999999999998E-2"/>
    <s v="OK"/>
    <n v="9.0999999999999998E-2"/>
    <n v="9.0999999999999998E-2"/>
    <n v="9"/>
    <n v="10.799999999999999"/>
    <n v="15656.47056"/>
    <n v="25931.869027199991"/>
    <n v="8494.11"/>
    <n v="7162.3605599999992"/>
    <n v="17437.759027199991"/>
    <n v="0.45746967891338081"/>
    <d v="2023-01-02T00:00:00"/>
    <s v="Jan-2023"/>
    <n v="0"/>
    <n v="0"/>
    <n v="0"/>
  </r>
  <r>
    <s v="ORD-2023-197661"/>
    <x v="412"/>
    <x v="21"/>
    <s v="2023-Q3"/>
    <d v="2023-08-22T00:00:00"/>
    <n v="14"/>
    <s v="NOT ACHIEVED"/>
    <x v="3"/>
    <x v="10"/>
    <s v="Birmingham"/>
    <s v="Europe &gt; United Kingdom &gt; Birmingham"/>
    <s v="Non-Profit"/>
    <s v="Direct"/>
    <x v="4"/>
    <x v="5"/>
    <x v="2"/>
    <s v="Medium"/>
    <x v="541"/>
    <n v="446.69"/>
    <n v="513.69349999999997"/>
    <n v="967.25"/>
    <n v="967.25"/>
    <n v="1112.3374999999999"/>
    <n v="9.4E-2"/>
    <s v="OK"/>
    <n v="9.4E-2"/>
    <n v="9.4E-2"/>
    <n v="10"/>
    <n v="12"/>
    <n v="8763.2849999999999"/>
    <n v="14602.7667"/>
    <n v="4466.8999999999996"/>
    <n v="4296.3850000000002"/>
    <n v="10135.8667"/>
    <n v="0.49027105702941309"/>
    <d v="2023-01-02T00:00:00"/>
    <s v="Jan-2023"/>
    <n v="0"/>
    <n v="0"/>
    <n v="0"/>
  </r>
  <r>
    <s v="ORD-2025-964661"/>
    <x v="413"/>
    <x v="8"/>
    <s v="2025-Q1"/>
    <d v="2025-02-25T00:00:00"/>
    <n v="21"/>
    <s v="NOT ACHIEVED"/>
    <x v="3"/>
    <x v="10"/>
    <s v="Birmingham"/>
    <s v="Europe &gt; United Kingdom &gt; Birmingham"/>
    <s v="Corporate"/>
    <s v="Marketplace"/>
    <x v="2"/>
    <x v="14"/>
    <x v="2"/>
    <s v="High"/>
    <x v="542"/>
    <n v="1016.32"/>
    <n v="1168.768"/>
    <n v="2253.42"/>
    <n v="2253.42"/>
    <n v="2591.433"/>
    <n v="5.5E-2"/>
    <s v="OK"/>
    <n v="5.5E-2"/>
    <n v="5.5E-2"/>
    <n v="12"/>
    <n v="14.399999999999999"/>
    <n v="25553.782800000001"/>
    <n v="39369.050135999998"/>
    <n v="12195.84"/>
    <n v="13357.942800000001"/>
    <n v="27173.210135999998"/>
    <n v="0.52273837124419797"/>
    <d v="2023-01-02T00:00:00"/>
    <s v="Jan-2023"/>
    <n v="0"/>
    <n v="0"/>
    <n v="0"/>
  </r>
  <r>
    <s v="ORD-2023-920483"/>
    <x v="414"/>
    <x v="14"/>
    <s v="2023-Q3"/>
    <d v="2023-08-01T00:00:00"/>
    <n v="30"/>
    <s v="NOT ACHIEVED"/>
    <x v="3"/>
    <x v="10"/>
    <s v="Birmingham"/>
    <s v="Europe &gt; United Kingdom &gt; Birmingham"/>
    <s v="Small Business"/>
    <s v="Retail"/>
    <x v="0"/>
    <x v="6"/>
    <x v="0"/>
    <s v="Low"/>
    <x v="543"/>
    <n v="137.46"/>
    <n v="158.07900000000001"/>
    <n v="188.3"/>
    <n v="188.3"/>
    <n v="216.54499999999999"/>
    <n v="3.7999999999999999E-2"/>
    <s v="OK"/>
    <n v="3.7999999999999999E-2"/>
    <n v="3.7999999999999999E-2"/>
    <n v="37"/>
    <n v="44.4"/>
    <n v="6702.3501999999999"/>
    <n v="9979.9527240000007"/>
    <n v="5086.0200000000004"/>
    <n v="1616.3301999999994"/>
    <n v="4893.9327240000002"/>
    <n v="0.24115872071262398"/>
    <d v="2023-01-02T00:00:00"/>
    <s v="Jan-2023"/>
    <n v="0"/>
    <n v="0"/>
    <n v="0"/>
  </r>
  <r>
    <s v="ORD-2023-501220"/>
    <x v="26"/>
    <x v="19"/>
    <s v="2023-Q2"/>
    <d v="2023-05-07T00:00:00"/>
    <n v="18"/>
    <s v="NOT ACHIEVED"/>
    <x v="3"/>
    <x v="10"/>
    <s v="Birmingham"/>
    <s v="Europe &gt; United Kingdom &gt; Birmingham"/>
    <s v="Enterprise"/>
    <s v="Retail"/>
    <x v="0"/>
    <x v="5"/>
    <x v="3"/>
    <s v="Medium"/>
    <x v="544"/>
    <n v="1089.1500000000001"/>
    <n v="1252.5225"/>
    <n v="1088.2"/>
    <n v="1088.2"/>
    <n v="1251.43"/>
    <n v="5.0999999999999997E-2"/>
    <s v="OK"/>
    <n v="5.0999999999999997E-2"/>
    <n v="5.0999999999999997E-2"/>
    <n v="15"/>
    <n v="18"/>
    <n v="15490.527"/>
    <n v="23674.552739999999"/>
    <n v="16337.250000000002"/>
    <n v="-846.72300000000178"/>
    <n v="7337.3027399999974"/>
    <n v="-5.4660696824582002E-2"/>
    <d v="2023-01-02T00:00:00"/>
    <s v="Jan-2023"/>
    <n v="0"/>
    <n v="0"/>
    <n v="0"/>
  </r>
  <r>
    <s v="ORD-2023-256951"/>
    <x v="26"/>
    <x v="19"/>
    <s v="2023-Q2"/>
    <d v="2023-05-07T00:00:00"/>
    <n v="18"/>
    <s v="NOT ACHIEVED"/>
    <x v="3"/>
    <x v="10"/>
    <s v="London"/>
    <s v="Europe &gt; United Kingdom &gt; London"/>
    <s v="Non-Profit"/>
    <s v="Direct"/>
    <x v="4"/>
    <x v="15"/>
    <x v="6"/>
    <s v="Low"/>
    <x v="545"/>
    <n v="516.96"/>
    <n v="594.50400000000002"/>
    <n v="745.38"/>
    <n v="745.38"/>
    <n v="857.1869999999999"/>
    <n v="0.19700000000000001"/>
    <s v="OK"/>
    <n v="0.19700000000000001"/>
    <n v="0.19700000000000001"/>
    <n v="4"/>
    <n v="4.8"/>
    <n v="2394.1605599999998"/>
    <n v="4925.0536271999999"/>
    <n v="2067.84"/>
    <n v="326.32055999999966"/>
    <n v="2857.2136271999998"/>
    <n v="0.13629852794835101"/>
    <d v="2023-01-02T00:00:00"/>
    <s v="Jan-2023"/>
    <n v="0"/>
    <n v="0"/>
    <n v="0"/>
  </r>
  <r>
    <s v="ORD-2024-500511"/>
    <x v="415"/>
    <x v="32"/>
    <s v="2024-Q4"/>
    <d v="2024-10-08T00:00:00"/>
    <n v="0"/>
    <s v="ACHIEVED"/>
    <x v="3"/>
    <x v="10"/>
    <s v="London"/>
    <s v="Europe &gt; United Kingdom &gt; London"/>
    <s v="Corporate"/>
    <s v="Online"/>
    <x v="1"/>
    <x v="11"/>
    <x v="2"/>
    <s v="High"/>
    <x v="546"/>
    <n v="1108.1099999999999"/>
    <n v="1274.3264999999999"/>
    <n v="2503.79"/>
    <n v="2503.79"/>
    <n v="2879.3584999999998"/>
    <n v="0.184"/>
    <s v="OK"/>
    <n v="0.184"/>
    <n v="0.184"/>
    <n v="19"/>
    <n v="22.8"/>
    <n v="38818.760160000005"/>
    <n v="77728.858579199994"/>
    <n v="21054.089999999997"/>
    <n v="17764.670160000009"/>
    <n v="56674.768579199997"/>
    <n v="0.45763105485025896"/>
    <d v="2023-01-02T00:00:00"/>
    <s v="Jan-2023"/>
    <n v="0"/>
    <n v="0"/>
    <n v="0"/>
  </r>
  <r>
    <s v="ORD-2023-667815"/>
    <x v="416"/>
    <x v="20"/>
    <s v="2023-Q4"/>
    <d v="2023-11-09T00:00:00"/>
    <n v="19"/>
    <s v="NOT ACHIEVED"/>
    <x v="3"/>
    <x v="10"/>
    <s v="London"/>
    <s v="Europe &gt; United Kingdom &gt; London"/>
    <s v="Non-Profit"/>
    <s v="Direct"/>
    <x v="4"/>
    <x v="1"/>
    <x v="1"/>
    <s v="High"/>
    <x v="547"/>
    <n v="1142.48"/>
    <n v="1313.8519999999999"/>
    <n v="2105.5300000000002"/>
    <n v="2105.5300000000002"/>
    <n v="2421.3595"/>
    <n v="0.20699999999999999"/>
    <s v="OK"/>
    <n v="0.20699999999999999"/>
    <n v="0.20699999999999999"/>
    <n v="14"/>
    <n v="16.8"/>
    <n v="23375.594060000003"/>
    <n v="49099.359397200002"/>
    <n v="15994.720000000001"/>
    <n v="7380.8740600000019"/>
    <n v="33104.639397200001"/>
    <n v="0.31575129346680658"/>
    <d v="2023-01-02T00:00:00"/>
    <s v="Jan-2023"/>
    <n v="0"/>
    <n v="0"/>
    <n v="0"/>
  </r>
  <r>
    <s v="ORD-2023-375011"/>
    <x v="417"/>
    <x v="21"/>
    <s v="2023-Q3"/>
    <d v="2023-09-22T00:00:00"/>
    <n v="30"/>
    <s v="NOT ACHIEVED"/>
    <x v="3"/>
    <x v="10"/>
    <s v="London"/>
    <s v="Europe &gt; United Kingdom &gt; London"/>
    <s v="Consumer"/>
    <s v="Distributor"/>
    <x v="3"/>
    <x v="7"/>
    <x v="1"/>
    <s v="Low"/>
    <x v="548"/>
    <n v="209.81"/>
    <n v="241.28149999999999"/>
    <n v="523"/>
    <n v="523"/>
    <n v="601.44999999999993"/>
    <n v="5.8999999999999997E-2"/>
    <s v="OK"/>
    <n v="5.8999999999999997E-2"/>
    <n v="5.8999999999999997E-2"/>
    <n v="15"/>
    <n v="18"/>
    <n v="7382.1450000000004"/>
    <n v="11464.839899999997"/>
    <n v="3147.15"/>
    <n v="4234.9950000000008"/>
    <n v="8317.6898999999976"/>
    <n v="0.57368082041195356"/>
    <d v="2023-01-02T00:00:00"/>
    <s v="Jan-2023"/>
    <n v="0"/>
    <n v="0"/>
    <n v="0"/>
  </r>
  <r>
    <s v="ORD-2025-278048"/>
    <x v="418"/>
    <x v="31"/>
    <s v="2025-Q2"/>
    <d v="2025-07-08T00:00:00"/>
    <n v="16"/>
    <s v="NOT ACHIEVED"/>
    <x v="3"/>
    <x v="10"/>
    <s v="London"/>
    <s v="Europe &gt; United Kingdom &gt; London"/>
    <s v="Education"/>
    <s v="Direct"/>
    <x v="4"/>
    <x v="1"/>
    <x v="4"/>
    <s v="Medium"/>
    <x v="549"/>
    <n v="892.73"/>
    <n v="1026.6395"/>
    <n v="979.84"/>
    <n v="979.84"/>
    <n v="1126.816"/>
    <n v="0.17399999999999999"/>
    <s v="OK"/>
    <n v="0.17399999999999999"/>
    <n v="0.17399999999999999"/>
    <n v="10"/>
    <n v="12"/>
    <n v="8093.4784"/>
    <n v="15874.583808000001"/>
    <n v="8927.2999999999993"/>
    <n v="-833.82159999999931"/>
    <n v="6947.283808000002"/>
    <n v="-0.10302388649112838"/>
    <d v="2023-01-02T00:00:00"/>
    <s v="Jan-2023"/>
    <n v="0"/>
    <n v="0"/>
    <n v="0"/>
  </r>
  <r>
    <s v="ORD-2024-165942"/>
    <x v="419"/>
    <x v="30"/>
    <s v="2024-Q4"/>
    <d v="2025-01-12T00:00:00"/>
    <n v="14"/>
    <s v="NOT ACHIEVED"/>
    <x v="3"/>
    <x v="10"/>
    <s v="Manchester"/>
    <s v="Europe &gt; United Kingdom &gt; Manchester"/>
    <s v="Corporate"/>
    <s v="Direct"/>
    <x v="4"/>
    <x v="6"/>
    <x v="2"/>
    <s v="High"/>
    <x v="550"/>
    <n v="1399.72"/>
    <n v="1609.6779999999999"/>
    <n v="3149.21"/>
    <n v="3149.21"/>
    <n v="3621.5914999999995"/>
    <n v="0.185"/>
    <s v="OK"/>
    <n v="0.185"/>
    <n v="0.185"/>
    <n v="12"/>
    <n v="14.399999999999999"/>
    <n v="30799.273800000003"/>
    <n v="61798.837355999989"/>
    <n v="16796.64"/>
    <n v="14002.633800000003"/>
    <n v="45002.19735599999"/>
    <n v="0.45464168703873797"/>
    <d v="2023-01-02T00:00:00"/>
    <s v="Jan-2023"/>
    <n v="0"/>
    <n v="0"/>
    <n v="0"/>
  </r>
  <r>
    <s v="ORD-2024-925626"/>
    <x v="183"/>
    <x v="13"/>
    <s v="2024-Q4"/>
    <d v="2024-11-05T00:00:00"/>
    <n v="1"/>
    <s v="ACHIEVED"/>
    <x v="3"/>
    <x v="10"/>
    <s v="London"/>
    <s v="Europe &gt; United Kingdom &gt; London"/>
    <s v="Corporate"/>
    <s v="Retail"/>
    <x v="0"/>
    <x v="13"/>
    <x v="5"/>
    <s v="Medium"/>
    <x v="551"/>
    <n v="840.68"/>
    <n v="966.78199999999981"/>
    <n v="1493.53"/>
    <n v="1493.53"/>
    <n v="1717.5594999999998"/>
    <n v="0"/>
    <s v="OK"/>
    <n v="0"/>
    <n v="0"/>
    <n v="27"/>
    <n v="32.4"/>
    <n v="40325.31"/>
    <n v="55648.92779999999"/>
    <n v="22698.359999999997"/>
    <n v="17626.95"/>
    <n v="32950.56779999999"/>
    <n v="0.43711877230454027"/>
    <d v="2023-01-02T00:00:00"/>
    <s v="Jan-2023"/>
    <n v="0"/>
    <n v="0"/>
    <n v="0"/>
  </r>
  <r>
    <s v="ORD-2025-737787"/>
    <x v="393"/>
    <x v="3"/>
    <s v="2025-Q3"/>
    <d v="2025-09-26T00:00:00"/>
    <n v="12"/>
    <s v="NOT ACHIEVED"/>
    <x v="3"/>
    <x v="10"/>
    <s v="London"/>
    <s v="Europe &gt; United Kingdom &gt; London"/>
    <s v="Small Business"/>
    <s v="Direct"/>
    <x v="4"/>
    <x v="5"/>
    <x v="6"/>
    <s v="Medium"/>
    <x v="552"/>
    <n v="425.15"/>
    <n v="488.92249999999996"/>
    <n v="885.92"/>
    <n v="885.92"/>
    <n v="1018.8079999999999"/>
    <n v="0.23899999999999999"/>
    <s v="OK"/>
    <n v="0.23899999999999999"/>
    <n v="0.23899999999999999"/>
    <n v="13"/>
    <n v="15.6"/>
    <n v="8764.4065599999994"/>
    <n v="19691.928547199997"/>
    <n v="5526.95"/>
    <n v="3237.4565599999996"/>
    <n v="14164.978547199997"/>
    <n v="0.3693868532725848"/>
    <d v="2023-01-02T00:00:00"/>
    <s v="Jan-2023"/>
    <n v="0"/>
    <n v="0"/>
    <n v="0"/>
  </r>
  <r>
    <s v="ORD-2023-181257"/>
    <x v="420"/>
    <x v="18"/>
    <s v="2023-Q4"/>
    <d v="2023-12-06T00:00:00"/>
    <n v="21"/>
    <s v="NOT ACHIEVED"/>
    <x v="3"/>
    <x v="10"/>
    <s v="Manchester"/>
    <s v="Europe &gt; United Kingdom &gt; Manchester"/>
    <s v="Education"/>
    <s v="Direct"/>
    <x v="4"/>
    <x v="15"/>
    <x v="1"/>
    <s v="Medium"/>
    <x v="553"/>
    <n v="1184.99"/>
    <n v="1362.7384999999999"/>
    <n v="1154.3399999999999"/>
    <n v="1154.3399999999999"/>
    <n v="1327.4909999999998"/>
    <n v="2.8000000000000001E-2"/>
    <s v="OK"/>
    <n v="2.8000000000000001E-2"/>
    <n v="2.8000000000000001E-2"/>
    <n v="5"/>
    <n v="6"/>
    <n v="5610.0923999999995"/>
    <n v="8187.9644879999978"/>
    <n v="5924.95"/>
    <n v="-314.85760000000028"/>
    <n v="2263.014487999998"/>
    <n v="-5.6123424990290764E-2"/>
    <d v="2023-01-02T00:00:00"/>
    <s v="Jan-2023"/>
    <n v="0"/>
    <n v="0"/>
    <n v="0"/>
  </r>
  <r>
    <s v="ORD-2023-735274"/>
    <x v="60"/>
    <x v="5"/>
    <s v="2023-Q1"/>
    <d v="2023-03-08T00:00:00"/>
    <n v="13"/>
    <s v="NOT ACHIEVED"/>
    <x v="3"/>
    <x v="10"/>
    <s v="Manchester"/>
    <s v="Europe &gt; United Kingdom &gt; Manchester"/>
    <s v="Small Business"/>
    <s v="Direct"/>
    <x v="4"/>
    <x v="0"/>
    <x v="5"/>
    <s v="Low"/>
    <x v="554"/>
    <n v="307.37"/>
    <n v="353.47549999999995"/>
    <n v="462.61"/>
    <n v="462.61"/>
    <n v="532.00149999999996"/>
    <n v="0.188"/>
    <s v="OK"/>
    <n v="0.188"/>
    <n v="0.188"/>
    <n v="11"/>
    <n v="13.2"/>
    <n v="4132.0325200000007"/>
    <n v="8342.6347223999983"/>
    <n v="3381.07"/>
    <n v="750.9625200000005"/>
    <n v="4961.5647223999986"/>
    <n v="0.18174167709599739"/>
    <d v="2023-01-02T00:00:00"/>
    <s v="Jan-2023"/>
    <n v="0"/>
    <n v="0"/>
    <n v="0"/>
  </r>
  <r>
    <s v="ORD-2024-921935"/>
    <x v="421"/>
    <x v="22"/>
    <s v="2024-Q1"/>
    <d v="2024-01-27T00:00:00"/>
    <n v="26"/>
    <s v="NOT ACHIEVED"/>
    <x v="3"/>
    <x v="10"/>
    <s v="Manchester"/>
    <s v="Europe &gt; United Kingdom &gt; Manchester"/>
    <s v="Education"/>
    <s v="Distributor"/>
    <x v="3"/>
    <x v="14"/>
    <x v="1"/>
    <s v="Medium"/>
    <x v="555"/>
    <n v="657.45"/>
    <n v="756.0675"/>
    <n v="1325.96"/>
    <n v="1325.96"/>
    <n v="1524.8539999999998"/>
    <n v="0.16700000000000001"/>
    <s v="OK"/>
    <n v="0.16700000000000001"/>
    <n v="0.16700000000000001"/>
    <n v="21"/>
    <n v="25.2"/>
    <n v="23195.01828"/>
    <n v="44843.516373599996"/>
    <n v="13806.45"/>
    <n v="9388.5682799999995"/>
    <n v="31037.066373599995"/>
    <n v="0.40476658249048808"/>
    <d v="2023-01-02T00:00:00"/>
    <s v="Jan-2023"/>
    <n v="0"/>
    <n v="0"/>
    <n v="0"/>
  </r>
  <r>
    <s v="ORD-2024-704056"/>
    <x v="368"/>
    <x v="6"/>
    <s v="2024-Q2"/>
    <d v="2024-06-25T00:00:00"/>
    <n v="2"/>
    <s v="ACHIEVED"/>
    <x v="3"/>
    <x v="10"/>
    <s v="Birmingham"/>
    <s v="Europe &gt; United Kingdom &gt; Birmingham"/>
    <s v="Small Business"/>
    <s v="Marketplace"/>
    <x v="2"/>
    <x v="10"/>
    <x v="1"/>
    <s v="High"/>
    <x v="556"/>
    <n v="951.44"/>
    <n v="1094.1559999999999"/>
    <n v="1646.43"/>
    <n v="1646.43"/>
    <n v="1893.3944999999999"/>
    <n v="0.11"/>
    <s v="OK"/>
    <n v="0.11"/>
    <n v="0.11"/>
    <n v="24"/>
    <n v="28.799999999999997"/>
    <n v="35167.7448"/>
    <n v="60528.035375999993"/>
    <n v="22834.560000000001"/>
    <n v="12333.184799999999"/>
    <n v="37693.475375999988"/>
    <n v="0.35069592520473475"/>
    <d v="2023-01-02T00:00:00"/>
    <s v="Jan-2023"/>
    <n v="0"/>
    <n v="0"/>
    <n v="0"/>
  </r>
  <r>
    <s v="ORD-2025-591006"/>
    <x v="422"/>
    <x v="31"/>
    <s v="2025-Q2"/>
    <d v="2025-07-10T00:00:00"/>
    <n v="15"/>
    <s v="NOT ACHIEVED"/>
    <x v="3"/>
    <x v="10"/>
    <s v="Birmingham"/>
    <s v="Europe &gt; United Kingdom &gt; Birmingham"/>
    <s v="Non-Profit"/>
    <s v="Marketplace"/>
    <x v="2"/>
    <x v="14"/>
    <x v="4"/>
    <s v="Low"/>
    <x v="557"/>
    <n v="546.83000000000004"/>
    <n v="628.85450000000003"/>
    <n v="400.84"/>
    <n v="400.84"/>
    <n v="460.96599999999995"/>
    <n v="7.8E-2"/>
    <s v="OK"/>
    <n v="7.8E-2"/>
    <n v="7.8E-2"/>
    <n v="13"/>
    <n v="15.6"/>
    <n v="4804.4682400000002"/>
    <n v="7751.9730287999992"/>
    <n v="7108.7900000000009"/>
    <n v="-2304.3217600000007"/>
    <n v="643.18302879999828"/>
    <n v="-0.47962056254533608"/>
    <d v="2023-01-02T00:00:00"/>
    <s v="Jan-2023"/>
    <n v="0"/>
    <n v="0"/>
    <n v="0"/>
  </r>
  <r>
    <s v="ORD-2023-386663"/>
    <x v="423"/>
    <x v="11"/>
    <s v="2023-Q2"/>
    <d v="2023-06-28T00:00:00"/>
    <n v="23"/>
    <s v="NOT ACHIEVED"/>
    <x v="3"/>
    <x v="10"/>
    <s v="Birmingham"/>
    <s v="Europe &gt; United Kingdom &gt; Birmingham"/>
    <s v="Corporate"/>
    <s v="Direct"/>
    <x v="4"/>
    <x v="3"/>
    <x v="5"/>
    <s v="Low"/>
    <x v="558"/>
    <n v="605.82000000000005"/>
    <n v="696.69299999999998"/>
    <n v="771.12"/>
    <n v="771.12"/>
    <n v="886.7879999999999"/>
    <n v="0.13200000000000001"/>
    <s v="OK"/>
    <n v="0.13200000000000001"/>
    <n v="0.13200000000000001"/>
    <n v="19"/>
    <n v="22.8"/>
    <n v="12717.311040000001"/>
    <n v="22887.643564799997"/>
    <n v="11510.580000000002"/>
    <n v="1206.7310399999988"/>
    <n v="11377.063564799995"/>
    <n v="9.4888851597986767E-2"/>
    <d v="2023-01-02T00:00:00"/>
    <s v="Jan-2023"/>
    <n v="0"/>
    <n v="0"/>
    <n v="0"/>
  </r>
  <r>
    <s v="ORD-2025-269934"/>
    <x v="209"/>
    <x v="7"/>
    <s v="2025-Q2"/>
    <d v="2025-04-10T00:00:00"/>
    <n v="6"/>
    <s v="ACHIEVED"/>
    <x v="3"/>
    <x v="10"/>
    <s v="Birmingham"/>
    <s v="Europe &gt; United Kingdom &gt; Birmingham"/>
    <s v="Non-Profit"/>
    <s v="Direct"/>
    <x v="4"/>
    <x v="5"/>
    <x v="5"/>
    <s v="Low"/>
    <x v="559"/>
    <n v="290.14"/>
    <n v="333.66099999999994"/>
    <n v="250.73"/>
    <n v="250.73"/>
    <n v="288.33949999999999"/>
    <n v="3.4000000000000002E-2"/>
    <s v="OK"/>
    <n v="3.4000000000000002E-2"/>
    <n v="3.4000000000000002E-2"/>
    <n v="17"/>
    <n v="20.399999999999999"/>
    <n v="4117.4880599999997"/>
    <n v="6082.1180771999989"/>
    <n v="4932.38"/>
    <n v="-814.89194000000043"/>
    <n v="1149.7380771999988"/>
    <n v="-0.19790997038131072"/>
    <d v="2023-01-02T00:00:00"/>
    <s v="Jan-2023"/>
    <n v="0"/>
    <n v="0"/>
    <n v="0"/>
  </r>
  <r>
    <s v="ORD-2025-192876"/>
    <x v="424"/>
    <x v="25"/>
    <s v="2025-Q1"/>
    <d v="2025-02-17T00:00:00"/>
    <n v="17"/>
    <s v="NOT ACHIEVED"/>
    <x v="3"/>
    <x v="10"/>
    <s v="London"/>
    <s v="Europe &gt; United Kingdom &gt; London"/>
    <s v="Enterprise"/>
    <s v="Retail"/>
    <x v="0"/>
    <x v="15"/>
    <x v="0"/>
    <s v="Low"/>
    <x v="530"/>
    <n v="378.26"/>
    <n v="434.99899999999997"/>
    <n v="541.55999999999995"/>
    <n v="541.55999999999995"/>
    <n v="622.79399999999987"/>
    <n v="0.16300000000000001"/>
    <s v="OK"/>
    <n v="0.16300000000000001"/>
    <n v="0.16300000000000001"/>
    <n v="25"/>
    <n v="30"/>
    <n v="11332.142999999998"/>
    <n v="21729.282659999997"/>
    <n v="9456.5"/>
    <n v="1875.6429999999982"/>
    <n v="12272.782659999997"/>
    <n v="0.16551529573885526"/>
    <d v="2023-01-02T00:00:00"/>
    <s v="Jan-2023"/>
    <n v="0"/>
    <n v="0"/>
    <n v="0"/>
  </r>
  <r>
    <s v="ORD-2025-789245"/>
    <x v="298"/>
    <x v="4"/>
    <s v="2025-Q3"/>
    <d v="2025-08-17T00:00:00"/>
    <n v="25"/>
    <s v="NOT ACHIEVED"/>
    <x v="3"/>
    <x v="10"/>
    <s v="Birmingham"/>
    <s v="Europe &gt; United Kingdom &gt; Birmingham"/>
    <s v="Education"/>
    <s v="Online"/>
    <x v="1"/>
    <x v="12"/>
    <x v="5"/>
    <s v="Medium"/>
    <x v="560"/>
    <n v="1142.06"/>
    <n v="1313.3689999999999"/>
    <n v="1455"/>
    <n v="1455"/>
    <n v="1673.2499999999998"/>
    <n v="7.8E-2"/>
    <s v="OK"/>
    <n v="7.8E-2"/>
    <n v="7.8E-2"/>
    <n v="28"/>
    <n v="33.6"/>
    <n v="37562.28"/>
    <n v="60606.453600000001"/>
    <n v="31977.68"/>
    <n v="5584.5999999999985"/>
    <n v="28628.7736"/>
    <n v="0.1486757459877302"/>
    <d v="2023-01-02T00:00:00"/>
    <s v="Jan-2023"/>
    <n v="0"/>
    <n v="0"/>
    <n v="0"/>
  </r>
  <r>
    <s v="ORD-2023-927385"/>
    <x v="425"/>
    <x v="26"/>
    <s v="2023-Q2"/>
    <d v="2023-06-20T00:00:00"/>
    <n v="22"/>
    <s v="NOT ACHIEVED"/>
    <x v="3"/>
    <x v="10"/>
    <s v="London"/>
    <s v="Europe &gt; United Kingdom &gt; London"/>
    <s v="Small Business"/>
    <s v="Direct"/>
    <x v="4"/>
    <x v="3"/>
    <x v="0"/>
    <s v="High"/>
    <x v="561"/>
    <n v="1295.3900000000001"/>
    <n v="1489.6985"/>
    <n v="2905.06"/>
    <n v="2905.06"/>
    <n v="3340.8189999999995"/>
    <n v="0.14799999999999999"/>
    <s v="OK"/>
    <n v="0.14799999999999999"/>
    <n v="0.14799999999999999"/>
    <n v="8"/>
    <n v="9.6"/>
    <n v="19800.88896"/>
    <n v="36818.498035199991"/>
    <n v="10363.120000000001"/>
    <n v="9437.7689599999994"/>
    <n v="26455.378035199989"/>
    <n v="0.47663359857556614"/>
    <d v="2023-01-02T00:00:00"/>
    <s v="Jan-2023"/>
    <n v="0"/>
    <n v="0"/>
    <n v="0"/>
  </r>
  <r>
    <s v="ORD-2023-659070"/>
    <x v="416"/>
    <x v="20"/>
    <s v="2023-Q4"/>
    <d v="2023-10-21T00:00:00"/>
    <n v="0"/>
    <s v="ACHIEVED"/>
    <x v="3"/>
    <x v="10"/>
    <s v="Manchester"/>
    <s v="Europe &gt; United Kingdom &gt; Manchester"/>
    <s v="Enterprise"/>
    <s v="Distributor"/>
    <x v="3"/>
    <x v="2"/>
    <x v="2"/>
    <s v="Low"/>
    <x v="562"/>
    <n v="384.19"/>
    <n v="441.81849999999997"/>
    <n v="278.35000000000002"/>
    <n v="278.35000000000002"/>
    <n v="320.10250000000002"/>
    <n v="5.6000000000000001E-2"/>
    <s v="OK"/>
    <n v="5.6000000000000001E-2"/>
    <n v="5.6000000000000001E-2"/>
    <n v="10"/>
    <n v="12"/>
    <n v="2627.6239999999998"/>
    <n v="4056.3388800000007"/>
    <n v="3841.9"/>
    <n v="-1214.2760000000003"/>
    <n v="214.43888000000061"/>
    <n v="-0.46211938998882657"/>
    <d v="2023-01-02T00:00:00"/>
    <s v="Jan-2023"/>
    <n v="0"/>
    <n v="0"/>
    <n v="0"/>
  </r>
  <r>
    <s v="ORD-2023-780206"/>
    <x v="426"/>
    <x v="28"/>
    <s v="2023-Q1"/>
    <d v="2023-02-03T00:00:00"/>
    <n v="15"/>
    <s v="NOT ACHIEVED"/>
    <x v="3"/>
    <x v="10"/>
    <s v="London"/>
    <s v="Europe &gt; United Kingdom &gt; London"/>
    <s v="Enterprise"/>
    <s v="Distributor"/>
    <x v="3"/>
    <x v="4"/>
    <x v="1"/>
    <s v="High"/>
    <x v="563"/>
    <n v="873.06"/>
    <n v="1004.0189999999999"/>
    <n v="2101.5500000000002"/>
    <n v="2101.5500000000002"/>
    <n v="2416.7824999999998"/>
    <n v="6.6000000000000003E-2"/>
    <s v="OK"/>
    <n v="6.6000000000000003E-2"/>
    <n v="6.6000000000000003E-2"/>
    <n v="10"/>
    <n v="12"/>
    <n v="19628.476999999999"/>
    <n v="30915.481739999999"/>
    <n v="8730.5999999999985"/>
    <n v="10897.877"/>
    <n v="22184.881740000001"/>
    <n v="0.55520746719167269"/>
    <d v="2023-01-02T00:00:00"/>
    <s v="Jan-2023"/>
    <n v="0"/>
    <n v="0"/>
    <n v="0"/>
  </r>
  <r>
    <s v="ORD-2024-641220"/>
    <x v="427"/>
    <x v="16"/>
    <s v="2024-Q2"/>
    <d v="2024-05-16T00:00:00"/>
    <n v="6"/>
    <s v="ACHIEVED"/>
    <x v="3"/>
    <x v="10"/>
    <s v="Birmingham"/>
    <s v="Europe &gt; United Kingdom &gt; Birmingham"/>
    <s v="Non-Profit"/>
    <s v="Direct"/>
    <x v="4"/>
    <x v="4"/>
    <x v="3"/>
    <s v="Low"/>
    <x v="564"/>
    <n v="210.76"/>
    <n v="242.37399999999997"/>
    <n v="221.58"/>
    <n v="221.58"/>
    <n v="254.81700000000001"/>
    <n v="8.8999999999999996E-2"/>
    <s v="OK"/>
    <n v="8.8999999999999996E-2"/>
    <n v="8.8999999999999996E-2"/>
    <n v="5"/>
    <n v="6"/>
    <n v="1009.2969000000002"/>
    <n v="1664.9742779999999"/>
    <n v="1053.8"/>
    <n v="-44.50309999999979"/>
    <n v="611.17427799999996"/>
    <n v="-4.4093170205912434E-2"/>
    <d v="2023-01-02T00:00:00"/>
    <s v="Jan-2023"/>
    <n v="0"/>
    <n v="0"/>
    <n v="0"/>
  </r>
  <r>
    <s v="ORD-2023-569862"/>
    <x v="428"/>
    <x v="14"/>
    <s v="2023-Q3"/>
    <d v="2023-08-13T00:00:00"/>
    <n v="28"/>
    <s v="NOT ACHIEVED"/>
    <x v="3"/>
    <x v="10"/>
    <s v="Manchester"/>
    <s v="Europe &gt; United Kingdom &gt; Manchester"/>
    <s v="Non-Profit"/>
    <s v="Online"/>
    <x v="1"/>
    <x v="2"/>
    <x v="3"/>
    <s v="High"/>
    <x v="565"/>
    <n v="1039.03"/>
    <n v="1194.8844999999999"/>
    <n v="2545.81"/>
    <n v="2545.81"/>
    <n v="2927.6814999999997"/>
    <n v="0.216"/>
    <s v="OK"/>
    <n v="0.216"/>
    <n v="0.216"/>
    <n v="21"/>
    <n v="25.2"/>
    <n v="41914.215840000004"/>
    <n v="89713.529740799975"/>
    <n v="21819.63"/>
    <n v="20094.585840000003"/>
    <n v="67893.89974079997"/>
    <n v="0.47942172929364774"/>
    <d v="2023-01-02T00:00:00"/>
    <s v="Jan-2023"/>
    <n v="0"/>
    <n v="0"/>
    <n v="0"/>
  </r>
  <r>
    <s v="ORD-2024-973420"/>
    <x v="429"/>
    <x v="16"/>
    <s v="2024-Q2"/>
    <d v="2024-05-24T00:00:00"/>
    <n v="12"/>
    <s v="NOT ACHIEVED"/>
    <x v="3"/>
    <x v="10"/>
    <s v="Manchester"/>
    <s v="Europe &gt; United Kingdom &gt; Manchester"/>
    <s v="Education"/>
    <s v="Marketplace"/>
    <x v="2"/>
    <x v="3"/>
    <x v="5"/>
    <s v="Low"/>
    <x v="566"/>
    <n v="111.02"/>
    <n v="127.67299999999999"/>
    <n v="172.88"/>
    <n v="172.88"/>
    <n v="198.81199999999998"/>
    <n v="0.19700000000000001"/>
    <s v="OK"/>
    <n v="0.19700000000000001"/>
    <n v="0.19700000000000001"/>
    <n v="29"/>
    <n v="34.799999999999997"/>
    <n v="4025.8565599999993"/>
    <n v="8281.6331471999983"/>
    <n v="3219.58"/>
    <n v="806.27655999999934"/>
    <n v="5062.0531471999984"/>
    <n v="0.20027453735212053"/>
    <d v="2023-01-02T00:00:00"/>
    <s v="Jan-2023"/>
    <n v="0"/>
    <n v="0"/>
    <n v="0"/>
  </r>
  <r>
    <s v="ORD-2024-728474"/>
    <x v="37"/>
    <x v="17"/>
    <s v="2024-Q3"/>
    <d v="2024-09-13T00:00:00"/>
    <n v="4"/>
    <s v="ACHIEVED"/>
    <x v="3"/>
    <x v="10"/>
    <s v="London"/>
    <s v="Europe &gt; United Kingdom &gt; London"/>
    <s v="Consumer"/>
    <s v="Marketplace"/>
    <x v="2"/>
    <x v="8"/>
    <x v="6"/>
    <s v="Medium"/>
    <x v="567"/>
    <n v="1133.08"/>
    <n v="1303.0419999999999"/>
    <n v="976.17"/>
    <n v="976.17"/>
    <n v="1122.5954999999999"/>
    <n v="4.2000000000000003E-2"/>
    <s v="OK"/>
    <n v="4.2000000000000003E-2"/>
    <n v="4.2000000000000003E-2"/>
    <n v="27"/>
    <n v="32.4"/>
    <n v="25249.613219999999"/>
    <n v="37899.722156399992"/>
    <n v="30593.159999999996"/>
    <n v="-5343.5467799999969"/>
    <n v="7306.5621563999957"/>
    <n v="-0.21162885678452373"/>
    <d v="2023-01-02T00:00:00"/>
    <s v="Jan-2023"/>
    <n v="0"/>
    <n v="0"/>
    <n v="0"/>
  </r>
  <r>
    <s v="ORD-2024-567435"/>
    <x v="430"/>
    <x v="15"/>
    <s v="2024-Q2"/>
    <d v="2024-05-01T00:00:00"/>
    <n v="5"/>
    <s v="ACHIEVED"/>
    <x v="3"/>
    <x v="10"/>
    <s v="London"/>
    <s v="Europe &gt; United Kingdom &gt; London"/>
    <s v="Non-Profit"/>
    <s v="Distributor"/>
    <x v="3"/>
    <x v="5"/>
    <x v="4"/>
    <s v="Medium"/>
    <x v="568"/>
    <n v="1232.77"/>
    <n v="1417.6854999999998"/>
    <n v="891.73"/>
    <n v="891.73"/>
    <n v="1025.4894999999999"/>
    <n v="0.16700000000000001"/>
    <s v="OK"/>
    <n v="0.16700000000000001"/>
    <n v="0.16700000000000001"/>
    <n v="10"/>
    <n v="12"/>
    <n v="7428.1108999999988"/>
    <n v="14360.954958"/>
    <n v="12327.7"/>
    <n v="-4899.589100000002"/>
    <n v="2033.2549579999995"/>
    <n v="-0.65960096260813805"/>
    <d v="2023-01-02T00:00:00"/>
    <s v="Jan-2023"/>
    <n v="0"/>
    <n v="0"/>
    <n v="0"/>
  </r>
  <r>
    <s v="ORD-2024-964950"/>
    <x v="431"/>
    <x v="32"/>
    <s v="2024-Q4"/>
    <d v="2024-10-11T00:00:00"/>
    <n v="1"/>
    <s v="ACHIEVED"/>
    <x v="3"/>
    <x v="10"/>
    <s v="Manchester"/>
    <s v="Europe &gt; United Kingdom &gt; Manchester"/>
    <s v="Non-Profit"/>
    <s v="Distributor"/>
    <x v="3"/>
    <x v="10"/>
    <x v="0"/>
    <s v="High"/>
    <x v="569"/>
    <n v="1389.46"/>
    <n v="1597.8789999999999"/>
    <n v="1784.7"/>
    <n v="1784.7"/>
    <n v="2052.4049999999997"/>
    <n v="0.14599999999999999"/>
    <s v="OK"/>
    <n v="0.14599999999999999"/>
    <n v="0.14599999999999999"/>
    <n v="33"/>
    <n v="39.6"/>
    <n v="50296.415399999998"/>
    <n v="93141.422747999983"/>
    <n v="45852.18"/>
    <n v="4444.2353999999978"/>
    <n v="47289.242747999982"/>
    <n v="8.8360877503011831E-2"/>
    <d v="2023-01-02T00:00:00"/>
    <s v="Jan-2023"/>
    <n v="0"/>
    <n v="0"/>
    <n v="0"/>
  </r>
  <r>
    <s v="ORD-2024-140633"/>
    <x v="432"/>
    <x v="30"/>
    <s v="2024-Q4"/>
    <d v="2024-12-26T00:00:00"/>
    <n v="19"/>
    <s v="NOT ACHIEVED"/>
    <x v="3"/>
    <x v="10"/>
    <s v="London"/>
    <s v="Europe &gt; United Kingdom &gt; London"/>
    <s v="Enterprise"/>
    <s v="Online"/>
    <x v="1"/>
    <x v="14"/>
    <x v="6"/>
    <s v="High"/>
    <x v="570"/>
    <n v="1035.24"/>
    <n v="1190.5259999999998"/>
    <n v="2383.41"/>
    <n v="2383.41"/>
    <n v="2740.9214999999995"/>
    <n v="0.17"/>
    <s v="OK"/>
    <n v="0.17"/>
    <n v="0.17"/>
    <n v="15"/>
    <n v="18"/>
    <n v="29673.454499999993"/>
    <n v="57723.806789999988"/>
    <n v="15528.6"/>
    <n v="14144.854499999992"/>
    <n v="42195.206789999989"/>
    <n v="0.47668378145860962"/>
    <d v="2023-01-02T00:00:00"/>
    <s v="Jan-2023"/>
    <n v="0"/>
    <n v="0"/>
    <n v="0"/>
  </r>
  <r>
    <s v="ORD-2025-659650"/>
    <x v="413"/>
    <x v="8"/>
    <s v="2025-Q1"/>
    <d v="2025-02-08T00:00:00"/>
    <n v="4"/>
    <s v="ACHIEVED"/>
    <x v="3"/>
    <x v="10"/>
    <s v="Manchester"/>
    <s v="Europe &gt; United Kingdom &gt; Manchester"/>
    <s v="Enterprise"/>
    <s v="Marketplace"/>
    <x v="2"/>
    <x v="10"/>
    <x v="6"/>
    <s v="Low"/>
    <x v="571"/>
    <n v="586.21"/>
    <n v="674.14149999999995"/>
    <n v="727.22"/>
    <n v="727.22"/>
    <n v="836.303"/>
    <n v="6.8000000000000005E-2"/>
    <s v="OK"/>
    <n v="6.8000000000000005E-2"/>
    <n v="6.8000000000000005E-2"/>
    <n v="15"/>
    <n v="18"/>
    <n v="10166.535600000001"/>
    <n v="16077.088872"/>
    <n v="8793.1500000000015"/>
    <n v="1373.3855999999996"/>
    <n v="7283.9388719999988"/>
    <n v="0.13508884973559721"/>
    <d v="2023-01-02T00:00:00"/>
    <s v="Jan-2023"/>
    <n v="0"/>
    <n v="0"/>
    <n v="0"/>
  </r>
  <r>
    <s v="ORD-2024-207669"/>
    <x v="433"/>
    <x v="22"/>
    <s v="2024-Q1"/>
    <d v="2024-02-04T00:00:00"/>
    <n v="11"/>
    <s v="NOT ACHIEVED"/>
    <x v="3"/>
    <x v="10"/>
    <s v="Manchester"/>
    <s v="Europe &gt; United Kingdom &gt; Manchester"/>
    <s v="Consumer"/>
    <s v="Retail"/>
    <x v="0"/>
    <x v="6"/>
    <x v="3"/>
    <s v="Medium"/>
    <x v="572"/>
    <n v="525.34"/>
    <n v="604.14099999999996"/>
    <n v="1233.79"/>
    <n v="1233.79"/>
    <n v="1418.8584999999998"/>
    <n v="0.14299999999999999"/>
    <s v="OK"/>
    <n v="0.14299999999999999"/>
    <n v="0.14299999999999999"/>
    <n v="4"/>
    <n v="4.8"/>
    <n v="4229.4321199999995"/>
    <n v="7784.4252743999996"/>
    <n v="2101.36"/>
    <n v="2128.0721199999994"/>
    <n v="5683.0652743999999"/>
    <n v="0.50315788494082736"/>
    <d v="2023-01-02T00:00:00"/>
    <s v="Jan-2023"/>
    <n v="0"/>
    <n v="0"/>
    <n v="0"/>
  </r>
  <r>
    <s v="ORD-2023-173313"/>
    <x v="434"/>
    <x v="11"/>
    <s v="2023-Q2"/>
    <d v="2023-07-12T00:00:00"/>
    <n v="27"/>
    <s v="NOT ACHIEVED"/>
    <x v="3"/>
    <x v="10"/>
    <s v="Manchester"/>
    <s v="Europe &gt; United Kingdom &gt; Manchester"/>
    <s v="Consumer"/>
    <s v="Direct"/>
    <x v="4"/>
    <x v="12"/>
    <x v="1"/>
    <s v="Medium"/>
    <x v="573"/>
    <n v="751.28"/>
    <n v="863.97199999999987"/>
    <n v="1111.8800000000001"/>
    <n v="1111.8800000000001"/>
    <n v="1278.662"/>
    <n v="0.13500000000000001"/>
    <s v="OK"/>
    <n v="0.13500000000000001"/>
    <n v="0.13500000000000001"/>
    <n v="7"/>
    <n v="8.4"/>
    <n v="6732.4334000000008"/>
    <n v="12190.763508"/>
    <n v="5258.96"/>
    <n v="1473.4734000000008"/>
    <n v="6931.803508"/>
    <n v="0.21886193482433863"/>
    <d v="2023-01-02T00:00:00"/>
    <s v="Jan-2023"/>
    <n v="0"/>
    <n v="0"/>
    <n v="0"/>
  </r>
  <r>
    <s v="ORD-2024-496601"/>
    <x v="435"/>
    <x v="13"/>
    <s v="2024-Q4"/>
    <d v="2024-11-24T00:00:00"/>
    <n v="13"/>
    <s v="NOT ACHIEVED"/>
    <x v="3"/>
    <x v="10"/>
    <s v="London"/>
    <s v="Europe &gt; United Kingdom &gt; London"/>
    <s v="Corporate"/>
    <s v="Retail"/>
    <x v="0"/>
    <x v="11"/>
    <x v="6"/>
    <s v="Low"/>
    <x v="574"/>
    <n v="164.53"/>
    <n v="189.20949999999999"/>
    <n v="327.72"/>
    <n v="327.72"/>
    <n v="376.87799999999999"/>
    <n v="6.7000000000000004E-2"/>
    <s v="OK"/>
    <n v="6.7000000000000004E-2"/>
    <n v="6.7000000000000004E-2"/>
    <n v="14"/>
    <n v="16.8"/>
    <n v="4280.6786400000001"/>
    <n v="6755.7642767999996"/>
    <n v="2303.42"/>
    <n v="1977.25864"/>
    <n v="4452.3442767999995"/>
    <n v="0.46190307805960412"/>
    <d v="2023-01-02T00:00:00"/>
    <s v="Jan-2023"/>
    <n v="0"/>
    <n v="0"/>
    <n v="0"/>
  </r>
  <r>
    <s v="ORD-2024-907733"/>
    <x v="127"/>
    <x v="0"/>
    <s v="2024-Q1"/>
    <d v="2024-03-22T00:00:00"/>
    <n v="13"/>
    <s v="NOT ACHIEVED"/>
    <x v="3"/>
    <x v="10"/>
    <s v="Manchester"/>
    <s v="Europe &gt; United Kingdom &gt; Manchester"/>
    <s v="Consumer"/>
    <s v="Online"/>
    <x v="1"/>
    <x v="11"/>
    <x v="3"/>
    <s v="High"/>
    <x v="575"/>
    <n v="985.45"/>
    <n v="1133.2674999999999"/>
    <n v="1802.44"/>
    <n v="1802.44"/>
    <n v="2072.806"/>
    <n v="8.9999999999999993E-3"/>
    <s v="OK"/>
    <n v="8.9999999999999993E-3"/>
    <n v="8.9999999999999993E-3"/>
    <n v="19"/>
    <n v="22.8"/>
    <n v="33938.142760000002"/>
    <n v="47685.316591199997"/>
    <n v="18723.55"/>
    <n v="15214.592760000003"/>
    <n v="28961.766591199997"/>
    <n v="0.44830363486867486"/>
    <d v="2023-01-02T00:00:00"/>
    <s v="Jan-2023"/>
    <n v="0"/>
    <n v="0"/>
    <n v="0"/>
  </r>
  <r>
    <s v="ORD-2023-294716"/>
    <x v="436"/>
    <x v="19"/>
    <s v="2023-Q2"/>
    <d v="2023-04-25T00:00:00"/>
    <n v="15"/>
    <s v="NOT ACHIEVED"/>
    <x v="3"/>
    <x v="10"/>
    <s v="London"/>
    <s v="Europe &gt; United Kingdom &gt; London"/>
    <s v="Small Business"/>
    <s v="Retail"/>
    <x v="0"/>
    <x v="14"/>
    <x v="5"/>
    <s v="Medium"/>
    <x v="576"/>
    <n v="405.66"/>
    <n v="466.50900000000001"/>
    <n v="962.51"/>
    <n v="962.51"/>
    <n v="1106.8864999999998"/>
    <n v="0.19"/>
    <s v="OK"/>
    <n v="0.19"/>
    <n v="0.19"/>
    <n v="7"/>
    <n v="8.4"/>
    <n v="5457.4317000000001"/>
    <n v="11064.437453999999"/>
    <n v="2839.6200000000003"/>
    <n v="2617.8116999999997"/>
    <n v="8224.8174539999982"/>
    <n v="0.47967832561239376"/>
    <d v="2023-01-02T00:00:00"/>
    <s v="Jan-2023"/>
    <n v="0"/>
    <n v="0"/>
    <n v="0"/>
  </r>
  <r>
    <s v="ORD-2024-930679"/>
    <x v="196"/>
    <x v="30"/>
    <s v="2024-Q4"/>
    <d v="2025-01-16T00:00:00"/>
    <n v="30"/>
    <s v="NOT ACHIEVED"/>
    <x v="3"/>
    <x v="10"/>
    <s v="Manchester"/>
    <s v="Europe &gt; United Kingdom &gt; Manchester"/>
    <s v="Corporate"/>
    <s v="Retail"/>
    <x v="0"/>
    <x v="14"/>
    <x v="2"/>
    <s v="Low"/>
    <x v="577"/>
    <n v="722.87"/>
    <n v="831.30049999999994"/>
    <n v="0"/>
    <n v="0"/>
    <n v="0"/>
    <n v="0.10199999999999999"/>
    <s v="OK"/>
    <n v="0.10199999999999999"/>
    <n v="0.10199999999999999"/>
    <n v="28"/>
    <n v="33.6"/>
    <n v="0"/>
    <n v="0"/>
    <n v="20240.36"/>
    <n v="-20240.36"/>
    <n v="-20240.36"/>
    <n v="0"/>
    <d v="2023-01-02T00:00:00"/>
    <s v="Jan-2023"/>
    <n v="0"/>
    <n v="0"/>
    <n v="0"/>
  </r>
  <r>
    <s v="ORD-2025-150713"/>
    <x v="341"/>
    <x v="4"/>
    <s v="2025-Q3"/>
    <d v="2025-07-16T00:00:00"/>
    <n v="5"/>
    <s v="ACHIEVED"/>
    <x v="3"/>
    <x v="10"/>
    <s v="London"/>
    <s v="Europe &gt; United Kingdom &gt; London"/>
    <s v="Enterprise"/>
    <s v="Online"/>
    <x v="1"/>
    <x v="3"/>
    <x v="5"/>
    <s v="Medium"/>
    <x v="578"/>
    <n v="930.03"/>
    <n v="1069.5345"/>
    <n v="1086.68"/>
    <n v="1086.68"/>
    <n v="1249.682"/>
    <n v="0.109"/>
    <s v="OK"/>
    <n v="0.109"/>
    <n v="0.109"/>
    <n v="26"/>
    <n v="31.2"/>
    <n v="25174.028880000002"/>
    <n v="43239.996945599996"/>
    <n v="24180.78"/>
    <n v="993.24888000000283"/>
    <n v="19059.216945599997"/>
    <n v="3.9455300728168656E-2"/>
    <d v="2023-01-02T00:00:00"/>
    <s v="Jan-2023"/>
    <n v="0"/>
    <n v="0"/>
    <n v="0"/>
  </r>
  <r>
    <s v="ORD-2024-500109"/>
    <x v="174"/>
    <x v="16"/>
    <s v="2024-Q2"/>
    <d v="2024-05-23T00:00:00"/>
    <n v="5"/>
    <s v="ACHIEVED"/>
    <x v="1"/>
    <x v="11"/>
    <s v="Chicago"/>
    <s v="Americas &gt; USA &gt; Chicago"/>
    <s v="Enterprise"/>
    <s v="Retail"/>
    <x v="0"/>
    <x v="15"/>
    <x v="3"/>
    <s v="High"/>
    <x v="579"/>
    <n v="1274.5899999999999"/>
    <n v="1465.7784999999999"/>
    <n v="2553.69"/>
    <n v="2553.69"/>
    <n v="2936.7435"/>
    <n v="0.01"/>
    <s v="OK"/>
    <n v="0.01"/>
    <n v="0.01"/>
    <n v="8"/>
    <n v="9.6"/>
    <n v="20225.2248"/>
    <n v="28474.664976"/>
    <n v="10196.719999999999"/>
    <n v="10028.504800000001"/>
    <n v="18277.944975999999"/>
    <n v="0.49584145042481803"/>
    <d v="2023-01-02T00:00:00"/>
    <s v="Jan-2023"/>
    <n v="0"/>
    <n v="0"/>
    <n v="0"/>
  </r>
  <r>
    <s v="ORD-2023-651638"/>
    <x v="437"/>
    <x v="11"/>
    <s v="2023-Q2"/>
    <d v="2023-06-24T00:00:00"/>
    <n v="7"/>
    <s v="ACHIEVED"/>
    <x v="1"/>
    <x v="11"/>
    <s v="San Francisco"/>
    <s v="Americas &gt; USA &gt; San Francisco"/>
    <s v="Corporate"/>
    <s v="Retail"/>
    <x v="0"/>
    <x v="12"/>
    <x v="5"/>
    <s v="Low"/>
    <x v="580"/>
    <n v="313.99"/>
    <n v="361.08850000000001"/>
    <n v="454.42"/>
    <n v="454.42"/>
    <n v="522.58299999999997"/>
    <n v="0.129"/>
    <s v="OK"/>
    <n v="0.129"/>
    <n v="0.129"/>
    <n v="9"/>
    <n v="10.799999999999999"/>
    <n v="3562.1983800000003"/>
    <n v="6371.959035599999"/>
    <n v="2825.91"/>
    <n v="736.28838000000042"/>
    <n v="3546.0490355999991"/>
    <n v="0.20669493988147858"/>
    <d v="2023-01-02T00:00:00"/>
    <s v="Jan-2023"/>
    <n v="0"/>
    <n v="0"/>
    <n v="0"/>
  </r>
  <r>
    <s v="ORD-2025-488349"/>
    <x v="438"/>
    <x v="7"/>
    <s v="2025-Q2"/>
    <d v="2025-04-28T00:00:00"/>
    <n v="5"/>
    <s v="ACHIEVED"/>
    <x v="1"/>
    <x v="11"/>
    <s v="San Francisco"/>
    <s v="Americas &gt; USA &gt; San Francisco"/>
    <s v="Non-Profit"/>
    <s v="Distributor"/>
    <x v="3"/>
    <x v="14"/>
    <x v="2"/>
    <s v="Low"/>
    <x v="581"/>
    <n v="23.24"/>
    <n v="26.725999999999996"/>
    <n v="44.57"/>
    <n v="44.57"/>
    <n v="51.255499999999998"/>
    <n v="0.215"/>
    <s v="OK"/>
    <n v="0.215"/>
    <n v="0.215"/>
    <n v="15"/>
    <n v="18"/>
    <n v="524.81174999999996"/>
    <n v="1120.9577850000001"/>
    <n v="348.59999999999997"/>
    <n v="176.21174999999999"/>
    <n v="772.35778500000015"/>
    <n v="0.33576182316802167"/>
    <d v="2023-01-02T00:00:00"/>
    <s v="Jan-2023"/>
    <n v="0"/>
    <n v="0"/>
    <n v="0"/>
  </r>
  <r>
    <s v="ORD-2025-649239"/>
    <x v="439"/>
    <x v="25"/>
    <s v="2025-Q1"/>
    <d v="2025-01-24T00:00:00"/>
    <n v="7"/>
    <s v="ACHIEVED"/>
    <x v="1"/>
    <x v="11"/>
    <s v="Austin"/>
    <s v="Americas &gt; USA &gt; Austin"/>
    <s v="Enterprise"/>
    <s v="Online"/>
    <x v="1"/>
    <x v="4"/>
    <x v="1"/>
    <s v="Low"/>
    <x v="582"/>
    <n v="142.09"/>
    <n v="163.40349999999998"/>
    <n v="218.5"/>
    <n v="218.5"/>
    <n v="251.27499999999998"/>
    <n v="0.11899999999999999"/>
    <s v="OK"/>
    <n v="0.11899999999999999"/>
    <n v="0.11899999999999999"/>
    <n v="11"/>
    <n v="13.2"/>
    <n v="2117.4834999999998"/>
    <n v="3711.5327699999993"/>
    <n v="1562.99"/>
    <n v="554.49349999999981"/>
    <n v="2148.5427699999991"/>
    <n v="0.26186437816398561"/>
    <d v="2023-01-02T00:00:00"/>
    <s v="Jan-2023"/>
    <n v="0"/>
    <n v="0"/>
    <n v="0"/>
  </r>
  <r>
    <s v="ORD-2024-605518"/>
    <x v="440"/>
    <x v="16"/>
    <s v="2024-Q2"/>
    <d v="2024-06-13T00:00:00"/>
    <n v="14"/>
    <s v="NOT ACHIEVED"/>
    <x v="1"/>
    <x v="11"/>
    <s v="San Francisco"/>
    <s v="Americas &gt; USA &gt; San Francisco"/>
    <s v="Small Business"/>
    <s v="Retail"/>
    <x v="0"/>
    <x v="8"/>
    <x v="4"/>
    <s v="Low"/>
    <x v="583"/>
    <n v="157.78"/>
    <n v="181.44699999999997"/>
    <n v="361.1"/>
    <n v="361.1"/>
    <n v="415.26499999999999"/>
    <n v="0.187"/>
    <s v="OK"/>
    <n v="0.187"/>
    <n v="0.187"/>
    <n v="9"/>
    <n v="10.799999999999999"/>
    <n v="2642.1686999999997"/>
    <n v="5323.5311939999992"/>
    <n v="1420.02"/>
    <n v="1222.1486999999997"/>
    <n v="3903.5111939999993"/>
    <n v="0.46255513510549112"/>
    <d v="2023-01-02T00:00:00"/>
    <s v="Jan-2023"/>
    <n v="0"/>
    <n v="0"/>
    <n v="0"/>
  </r>
  <r>
    <s v="ORD-2023-521818"/>
    <x v="203"/>
    <x v="28"/>
    <s v="2023-Q1"/>
    <d v="2023-01-30T00:00:00"/>
    <n v="8"/>
    <s v="NOT ACHIEVED"/>
    <x v="1"/>
    <x v="11"/>
    <s v="San Francisco"/>
    <s v="Americas &gt; USA &gt; San Francisco"/>
    <s v="Small Business"/>
    <s v="Online"/>
    <x v="1"/>
    <x v="1"/>
    <x v="6"/>
    <s v="Medium"/>
    <x v="584"/>
    <n v="413.52"/>
    <n v="475.54799999999994"/>
    <n v="1004.34"/>
    <n v="1004.34"/>
    <n v="1154.991"/>
    <n v="0.111"/>
    <s v="OK"/>
    <n v="0.111"/>
    <n v="0.111"/>
    <n v="18"/>
    <n v="21.599999999999998"/>
    <n v="16071.44868"/>
    <n v="27717.012021599996"/>
    <n v="7443.36"/>
    <n v="8628.0886800000007"/>
    <n v="20273.652021599995"/>
    <n v="0.53685817948304593"/>
    <d v="2023-01-02T00:00:00"/>
    <s v="Jan-2023"/>
    <n v="0"/>
    <n v="0"/>
    <n v="0"/>
  </r>
  <r>
    <s v="ORD-2024-164288"/>
    <x v="441"/>
    <x v="30"/>
    <s v="2024-Q4"/>
    <d v="2024-12-26T00:00:00"/>
    <n v="5"/>
    <s v="ACHIEVED"/>
    <x v="1"/>
    <x v="11"/>
    <s v="San Francisco"/>
    <s v="Americas &gt; USA &gt; San Francisco"/>
    <s v="Consumer"/>
    <s v="Marketplace"/>
    <x v="2"/>
    <x v="13"/>
    <x v="5"/>
    <s v="Low"/>
    <x v="585"/>
    <n v="699.57"/>
    <n v="804.50549999999998"/>
    <n v="572.71"/>
    <n v="572.71"/>
    <n v="658.61649999999997"/>
    <n v="0.192"/>
    <s v="OK"/>
    <n v="0.192"/>
    <n v="0.192"/>
    <n v="26"/>
    <n v="31.2"/>
    <n v="12031.491680000001"/>
    <n v="24494.211081599995"/>
    <n v="18188.82"/>
    <n v="-6157.3283199999987"/>
    <n v="6305.3910815999952"/>
    <n v="-0.51176765805651114"/>
    <d v="2023-01-02T00:00:00"/>
    <s v="Jan-2023"/>
    <n v="0"/>
    <n v="0"/>
    <n v="0"/>
  </r>
  <r>
    <s v="ORD-2023-912395"/>
    <x v="442"/>
    <x v="14"/>
    <s v="2023-Q3"/>
    <d v="2023-08-25T00:00:00"/>
    <n v="30"/>
    <s v="NOT ACHIEVED"/>
    <x v="1"/>
    <x v="11"/>
    <s v="New York"/>
    <s v="Americas &gt; USA &gt; New York"/>
    <s v="Consumer"/>
    <s v="Retail"/>
    <x v="0"/>
    <x v="13"/>
    <x v="1"/>
    <s v="High"/>
    <x v="586"/>
    <n v="1261.48"/>
    <n v="1450.702"/>
    <n v="1643.18"/>
    <n v="1643.18"/>
    <n v="1889.6569999999999"/>
    <n v="0.151"/>
    <s v="OK"/>
    <n v="0.151"/>
    <n v="0.151"/>
    <n v="23"/>
    <n v="27.599999999999998"/>
    <n v="32086.37586"/>
    <n v="60029.867713199994"/>
    <n v="29014.04"/>
    <n v="3072.3358599999992"/>
    <n v="31015.827713199993"/>
    <n v="9.5752037357079045E-2"/>
    <d v="2023-01-02T00:00:00"/>
    <s v="Jan-2023"/>
    <n v="0"/>
    <n v="0"/>
    <n v="0"/>
  </r>
  <r>
    <s v="ORD-2023-286994"/>
    <x v="443"/>
    <x v="5"/>
    <s v="2023-Q1"/>
    <d v="2023-03-09T00:00:00"/>
    <n v="13"/>
    <s v="NOT ACHIEVED"/>
    <x v="1"/>
    <x v="11"/>
    <s v="New York"/>
    <s v="Americas &gt; USA &gt; New York"/>
    <s v="Enterprise"/>
    <s v="Online"/>
    <x v="1"/>
    <x v="13"/>
    <x v="0"/>
    <s v="Low"/>
    <x v="587"/>
    <n v="6.85"/>
    <n v="7.8774999999999986"/>
    <n v="10.18"/>
    <n v="10.18"/>
    <n v="11.706999999999999"/>
    <n v="4.7E-2"/>
    <s v="OK"/>
    <n v="4.7E-2"/>
    <n v="4.7E-2"/>
    <n v="10"/>
    <n v="12"/>
    <n v="97.0154"/>
    <n v="147.08674799999997"/>
    <n v="68.5"/>
    <n v="28.5154"/>
    <n v="78.586747999999972"/>
    <n v="0.2939265312517394"/>
    <d v="2023-01-02T00:00:00"/>
    <s v="Jan-2023"/>
    <n v="0"/>
    <n v="0"/>
    <n v="0"/>
  </r>
  <r>
    <s v="ORD-2024-212990"/>
    <x v="444"/>
    <x v="10"/>
    <s v="2024-Q3"/>
    <d v="2024-09-03T00:00:00"/>
    <n v="22"/>
    <s v="NOT ACHIEVED"/>
    <x v="1"/>
    <x v="11"/>
    <s v="Austin"/>
    <s v="Americas &gt; USA &gt; Austin"/>
    <s v="Consumer"/>
    <s v="Distributor"/>
    <x v="3"/>
    <x v="12"/>
    <x v="3"/>
    <s v="Medium"/>
    <x v="588"/>
    <n v="797.8"/>
    <n v="917.46999999999991"/>
    <n v="886.22"/>
    <n v="886.22"/>
    <n v="1019.1529999999999"/>
    <n v="0.23599999999999999"/>
    <s v="OK"/>
    <n v="0.23599999999999999"/>
    <n v="0.23599999999999999"/>
    <n v="36"/>
    <n v="43.199999999999996"/>
    <n v="24374.594880000001"/>
    <n v="54417.878265599989"/>
    <n v="28720.799999999999"/>
    <n v="-4346.2051199999987"/>
    <n v="25697.07826559999"/>
    <n v="-0.17830881462428633"/>
    <d v="2023-01-02T00:00:00"/>
    <s v="Jan-2023"/>
    <n v="0"/>
    <n v="0"/>
    <n v="0"/>
  </r>
  <r>
    <s v="ORD-2023-177794"/>
    <x v="360"/>
    <x v="26"/>
    <s v="2023-Q2"/>
    <d v="2023-05-26T00:00:00"/>
    <n v="22"/>
    <s v="NOT ACHIEVED"/>
    <x v="1"/>
    <x v="11"/>
    <s v="San Francisco"/>
    <s v="Americas &gt; USA &gt; San Francisco"/>
    <s v="Enterprise"/>
    <s v="Online"/>
    <x v="1"/>
    <x v="2"/>
    <x v="6"/>
    <s v="Low"/>
    <x v="589"/>
    <n v="249.71"/>
    <n v="287.16649999999998"/>
    <n v="361.33"/>
    <n v="361.33"/>
    <n v="415.52949999999993"/>
    <n v="9.4E-2"/>
    <s v="OK"/>
    <n v="9.4E-2"/>
    <n v="9.4E-2"/>
    <n v="12"/>
    <n v="14.399999999999999"/>
    <n v="3928.3797600000003"/>
    <n v="6546.0855311999994"/>
    <n v="2996.52"/>
    <n v="931.85976000000028"/>
    <n v="3549.5655311999994"/>
    <n v="0.23721223937881206"/>
    <d v="2023-01-02T00:00:00"/>
    <s v="Jan-2023"/>
    <n v="0"/>
    <n v="0"/>
    <n v="0"/>
  </r>
  <r>
    <s v="ORD-2023-382017"/>
    <x v="445"/>
    <x v="28"/>
    <s v="2023-Q1"/>
    <d v="2023-01-19T00:00:00"/>
    <n v="6"/>
    <s v="ACHIEVED"/>
    <x v="1"/>
    <x v="11"/>
    <s v="Chicago"/>
    <s v="Americas &gt; USA &gt; Chicago"/>
    <s v="Corporate"/>
    <s v="Direct"/>
    <x v="4"/>
    <x v="15"/>
    <x v="4"/>
    <s v="Medium"/>
    <x v="590"/>
    <n v="833.57"/>
    <n v="958.60550000000001"/>
    <n v="881.57"/>
    <n v="881.57"/>
    <n v="1013.8054999999999"/>
    <n v="5.7000000000000002E-2"/>
    <s v="OK"/>
    <n v="5.7000000000000002E-2"/>
    <n v="5.7000000000000002E-2"/>
    <n v="18"/>
    <n v="21.599999999999998"/>
    <n v="14963.769179999999"/>
    <n v="23146.396131599999"/>
    <n v="15004.26"/>
    <n v="-40.490820000000895"/>
    <n v="8142.1361315999984"/>
    <n v="-2.7059238560107821E-3"/>
    <d v="2023-01-02T00:00:00"/>
    <s v="Jan-2023"/>
    <n v="0"/>
    <n v="0"/>
    <n v="0"/>
  </r>
  <r>
    <s v="ORD-2024-999607"/>
    <x v="239"/>
    <x v="22"/>
    <s v="2024-Q1"/>
    <d v="2024-01-29T00:00:00"/>
    <n v="17"/>
    <s v="NOT ACHIEVED"/>
    <x v="1"/>
    <x v="11"/>
    <s v="Chicago"/>
    <s v="Americas &gt; USA &gt; Chicago"/>
    <s v="Education"/>
    <s v="Distributor"/>
    <x v="3"/>
    <x v="1"/>
    <x v="5"/>
    <s v="Low"/>
    <x v="591"/>
    <n v="493.76"/>
    <n v="567.82399999999996"/>
    <n v="625.04"/>
    <n v="625.04"/>
    <n v="718.79599999999994"/>
    <n v="0.25800000000000001"/>
    <s v="OK"/>
    <n v="0.25800000000000001"/>
    <n v="0.25"/>
    <n v="10"/>
    <n v="12"/>
    <n v="4637.7968000000001"/>
    <n v="10781.939999999999"/>
    <n v="4937.6000000000004"/>
    <n v="-299.80320000000029"/>
    <n v="5844.3399999999983"/>
    <n v="-6.464345311549663E-2"/>
    <d v="2023-01-02T00:00:00"/>
    <s v="Jan-2023"/>
    <n v="0"/>
    <n v="0"/>
    <n v="0"/>
  </r>
  <r>
    <s v="ORD-2023-133848"/>
    <x v="325"/>
    <x v="21"/>
    <s v="2023-Q3"/>
    <d v="2023-09-07T00:00:00"/>
    <n v="23"/>
    <s v="NOT ACHIEVED"/>
    <x v="1"/>
    <x v="11"/>
    <s v="New York"/>
    <s v="Americas &gt; USA &gt; New York"/>
    <s v="Enterprise"/>
    <s v="Online"/>
    <x v="1"/>
    <x v="3"/>
    <x v="4"/>
    <s v="Medium"/>
    <x v="592"/>
    <n v="590.33000000000004"/>
    <n v="678.87950000000001"/>
    <n v="973.04"/>
    <n v="973.04"/>
    <n v="1118.9959999999999"/>
    <n v="0"/>
    <s v="OK"/>
    <n v="0"/>
    <n v="0"/>
    <n v="26"/>
    <n v="31.2"/>
    <n v="25299.040000000001"/>
    <n v="34912.675199999998"/>
    <n v="15348.580000000002"/>
    <n v="9950.4599999999991"/>
    <n v="19564.095199999996"/>
    <n v="0.39331373838691108"/>
    <d v="2023-01-02T00:00:00"/>
    <s v="Jan-2023"/>
    <n v="0"/>
    <n v="0"/>
    <n v="0"/>
  </r>
  <r>
    <s v="ORD-2023-271918"/>
    <x v="446"/>
    <x v="29"/>
    <s v="2023-Q3"/>
    <d v="2023-10-02T00:00:00"/>
    <n v="7"/>
    <s v="ACHIEVED"/>
    <x v="1"/>
    <x v="11"/>
    <s v="New York"/>
    <s v="Americas &gt; USA &gt; New York"/>
    <s v="Education"/>
    <s v="Marketplace"/>
    <x v="2"/>
    <x v="12"/>
    <x v="1"/>
    <s v="Low"/>
    <x v="593"/>
    <n v="145.58000000000001"/>
    <n v="167.417"/>
    <n v="228.15"/>
    <n v="228.15"/>
    <n v="262.3725"/>
    <n v="0.20399999999999999"/>
    <s v="OK"/>
    <n v="0.20399999999999999"/>
    <n v="0.20399999999999999"/>
    <n v="5"/>
    <n v="6"/>
    <n v="908.03700000000003"/>
    <n v="1895.3789400000001"/>
    <n v="727.90000000000009"/>
    <n v="180.13699999999994"/>
    <n v="1167.47894"/>
    <n v="0.19838068272548359"/>
    <d v="2023-01-02T00:00:00"/>
    <s v="Jan-2023"/>
    <n v="0"/>
    <n v="0"/>
    <n v="0"/>
  </r>
  <r>
    <s v="ORD-2023-302041"/>
    <x v="447"/>
    <x v="20"/>
    <s v="2023-Q4"/>
    <d v="2023-10-29T00:00:00"/>
    <n v="25"/>
    <s v="NOT ACHIEVED"/>
    <x v="1"/>
    <x v="11"/>
    <s v="San Francisco"/>
    <s v="Americas &gt; USA &gt; San Francisco"/>
    <s v="Small Business"/>
    <s v="Distributor"/>
    <x v="3"/>
    <x v="7"/>
    <x v="1"/>
    <s v="Medium"/>
    <x v="594"/>
    <n v="1239.8399999999999"/>
    <n v="1425.8159999999998"/>
    <n v="1482.75"/>
    <n v="1482.75"/>
    <n v="1705.1624999999999"/>
    <n v="6.7000000000000004E-2"/>
    <s v="OK"/>
    <n v="6.7000000000000004E-2"/>
    <n v="6.7000000000000004E-2"/>
    <n v="4"/>
    <n v="4.8"/>
    <n v="5533.6230000000005"/>
    <n v="8733.1602599999987"/>
    <n v="4959.3599999999997"/>
    <n v="574.26300000000083"/>
    <n v="3773.8002599999991"/>
    <n v="0.10377703721413634"/>
    <d v="2023-01-02T00:00:00"/>
    <s v="Jan-2023"/>
    <n v="0"/>
    <n v="0"/>
    <n v="0"/>
  </r>
  <r>
    <s v="ORD-2025-289139"/>
    <x v="448"/>
    <x v="24"/>
    <s v="2025-Q3"/>
    <d v="2025-08-30T00:00:00"/>
    <n v="20"/>
    <s v="NOT ACHIEVED"/>
    <x v="1"/>
    <x v="11"/>
    <s v="San Francisco"/>
    <s v="Americas &gt; USA &gt; San Francisco"/>
    <s v="Corporate"/>
    <s v="Marketplace"/>
    <x v="2"/>
    <x v="3"/>
    <x v="5"/>
    <s v="Medium"/>
    <x v="595"/>
    <n v="933.29"/>
    <n v="1073.2834999999998"/>
    <n v="1456.81"/>
    <n v="1456.81"/>
    <n v="1675.3314999999998"/>
    <n v="0.123"/>
    <s v="OK"/>
    <n v="0.123"/>
    <n v="0.123"/>
    <n v="13"/>
    <n v="15.6"/>
    <n v="16609.090809999998"/>
    <n v="29349.797482199996"/>
    <n v="12132.77"/>
    <n v="4476.3208099999974"/>
    <n v="17217.027482199996"/>
    <n v="0.26951028573489977"/>
    <d v="2023-01-02T00:00:00"/>
    <s v="Jan-2023"/>
    <n v="0"/>
    <n v="0"/>
    <n v="0"/>
  </r>
  <r>
    <s v="ORD-2024-897622"/>
    <x v="449"/>
    <x v="0"/>
    <s v="2024-Q1"/>
    <d v="2024-04-24T00:00:00"/>
    <n v="25"/>
    <s v="NOT ACHIEVED"/>
    <x v="1"/>
    <x v="11"/>
    <s v="Austin"/>
    <s v="Americas &gt; USA &gt; Austin"/>
    <s v="Non-Profit"/>
    <s v="Online"/>
    <x v="1"/>
    <x v="4"/>
    <x v="3"/>
    <s v="Low"/>
    <x v="596"/>
    <n v="160.82"/>
    <n v="184.94299999999998"/>
    <n v="258.52"/>
    <n v="258.52"/>
    <n v="297.29799999999994"/>
    <n v="0.13"/>
    <s v="OK"/>
    <n v="0.13"/>
    <n v="0.13"/>
    <n v="17"/>
    <n v="20.399999999999999"/>
    <n v="3823.5108"/>
    <n v="6853.3134959999979"/>
    <n v="2733.94"/>
    <n v="1089.5708"/>
    <n v="4119.3734959999983"/>
    <n v="0.28496605789631874"/>
    <d v="2023-01-02T00:00:00"/>
    <s v="Jan-2023"/>
    <n v="0"/>
    <n v="0"/>
    <n v="0"/>
  </r>
  <r>
    <s v="ORD-2024-664046"/>
    <x v="450"/>
    <x v="17"/>
    <s v="2024-Q3"/>
    <d v="2024-09-08T00:00:00"/>
    <n v="6"/>
    <s v="ACHIEVED"/>
    <x v="1"/>
    <x v="11"/>
    <s v="Austin"/>
    <s v="Americas &gt; USA &gt; Austin"/>
    <s v="Consumer"/>
    <s v="Direct"/>
    <x v="4"/>
    <x v="15"/>
    <x v="0"/>
    <s v="Medium"/>
    <x v="597"/>
    <n v="462.94"/>
    <n v="532.38099999999997"/>
    <n v="1015.7"/>
    <n v="1015.7"/>
    <n v="1168.0550000000001"/>
    <n v="0.14299999999999999"/>
    <s v="OK"/>
    <n v="0.14299999999999999"/>
    <n v="0.14299999999999999"/>
    <n v="14"/>
    <n v="16.8"/>
    <n v="12186.368600000002"/>
    <n v="22429.459332000002"/>
    <n v="6481.16"/>
    <n v="5705.2086000000018"/>
    <n v="15948.299332000002"/>
    <n v="0.46816314090483041"/>
    <d v="2023-01-02T00:00:00"/>
    <s v="Jan-2023"/>
    <n v="0"/>
    <n v="0"/>
    <n v="0"/>
  </r>
  <r>
    <s v="ORD-2024-301260"/>
    <x v="451"/>
    <x v="27"/>
    <s v="2024-Q3"/>
    <d v="2024-07-31T00:00:00"/>
    <n v="2"/>
    <s v="ACHIEVED"/>
    <x v="1"/>
    <x v="11"/>
    <s v="New York"/>
    <s v="Americas &gt; USA &gt; New York"/>
    <s v="Education"/>
    <s v="Marketplace"/>
    <x v="2"/>
    <x v="12"/>
    <x v="5"/>
    <s v="High"/>
    <x v="598"/>
    <n v="798.97"/>
    <n v="918.81549999999993"/>
    <n v="1814.06"/>
    <n v="1814.06"/>
    <n v="2086.1689999999999"/>
    <n v="0.122"/>
    <s v="OK"/>
    <n v="0.122"/>
    <n v="0.122"/>
    <n v="16"/>
    <n v="19.2"/>
    <n v="25483.91488"/>
    <n v="44941.08706559999"/>
    <n v="12783.52"/>
    <n v="12700.39488"/>
    <n v="32157.567065599989"/>
    <n v="0.49836906691159061"/>
    <d v="2023-01-02T00:00:00"/>
    <s v="Jan-2023"/>
    <n v="0"/>
    <n v="0"/>
    <n v="0"/>
  </r>
  <r>
    <s v="ORD-2024-948800"/>
    <x v="452"/>
    <x v="0"/>
    <s v="2024-Q1"/>
    <d v="2024-04-11T00:00:00"/>
    <n v="15"/>
    <s v="NOT ACHIEVED"/>
    <x v="1"/>
    <x v="11"/>
    <s v="San Francisco"/>
    <s v="Americas &gt; USA &gt; San Francisco"/>
    <s v="Small Business"/>
    <s v="Direct"/>
    <x v="4"/>
    <x v="7"/>
    <x v="6"/>
    <s v="High"/>
    <x v="599"/>
    <n v="1338.35"/>
    <n v="1539.1024999999997"/>
    <n v="2247.14"/>
    <n v="2247.14"/>
    <n v="2584.2109999999998"/>
    <n v="0.115"/>
    <s v="OK"/>
    <n v="0.115"/>
    <n v="0.115"/>
    <n v="40"/>
    <n v="48"/>
    <n v="79548.755999999994"/>
    <n v="138306.97271999999"/>
    <n v="53534"/>
    <n v="26014.755999999994"/>
    <n v="84772.972719999991"/>
    <n v="0.32702907384246205"/>
    <d v="2023-01-02T00:00:00"/>
    <s v="Jan-2023"/>
    <n v="0"/>
    <n v="0"/>
    <n v="0"/>
  </r>
  <r>
    <s v="ORD-2023-715175"/>
    <x v="434"/>
    <x v="11"/>
    <s v="2023-Q2"/>
    <d v="2023-06-23T00:00:00"/>
    <n v="8"/>
    <s v="NOT ACHIEVED"/>
    <x v="1"/>
    <x v="11"/>
    <s v="San Francisco"/>
    <s v="Americas &gt; USA &gt; San Francisco"/>
    <s v="Consumer"/>
    <s v="Distributor"/>
    <x v="3"/>
    <x v="7"/>
    <x v="2"/>
    <s v="High"/>
    <x v="600"/>
    <n v="1097.0899999999999"/>
    <n v="1261.6534999999999"/>
    <n v="2182.31"/>
    <n v="2182.31"/>
    <n v="2509.6564999999996"/>
    <n v="0.112"/>
    <s v="OK"/>
    <n v="0.112"/>
    <n v="0.112"/>
    <n v="9"/>
    <n v="10.799999999999999"/>
    <n v="17441.021520000002"/>
    <n v="30139.970702399994"/>
    <n v="9873.81"/>
    <n v="7567.2115200000026"/>
    <n v="20266.160702399997"/>
    <n v="0.43387432962699546"/>
    <d v="2023-01-02T00:00:00"/>
    <s v="Jan-2023"/>
    <n v="0"/>
    <n v="0"/>
    <n v="0"/>
  </r>
  <r>
    <s v="ORD-2023-602648"/>
    <x v="47"/>
    <x v="11"/>
    <s v="2023-Q2"/>
    <d v="2023-07-08T00:00:00"/>
    <n v="18"/>
    <s v="NOT ACHIEVED"/>
    <x v="1"/>
    <x v="11"/>
    <s v="Austin"/>
    <s v="Americas &gt; USA &gt; Austin"/>
    <s v="Non-Profit"/>
    <s v="Direct"/>
    <x v="4"/>
    <x v="8"/>
    <x v="2"/>
    <s v="Low"/>
    <x v="601"/>
    <n v="337"/>
    <n v="387.54999999999995"/>
    <n v="511.03"/>
    <n v="511.03"/>
    <n v="587.68449999999996"/>
    <n v="0.108"/>
    <s v="OK"/>
    <n v="0.108"/>
    <n v="0.108"/>
    <n v="7"/>
    <n v="8.4"/>
    <n v="3190.8713200000002"/>
    <n v="5469.6971784000007"/>
    <n v="2359"/>
    <n v="831.8713200000002"/>
    <n v="3110.6971784000007"/>
    <n v="0.26070349963219458"/>
    <d v="2023-01-02T00:00:00"/>
    <s v="Jan-2023"/>
    <n v="0"/>
    <n v="0"/>
    <n v="0"/>
  </r>
  <r>
    <s v="ORD-2024-207096"/>
    <x v="453"/>
    <x v="0"/>
    <s v="2024-Q1"/>
    <d v="2024-04-05T00:00:00"/>
    <n v="10"/>
    <s v="NOT ACHIEVED"/>
    <x v="1"/>
    <x v="11"/>
    <s v="Austin"/>
    <s v="Americas &gt; USA &gt; Austin"/>
    <s v="Consumer"/>
    <s v="Direct"/>
    <x v="4"/>
    <x v="2"/>
    <x v="2"/>
    <s v="Low"/>
    <x v="602"/>
    <n v="5.66"/>
    <n v="6.5089999999999995"/>
    <n v="4.22"/>
    <n v="4.22"/>
    <n v="4.8529999999999998"/>
    <n v="0.11899999999999999"/>
    <s v="OK"/>
    <n v="0.11899999999999999"/>
    <n v="0.11899999999999999"/>
    <n v="18"/>
    <n v="21.599999999999998"/>
    <n v="66.920760000000001"/>
    <n v="117.29895119999998"/>
    <n v="101.88"/>
    <n v="-34.959239999999994"/>
    <n v="15.418951199999981"/>
    <n v="-0.52239753403876454"/>
    <d v="2023-01-02T00:00:00"/>
    <s v="Jan-2023"/>
    <n v="0"/>
    <n v="0"/>
    <n v="0"/>
  </r>
  <r>
    <s v="ORD-2025-364852"/>
    <x v="454"/>
    <x v="1"/>
    <s v="2025-Q2"/>
    <d v="2025-06-09T00:00:00"/>
    <n v="22"/>
    <s v="NOT ACHIEVED"/>
    <x v="1"/>
    <x v="11"/>
    <s v="New York"/>
    <s v="Americas &gt; USA &gt; New York"/>
    <s v="Consumer"/>
    <s v="Retail"/>
    <x v="0"/>
    <x v="15"/>
    <x v="6"/>
    <s v="Low"/>
    <x v="603"/>
    <n v="382.96"/>
    <n v="440.40399999999994"/>
    <n v="552.84"/>
    <n v="552.84"/>
    <n v="635.76599999999996"/>
    <n v="0.17599999999999999"/>
    <s v="OK"/>
    <n v="0.17599999999999999"/>
    <n v="0.17599999999999999"/>
    <n v="8"/>
    <n v="9.6"/>
    <n v="3644.3212800000006"/>
    <n v="7177.5438335999988"/>
    <n v="3063.68"/>
    <n v="580.64128000000073"/>
    <n v="4113.8638335999985"/>
    <n v="0.15932768693763483"/>
    <d v="2023-01-02T00:00:00"/>
    <s v="Jan-2023"/>
    <n v="0"/>
    <n v="0"/>
    <n v="0"/>
  </r>
  <r>
    <s v="ORD-2025-861401"/>
    <x v="455"/>
    <x v="7"/>
    <s v="2025-Q2"/>
    <d v="2025-04-27T00:00:00"/>
    <n v="26"/>
    <s v="NOT ACHIEVED"/>
    <x v="1"/>
    <x v="11"/>
    <s v="San Francisco"/>
    <s v="Americas &gt; USA &gt; San Francisco"/>
    <s v="Corporate"/>
    <s v="Direct"/>
    <x v="4"/>
    <x v="12"/>
    <x v="2"/>
    <s v="Low"/>
    <x v="604"/>
    <n v="156.55000000000001"/>
    <n v="180.0325"/>
    <n v="227.45"/>
    <n v="227.45"/>
    <n v="261.56749999999994"/>
    <n v="1.4E-2"/>
    <s v="OK"/>
    <n v="1.4E-2"/>
    <n v="1.4E-2"/>
    <n v="13"/>
    <n v="15.6"/>
    <n v="2915.4540999999999"/>
    <n v="4137.5793419999991"/>
    <n v="2035.15"/>
    <n v="880.30409999999983"/>
    <n v="2102.429341999999"/>
    <n v="0.3019440779396938"/>
    <d v="2023-01-02T00:00:00"/>
    <s v="Jan-2023"/>
    <n v="0"/>
    <n v="0"/>
    <n v="0"/>
  </r>
  <r>
    <s v="ORD-2024-719055"/>
    <x v="95"/>
    <x v="22"/>
    <s v="2024-Q1"/>
    <d v="2024-01-07T00:00:00"/>
    <n v="5"/>
    <s v="ACHIEVED"/>
    <x v="1"/>
    <x v="11"/>
    <s v="Chicago"/>
    <s v="Americas &gt; USA &gt; Chicago"/>
    <s v="Education"/>
    <s v="Marketplace"/>
    <x v="2"/>
    <x v="6"/>
    <x v="6"/>
    <s v="Low"/>
    <x v="605"/>
    <n v="404.77"/>
    <n v="465.48549999999994"/>
    <n v="433.88"/>
    <n v="433.88"/>
    <n v="498.96199999999993"/>
    <n v="0.215"/>
    <s v="OK"/>
    <n v="0.215"/>
    <n v="0.215"/>
    <n v="22"/>
    <n v="26.4"/>
    <n v="7493.1076000000012"/>
    <n v="16004.705111999998"/>
    <n v="8904.9399999999987"/>
    <n v="-1411.8323999999975"/>
    <n v="7099.7651119999991"/>
    <n v="-0.18841747314558746"/>
    <d v="2023-01-02T00:00:00"/>
    <s v="Jan-2023"/>
    <n v="0"/>
    <n v="0"/>
    <n v="0"/>
  </r>
  <r>
    <s v="ORD-2025-653781"/>
    <x v="456"/>
    <x v="25"/>
    <s v="2025-Q1"/>
    <d v="2025-01-23T00:00:00"/>
    <n v="12"/>
    <s v="NOT ACHIEVED"/>
    <x v="1"/>
    <x v="11"/>
    <s v="Austin"/>
    <s v="Americas &gt; USA &gt; Austin"/>
    <s v="Consumer"/>
    <s v="Distributor"/>
    <x v="3"/>
    <x v="15"/>
    <x v="4"/>
    <s v="Low"/>
    <x v="606"/>
    <n v="100.69"/>
    <n v="115.79349999999999"/>
    <n v="226.14"/>
    <n v="226.14"/>
    <n v="260.06099999999998"/>
    <n v="6.5000000000000002E-2"/>
    <s v="OK"/>
    <n v="6.5000000000000002E-2"/>
    <n v="6.5000000000000002E-2"/>
    <n v="12"/>
    <n v="14.399999999999999"/>
    <n v="2537.2908000000002"/>
    <n v="3988.2954959999988"/>
    <n v="1208.28"/>
    <n v="1329.0108000000002"/>
    <n v="2780.0154959999991"/>
    <n v="0.52379128162999689"/>
    <d v="2023-01-02T00:00:00"/>
    <s v="Jan-2023"/>
    <n v="0"/>
    <n v="0"/>
    <n v="0"/>
  </r>
  <r>
    <s v="ORD-2023-766015"/>
    <x v="94"/>
    <x v="19"/>
    <s v="2023-Q2"/>
    <d v="2023-04-18T00:00:00"/>
    <n v="5"/>
    <s v="ACHIEVED"/>
    <x v="1"/>
    <x v="11"/>
    <s v="San Francisco"/>
    <s v="Americas &gt; USA &gt; San Francisco"/>
    <s v="Education"/>
    <s v="Marketplace"/>
    <x v="2"/>
    <x v="4"/>
    <x v="6"/>
    <s v="Low"/>
    <x v="607"/>
    <n v="32.1"/>
    <n v="36.914999999999999"/>
    <n v="70.599999999999994"/>
    <n v="70.599999999999994"/>
    <n v="81.189999999999984"/>
    <n v="0.28199999999999997"/>
    <s v="OK"/>
    <n v="0.28199999999999997"/>
    <n v="0.25"/>
    <n v="22"/>
    <n v="26.4"/>
    <n v="1115.1975999999997"/>
    <n v="2679.2699999999991"/>
    <n v="706.2"/>
    <n v="408.99759999999969"/>
    <n v="1973.069999999999"/>
    <n v="0.36674899587301818"/>
    <d v="2023-01-02T00:00:00"/>
    <s v="Jan-2023"/>
    <n v="0"/>
    <n v="0"/>
    <n v="0"/>
  </r>
  <r>
    <s v="ORD-2023-132101"/>
    <x v="446"/>
    <x v="29"/>
    <s v="2023-Q3"/>
    <d v="2023-10-09T00:00:00"/>
    <n v="14"/>
    <s v="NOT ACHIEVED"/>
    <x v="1"/>
    <x v="11"/>
    <s v="New York"/>
    <s v="Americas &gt; USA &gt; New York"/>
    <s v="Small Business"/>
    <s v="Marketplace"/>
    <x v="2"/>
    <x v="2"/>
    <x v="3"/>
    <s v="High"/>
    <x v="608"/>
    <n v="1279.56"/>
    <n v="1471.4939999999999"/>
    <n v="3083.8"/>
    <n v="3083.8"/>
    <n v="3546.37"/>
    <n v="0.106"/>
    <s v="OK"/>
    <n v="0.106"/>
    <n v="0.106"/>
    <n v="5"/>
    <n v="6"/>
    <n v="13784.586000000001"/>
    <n v="23533.711320000002"/>
    <n v="6397.7999999999993"/>
    <n v="7386.7860000000019"/>
    <n v="17135.911320000003"/>
    <n v="0.53587289455047848"/>
    <d v="2023-01-02T00:00:00"/>
    <s v="Jan-2023"/>
    <n v="0"/>
    <n v="0"/>
    <n v="0"/>
  </r>
  <r>
    <s v="ORD-2023-855675"/>
    <x v="457"/>
    <x v="5"/>
    <s v="2023-Q1"/>
    <d v="2023-02-28T00:00:00"/>
    <n v="23"/>
    <s v="NOT ACHIEVED"/>
    <x v="1"/>
    <x v="11"/>
    <s v="Austin"/>
    <s v="Americas &gt; USA &gt; Austin"/>
    <s v="Non-Profit"/>
    <s v="Distributor"/>
    <x v="3"/>
    <x v="10"/>
    <x v="4"/>
    <s v="Medium"/>
    <x v="609"/>
    <n v="1214.49"/>
    <n v="1396.6634999999999"/>
    <n v="1533.95"/>
    <n v="1533.95"/>
    <n v="1764.0425"/>
    <n v="0"/>
    <s v="OK"/>
    <n v="0"/>
    <n v="0"/>
    <n v="11"/>
    <n v="13.2"/>
    <n v="16873.45"/>
    <n v="23285.361000000001"/>
    <n v="13359.39"/>
    <n v="3514.0600000000013"/>
    <n v="9925.9710000000014"/>
    <n v="0.20825972163369086"/>
    <d v="2023-01-02T00:00:00"/>
    <s v="Jan-2023"/>
    <n v="0"/>
    <n v="0"/>
    <n v="0"/>
  </r>
  <r>
    <s v="ORD-2024-690270"/>
    <x v="458"/>
    <x v="16"/>
    <s v="2024-Q2"/>
    <d v="2024-05-27T00:00:00"/>
    <n v="10"/>
    <s v="NOT ACHIEVED"/>
    <x v="1"/>
    <x v="11"/>
    <s v="Austin"/>
    <s v="Americas &gt; USA &gt; Austin"/>
    <s v="Non-Profit"/>
    <s v="Online"/>
    <x v="1"/>
    <x v="0"/>
    <x v="4"/>
    <s v="High"/>
    <x v="610"/>
    <n v="1484.23"/>
    <n v="1706.8644999999999"/>
    <n v="3472.81"/>
    <n v="3472.81"/>
    <n v="3993.7314999999994"/>
    <n v="0.25600000000000001"/>
    <s v="OK"/>
    <n v="0.25600000000000001"/>
    <n v="0.25"/>
    <n v="12"/>
    <n v="14.399999999999999"/>
    <n v="31005.24768"/>
    <n v="71887.166999999987"/>
    <n v="17810.760000000002"/>
    <n v="13194.487679999998"/>
    <n v="54076.406999999985"/>
    <n v="0.42555659661803413"/>
    <d v="2023-01-02T00:00:00"/>
    <s v="Jan-2023"/>
    <n v="0"/>
    <n v="0"/>
    <n v="0"/>
  </r>
  <r>
    <s v="ORD-2023-594955"/>
    <x v="47"/>
    <x v="11"/>
    <s v="2023-Q2"/>
    <d v="2023-07-08T00:00:00"/>
    <n v="18"/>
    <s v="NOT ACHIEVED"/>
    <x v="1"/>
    <x v="11"/>
    <s v="New York"/>
    <s v="Americas &gt; USA &gt; New York"/>
    <s v="Consumer"/>
    <s v="Marketplace"/>
    <x v="2"/>
    <x v="7"/>
    <x v="6"/>
    <s v="Medium"/>
    <x v="611"/>
    <n v="1145.53"/>
    <n v="1317.3594999999998"/>
    <n v="1278.3"/>
    <n v="1278.3"/>
    <n v="1470.0449999999998"/>
    <n v="0.09"/>
    <s v="OK"/>
    <n v="0.09"/>
    <n v="0.09"/>
    <n v="41"/>
    <n v="49.199999999999996"/>
    <n v="47693.373"/>
    <n v="78835.573260000005"/>
    <n v="46966.729999999996"/>
    <n v="726.64300000000367"/>
    <n v="31868.843260000009"/>
    <n v="1.5235722581416158E-2"/>
    <d v="2023-01-02T00:00:00"/>
    <s v="Jan-2023"/>
    <n v="0"/>
    <n v="0"/>
    <n v="0"/>
  </r>
  <r>
    <s v="ORD-2024-251426"/>
    <x v="127"/>
    <x v="0"/>
    <s v="2024-Q1"/>
    <d v="2024-03-26T00:00:00"/>
    <n v="17"/>
    <s v="NOT ACHIEVED"/>
    <x v="1"/>
    <x v="11"/>
    <s v="San Francisco"/>
    <s v="Americas &gt; USA &gt; San Francisco"/>
    <s v="Education"/>
    <s v="Direct"/>
    <x v="4"/>
    <x v="12"/>
    <x v="4"/>
    <s v="High"/>
    <x v="612"/>
    <n v="1137.4100000000001"/>
    <n v="1308.0215000000001"/>
    <n v="1680.93"/>
    <n v="1680.93"/>
    <n v="1933.0694999999998"/>
    <n v="0.254"/>
    <s v="OK"/>
    <n v="0.254"/>
    <n v="0.25"/>
    <n v="9"/>
    <n v="10.799999999999999"/>
    <n v="11285.764020000001"/>
    <n v="26096.438249999996"/>
    <n v="10236.69"/>
    <n v="1049.07402"/>
    <n v="15859.748249999995"/>
    <n v="9.2955516183121464E-2"/>
    <d v="2023-01-02T00:00:00"/>
    <s v="Jan-2023"/>
    <n v="0"/>
    <n v="0"/>
    <n v="0"/>
  </r>
  <r>
    <s v="ORD-2024-626750"/>
    <x v="444"/>
    <x v="10"/>
    <s v="2024-Q3"/>
    <d v="2024-08-15T00:00:00"/>
    <n v="3"/>
    <s v="ACHIEVED"/>
    <x v="1"/>
    <x v="11"/>
    <s v="Chicago"/>
    <s v="Americas &gt; USA &gt; Chicago"/>
    <s v="Corporate"/>
    <s v="Marketplace"/>
    <x v="2"/>
    <x v="14"/>
    <x v="5"/>
    <s v="Medium"/>
    <x v="613"/>
    <n v="850.7"/>
    <n v="978.30499999999995"/>
    <n v="1118.56"/>
    <n v="1118.56"/>
    <n v="1286.3439999999998"/>
    <n v="0.18"/>
    <s v="OK"/>
    <n v="0.18"/>
    <n v="0.18"/>
    <n v="19"/>
    <n v="22.8"/>
    <n v="17427.164800000002"/>
    <n v="34607.798975999998"/>
    <n v="16163.300000000001"/>
    <n v="1263.8648000000012"/>
    <n v="18444.498975999995"/>
    <n v="7.2522685962090688E-2"/>
    <d v="2023-01-02T00:00:00"/>
    <s v="Jan-2023"/>
    <n v="0"/>
    <n v="0"/>
    <n v="0"/>
  </r>
  <r>
    <s v="ORD-2025-276968"/>
    <x v="459"/>
    <x v="8"/>
    <s v="2025-Q1"/>
    <d v="2025-03-17T00:00:00"/>
    <n v="20"/>
    <s v="NOT ACHIEVED"/>
    <x v="1"/>
    <x v="11"/>
    <s v="San Francisco"/>
    <s v="Americas &gt; USA &gt; San Francisco"/>
    <s v="Non-Profit"/>
    <s v="Marketplace"/>
    <x v="2"/>
    <x v="15"/>
    <x v="4"/>
    <s v="High"/>
    <x v="614"/>
    <n v="1205.26"/>
    <n v="1386.049"/>
    <n v="1696.35"/>
    <n v="1696.35"/>
    <n v="1950.8024999999998"/>
    <n v="1.9E-2"/>
    <s v="OK"/>
    <n v="1.9E-2"/>
    <n v="1.9E-2"/>
    <n v="6"/>
    <n v="7.1999999999999993"/>
    <n v="9984.7160999999978"/>
    <n v="14312.647781999995"/>
    <n v="7231.5599999999995"/>
    <n v="2753.1560999999983"/>
    <n v="7081.0877819999951"/>
    <n v="0.27573704374028213"/>
    <d v="2023-01-02T00:00:00"/>
    <s v="Jan-2023"/>
    <n v="0"/>
    <n v="0"/>
    <n v="0"/>
  </r>
  <r>
    <s v="ORD-2023-172095"/>
    <x v="460"/>
    <x v="26"/>
    <s v="2023-Q2"/>
    <d v="2023-06-21T00:00:00"/>
    <n v="28"/>
    <s v="NOT ACHIEVED"/>
    <x v="1"/>
    <x v="11"/>
    <s v="Austin"/>
    <s v="Americas &gt; USA &gt; Austin"/>
    <s v="Small Business"/>
    <s v="Marketplace"/>
    <x v="2"/>
    <x v="4"/>
    <x v="2"/>
    <s v="Medium"/>
    <x v="615"/>
    <n v="813.97"/>
    <n v="936.06549999999993"/>
    <n v="1568.83"/>
    <n v="1568.83"/>
    <n v="1804.1544999999999"/>
    <n v="1.7000000000000001E-2"/>
    <s v="OK"/>
    <n v="1.7000000000000001E-2"/>
    <n v="1.7000000000000001E-2"/>
    <n v="15"/>
    <n v="18"/>
    <n v="23132.398349999996"/>
    <n v="33026.852276999998"/>
    <n v="12209.550000000001"/>
    <n v="10922.848349999995"/>
    <n v="20817.302276999995"/>
    <n v="0.4721883215364911"/>
    <d v="2023-01-02T00:00:00"/>
    <s v="Jan-2023"/>
    <n v="0"/>
    <n v="0"/>
    <n v="0"/>
  </r>
  <r>
    <s v="ORD-2024-433936"/>
    <x v="461"/>
    <x v="10"/>
    <s v="2024-Q3"/>
    <d v="2024-08-17T00:00:00"/>
    <n v="13"/>
    <s v="NOT ACHIEVED"/>
    <x v="1"/>
    <x v="11"/>
    <s v="Austin"/>
    <s v="Americas &gt; USA &gt; Austin"/>
    <s v="Consumer"/>
    <s v="Retail"/>
    <x v="0"/>
    <x v="14"/>
    <x v="2"/>
    <s v="Low"/>
    <x v="616"/>
    <n v="352.79"/>
    <n v="405.70850000000002"/>
    <n v="754.22"/>
    <n v="754.22"/>
    <n v="867.35299999999995"/>
    <n v="0.113"/>
    <s v="OK"/>
    <n v="0.113"/>
    <n v="0.113"/>
    <n v="7"/>
    <n v="8.4"/>
    <n v="4682.9519799999998"/>
    <n v="8109.0566675999999"/>
    <n v="2469.5300000000002"/>
    <n v="2213.4219799999996"/>
    <n v="5639.5266675999992"/>
    <n v="0.47265528014233443"/>
    <d v="2023-01-02T00:00:00"/>
    <s v="Jan-2023"/>
    <n v="0"/>
    <n v="0"/>
    <n v="0"/>
  </r>
  <r>
    <s v="ORD-2025-474368"/>
    <x v="154"/>
    <x v="7"/>
    <s v="2025-Q2"/>
    <d v="2025-05-17T00:00:00"/>
    <n v="20"/>
    <s v="NOT ACHIEVED"/>
    <x v="1"/>
    <x v="11"/>
    <s v="Austin"/>
    <s v="Americas &gt; USA &gt; Austin"/>
    <s v="Corporate"/>
    <s v="Direct"/>
    <x v="4"/>
    <x v="5"/>
    <x v="4"/>
    <s v="High"/>
    <x v="617"/>
    <n v="932.26"/>
    <n v="1072.0989999999999"/>
    <n v="1624.67"/>
    <n v="1624.67"/>
    <n v="1868.3705"/>
    <n v="0.23499999999999999"/>
    <s v="OK"/>
    <n v="0.23499999999999999"/>
    <n v="0.23499999999999999"/>
    <n v="28"/>
    <n v="33.6"/>
    <n v="34800.431400000001"/>
    <n v="77529.902267999991"/>
    <n v="26103.279999999999"/>
    <n v="8697.1514000000025"/>
    <n v="51426.622267999992"/>
    <n v="0.24991504559337163"/>
    <d v="2023-01-02T00:00:00"/>
    <s v="Jan-2023"/>
    <n v="0"/>
    <n v="0"/>
    <n v="0"/>
  </r>
  <r>
    <s v="ORD-2024-961501"/>
    <x v="79"/>
    <x v="0"/>
    <s v="2024-Q1"/>
    <d v="2024-03-23T00:00:00"/>
    <n v="21"/>
    <s v="NOT ACHIEVED"/>
    <x v="1"/>
    <x v="11"/>
    <s v="Chicago"/>
    <s v="Americas &gt; USA &gt; Chicago"/>
    <s v="Small Business"/>
    <s v="Online"/>
    <x v="1"/>
    <x v="8"/>
    <x v="0"/>
    <s v="Low"/>
    <x v="618"/>
    <n v="225.01"/>
    <n v="258.76149999999996"/>
    <n v="333.48"/>
    <n v="333.48"/>
    <n v="383.50200000000001"/>
    <n v="0.11899999999999999"/>
    <s v="OK"/>
    <n v="0.11899999999999999"/>
    <n v="0.11899999999999999"/>
    <n v="12"/>
    <n v="14.399999999999999"/>
    <n v="3525.5505600000001"/>
    <n v="6179.5978271999993"/>
    <n v="2700.12"/>
    <n v="825.43056000000024"/>
    <n v="3479.4778271999994"/>
    <n v="0.23412813004729685"/>
    <d v="2023-01-02T00:00:00"/>
    <s v="Jan-2023"/>
    <n v="0"/>
    <n v="0"/>
    <n v="0"/>
  </r>
  <r>
    <s v="ORD-2024-206311"/>
    <x v="208"/>
    <x v="22"/>
    <s v="2024-Q1"/>
    <d v="2024-01-15T00:00:00"/>
    <n v="2"/>
    <s v="ACHIEVED"/>
    <x v="1"/>
    <x v="11"/>
    <s v="San Francisco"/>
    <s v="Americas &gt; USA &gt; San Francisco"/>
    <s v="Non-Profit"/>
    <s v="Direct"/>
    <x v="4"/>
    <x v="11"/>
    <x v="0"/>
    <s v="High"/>
    <x v="619"/>
    <n v="1061.3699999999999"/>
    <n v="1220.5754999999997"/>
    <n v="1938.33"/>
    <n v="1938.33"/>
    <n v="2229.0794999999998"/>
    <n v="0.17"/>
    <s v="OK"/>
    <n v="0.17"/>
    <n v="0.17"/>
    <n v="4"/>
    <n v="4.8"/>
    <n v="6435.2555999999995"/>
    <n v="12518.510471999998"/>
    <n v="4245.4799999999996"/>
    <n v="2189.7755999999999"/>
    <n v="8273.0304719999986"/>
    <n v="0.34027795259600879"/>
    <d v="2023-01-02T00:00:00"/>
    <s v="Jan-2023"/>
    <n v="0"/>
    <n v="0"/>
    <n v="0"/>
  </r>
  <r>
    <s v="ORD-2024-353078"/>
    <x v="462"/>
    <x v="10"/>
    <s v="2024-Q3"/>
    <d v="2024-08-26T00:00:00"/>
    <n v="10"/>
    <s v="NOT ACHIEVED"/>
    <x v="1"/>
    <x v="11"/>
    <s v="Chicago"/>
    <s v="Americas &gt; USA &gt; Chicago"/>
    <s v="Corporate"/>
    <s v="Distributor"/>
    <x v="3"/>
    <x v="10"/>
    <x v="3"/>
    <s v="High"/>
    <x v="139"/>
    <n v="1291.7"/>
    <n v="1485.4549999999999"/>
    <n v="2657.84"/>
    <n v="2657.84"/>
    <n v="3056.5160000000001"/>
    <n v="8.6999999999999994E-2"/>
    <s v="OK"/>
    <n v="8.6999999999999994E-2"/>
    <n v="8.6999999999999994E-2"/>
    <n v="21"/>
    <n v="25.2"/>
    <n v="50958.766320000002"/>
    <n v="83725.308878399999"/>
    <n v="27125.7"/>
    <n v="23833.066320000002"/>
    <n v="56599.608878400002"/>
    <n v="0.46769315745083367"/>
    <d v="2023-01-02T00:00:00"/>
    <s v="Jan-2023"/>
    <n v="0"/>
    <n v="0"/>
    <n v="0"/>
  </r>
  <r>
    <s v="ORD-2025-960931"/>
    <x v="463"/>
    <x v="24"/>
    <s v="2025-Q3"/>
    <d v="2025-08-26T00:00:00"/>
    <n v="6"/>
    <s v="ACHIEVED"/>
    <x v="1"/>
    <x v="11"/>
    <s v="New York"/>
    <s v="Americas &gt; USA &gt; New York"/>
    <s v="Corporate"/>
    <s v="Retail"/>
    <x v="0"/>
    <x v="13"/>
    <x v="6"/>
    <s v="High"/>
    <x v="620"/>
    <n v="1304.95"/>
    <n v="1500.6924999999999"/>
    <n v="1712.03"/>
    <n v="1712.03"/>
    <n v="1968.8344999999997"/>
    <n v="0.21199999999999999"/>
    <s v="OK"/>
    <n v="0.21199999999999999"/>
    <n v="0.21199999999999999"/>
    <n v="8"/>
    <n v="9.6"/>
    <n v="10792.637119999999"/>
    <n v="22907.783174399996"/>
    <n v="10439.6"/>
    <n v="353.03711999999905"/>
    <n v="12468.183174399996"/>
    <n v="3.2710922833287949E-2"/>
    <d v="2023-01-02T00:00:00"/>
    <s v="Jan-2023"/>
    <n v="0"/>
    <n v="0"/>
    <n v="0"/>
  </r>
  <r>
    <s v="ORD-2024-687073"/>
    <x v="0"/>
    <x v="0"/>
    <s v="2024-Q1"/>
    <d v="2024-03-29T00:00:00"/>
    <n v="18"/>
    <s v="NOT ACHIEVED"/>
    <x v="1"/>
    <x v="11"/>
    <s v="New York"/>
    <s v="Americas &gt; USA &gt; New York"/>
    <s v="Corporate"/>
    <s v="Retail"/>
    <x v="0"/>
    <x v="13"/>
    <x v="2"/>
    <s v="Medium"/>
    <x v="621"/>
    <n v="710.98"/>
    <n v="817.62699999999995"/>
    <n v="1481.45"/>
    <n v="1481.45"/>
    <n v="1703.6675"/>
    <n v="0.21099999999999999"/>
    <s v="OK"/>
    <n v="0.21099999999999999"/>
    <n v="0.21099999999999999"/>
    <n v="9"/>
    <n v="10.799999999999999"/>
    <n v="10519.776450000001"/>
    <n v="22281.926498999997"/>
    <n v="6398.82"/>
    <n v="4120.9564500000015"/>
    <n v="15883.106498999998"/>
    <n v="0.39173422264120461"/>
    <d v="2023-01-02T00:00:00"/>
    <s v="Jan-2023"/>
    <n v="0"/>
    <n v="0"/>
    <n v="0"/>
  </r>
  <r>
    <s v="ORD-2024-250862"/>
    <x v="309"/>
    <x v="32"/>
    <s v="2024-Q4"/>
    <d v="2024-11-05T00:00:00"/>
    <n v="11"/>
    <s v="NOT ACHIEVED"/>
    <x v="1"/>
    <x v="11"/>
    <s v="New York"/>
    <s v="Americas &gt; USA &gt; New York"/>
    <s v="Corporate"/>
    <s v="Distributor"/>
    <x v="3"/>
    <x v="5"/>
    <x v="0"/>
    <s v="Low"/>
    <x v="622"/>
    <n v="446.66"/>
    <n v="513.65899999999999"/>
    <n v="527.64"/>
    <n v="527.64"/>
    <n v="606.78599999999994"/>
    <n v="0.14499999999999999"/>
    <s v="OK"/>
    <n v="0.14499999999999999"/>
    <n v="0.14499999999999999"/>
    <n v="15"/>
    <n v="18"/>
    <n v="6766.9829999999993"/>
    <n v="12505.85946"/>
    <n v="6699.9000000000005"/>
    <n v="67.082999999998719"/>
    <n v="5805.9594599999991"/>
    <n v="9.9132804087137105E-3"/>
    <d v="2023-01-02T00:00:00"/>
    <s v="Jan-2023"/>
    <n v="0"/>
    <n v="0"/>
    <n v="0"/>
  </r>
  <r>
    <s v="ORD-2024-437164"/>
    <x v="464"/>
    <x v="23"/>
    <s v="2024-Q1"/>
    <d v="2024-02-20T00:00:00"/>
    <n v="0"/>
    <s v="ACHIEVED"/>
    <x v="1"/>
    <x v="11"/>
    <s v="New York"/>
    <s v="Americas &gt; USA &gt; New York"/>
    <s v="Enterprise"/>
    <s v="Online"/>
    <x v="1"/>
    <x v="0"/>
    <x v="6"/>
    <s v="High"/>
    <x v="623"/>
    <n v="1407.05"/>
    <n v="1618.1074999999998"/>
    <n v="2858.93"/>
    <n v="2858.93"/>
    <n v="3287.7694999999994"/>
    <n v="0"/>
    <s v="OK"/>
    <n v="0"/>
    <n v="0"/>
    <n v="12"/>
    <n v="14.399999999999999"/>
    <n v="34307.159999999996"/>
    <n v="47343.880799999984"/>
    <n v="16884.599999999999"/>
    <n v="17422.559999999998"/>
    <n v="30459.280799999986"/>
    <n v="0.50784034586366222"/>
    <d v="2023-01-02T00:00:00"/>
    <s v="Jan-2023"/>
    <n v="0"/>
    <n v="0"/>
    <n v="0"/>
  </r>
  <r>
    <s v="ORD-2023-378676"/>
    <x v="465"/>
    <x v="26"/>
    <s v="2023-Q2"/>
    <d v="2023-05-16T00:00:00"/>
    <n v="13"/>
    <s v="NOT ACHIEVED"/>
    <x v="1"/>
    <x v="11"/>
    <s v="New York"/>
    <s v="Americas &gt; USA &gt; New York"/>
    <s v="Corporate"/>
    <s v="Marketplace"/>
    <x v="2"/>
    <x v="10"/>
    <x v="4"/>
    <s v="Low"/>
    <x v="624"/>
    <n v="64.5"/>
    <n v="74.174999999999997"/>
    <n v="123.62"/>
    <n v="123.62"/>
    <n v="142.16299999999998"/>
    <n v="0"/>
    <s v="OK"/>
    <n v="0"/>
    <n v="0"/>
    <n v="3"/>
    <n v="3.5999999999999996"/>
    <n v="370.86"/>
    <n v="511.78679999999991"/>
    <n v="193.5"/>
    <n v="177.36"/>
    <n v="318.28679999999991"/>
    <n v="0.47823976702798904"/>
    <d v="2023-01-02T00:00:00"/>
    <s v="Jan-2023"/>
    <n v="0"/>
    <n v="0"/>
    <n v="0"/>
  </r>
  <r>
    <s v="ORD-2023-619493"/>
    <x v="466"/>
    <x v="5"/>
    <s v="2023-Q1"/>
    <d v="2023-03-04T00:00:00"/>
    <n v="5"/>
    <s v="ACHIEVED"/>
    <x v="1"/>
    <x v="11"/>
    <s v="San Francisco"/>
    <s v="Americas &gt; USA &gt; San Francisco"/>
    <s v="Non-Profit"/>
    <s v="Online"/>
    <x v="1"/>
    <x v="10"/>
    <x v="6"/>
    <s v="High"/>
    <x v="625"/>
    <n v="1015.91"/>
    <n v="1168.2964999999999"/>
    <n v="2331.48"/>
    <n v="2331.48"/>
    <n v="2681.2019999999998"/>
    <n v="0.14599999999999999"/>
    <s v="OK"/>
    <n v="0.14599999999999999"/>
    <n v="0.14599999999999999"/>
    <n v="26"/>
    <n v="31.2"/>
    <n v="51768.181920000003"/>
    <n v="95866.913750399995"/>
    <n v="26413.66"/>
    <n v="25354.521920000003"/>
    <n v="69453.253750399992"/>
    <n v="0.48977037592669626"/>
    <d v="2023-01-02T00:00:00"/>
    <s v="Jan-2023"/>
    <n v="0"/>
    <n v="0"/>
    <n v="0"/>
  </r>
  <r>
    <s v="ORD-2023-664790"/>
    <x v="219"/>
    <x v="19"/>
    <s v="2023-Q2"/>
    <d v="2023-04-23T00:00:00"/>
    <n v="7"/>
    <s v="ACHIEVED"/>
    <x v="1"/>
    <x v="11"/>
    <s v="Austin"/>
    <s v="Americas &gt; USA &gt; Austin"/>
    <s v="Corporate"/>
    <s v="Distributor"/>
    <x v="3"/>
    <x v="7"/>
    <x v="5"/>
    <s v="Medium"/>
    <x v="626"/>
    <n v="1099.1500000000001"/>
    <n v="1264.0225"/>
    <n v="1431.37"/>
    <n v="1431.37"/>
    <n v="1646.0754999999997"/>
    <n v="0.104"/>
    <s v="OK"/>
    <n v="0.104"/>
    <n v="0.104"/>
    <n v="8"/>
    <n v="9.6"/>
    <n v="10260.060159999999"/>
    <n v="17445.766579199997"/>
    <n v="8793.2000000000007"/>
    <n v="1466.8601599999984"/>
    <n v="8652.5665791999963"/>
    <n v="0.14296798821109433"/>
    <d v="2023-01-02T00:00:00"/>
    <s v="Jan-2023"/>
    <n v="0"/>
    <n v="0"/>
    <n v="0"/>
  </r>
  <r>
    <s v="ORD-2024-331408"/>
    <x v="160"/>
    <x v="23"/>
    <s v="2024-Q1"/>
    <d v="2024-02-01T00:00:00"/>
    <n v="0"/>
    <s v="ACHIEVED"/>
    <x v="1"/>
    <x v="11"/>
    <s v="Austin"/>
    <s v="Americas &gt; USA &gt; Austin"/>
    <s v="Consumer"/>
    <s v="Distributor"/>
    <x v="3"/>
    <x v="15"/>
    <x v="5"/>
    <s v="Medium"/>
    <x v="627"/>
    <n v="714.43"/>
    <n v="821.59449999999993"/>
    <n v="1595.52"/>
    <n v="1595.52"/>
    <n v="1834.8479999999997"/>
    <n v="0.19400000000000001"/>
    <s v="OK"/>
    <n v="0.19400000000000001"/>
    <n v="0.19400000000000001"/>
    <n v="14"/>
    <n v="16.8"/>
    <n v="18003.847679999999"/>
    <n v="36805.583001599996"/>
    <n v="10002.019999999999"/>
    <n v="8001.8276800000003"/>
    <n v="26803.5630016"/>
    <n v="0.44445097638151093"/>
    <d v="2023-01-02T00:00:00"/>
    <s v="Jan-2023"/>
    <n v="0"/>
    <n v="0"/>
    <n v="0"/>
  </r>
  <r>
    <s v="ORD-2024-741404"/>
    <x v="467"/>
    <x v="32"/>
    <s v="2024-Q4"/>
    <d v="2024-11-06T00:00:00"/>
    <n v="18"/>
    <s v="NOT ACHIEVED"/>
    <x v="1"/>
    <x v="11"/>
    <s v="Chicago"/>
    <s v="Americas &gt; USA &gt; Chicago"/>
    <s v="Education"/>
    <n v="0"/>
    <x v="5"/>
    <x v="0"/>
    <x v="2"/>
    <s v="Medium"/>
    <x v="628"/>
    <n v="942.02"/>
    <n v="1083.3229999999999"/>
    <n v="1028.46"/>
    <n v="1028.46"/>
    <n v="1182.729"/>
    <n v="0"/>
    <s v="OK"/>
    <n v="0"/>
    <n v="0"/>
    <n v="9"/>
    <n v="10.799999999999999"/>
    <n v="9256.14"/>
    <n v="12773.473199999999"/>
    <n v="8478.18"/>
    <n v="777.95999999999913"/>
    <n v="4295.2931999999983"/>
    <n v="8.4047994088248354E-2"/>
    <d v="2023-01-02T00:00:00"/>
    <s v="Jan-2023"/>
    <n v="0"/>
    <n v="0"/>
    <n v="0"/>
  </r>
  <r>
    <m/>
    <x v="468"/>
    <x v="33"/>
    <m/>
    <m/>
    <m/>
    <n v="172"/>
    <x v="4"/>
    <x v="12"/>
    <m/>
    <m/>
    <m/>
    <m/>
    <x v="6"/>
    <x v="16"/>
    <x v="7"/>
    <m/>
    <x v="629"/>
    <m/>
    <m/>
    <m/>
    <m/>
    <m/>
    <m/>
    <m/>
    <m/>
    <m/>
    <m/>
    <m/>
    <n v="10917569.569679989"/>
    <n v="19282678.580878232"/>
    <m/>
    <n v="3421374.359679997"/>
    <m/>
    <n v="155.4894135590379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AD53" firstHeaderRow="1" firstDataRow="3" firstDataCol="2"/>
  <pivotFields count="37">
    <pivotField dataField="1" compact="0" outline="0" showAll="0">
      <items count="633">
        <item x="378"/>
        <item x="306"/>
        <item x="439"/>
        <item x="475"/>
        <item x="101"/>
        <item x="443"/>
        <item x="609"/>
        <item x="593"/>
        <item x="370"/>
        <item x="505"/>
        <item x="418"/>
        <item x="124"/>
        <item x="488"/>
        <item x="462"/>
        <item x="86"/>
        <item x="133"/>
        <item x="616"/>
        <item x="574"/>
        <item x="590"/>
        <item x="395"/>
        <item x="553"/>
        <item x="147"/>
        <item x="248"/>
        <item x="172"/>
        <item x="25"/>
        <item x="541"/>
        <item x="460"/>
        <item x="283"/>
        <item x="242"/>
        <item x="202"/>
        <item x="216"/>
        <item x="9"/>
        <item x="334"/>
        <item x="193"/>
        <item x="57"/>
        <item x="322"/>
        <item x="393"/>
        <item x="31"/>
        <item x="545"/>
        <item x="328"/>
        <item x="413"/>
        <item x="5"/>
        <item x="594"/>
        <item x="409"/>
        <item x="79"/>
        <item x="508"/>
        <item x="425"/>
        <item x="588"/>
        <item x="340"/>
        <item x="530"/>
        <item x="162"/>
        <item x="577"/>
        <item x="595"/>
        <item x="277"/>
        <item x="266"/>
        <item x="17"/>
        <item x="448"/>
        <item x="204"/>
        <item x="67"/>
        <item x="255"/>
        <item x="99"/>
        <item x="350"/>
        <item x="140"/>
        <item x="503"/>
        <item x="82"/>
        <item x="382"/>
        <item x="13"/>
        <item x="548"/>
        <item x="417"/>
        <item x="626"/>
        <item x="591"/>
        <item x="487"/>
        <item x="558"/>
        <item x="229"/>
        <item x="175"/>
        <item x="51"/>
        <item x="388"/>
        <item x="219"/>
        <item x="116"/>
        <item x="537"/>
        <item x="278"/>
        <item x="50"/>
        <item x="336"/>
        <item x="210"/>
        <item x="259"/>
        <item x="380"/>
        <item x="315"/>
        <item x="260"/>
        <item x="281"/>
        <item x="461"/>
        <item x="484"/>
        <item x="97"/>
        <item x="493"/>
        <item x="544"/>
        <item x="480"/>
        <item x="280"/>
        <item x="235"/>
        <item x="585"/>
        <item x="518"/>
        <item x="412"/>
        <item x="362"/>
        <item x="463"/>
        <item x="529"/>
        <item x="157"/>
        <item x="61"/>
        <item x="321"/>
        <item x="64"/>
        <item x="368"/>
        <item x="566"/>
        <item x="352"/>
        <item x="310"/>
        <item x="227"/>
        <item x="169"/>
        <item x="360"/>
        <item x="46"/>
        <item x="401"/>
        <item x="47"/>
        <item x="34"/>
        <item x="612"/>
        <item x="332"/>
        <item x="197"/>
        <item x="602"/>
        <item x="71"/>
        <item x="131"/>
        <item x="253"/>
        <item x="347"/>
        <item x="396"/>
        <item x="230"/>
        <item x="139"/>
        <item x="627"/>
        <item x="36"/>
        <item x="520"/>
        <item x="358"/>
        <item x="29"/>
        <item x="455"/>
        <item x="453"/>
        <item x="517"/>
        <item x="581"/>
        <item x="23"/>
        <item x="563"/>
        <item x="458"/>
        <item x="540"/>
        <item x="628"/>
        <item x="547"/>
        <item x="142"/>
        <item x="292"/>
        <item x="523"/>
        <item x="154"/>
        <item x="228"/>
        <item x="515"/>
        <item x="497"/>
        <item x="103"/>
        <item x="601"/>
        <item x="269"/>
        <item x="63"/>
        <item x="206"/>
        <item x="308"/>
        <item x="466"/>
        <item x="554"/>
        <item x="150"/>
        <item x="27"/>
        <item x="485"/>
        <item x="359"/>
        <item x="435"/>
        <item x="608"/>
        <item x="93"/>
        <item x="564"/>
        <item x="252"/>
        <item x="191"/>
        <item x="109"/>
        <item x="258"/>
        <item x="185"/>
        <item x="323"/>
        <item x="506"/>
        <item x="492"/>
        <item x="20"/>
        <item x="411"/>
        <item x="510"/>
        <item x="489"/>
        <item x="399"/>
        <item x="305"/>
        <item x="276"/>
        <item x="141"/>
        <item x="610"/>
        <item x="58"/>
        <item x="265"/>
        <item x="199"/>
        <item x="48"/>
        <item x="170"/>
        <item x="107"/>
        <item x="318"/>
        <item x="532"/>
        <item x="14"/>
        <item x="148"/>
        <item x="117"/>
        <item x="181"/>
        <item x="225"/>
        <item x="156"/>
        <item x="28"/>
        <item x="183"/>
        <item x="85"/>
        <item x="386"/>
        <item x="459"/>
        <item x="274"/>
        <item x="587"/>
        <item x="312"/>
        <item x="543"/>
        <item x="106"/>
        <item x="128"/>
        <item x="562"/>
        <item x="420"/>
        <item x="244"/>
        <item x="383"/>
        <item x="287"/>
        <item x="499"/>
        <item x="406"/>
        <item x="316"/>
        <item x="477"/>
        <item x="262"/>
        <item x="279"/>
        <item x="30"/>
        <item x="521"/>
        <item x="331"/>
        <item x="91"/>
        <item x="75"/>
        <item x="356"/>
        <item x="364"/>
        <item x="40"/>
        <item x="123"/>
        <item x="333"/>
        <item x="571"/>
        <item x="286"/>
        <item x="490"/>
        <item x="586"/>
        <item x="550"/>
        <item x="394"/>
        <item x="482"/>
        <item x="90"/>
        <item x="264"/>
        <item x="167"/>
        <item x="339"/>
        <item x="398"/>
        <item x="192"/>
        <item x="55"/>
        <item x="159"/>
        <item x="37"/>
        <item x="620"/>
        <item x="603"/>
        <item x="573"/>
        <item x="365"/>
        <item x="212"/>
        <item x="223"/>
        <item x="589"/>
        <item x="6"/>
        <item x="18"/>
        <item x="80"/>
        <item x="534"/>
        <item x="41"/>
        <item x="120"/>
        <item x="126"/>
        <item x="479"/>
        <item x="472"/>
        <item x="268"/>
        <item x="624"/>
        <item x="613"/>
        <item x="95"/>
        <item x="267"/>
        <item x="433"/>
        <item x="0"/>
        <item x="502"/>
        <item x="342"/>
        <item x="533"/>
        <item x="218"/>
        <item x="217"/>
        <item x="483"/>
        <item x="599"/>
        <item x="187"/>
        <item x="473"/>
        <item x="408"/>
        <item x="174"/>
        <item x="428"/>
        <item x="629"/>
        <item x="184"/>
        <item x="414"/>
        <item x="263"/>
        <item x="434"/>
        <item x="136"/>
        <item x="327"/>
        <item x="345"/>
        <item x="621"/>
        <item x="100"/>
        <item x="249"/>
        <item x="122"/>
        <item x="437"/>
        <item x="423"/>
        <item x="238"/>
        <item x="96"/>
        <item x="189"/>
        <item x="246"/>
        <item x="196"/>
        <item x="72"/>
        <item x="65"/>
        <item x="294"/>
        <item x="186"/>
        <item x="256"/>
        <item x="35"/>
        <item x="522"/>
        <item x="451"/>
        <item x="504"/>
        <item x="617"/>
        <item x="625"/>
        <item x="73"/>
        <item x="432"/>
        <item x="22"/>
        <item x="304"/>
        <item x="11"/>
        <item x="12"/>
        <item x="296"/>
        <item x="66"/>
        <item x="153"/>
        <item x="144"/>
        <item x="220"/>
        <item x="68"/>
        <item x="575"/>
        <item x="32"/>
        <item x="580"/>
        <item x="546"/>
        <item x="38"/>
        <item x="21"/>
        <item x="419"/>
        <item x="92"/>
        <item x="43"/>
        <item x="300"/>
        <item x="49"/>
        <item x="464"/>
        <item x="369"/>
        <item x="371"/>
        <item x="357"/>
        <item x="78"/>
        <item x="528"/>
        <item x="105"/>
        <item x="275"/>
        <item x="427"/>
        <item x="470"/>
        <item x="569"/>
        <item x="341"/>
        <item x="134"/>
        <item x="374"/>
        <item x="309"/>
        <item x="501"/>
        <item x="146"/>
        <item x="221"/>
        <item x="60"/>
        <item x="15"/>
        <item x="440"/>
        <item x="373"/>
        <item x="111"/>
        <item x="442"/>
        <item x="270"/>
        <item x="584"/>
        <item x="335"/>
        <item x="614"/>
        <item x="155"/>
        <item x="527"/>
        <item x="214"/>
        <item x="446"/>
        <item x="449"/>
        <item x="565"/>
        <item x="289"/>
        <item x="421"/>
        <item x="145"/>
        <item x="297"/>
        <item x="598"/>
        <item x="338"/>
        <item x="188"/>
        <item x="496"/>
        <item x="623"/>
        <item x="403"/>
        <item x="431"/>
        <item x="611"/>
        <item x="213"/>
        <item x="556"/>
        <item x="424"/>
        <item x="606"/>
        <item x="130"/>
        <item x="568"/>
        <item x="152"/>
        <item x="630"/>
        <item x="247"/>
        <item x="236"/>
        <item x="245"/>
        <item x="211"/>
        <item x="127"/>
        <item x="173"/>
        <item x="203"/>
        <item x="114"/>
        <item x="311"/>
        <item x="24"/>
        <item x="171"/>
        <item x="471"/>
        <item x="160"/>
        <item x="83"/>
        <item x="198"/>
        <item x="330"/>
        <item x="384"/>
        <item x="110"/>
        <item x="407"/>
        <item x="190"/>
        <item x="320"/>
        <item x="415"/>
        <item x="241"/>
        <item x="422"/>
        <item x="178"/>
        <item x="119"/>
        <item x="469"/>
        <item x="525"/>
        <item x="273"/>
        <item x="307"/>
        <item x="452"/>
        <item x="385"/>
        <item x="233"/>
        <item x="285"/>
        <item x="231"/>
        <item x="137"/>
        <item x="317"/>
        <item x="410"/>
        <item x="177"/>
        <item x="94"/>
        <item x="158"/>
        <item x="507"/>
        <item x="200"/>
        <item x="351"/>
        <item x="597"/>
        <item x="87"/>
        <item x="222"/>
        <item x="165"/>
        <item x="576"/>
        <item x="115"/>
        <item x="353"/>
        <item x="491"/>
        <item x="555"/>
        <item x="551"/>
        <item x="578"/>
        <item x="486"/>
        <item x="538"/>
        <item x="375"/>
        <item x="600"/>
        <item x="226"/>
        <item x="619"/>
        <item x="135"/>
        <item x="570"/>
        <item x="444"/>
        <item x="400"/>
        <item x="495"/>
        <item x="303"/>
        <item x="513"/>
        <item x="567"/>
        <item x="429"/>
        <item x="129"/>
        <item x="301"/>
        <item x="445"/>
        <item x="387"/>
        <item x="592"/>
        <item x="168"/>
        <item x="354"/>
        <item x="77"/>
        <item x="313"/>
        <item x="180"/>
        <item x="402"/>
        <item x="54"/>
        <item x="579"/>
        <item x="430"/>
        <item x="438"/>
        <item x="372"/>
        <item x="319"/>
        <item x="535"/>
        <item x="234"/>
        <item x="138"/>
        <item x="209"/>
        <item x="84"/>
        <item x="560"/>
        <item x="143"/>
        <item x="182"/>
        <item x="325"/>
        <item x="397"/>
        <item x="74"/>
        <item x="59"/>
        <item x="344"/>
        <item x="254"/>
        <item x="366"/>
        <item x="524"/>
        <item x="272"/>
        <item x="559"/>
        <item x="615"/>
        <item x="549"/>
        <item x="205"/>
        <item x="102"/>
        <item x="596"/>
        <item x="516"/>
        <item x="88"/>
        <item x="519"/>
        <item x="288"/>
        <item x="113"/>
        <item x="531"/>
        <item x="151"/>
        <item x="426"/>
        <item x="261"/>
        <item x="118"/>
        <item x="604"/>
        <item x="240"/>
        <item x="298"/>
        <item x="349"/>
        <item x="195"/>
        <item x="361"/>
        <item x="121"/>
        <item x="56"/>
        <item x="454"/>
        <item x="476"/>
        <item x="514"/>
        <item x="618"/>
        <item x="481"/>
        <item x="290"/>
        <item x="282"/>
        <item x="511"/>
        <item x="355"/>
        <item x="348"/>
        <item x="2"/>
        <item x="582"/>
        <item x="363"/>
        <item x="447"/>
        <item x="132"/>
        <item x="295"/>
        <item x="324"/>
        <item x="166"/>
        <item x="271"/>
        <item x="379"/>
        <item x="536"/>
        <item x="239"/>
        <item x="112"/>
        <item x="176"/>
        <item x="161"/>
        <item x="404"/>
        <item x="163"/>
        <item x="441"/>
        <item x="76"/>
        <item x="512"/>
        <item x="557"/>
        <item x="416"/>
        <item x="291"/>
        <item x="329"/>
        <item x="450"/>
        <item x="314"/>
        <item x="509"/>
        <item x="164"/>
        <item x="10"/>
        <item x="343"/>
        <item x="583"/>
        <item x="436"/>
        <item x="16"/>
        <item x="467"/>
        <item x="125"/>
        <item x="607"/>
        <item x="572"/>
        <item x="392"/>
        <item x="19"/>
        <item x="302"/>
        <item x="243"/>
        <item x="237"/>
        <item x="498"/>
        <item x="53"/>
        <item x="194"/>
        <item x="376"/>
        <item x="346"/>
        <item x="69"/>
        <item x="494"/>
        <item x="367"/>
        <item x="104"/>
        <item x="108"/>
        <item x="391"/>
        <item x="381"/>
        <item x="552"/>
        <item x="526"/>
        <item x="377"/>
        <item x="33"/>
        <item x="26"/>
        <item x="405"/>
        <item x="389"/>
        <item x="7"/>
        <item x="224"/>
        <item x="201"/>
        <item x="39"/>
        <item x="326"/>
        <item x="149"/>
        <item x="561"/>
        <item x="250"/>
        <item x="468"/>
        <item x="215"/>
        <item x="89"/>
        <item x="52"/>
        <item x="474"/>
        <item x="299"/>
        <item x="3"/>
        <item x="4"/>
        <item x="539"/>
        <item x="208"/>
        <item x="605"/>
        <item x="390"/>
        <item x="293"/>
        <item x="98"/>
        <item x="465"/>
        <item x="81"/>
        <item x="337"/>
        <item x="62"/>
        <item x="500"/>
        <item x="45"/>
        <item x="44"/>
        <item x="456"/>
        <item x="257"/>
        <item x="478"/>
        <item x="8"/>
        <item x="179"/>
        <item x="457"/>
        <item x="232"/>
        <item x="251"/>
        <item x="42"/>
        <item x="70"/>
        <item x="622"/>
        <item x="542"/>
        <item x="284"/>
        <item x="207"/>
        <item x="1"/>
        <item x="631"/>
        <item t="default"/>
      </items>
    </pivotField>
    <pivotField axis="axisRow" compact="0"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3">
        <item x="11"/>
        <item x="4"/>
        <item x="8"/>
        <item x="10"/>
        <item x="6"/>
        <item x="0"/>
        <item x="5"/>
        <item x="7"/>
        <item x="9"/>
        <item x="2"/>
        <item x="1"/>
        <item x="3"/>
        <item t="default"/>
      </items>
    </pivotField>
    <pivotField compact="0" outline="0" showAll="0"/>
    <pivotField compact="0" outline="0" showAll="0"/>
    <pivotField compact="0" numFmtId="14" outline="0" showAll="0"/>
    <pivotField compact="0" numFmtId="1" outline="0" showAll="0"/>
    <pivotField compact="0" outline="0" showAll="0"/>
    <pivotField axis="axisCol" compact="0" outline="0" showAll="0">
      <items count="14">
        <item x="1"/>
        <item x="2"/>
        <item x="3"/>
        <item x="4"/>
        <item x="5"/>
        <item x="6"/>
        <item x="7"/>
        <item x="0"/>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0" outline="0" showAll="0"/>
    <pivotField compact="0" outline="0" showAll="0"/>
    <pivotField dataField="1" compact="0" outline="0" showAll="0"/>
    <pivotField compact="0" outline="0" showAll="0"/>
    <pivotField compact="0" numFmtId="1" outline="0" showAll="0"/>
    <pivotField compact="0" outline="0" showAll="0"/>
    <pivotField compact="0" outline="0" showAll="0"/>
    <pivotField compact="0" outline="0" showAll="0"/>
    <pivotField compact="0" outline="0" showAll="0"/>
  </pivotFields>
  <rowFields count="2">
    <field x="1"/>
    <field x="3"/>
  </rowFields>
  <rowItems count="48">
    <i>
      <x/>
      <x/>
    </i>
    <i t="default">
      <x/>
    </i>
    <i>
      <x v="1"/>
      <x v="1"/>
    </i>
    <i r="1">
      <x v="5"/>
    </i>
    <i r="1">
      <x v="9"/>
    </i>
    <i t="default">
      <x v="1"/>
    </i>
    <i>
      <x v="2"/>
      <x v="1"/>
    </i>
    <i r="1">
      <x v="5"/>
    </i>
    <i r="1">
      <x v="9"/>
    </i>
    <i t="default">
      <x v="2"/>
    </i>
    <i>
      <x v="3"/>
      <x v="1"/>
    </i>
    <i r="1">
      <x v="5"/>
    </i>
    <i r="1">
      <x v="9"/>
    </i>
    <i t="default">
      <x v="3"/>
    </i>
    <i>
      <x v="4"/>
      <x v="2"/>
    </i>
    <i r="1">
      <x v="6"/>
    </i>
    <i r="1">
      <x v="10"/>
    </i>
    <i t="default">
      <x v="4"/>
    </i>
    <i>
      <x v="5"/>
      <x v="2"/>
    </i>
    <i r="1">
      <x v="6"/>
    </i>
    <i r="1">
      <x v="10"/>
    </i>
    <i t="default">
      <x v="5"/>
    </i>
    <i>
      <x v="6"/>
      <x v="2"/>
    </i>
    <i r="1">
      <x v="6"/>
    </i>
    <i r="1">
      <x v="10"/>
    </i>
    <i t="default">
      <x v="6"/>
    </i>
    <i>
      <x v="7"/>
      <x v="3"/>
    </i>
    <i r="1">
      <x v="7"/>
    </i>
    <i r="1">
      <x v="11"/>
    </i>
    <i t="default">
      <x v="7"/>
    </i>
    <i>
      <x v="8"/>
      <x v="3"/>
    </i>
    <i r="1">
      <x v="7"/>
    </i>
    <i r="1">
      <x v="11"/>
    </i>
    <i t="default">
      <x v="8"/>
    </i>
    <i>
      <x v="9"/>
      <x v="3"/>
    </i>
    <i r="1">
      <x v="7"/>
    </i>
    <i r="1">
      <x v="11"/>
    </i>
    <i t="default">
      <x v="9"/>
    </i>
    <i>
      <x v="10"/>
      <x v="4"/>
    </i>
    <i r="1">
      <x v="8"/>
    </i>
    <i t="default">
      <x v="10"/>
    </i>
    <i>
      <x v="11"/>
      <x v="4"/>
    </i>
    <i r="1">
      <x v="8"/>
    </i>
    <i t="default">
      <x v="11"/>
    </i>
    <i>
      <x v="12"/>
      <x v="4"/>
    </i>
    <i r="1">
      <x v="8"/>
    </i>
    <i t="default">
      <x v="12"/>
    </i>
    <i t="grand">
      <x/>
    </i>
  </rowItems>
  <colFields count="2">
    <field x="9"/>
    <field x="-2"/>
  </colFields>
  <colItems count="28">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t="grand">
      <x/>
    </i>
    <i t="grand" i="1">
      <x/>
    </i>
  </colItems>
  <dataFields count="2">
    <dataField name="Count of OrderID" fld="0" subtotal="count" baseField="0" baseItem="0"/>
    <dataField name="Sum of Gross Revenue" fld="30"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36" firstHeaderRow="1" firstDataRow="1" firstDataCol="1"/>
  <pivotFields count="33">
    <pivotField axis="axisRow" showAll="0" avgSubtotal="1">
      <items count="633">
        <item x="631"/>
        <item x="378"/>
        <item x="306"/>
        <item x="439"/>
        <item x="475"/>
        <item x="101"/>
        <item x="443"/>
        <item x="609"/>
        <item x="593"/>
        <item x="370"/>
        <item x="505"/>
        <item x="418"/>
        <item x="124"/>
        <item x="488"/>
        <item x="462"/>
        <item x="86"/>
        <item x="133"/>
        <item x="616"/>
        <item x="574"/>
        <item x="590"/>
        <item x="395"/>
        <item x="553"/>
        <item x="147"/>
        <item x="248"/>
        <item x="172"/>
        <item x="25"/>
        <item x="541"/>
        <item x="460"/>
        <item x="283"/>
        <item x="242"/>
        <item x="202"/>
        <item x="216"/>
        <item x="9"/>
        <item x="334"/>
        <item x="193"/>
        <item x="57"/>
        <item x="322"/>
        <item x="393"/>
        <item x="31"/>
        <item x="545"/>
        <item x="328"/>
        <item x="413"/>
        <item x="5"/>
        <item x="594"/>
        <item x="409"/>
        <item x="79"/>
        <item x="508"/>
        <item x="425"/>
        <item x="588"/>
        <item x="340"/>
        <item x="530"/>
        <item x="162"/>
        <item x="577"/>
        <item x="595"/>
        <item x="277"/>
        <item x="266"/>
        <item x="17"/>
        <item x="448"/>
        <item x="204"/>
        <item x="67"/>
        <item x="255"/>
        <item x="99"/>
        <item x="350"/>
        <item x="140"/>
        <item x="503"/>
        <item x="82"/>
        <item x="382"/>
        <item x="13"/>
        <item x="548"/>
        <item x="417"/>
        <item x="626"/>
        <item x="591"/>
        <item x="487"/>
        <item x="558"/>
        <item x="229"/>
        <item x="175"/>
        <item x="51"/>
        <item x="388"/>
        <item x="219"/>
        <item x="116"/>
        <item x="537"/>
        <item x="278"/>
        <item x="50"/>
        <item x="336"/>
        <item x="210"/>
        <item x="259"/>
        <item x="380"/>
        <item x="315"/>
        <item x="260"/>
        <item x="281"/>
        <item x="461"/>
        <item x="484"/>
        <item x="97"/>
        <item x="493"/>
        <item x="544"/>
        <item x="480"/>
        <item x="280"/>
        <item x="235"/>
        <item x="585"/>
        <item x="518"/>
        <item x="412"/>
        <item x="362"/>
        <item x="463"/>
        <item x="529"/>
        <item x="157"/>
        <item x="61"/>
        <item x="321"/>
        <item x="64"/>
        <item x="368"/>
        <item x="566"/>
        <item x="352"/>
        <item x="310"/>
        <item x="227"/>
        <item x="169"/>
        <item x="360"/>
        <item x="46"/>
        <item x="401"/>
        <item x="47"/>
        <item x="34"/>
        <item x="612"/>
        <item x="332"/>
        <item x="197"/>
        <item x="602"/>
        <item x="71"/>
        <item x="131"/>
        <item x="253"/>
        <item x="347"/>
        <item x="396"/>
        <item x="230"/>
        <item x="139"/>
        <item x="627"/>
        <item x="36"/>
        <item x="520"/>
        <item x="358"/>
        <item x="29"/>
        <item x="455"/>
        <item x="453"/>
        <item x="517"/>
        <item x="581"/>
        <item x="23"/>
        <item x="563"/>
        <item x="458"/>
        <item x="540"/>
        <item x="628"/>
        <item x="547"/>
        <item x="142"/>
        <item x="292"/>
        <item x="523"/>
        <item x="154"/>
        <item x="228"/>
        <item x="515"/>
        <item x="497"/>
        <item x="103"/>
        <item x="601"/>
        <item x="269"/>
        <item x="63"/>
        <item x="206"/>
        <item x="308"/>
        <item x="466"/>
        <item x="554"/>
        <item x="150"/>
        <item x="27"/>
        <item x="485"/>
        <item x="359"/>
        <item x="435"/>
        <item x="608"/>
        <item x="93"/>
        <item x="564"/>
        <item x="252"/>
        <item x="191"/>
        <item x="109"/>
        <item x="258"/>
        <item x="185"/>
        <item x="323"/>
        <item x="506"/>
        <item x="492"/>
        <item x="20"/>
        <item x="411"/>
        <item x="510"/>
        <item x="489"/>
        <item x="399"/>
        <item x="305"/>
        <item x="276"/>
        <item x="141"/>
        <item x="610"/>
        <item x="58"/>
        <item x="265"/>
        <item x="199"/>
        <item x="48"/>
        <item x="170"/>
        <item x="107"/>
        <item x="318"/>
        <item x="532"/>
        <item x="14"/>
        <item x="148"/>
        <item x="117"/>
        <item x="181"/>
        <item x="225"/>
        <item x="156"/>
        <item x="28"/>
        <item x="183"/>
        <item x="85"/>
        <item x="386"/>
        <item x="459"/>
        <item x="274"/>
        <item x="587"/>
        <item x="312"/>
        <item x="543"/>
        <item x="106"/>
        <item x="128"/>
        <item x="562"/>
        <item x="420"/>
        <item x="244"/>
        <item x="383"/>
        <item x="287"/>
        <item x="499"/>
        <item x="406"/>
        <item x="316"/>
        <item x="477"/>
        <item x="262"/>
        <item x="279"/>
        <item x="30"/>
        <item x="521"/>
        <item x="331"/>
        <item x="91"/>
        <item x="75"/>
        <item x="356"/>
        <item x="364"/>
        <item x="40"/>
        <item x="123"/>
        <item x="333"/>
        <item x="571"/>
        <item x="286"/>
        <item x="490"/>
        <item x="586"/>
        <item x="550"/>
        <item x="394"/>
        <item x="482"/>
        <item x="90"/>
        <item x="264"/>
        <item x="167"/>
        <item x="339"/>
        <item x="398"/>
        <item x="192"/>
        <item x="55"/>
        <item x="159"/>
        <item x="37"/>
        <item x="620"/>
        <item x="603"/>
        <item x="573"/>
        <item x="365"/>
        <item x="212"/>
        <item x="223"/>
        <item x="589"/>
        <item x="6"/>
        <item x="18"/>
        <item x="80"/>
        <item x="534"/>
        <item x="41"/>
        <item x="120"/>
        <item x="126"/>
        <item x="479"/>
        <item x="472"/>
        <item x="268"/>
        <item x="624"/>
        <item x="613"/>
        <item x="95"/>
        <item x="267"/>
        <item x="433"/>
        <item x="0"/>
        <item x="502"/>
        <item x="342"/>
        <item x="533"/>
        <item x="218"/>
        <item x="217"/>
        <item x="483"/>
        <item x="599"/>
        <item x="187"/>
        <item x="473"/>
        <item x="408"/>
        <item x="174"/>
        <item x="428"/>
        <item x="629"/>
        <item x="184"/>
        <item x="414"/>
        <item x="263"/>
        <item x="434"/>
        <item x="136"/>
        <item x="327"/>
        <item x="345"/>
        <item x="621"/>
        <item x="100"/>
        <item x="249"/>
        <item x="122"/>
        <item x="437"/>
        <item x="423"/>
        <item x="238"/>
        <item x="96"/>
        <item x="189"/>
        <item x="246"/>
        <item x="196"/>
        <item x="72"/>
        <item x="65"/>
        <item x="294"/>
        <item x="186"/>
        <item x="256"/>
        <item x="35"/>
        <item x="522"/>
        <item x="451"/>
        <item x="504"/>
        <item x="617"/>
        <item x="625"/>
        <item x="73"/>
        <item x="432"/>
        <item x="22"/>
        <item x="304"/>
        <item x="11"/>
        <item x="12"/>
        <item x="296"/>
        <item x="66"/>
        <item x="153"/>
        <item x="144"/>
        <item x="220"/>
        <item x="68"/>
        <item x="575"/>
        <item x="32"/>
        <item x="580"/>
        <item x="546"/>
        <item x="38"/>
        <item x="21"/>
        <item x="419"/>
        <item x="92"/>
        <item x="43"/>
        <item x="300"/>
        <item x="49"/>
        <item x="464"/>
        <item x="369"/>
        <item x="371"/>
        <item x="357"/>
        <item x="78"/>
        <item x="528"/>
        <item x="105"/>
        <item x="275"/>
        <item x="427"/>
        <item x="470"/>
        <item x="569"/>
        <item x="341"/>
        <item x="134"/>
        <item x="374"/>
        <item x="309"/>
        <item x="501"/>
        <item x="146"/>
        <item x="221"/>
        <item x="60"/>
        <item x="15"/>
        <item x="440"/>
        <item x="373"/>
        <item x="111"/>
        <item x="442"/>
        <item x="270"/>
        <item x="584"/>
        <item x="335"/>
        <item x="614"/>
        <item x="155"/>
        <item x="527"/>
        <item x="214"/>
        <item x="446"/>
        <item x="449"/>
        <item x="565"/>
        <item x="289"/>
        <item x="421"/>
        <item x="145"/>
        <item x="297"/>
        <item x="598"/>
        <item x="338"/>
        <item x="188"/>
        <item x="496"/>
        <item x="623"/>
        <item x="403"/>
        <item x="431"/>
        <item x="611"/>
        <item x="213"/>
        <item x="556"/>
        <item x="424"/>
        <item x="606"/>
        <item x="130"/>
        <item x="568"/>
        <item x="152"/>
        <item x="630"/>
        <item x="247"/>
        <item x="236"/>
        <item x="245"/>
        <item x="211"/>
        <item x="127"/>
        <item x="173"/>
        <item x="203"/>
        <item x="114"/>
        <item x="311"/>
        <item x="24"/>
        <item x="171"/>
        <item x="471"/>
        <item x="160"/>
        <item x="83"/>
        <item x="198"/>
        <item x="330"/>
        <item x="384"/>
        <item x="110"/>
        <item x="407"/>
        <item x="190"/>
        <item x="320"/>
        <item x="415"/>
        <item x="241"/>
        <item x="422"/>
        <item x="178"/>
        <item x="119"/>
        <item x="469"/>
        <item x="525"/>
        <item x="273"/>
        <item x="307"/>
        <item x="452"/>
        <item x="385"/>
        <item x="233"/>
        <item x="285"/>
        <item x="231"/>
        <item x="137"/>
        <item x="317"/>
        <item x="410"/>
        <item x="177"/>
        <item x="94"/>
        <item x="158"/>
        <item x="507"/>
        <item x="200"/>
        <item x="351"/>
        <item x="597"/>
        <item x="87"/>
        <item x="222"/>
        <item x="165"/>
        <item x="576"/>
        <item x="115"/>
        <item x="353"/>
        <item x="491"/>
        <item x="555"/>
        <item x="551"/>
        <item x="578"/>
        <item x="486"/>
        <item x="538"/>
        <item x="375"/>
        <item x="600"/>
        <item x="226"/>
        <item x="619"/>
        <item x="135"/>
        <item x="570"/>
        <item x="444"/>
        <item x="400"/>
        <item x="495"/>
        <item x="303"/>
        <item x="513"/>
        <item x="567"/>
        <item x="429"/>
        <item x="129"/>
        <item x="301"/>
        <item x="445"/>
        <item x="387"/>
        <item x="592"/>
        <item x="168"/>
        <item x="354"/>
        <item x="77"/>
        <item x="313"/>
        <item x="180"/>
        <item x="402"/>
        <item x="54"/>
        <item x="579"/>
        <item x="430"/>
        <item x="438"/>
        <item x="372"/>
        <item x="319"/>
        <item x="535"/>
        <item x="234"/>
        <item x="138"/>
        <item x="209"/>
        <item x="84"/>
        <item x="560"/>
        <item x="143"/>
        <item x="182"/>
        <item x="325"/>
        <item x="397"/>
        <item x="74"/>
        <item x="59"/>
        <item x="344"/>
        <item x="254"/>
        <item x="366"/>
        <item x="524"/>
        <item x="272"/>
        <item x="559"/>
        <item x="615"/>
        <item x="549"/>
        <item x="205"/>
        <item x="102"/>
        <item x="596"/>
        <item x="516"/>
        <item x="88"/>
        <item x="519"/>
        <item x="288"/>
        <item x="113"/>
        <item x="531"/>
        <item x="151"/>
        <item x="426"/>
        <item x="261"/>
        <item x="118"/>
        <item x="604"/>
        <item x="240"/>
        <item x="298"/>
        <item x="349"/>
        <item x="195"/>
        <item x="361"/>
        <item x="121"/>
        <item x="56"/>
        <item x="454"/>
        <item x="476"/>
        <item x="514"/>
        <item x="618"/>
        <item x="481"/>
        <item x="290"/>
        <item x="282"/>
        <item x="511"/>
        <item x="355"/>
        <item x="348"/>
        <item x="2"/>
        <item x="582"/>
        <item x="363"/>
        <item x="447"/>
        <item x="132"/>
        <item x="295"/>
        <item x="324"/>
        <item x="166"/>
        <item x="271"/>
        <item x="379"/>
        <item x="536"/>
        <item x="239"/>
        <item x="112"/>
        <item x="176"/>
        <item x="161"/>
        <item x="404"/>
        <item x="163"/>
        <item x="441"/>
        <item x="76"/>
        <item x="512"/>
        <item x="557"/>
        <item x="416"/>
        <item x="291"/>
        <item x="329"/>
        <item x="450"/>
        <item x="314"/>
        <item x="509"/>
        <item x="164"/>
        <item x="10"/>
        <item x="343"/>
        <item x="583"/>
        <item x="436"/>
        <item x="16"/>
        <item x="467"/>
        <item x="125"/>
        <item x="607"/>
        <item x="572"/>
        <item x="392"/>
        <item x="19"/>
        <item x="302"/>
        <item x="243"/>
        <item x="237"/>
        <item x="498"/>
        <item x="53"/>
        <item x="194"/>
        <item x="376"/>
        <item x="346"/>
        <item x="69"/>
        <item x="494"/>
        <item x="367"/>
        <item x="104"/>
        <item x="108"/>
        <item x="391"/>
        <item x="381"/>
        <item x="552"/>
        <item x="526"/>
        <item x="377"/>
        <item x="33"/>
        <item x="26"/>
        <item x="405"/>
        <item x="389"/>
        <item x="7"/>
        <item x="224"/>
        <item x="201"/>
        <item x="39"/>
        <item x="326"/>
        <item x="149"/>
        <item x="561"/>
        <item x="250"/>
        <item x="468"/>
        <item x="215"/>
        <item x="89"/>
        <item x="52"/>
        <item x="474"/>
        <item x="299"/>
        <item x="3"/>
        <item x="4"/>
        <item x="539"/>
        <item x="208"/>
        <item x="605"/>
        <item x="390"/>
        <item x="293"/>
        <item x="98"/>
        <item x="465"/>
        <item x="81"/>
        <item x="337"/>
        <item x="62"/>
        <item x="500"/>
        <item x="45"/>
        <item x="44"/>
        <item x="456"/>
        <item x="257"/>
        <item x="478"/>
        <item x="8"/>
        <item x="179"/>
        <item x="457"/>
        <item x="232"/>
        <item x="251"/>
        <item x="42"/>
        <item x="70"/>
        <item x="622"/>
        <item x="542"/>
        <item x="284"/>
        <item x="207"/>
        <item x="1"/>
        <item t="avg"/>
      </items>
    </pivotField>
    <pivotField numFmtId="14" showAll="0"/>
    <pivotField showAll="0"/>
    <pivotField showAll="0"/>
    <pivotField numFmtId="14" showAll="0"/>
    <pivotField numFmtId="1" showAll="0"/>
    <pivotField showAll="0">
      <items count="6">
        <item x="4"/>
        <item h="1" x="0"/>
        <item h="1" x="1"/>
        <item h="1" x="2"/>
        <item h="1" x="3"/>
        <item t="default"/>
      </items>
    </pivotField>
    <pivotField showAll="0"/>
    <pivotField showAll="0"/>
    <pivotField showAll="0"/>
    <pivotField showAll="0"/>
    <pivotField showAll="0">
      <items count="7">
        <item h="1" x="5"/>
        <item h="1" x="4"/>
        <item h="1" x="3"/>
        <item h="1" x="2"/>
        <item x="1"/>
        <item h="1" x="0"/>
        <item t="default"/>
      </items>
    </pivotField>
    <pivotField showAll="0"/>
    <pivotField showAll="0"/>
    <pivotField showAll="0"/>
    <pivotField showAll="0"/>
    <pivotField showAll="0"/>
    <pivotField numFmtId="164" showAll="0"/>
    <pivotField numFmtId="164" showAll="0"/>
    <pivotField numFmtId="164" showAll="0"/>
    <pivotField numFmtId="10" showAll="0"/>
    <pivotField showAll="0"/>
    <pivotField numFmtId="10" showAll="0"/>
    <pivotField numFmtId="1" showAll="0"/>
    <pivotField dataField="1" numFmtId="1" showAll="0"/>
    <pivotField numFmtId="1" showAll="0"/>
    <pivotField numFmtId="1" showAll="0"/>
    <pivotField showAll="0"/>
    <pivotField numFmtId="14" showAll="0"/>
    <pivotField showAll="0"/>
    <pivotField showAll="0"/>
    <pivotField showAll="0"/>
    <pivotField showAll="0"/>
  </pivotFields>
  <rowFields count="1">
    <field x="0"/>
  </rowFields>
  <rowItems count="6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t="grand">
      <x/>
    </i>
  </rowItems>
  <colItems count="1">
    <i/>
  </colItems>
  <dataFields count="1">
    <dataField name="Sum of Gross Revenu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8" firstHeaderRow="1" firstDataRow="1" firstDataCol="1"/>
  <pivotFields count="33">
    <pivotField dataField="1" showAll="0">
      <items count="633">
        <item x="631"/>
        <item x="378"/>
        <item x="306"/>
        <item x="439"/>
        <item x="475"/>
        <item x="101"/>
        <item x="443"/>
        <item x="609"/>
        <item x="593"/>
        <item x="370"/>
        <item x="505"/>
        <item x="418"/>
        <item x="124"/>
        <item x="488"/>
        <item x="462"/>
        <item x="86"/>
        <item x="133"/>
        <item x="616"/>
        <item x="574"/>
        <item x="590"/>
        <item x="395"/>
        <item x="553"/>
        <item x="147"/>
        <item x="248"/>
        <item x="172"/>
        <item x="25"/>
        <item x="541"/>
        <item x="460"/>
        <item x="283"/>
        <item x="242"/>
        <item x="202"/>
        <item x="216"/>
        <item x="9"/>
        <item x="334"/>
        <item x="193"/>
        <item x="57"/>
        <item x="322"/>
        <item x="393"/>
        <item x="31"/>
        <item x="545"/>
        <item x="328"/>
        <item x="413"/>
        <item x="5"/>
        <item x="594"/>
        <item x="409"/>
        <item x="79"/>
        <item x="508"/>
        <item x="425"/>
        <item x="588"/>
        <item x="340"/>
        <item x="530"/>
        <item x="162"/>
        <item x="577"/>
        <item x="595"/>
        <item x="277"/>
        <item x="266"/>
        <item x="17"/>
        <item x="448"/>
        <item x="204"/>
        <item x="67"/>
        <item x="255"/>
        <item x="99"/>
        <item x="350"/>
        <item x="140"/>
        <item x="503"/>
        <item x="82"/>
        <item x="382"/>
        <item x="13"/>
        <item x="548"/>
        <item x="417"/>
        <item x="626"/>
        <item x="591"/>
        <item x="487"/>
        <item x="558"/>
        <item x="229"/>
        <item x="175"/>
        <item x="51"/>
        <item x="388"/>
        <item x="219"/>
        <item x="116"/>
        <item x="537"/>
        <item x="278"/>
        <item x="50"/>
        <item x="336"/>
        <item x="210"/>
        <item x="259"/>
        <item x="380"/>
        <item x="315"/>
        <item x="260"/>
        <item x="281"/>
        <item x="461"/>
        <item x="484"/>
        <item x="97"/>
        <item x="493"/>
        <item x="544"/>
        <item x="480"/>
        <item x="280"/>
        <item x="235"/>
        <item x="585"/>
        <item x="518"/>
        <item x="412"/>
        <item x="362"/>
        <item x="463"/>
        <item x="529"/>
        <item x="157"/>
        <item x="61"/>
        <item x="321"/>
        <item x="64"/>
        <item x="368"/>
        <item x="566"/>
        <item x="352"/>
        <item x="310"/>
        <item x="227"/>
        <item x="169"/>
        <item x="360"/>
        <item x="46"/>
        <item x="401"/>
        <item x="47"/>
        <item x="34"/>
        <item x="612"/>
        <item x="332"/>
        <item x="197"/>
        <item x="602"/>
        <item x="71"/>
        <item x="131"/>
        <item x="253"/>
        <item x="347"/>
        <item x="396"/>
        <item x="230"/>
        <item x="139"/>
        <item x="627"/>
        <item x="36"/>
        <item x="520"/>
        <item x="358"/>
        <item x="29"/>
        <item x="455"/>
        <item x="453"/>
        <item x="517"/>
        <item x="581"/>
        <item x="23"/>
        <item x="563"/>
        <item x="458"/>
        <item x="540"/>
        <item x="628"/>
        <item x="547"/>
        <item x="142"/>
        <item x="292"/>
        <item x="523"/>
        <item x="154"/>
        <item x="228"/>
        <item x="515"/>
        <item x="497"/>
        <item x="103"/>
        <item x="601"/>
        <item x="269"/>
        <item x="63"/>
        <item x="206"/>
        <item x="308"/>
        <item x="466"/>
        <item x="554"/>
        <item x="150"/>
        <item x="27"/>
        <item x="485"/>
        <item x="359"/>
        <item x="435"/>
        <item x="608"/>
        <item x="93"/>
        <item x="564"/>
        <item x="252"/>
        <item x="191"/>
        <item x="109"/>
        <item x="258"/>
        <item x="185"/>
        <item x="323"/>
        <item x="506"/>
        <item x="492"/>
        <item x="20"/>
        <item x="411"/>
        <item x="510"/>
        <item x="489"/>
        <item x="399"/>
        <item x="305"/>
        <item x="276"/>
        <item x="141"/>
        <item x="610"/>
        <item x="58"/>
        <item x="265"/>
        <item x="199"/>
        <item x="48"/>
        <item x="170"/>
        <item x="107"/>
        <item x="318"/>
        <item x="532"/>
        <item x="14"/>
        <item x="148"/>
        <item x="117"/>
        <item x="181"/>
        <item x="225"/>
        <item x="156"/>
        <item x="28"/>
        <item x="183"/>
        <item x="85"/>
        <item x="386"/>
        <item x="459"/>
        <item x="274"/>
        <item x="587"/>
        <item x="312"/>
        <item x="543"/>
        <item x="106"/>
        <item x="128"/>
        <item x="562"/>
        <item x="420"/>
        <item x="244"/>
        <item x="383"/>
        <item x="287"/>
        <item x="499"/>
        <item x="406"/>
        <item x="316"/>
        <item x="477"/>
        <item x="262"/>
        <item x="279"/>
        <item x="30"/>
        <item x="521"/>
        <item x="331"/>
        <item x="91"/>
        <item x="75"/>
        <item x="356"/>
        <item x="364"/>
        <item x="40"/>
        <item x="123"/>
        <item x="333"/>
        <item x="571"/>
        <item x="286"/>
        <item x="490"/>
        <item x="586"/>
        <item x="550"/>
        <item x="394"/>
        <item x="482"/>
        <item x="90"/>
        <item x="264"/>
        <item x="167"/>
        <item x="339"/>
        <item x="398"/>
        <item x="192"/>
        <item x="55"/>
        <item x="159"/>
        <item x="37"/>
        <item x="620"/>
        <item x="603"/>
        <item x="573"/>
        <item x="365"/>
        <item x="212"/>
        <item x="223"/>
        <item x="589"/>
        <item x="6"/>
        <item x="18"/>
        <item x="80"/>
        <item x="534"/>
        <item x="41"/>
        <item x="120"/>
        <item x="126"/>
        <item x="479"/>
        <item x="472"/>
        <item x="268"/>
        <item x="624"/>
        <item x="613"/>
        <item x="95"/>
        <item x="267"/>
        <item x="433"/>
        <item x="0"/>
        <item x="502"/>
        <item x="342"/>
        <item x="533"/>
        <item x="218"/>
        <item x="217"/>
        <item x="483"/>
        <item x="599"/>
        <item x="187"/>
        <item x="473"/>
        <item x="408"/>
        <item x="174"/>
        <item x="428"/>
        <item x="629"/>
        <item x="184"/>
        <item x="414"/>
        <item x="263"/>
        <item x="434"/>
        <item x="136"/>
        <item x="327"/>
        <item x="345"/>
        <item x="621"/>
        <item x="100"/>
        <item x="249"/>
        <item x="122"/>
        <item x="437"/>
        <item x="423"/>
        <item x="238"/>
        <item x="96"/>
        <item x="189"/>
        <item x="246"/>
        <item x="196"/>
        <item x="72"/>
        <item x="65"/>
        <item x="294"/>
        <item x="186"/>
        <item x="256"/>
        <item x="35"/>
        <item x="522"/>
        <item x="451"/>
        <item x="504"/>
        <item x="617"/>
        <item x="625"/>
        <item x="73"/>
        <item x="432"/>
        <item x="22"/>
        <item x="304"/>
        <item x="11"/>
        <item x="12"/>
        <item x="296"/>
        <item x="66"/>
        <item x="153"/>
        <item x="144"/>
        <item x="220"/>
        <item x="68"/>
        <item x="575"/>
        <item x="32"/>
        <item x="580"/>
        <item x="546"/>
        <item x="38"/>
        <item x="21"/>
        <item x="419"/>
        <item x="92"/>
        <item x="43"/>
        <item x="300"/>
        <item x="49"/>
        <item x="464"/>
        <item x="369"/>
        <item x="371"/>
        <item x="357"/>
        <item x="78"/>
        <item x="528"/>
        <item x="105"/>
        <item x="275"/>
        <item x="427"/>
        <item x="470"/>
        <item x="569"/>
        <item x="341"/>
        <item x="134"/>
        <item x="374"/>
        <item x="309"/>
        <item x="501"/>
        <item x="146"/>
        <item x="221"/>
        <item x="60"/>
        <item x="15"/>
        <item x="440"/>
        <item x="373"/>
        <item x="111"/>
        <item x="442"/>
        <item x="270"/>
        <item x="584"/>
        <item x="335"/>
        <item x="614"/>
        <item x="155"/>
        <item x="527"/>
        <item x="214"/>
        <item x="446"/>
        <item x="449"/>
        <item x="565"/>
        <item x="289"/>
        <item x="421"/>
        <item x="145"/>
        <item x="297"/>
        <item x="598"/>
        <item x="338"/>
        <item x="188"/>
        <item x="496"/>
        <item x="623"/>
        <item x="403"/>
        <item x="431"/>
        <item x="611"/>
        <item x="213"/>
        <item x="556"/>
        <item x="424"/>
        <item x="606"/>
        <item x="130"/>
        <item x="568"/>
        <item x="152"/>
        <item x="630"/>
        <item x="247"/>
        <item x="236"/>
        <item x="245"/>
        <item x="211"/>
        <item x="127"/>
        <item x="173"/>
        <item x="203"/>
        <item x="114"/>
        <item x="311"/>
        <item x="24"/>
        <item x="171"/>
        <item x="471"/>
        <item x="160"/>
        <item x="83"/>
        <item x="198"/>
        <item x="330"/>
        <item x="384"/>
        <item x="110"/>
        <item x="407"/>
        <item x="190"/>
        <item x="320"/>
        <item x="415"/>
        <item x="241"/>
        <item x="422"/>
        <item x="178"/>
        <item x="119"/>
        <item x="469"/>
        <item x="525"/>
        <item x="273"/>
        <item x="307"/>
        <item x="452"/>
        <item x="385"/>
        <item x="233"/>
        <item x="285"/>
        <item x="231"/>
        <item x="137"/>
        <item x="317"/>
        <item x="410"/>
        <item x="177"/>
        <item x="94"/>
        <item x="158"/>
        <item x="507"/>
        <item x="200"/>
        <item x="351"/>
        <item x="597"/>
        <item x="87"/>
        <item x="222"/>
        <item x="165"/>
        <item x="576"/>
        <item x="115"/>
        <item x="353"/>
        <item x="491"/>
        <item x="555"/>
        <item x="551"/>
        <item x="578"/>
        <item x="486"/>
        <item x="538"/>
        <item x="375"/>
        <item x="600"/>
        <item x="226"/>
        <item x="619"/>
        <item x="135"/>
        <item x="570"/>
        <item x="444"/>
        <item x="400"/>
        <item x="495"/>
        <item x="303"/>
        <item x="513"/>
        <item x="567"/>
        <item x="429"/>
        <item x="129"/>
        <item x="301"/>
        <item x="445"/>
        <item x="387"/>
        <item x="592"/>
        <item x="168"/>
        <item x="354"/>
        <item x="77"/>
        <item x="313"/>
        <item x="180"/>
        <item x="402"/>
        <item x="54"/>
        <item x="579"/>
        <item x="430"/>
        <item x="438"/>
        <item x="372"/>
        <item x="319"/>
        <item x="535"/>
        <item x="234"/>
        <item x="138"/>
        <item x="209"/>
        <item x="84"/>
        <item x="560"/>
        <item x="143"/>
        <item x="182"/>
        <item x="325"/>
        <item x="397"/>
        <item x="74"/>
        <item x="59"/>
        <item x="344"/>
        <item x="254"/>
        <item x="366"/>
        <item x="524"/>
        <item x="272"/>
        <item x="559"/>
        <item x="615"/>
        <item x="549"/>
        <item x="205"/>
        <item x="102"/>
        <item x="596"/>
        <item x="516"/>
        <item x="88"/>
        <item x="519"/>
        <item x="288"/>
        <item x="113"/>
        <item x="531"/>
        <item x="151"/>
        <item x="426"/>
        <item x="261"/>
        <item x="118"/>
        <item x="604"/>
        <item x="240"/>
        <item x="298"/>
        <item x="349"/>
        <item x="195"/>
        <item x="361"/>
        <item x="121"/>
        <item x="56"/>
        <item x="454"/>
        <item x="476"/>
        <item x="514"/>
        <item x="618"/>
        <item x="481"/>
        <item x="290"/>
        <item x="282"/>
        <item x="511"/>
        <item x="355"/>
        <item x="348"/>
        <item x="2"/>
        <item x="582"/>
        <item x="363"/>
        <item x="447"/>
        <item x="132"/>
        <item x="295"/>
        <item x="324"/>
        <item x="166"/>
        <item x="271"/>
        <item x="379"/>
        <item x="536"/>
        <item x="239"/>
        <item x="112"/>
        <item x="176"/>
        <item x="161"/>
        <item x="404"/>
        <item x="163"/>
        <item x="441"/>
        <item x="76"/>
        <item x="512"/>
        <item x="557"/>
        <item x="416"/>
        <item x="291"/>
        <item x="329"/>
        <item x="450"/>
        <item x="314"/>
        <item x="509"/>
        <item x="164"/>
        <item x="10"/>
        <item x="343"/>
        <item x="583"/>
        <item x="436"/>
        <item x="16"/>
        <item x="467"/>
        <item x="125"/>
        <item x="607"/>
        <item x="572"/>
        <item x="392"/>
        <item x="19"/>
        <item x="302"/>
        <item x="243"/>
        <item x="237"/>
        <item x="498"/>
        <item x="53"/>
        <item x="194"/>
        <item x="376"/>
        <item x="346"/>
        <item x="69"/>
        <item x="494"/>
        <item x="367"/>
        <item x="104"/>
        <item x="108"/>
        <item x="391"/>
        <item x="381"/>
        <item x="552"/>
        <item x="526"/>
        <item x="377"/>
        <item x="33"/>
        <item x="26"/>
        <item x="405"/>
        <item x="389"/>
        <item x="7"/>
        <item x="224"/>
        <item x="201"/>
        <item x="39"/>
        <item x="326"/>
        <item x="149"/>
        <item x="561"/>
        <item x="250"/>
        <item x="468"/>
        <item x="215"/>
        <item x="89"/>
        <item x="52"/>
        <item x="474"/>
        <item x="299"/>
        <item x="3"/>
        <item x="4"/>
        <item x="539"/>
        <item x="208"/>
        <item x="605"/>
        <item x="390"/>
        <item x="293"/>
        <item x="98"/>
        <item x="465"/>
        <item x="81"/>
        <item x="337"/>
        <item x="62"/>
        <item x="500"/>
        <item x="45"/>
        <item x="44"/>
        <item x="456"/>
        <item x="257"/>
        <item x="478"/>
        <item x="8"/>
        <item x="179"/>
        <item x="457"/>
        <item x="232"/>
        <item x="251"/>
        <item x="42"/>
        <item x="70"/>
        <item x="622"/>
        <item x="542"/>
        <item x="284"/>
        <item x="207"/>
        <item x="1"/>
        <item t="default"/>
      </items>
    </pivotField>
    <pivotField numFmtId="14" showAll="0"/>
    <pivotField axis="axisRow" showAll="0">
      <items count="35">
        <item x="19"/>
        <item x="15"/>
        <item x="7"/>
        <item x="21"/>
        <item x="10"/>
        <item x="24"/>
        <item x="9"/>
        <item x="30"/>
        <item x="5"/>
        <item x="23"/>
        <item x="8"/>
        <item x="33"/>
        <item x="28"/>
        <item x="22"/>
        <item x="25"/>
        <item x="14"/>
        <item x="27"/>
        <item x="4"/>
        <item x="11"/>
        <item x="6"/>
        <item x="31"/>
        <item x="12"/>
        <item x="0"/>
        <item x="2"/>
        <item x="26"/>
        <item x="16"/>
        <item x="1"/>
        <item x="18"/>
        <item x="13"/>
        <item x="20"/>
        <item x="32"/>
        <item x="29"/>
        <item x="17"/>
        <item x="3"/>
        <item t="default"/>
      </items>
    </pivotField>
    <pivotField showAll="0"/>
    <pivotField numFmtId="14" showAll="0"/>
    <pivotField numFmtId="1" showAll="0"/>
    <pivotField showAll="0">
      <items count="6">
        <item x="4"/>
        <item h="1" x="0"/>
        <item h="1" x="1"/>
        <item h="1" x="2"/>
        <item h="1" x="3"/>
        <item t="default"/>
      </items>
    </pivotField>
    <pivotField showAll="0"/>
    <pivotField showAll="0"/>
    <pivotField showAll="0"/>
    <pivotField showAll="0"/>
    <pivotField showAll="0">
      <items count="7">
        <item h="1" x="5"/>
        <item h="1" x="4"/>
        <item h="1" x="3"/>
        <item h="1" x="2"/>
        <item x="1"/>
        <item h="1" x="0"/>
        <item t="default"/>
      </items>
    </pivotField>
    <pivotField showAll="0"/>
    <pivotField showAll="0"/>
    <pivotField showAll="0"/>
    <pivotField showAll="0"/>
    <pivotField showAll="0"/>
    <pivotField numFmtId="164" showAll="0"/>
    <pivotField numFmtId="164" showAll="0"/>
    <pivotField numFmtId="164" showAll="0"/>
    <pivotField numFmtId="10" showAll="0"/>
    <pivotField showAll="0"/>
    <pivotField numFmtId="10" showAll="0"/>
    <pivotField numFmtId="1" showAll="0"/>
    <pivotField numFmtId="1" showAll="0"/>
    <pivotField numFmtId="1" showAll="0"/>
    <pivotField numFmtId="1" showAll="0"/>
    <pivotField showAll="0"/>
    <pivotField numFmtId="14" showAll="0"/>
    <pivotField showAll="0"/>
    <pivotField showAll="0"/>
    <pivotField showAll="0"/>
    <pivotField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0" firstDataRow="1" firstDataCol="1"/>
  <pivotFields count="33">
    <pivotField dataField="1" showAll="0"/>
    <pivotField numFmtId="14" showAll="0"/>
    <pivotField showAll="0"/>
    <pivotField showAll="0"/>
    <pivotField numFmtId="14" showAll="0"/>
    <pivotField numFmtId="1" showAll="0"/>
    <pivotField showAll="0">
      <items count="6">
        <item x="4"/>
        <item h="1" x="0"/>
        <item h="1" x="1"/>
        <item h="1" x="2"/>
        <item h="1" x="3"/>
        <item t="default"/>
      </items>
    </pivotField>
    <pivotField showAll="0"/>
    <pivotField showAll="0"/>
    <pivotField showAll="0"/>
    <pivotField showAll="0"/>
    <pivotField showAll="0">
      <items count="7">
        <item h="1" x="5"/>
        <item h="1" x="4"/>
        <item h="1" x="3"/>
        <item h="1" x="2"/>
        <item x="1"/>
        <item h="1" x="0"/>
        <item t="default"/>
      </items>
    </pivotField>
    <pivotField showAll="0"/>
    <pivotField axis="axisRow" showAll="0" sortType="descending">
      <items count="17">
        <item x="1"/>
        <item x="6"/>
        <item x="0"/>
        <item x="14"/>
        <item x="11"/>
        <item x="8"/>
        <item x="4"/>
        <item x="15"/>
        <item x="12"/>
        <item x="2"/>
        <item x="3"/>
        <item x="10"/>
        <item x="13"/>
        <item x="5"/>
        <item x="9"/>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0" showAll="0"/>
    <pivotField showAll="0"/>
    <pivotField numFmtId="10" showAll="0"/>
    <pivotField numFmtId="1" showAll="0"/>
    <pivotField numFmtId="1" showAll="0"/>
    <pivotField numFmtId="1" showAll="0"/>
    <pivotField dataField="1" numFmtId="1" showAll="0"/>
    <pivotField showAll="0"/>
    <pivotField numFmtId="14" showAll="0"/>
    <pivotField showAll="0"/>
    <pivotField showAll="0"/>
    <pivotField showAll="0"/>
    <pivotField showAll="0"/>
  </pivotFields>
  <rowFields count="1">
    <field x="13"/>
  </rowFields>
  <rowItems count="17">
    <i>
      <x v="1"/>
    </i>
    <i>
      <x v="12"/>
    </i>
    <i>
      <x/>
    </i>
    <i>
      <x v="10"/>
    </i>
    <i>
      <x v="9"/>
    </i>
    <i>
      <x v="11"/>
    </i>
    <i>
      <x v="5"/>
    </i>
    <i>
      <x v="2"/>
    </i>
    <i>
      <x v="4"/>
    </i>
    <i>
      <x v="15"/>
    </i>
    <i>
      <x v="6"/>
    </i>
    <i>
      <x v="3"/>
    </i>
    <i>
      <x v="8"/>
    </i>
    <i>
      <x v="7"/>
    </i>
    <i>
      <x v="13"/>
    </i>
    <i>
      <x v="14"/>
    </i>
    <i t="grand">
      <x/>
    </i>
  </rowItems>
  <colFields count="1">
    <field x="-2"/>
  </colFields>
  <colItems count="2">
    <i>
      <x/>
    </i>
    <i i="1">
      <x v="1"/>
    </i>
  </colItems>
  <dataFields count="2">
    <dataField name="Sum of Gross profit" fld="26" baseField="0" baseItem="0"/>
    <dataField name="Count of OrderID" fld="0" subtotal="count" baseField="0" baseItem="0"/>
  </dataFields>
  <formats count="3">
    <format dxfId="4">
      <pivotArea dataOnly="0" fieldPosition="0">
        <references count="1">
          <reference field="13" count="3">
            <x v="0"/>
            <x v="1"/>
            <x v="12"/>
          </reference>
        </references>
      </pivotArea>
    </format>
    <format dxfId="3">
      <pivotArea collapsedLevelsAreSubtotals="1" fieldPosition="0">
        <references count="1">
          <reference field="13" count="3">
            <x v="7"/>
            <x v="8"/>
            <x v="13"/>
          </reference>
        </references>
      </pivotArea>
    </format>
    <format dxfId="2">
      <pivotArea dataOnly="0" labelOnly="1" fieldPosition="0">
        <references count="1">
          <reference field="13" count="3">
            <x v="7"/>
            <x v="8"/>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F10" firstHeaderRow="1" firstDataRow="2" firstDataCol="1"/>
  <pivotFields count="33">
    <pivotField compact="0" outline="0" showAll="0"/>
    <pivotField compact="0" numFmtId="14" outline="0" showAll="0"/>
    <pivotField compact="0" outline="0" showAll="0"/>
    <pivotField compact="0" outline="0" showAll="0"/>
    <pivotField compact="0" numFmtId="14" outline="0" showAll="0"/>
    <pivotField compact="0" numFmtId="1" outline="0" showAll="0"/>
    <pivotField axis="axisCol" compact="0" outline="0" showAll="0">
      <items count="6">
        <item x="4"/>
        <item x="0"/>
        <item x="1"/>
        <item x="2"/>
        <item x="3"/>
        <item t="default"/>
      </items>
    </pivotField>
    <pivotField compact="0" outline="0" showAll="0"/>
    <pivotField compact="0" outline="0" showAll="0"/>
    <pivotField compact="0" outline="0" showAll="0"/>
    <pivotField compact="0" outline="0" showAll="0"/>
    <pivotField compact="0" outline="0" showAll="0">
      <items count="7">
        <item h="1" x="5"/>
        <item h="1" x="4"/>
        <item h="1" x="3"/>
        <item h="1" x="2"/>
        <item x="1"/>
        <item h="1" x="0"/>
        <item t="default"/>
      </items>
    </pivotField>
    <pivotField axis="axisRow" compact="0" outline="0" showAll="0">
      <items count="7">
        <item h="1" x="5"/>
        <item x="4"/>
        <item x="3"/>
        <item x="2"/>
        <item x="1"/>
        <item x="0"/>
        <item t="default"/>
      </items>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0" outline="0" showAll="0"/>
    <pivotField compact="0" outline="0" showAll="0"/>
    <pivotField compact="0" numFmtId="10" outline="0" showAll="0"/>
    <pivotField compact="0" numFmtId="1" outline="0" showAll="0"/>
    <pivotField dataField="1" compact="0" numFmtId="1" outline="0" showAll="0"/>
    <pivotField compact="0" numFmtId="1" outline="0" showAll="0"/>
    <pivotField compact="0" numFmtId="1" outline="0" showAll="0"/>
    <pivotField compact="0" outline="0" showAll="0"/>
    <pivotField compact="0" numFmtId="14" outline="0" showAll="0"/>
    <pivotField compact="0" outline="0" showAll="0"/>
    <pivotField compact="0" outline="0" showAll="0"/>
    <pivotField compact="0" outline="0" showAll="0"/>
    <pivotField compact="0" outline="0" showAll="0"/>
  </pivotFields>
  <rowFields count="1">
    <field x="12"/>
  </rowFields>
  <rowItems count="6">
    <i>
      <x v="1"/>
    </i>
    <i>
      <x v="2"/>
    </i>
    <i>
      <x v="3"/>
    </i>
    <i>
      <x v="4"/>
    </i>
    <i>
      <x v="5"/>
    </i>
    <i t="grand">
      <x/>
    </i>
  </rowItems>
  <colFields count="1">
    <field x="6"/>
  </colFields>
  <colItems count="5">
    <i>
      <x v="1"/>
    </i>
    <i>
      <x v="2"/>
    </i>
    <i>
      <x v="3"/>
    </i>
    <i>
      <x v="4"/>
    </i>
    <i t="grand">
      <x/>
    </i>
  </colItems>
  <dataFields count="1">
    <dataField name="Sum of Gross Revenue" fld="24" baseField="12" baseItem="4"/>
  </dataFields>
  <formats count="2">
    <format dxfId="1">
      <pivotArea outline="0" fieldPosition="0">
        <references count="1">
          <reference field="12" count="1" selected="0">
            <x v="4"/>
          </reference>
        </references>
      </pivotArea>
    </format>
    <format dxfId="0">
      <pivotArea dataOnly="0" labelOnly="1" outline="0" fieldPosition="0">
        <references count="1">
          <reference field="12"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41" firstHeaderRow="1" firstDataRow="2" firstDataCol="1"/>
  <pivotFields count="34">
    <pivotField dataField="1"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 axis="axisRow" showAll="0">
      <items count="18">
        <item x="1"/>
        <item x="6"/>
        <item x="0"/>
        <item x="14"/>
        <item x="11"/>
        <item x="8"/>
        <item x="4"/>
        <item x="15"/>
        <item x="12"/>
        <item x="2"/>
        <item x="3"/>
        <item x="10"/>
        <item x="13"/>
        <item x="5"/>
        <item x="9"/>
        <item x="7"/>
        <item x="16"/>
        <item t="default"/>
      </items>
    </pivotField>
    <pivotField showAll="0"/>
    <pivotField showAll="0"/>
    <pivotField showAll="0"/>
    <pivotField showAll="0"/>
    <pivotField showAll="0"/>
    <pivotField showAll="0"/>
    <pivotField axis="axisRow" showAll="0">
      <items count="223">
        <item x="3"/>
        <item x="98"/>
        <item x="137"/>
        <item x="5"/>
        <item x="91"/>
        <item x="47"/>
        <item x="21"/>
        <item x="202"/>
        <item x="220"/>
        <item x="118"/>
        <item x="219"/>
        <item x="94"/>
        <item x="58"/>
        <item x="194"/>
        <item x="120"/>
        <item x="74"/>
        <item x="147"/>
        <item x="162"/>
        <item x="196"/>
        <item x="39"/>
        <item x="149"/>
        <item x="8"/>
        <item x="138"/>
        <item x="122"/>
        <item x="201"/>
        <item x="49"/>
        <item x="41"/>
        <item x="56"/>
        <item x="211"/>
        <item x="31"/>
        <item x="155"/>
        <item x="85"/>
        <item x="192"/>
        <item x="84"/>
        <item x="34"/>
        <item x="144"/>
        <item x="78"/>
        <item x="190"/>
        <item x="60"/>
        <item x="15"/>
        <item x="125"/>
        <item x="193"/>
        <item x="158"/>
        <item x="16"/>
        <item x="105"/>
        <item x="216"/>
        <item x="102"/>
        <item x="213"/>
        <item x="141"/>
        <item x="110"/>
        <item x="45"/>
        <item x="88"/>
        <item x="12"/>
        <item x="142"/>
        <item x="76"/>
        <item x="32"/>
        <item x="151"/>
        <item x="169"/>
        <item x="199"/>
        <item x="135"/>
        <item x="187"/>
        <item x="17"/>
        <item x="185"/>
        <item x="89"/>
        <item x="165"/>
        <item x="159"/>
        <item x="69"/>
        <item x="51"/>
        <item x="123"/>
        <item x="184"/>
        <item x="87"/>
        <item x="203"/>
        <item x="2"/>
        <item x="100"/>
        <item x="13"/>
        <item x="212"/>
        <item x="132"/>
        <item x="104"/>
        <item x="171"/>
        <item x="111"/>
        <item x="61"/>
        <item x="71"/>
        <item x="75"/>
        <item x="126"/>
        <item x="73"/>
        <item x="178"/>
        <item x="14"/>
        <item x="4"/>
        <item x="176"/>
        <item x="40"/>
        <item x="0"/>
        <item x="150"/>
        <item x="133"/>
        <item x="72"/>
        <item x="197"/>
        <item x="20"/>
        <item x="116"/>
        <item x="172"/>
        <item x="134"/>
        <item x="157"/>
        <item x="42"/>
        <item x="209"/>
        <item x="152"/>
        <item x="115"/>
        <item x="143"/>
        <item x="37"/>
        <item x="30"/>
        <item x="204"/>
        <item x="59"/>
        <item x="43"/>
        <item x="18"/>
        <item x="11"/>
        <item x="28"/>
        <item x="83"/>
        <item x="79"/>
        <item x="129"/>
        <item x="114"/>
        <item x="26"/>
        <item x="181"/>
        <item x="10"/>
        <item x="82"/>
        <item x="140"/>
        <item x="167"/>
        <item x="139"/>
        <item x="7"/>
        <item x="99"/>
        <item x="1"/>
        <item x="109"/>
        <item x="113"/>
        <item x="153"/>
        <item x="180"/>
        <item x="86"/>
        <item x="146"/>
        <item x="29"/>
        <item x="23"/>
        <item x="124"/>
        <item x="22"/>
        <item x="81"/>
        <item x="112"/>
        <item x="186"/>
        <item x="67"/>
        <item x="156"/>
        <item x="198"/>
        <item x="6"/>
        <item x="68"/>
        <item x="38"/>
        <item x="136"/>
        <item x="62"/>
        <item x="96"/>
        <item x="128"/>
        <item x="25"/>
        <item x="33"/>
        <item x="145"/>
        <item x="182"/>
        <item x="55"/>
        <item x="93"/>
        <item x="52"/>
        <item x="175"/>
        <item x="9"/>
        <item x="163"/>
        <item x="50"/>
        <item x="90"/>
        <item x="117"/>
        <item x="191"/>
        <item x="46"/>
        <item x="173"/>
        <item x="101"/>
        <item x="66"/>
        <item x="95"/>
        <item x="70"/>
        <item x="177"/>
        <item x="64"/>
        <item x="205"/>
        <item x="130"/>
        <item x="80"/>
        <item x="77"/>
        <item x="170"/>
        <item x="36"/>
        <item x="121"/>
        <item x="19"/>
        <item x="108"/>
        <item x="97"/>
        <item x="27"/>
        <item x="106"/>
        <item x="44"/>
        <item x="179"/>
        <item x="131"/>
        <item x="65"/>
        <item x="48"/>
        <item x="188"/>
        <item x="154"/>
        <item x="164"/>
        <item x="214"/>
        <item x="195"/>
        <item x="148"/>
        <item x="127"/>
        <item x="200"/>
        <item x="54"/>
        <item x="107"/>
        <item x="57"/>
        <item x="210"/>
        <item x="174"/>
        <item x="119"/>
        <item x="161"/>
        <item x="218"/>
        <item x="183"/>
        <item x="215"/>
        <item x="92"/>
        <item x="168"/>
        <item x="63"/>
        <item x="189"/>
        <item x="24"/>
        <item x="166"/>
        <item x="103"/>
        <item x="206"/>
        <item x="217"/>
        <item x="53"/>
        <item x="208"/>
        <item x="160"/>
        <item x="207"/>
        <item x="35"/>
        <item x="2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1"/>
    <field x="14"/>
  </rowFields>
  <rowItems count="137">
    <i>
      <x v="170"/>
    </i>
    <i r="1">
      <x v="8"/>
    </i>
    <i>
      <x v="171"/>
    </i>
    <i r="1">
      <x v="8"/>
    </i>
    <i r="1">
      <x v="11"/>
    </i>
    <i>
      <x v="172"/>
    </i>
    <i r="1">
      <x v="3"/>
    </i>
    <i r="1">
      <x v="8"/>
    </i>
    <i>
      <x v="173"/>
    </i>
    <i r="1">
      <x/>
    </i>
    <i r="1">
      <x v="6"/>
    </i>
    <i r="1">
      <x v="8"/>
    </i>
    <i>
      <x v="174"/>
    </i>
    <i r="1">
      <x/>
    </i>
    <i>
      <x v="175"/>
    </i>
    <i r="1">
      <x/>
    </i>
    <i>
      <x v="176"/>
    </i>
    <i r="1">
      <x v="2"/>
    </i>
    <i>
      <x v="177"/>
    </i>
    <i r="1">
      <x/>
    </i>
    <i>
      <x v="178"/>
    </i>
    <i r="1">
      <x v="2"/>
    </i>
    <i r="1">
      <x v="4"/>
    </i>
    <i r="1">
      <x v="12"/>
    </i>
    <i>
      <x v="179"/>
    </i>
    <i r="1">
      <x/>
    </i>
    <i r="1">
      <x v="11"/>
    </i>
    <i r="1">
      <x v="12"/>
    </i>
    <i>
      <x v="180"/>
    </i>
    <i r="1">
      <x v="15"/>
    </i>
    <i>
      <x v="181"/>
    </i>
    <i r="1">
      <x v="1"/>
    </i>
    <i r="1">
      <x v="3"/>
    </i>
    <i r="1">
      <x v="7"/>
    </i>
    <i>
      <x v="182"/>
    </i>
    <i r="1">
      <x v="8"/>
    </i>
    <i r="1">
      <x v="9"/>
    </i>
    <i r="1">
      <x v="14"/>
    </i>
    <i>
      <x v="183"/>
    </i>
    <i r="1">
      <x v="3"/>
    </i>
    <i>
      <x v="184"/>
    </i>
    <i r="1">
      <x v="2"/>
    </i>
    <i>
      <x v="185"/>
    </i>
    <i r="1">
      <x v="9"/>
    </i>
    <i r="1">
      <x v="13"/>
    </i>
    <i>
      <x v="186"/>
    </i>
    <i r="1">
      <x v="2"/>
    </i>
    <i>
      <x v="187"/>
    </i>
    <i r="1">
      <x v="3"/>
    </i>
    <i r="1">
      <x v="5"/>
    </i>
    <i>
      <x v="188"/>
    </i>
    <i r="1">
      <x v="3"/>
    </i>
    <i r="1">
      <x v="4"/>
    </i>
    <i>
      <x v="189"/>
    </i>
    <i r="1">
      <x/>
    </i>
    <i r="1">
      <x v="12"/>
    </i>
    <i>
      <x v="190"/>
    </i>
    <i r="1">
      <x v="12"/>
    </i>
    <i>
      <x v="191"/>
    </i>
    <i r="1">
      <x v="11"/>
    </i>
    <i r="1">
      <x v="13"/>
    </i>
    <i>
      <x v="192"/>
    </i>
    <i r="1">
      <x v="8"/>
    </i>
    <i>
      <x v="193"/>
    </i>
    <i r="1">
      <x v="9"/>
    </i>
    <i r="1">
      <x v="12"/>
    </i>
    <i>
      <x v="194"/>
    </i>
    <i r="1">
      <x v="1"/>
    </i>
    <i>
      <x v="195"/>
    </i>
    <i r="1">
      <x v="3"/>
    </i>
    <i r="1">
      <x v="13"/>
    </i>
    <i>
      <x v="196"/>
    </i>
    <i r="1">
      <x v="8"/>
    </i>
    <i>
      <x v="197"/>
    </i>
    <i r="1">
      <x v="1"/>
    </i>
    <i r="1">
      <x v="8"/>
    </i>
    <i r="1">
      <x v="13"/>
    </i>
    <i>
      <x v="198"/>
    </i>
    <i r="1">
      <x v="1"/>
    </i>
    <i r="1">
      <x v="12"/>
    </i>
    <i r="1">
      <x v="15"/>
    </i>
    <i>
      <x v="199"/>
    </i>
    <i r="1">
      <x v="5"/>
    </i>
    <i r="1">
      <x v="11"/>
    </i>
    <i>
      <x v="200"/>
    </i>
    <i r="1">
      <x v="9"/>
    </i>
    <i>
      <x v="201"/>
    </i>
    <i r="1">
      <x v="4"/>
    </i>
    <i r="1">
      <x v="5"/>
    </i>
    <i>
      <x v="202"/>
    </i>
    <i r="1">
      <x v="6"/>
    </i>
    <i r="1">
      <x v="8"/>
    </i>
    <i r="1">
      <x v="13"/>
    </i>
    <i>
      <x v="203"/>
    </i>
    <i r="1">
      <x v="10"/>
    </i>
    <i r="1">
      <x v="15"/>
    </i>
    <i>
      <x v="204"/>
    </i>
    <i r="1">
      <x v="2"/>
    </i>
    <i>
      <x v="205"/>
    </i>
    <i r="1">
      <x v="9"/>
    </i>
    <i r="1">
      <x v="10"/>
    </i>
    <i>
      <x v="206"/>
    </i>
    <i r="1">
      <x/>
    </i>
    <i>
      <x v="207"/>
    </i>
    <i r="1">
      <x v="11"/>
    </i>
    <i>
      <x v="208"/>
    </i>
    <i r="1">
      <x v="5"/>
    </i>
    <i>
      <x v="209"/>
    </i>
    <i r="1">
      <x v="3"/>
    </i>
    <i>
      <x v="210"/>
    </i>
    <i r="1">
      <x v="2"/>
    </i>
    <i>
      <x v="211"/>
    </i>
    <i r="1">
      <x v="10"/>
    </i>
    <i>
      <x v="212"/>
    </i>
    <i r="1">
      <x v="11"/>
    </i>
    <i>
      <x v="213"/>
    </i>
    <i r="1">
      <x v="10"/>
    </i>
    <i>
      <x v="214"/>
    </i>
    <i r="1">
      <x v="12"/>
    </i>
    <i>
      <x v="215"/>
    </i>
    <i r="1">
      <x v="6"/>
    </i>
    <i>
      <x v="216"/>
    </i>
    <i r="1">
      <x v="3"/>
    </i>
    <i r="1">
      <x v="7"/>
    </i>
    <i>
      <x v="217"/>
    </i>
    <i r="1">
      <x v="9"/>
    </i>
    <i>
      <x v="218"/>
    </i>
    <i r="1">
      <x v="15"/>
    </i>
    <i>
      <x v="219"/>
    </i>
    <i r="1">
      <x v="14"/>
    </i>
    <i>
      <x v="220"/>
    </i>
    <i r="1">
      <x/>
    </i>
    <i r="1">
      <x v="2"/>
    </i>
    <i r="1">
      <x v="7"/>
    </i>
    <i r="1">
      <x v="11"/>
    </i>
    <i r="1">
      <x v="12"/>
    </i>
    <i t="grand">
      <x/>
    </i>
  </rowItems>
  <colFields count="1">
    <field x="7"/>
  </colFields>
  <colItems count="5">
    <i>
      <x/>
    </i>
    <i>
      <x v="1"/>
    </i>
    <i>
      <x v="2"/>
    </i>
    <i>
      <x v="3"/>
    </i>
    <i t="grand">
      <x/>
    </i>
  </colItems>
  <dataFields count="1">
    <dataField name="Count of OrderID" fld="0" subtotal="count" baseField="0" baseItem="0"/>
  </dataFields>
  <pivotTableStyleInfo name="PivotStyleLight16" showRowHeaders="1" showColHeaders="1" showRowStripes="0" showColStripes="0" showLastColumn="1"/>
  <filters count="1">
    <filter fld="21" type="captionGreaterThan" evalOrder="-1" id="1" stringValue1="0.200">
      <autoFilter ref="A1">
        <filterColumn colId="0">
          <customFilters>
            <customFilter operator="greaterThan" val="0.2"/>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42">
    <pivotField showAll="0"/>
    <pivotField axis="axisRow" showAll="0">
      <items count="15">
        <item h="1" x="0"/>
        <item x="1"/>
        <item x="2"/>
        <item x="3"/>
        <item x="4"/>
        <item x="5"/>
        <item x="6"/>
        <item x="7"/>
        <item x="8"/>
        <item x="9"/>
        <item x="10"/>
        <item x="11"/>
        <item x="12"/>
        <item x="13"/>
        <item t="default"/>
      </items>
    </pivotField>
    <pivotField axis="axisRow" showAll="0" sortType="ascending">
      <items count="35">
        <item x="19"/>
        <item x="15"/>
        <item x="7"/>
        <item x="21"/>
        <item x="10"/>
        <item x="24"/>
        <item x="9"/>
        <item x="30"/>
        <item h="1" x="5"/>
        <item h="1" x="23"/>
        <item h="1" x="8"/>
        <item h="1" x="28"/>
        <item h="1" x="22"/>
        <item h="1" x="25"/>
        <item h="1" x="14"/>
        <item h="1" x="27"/>
        <item h="1" x="4"/>
        <item h="1" x="11"/>
        <item h="1" x="6"/>
        <item h="1" x="31"/>
        <item h="1" x="12"/>
        <item h="1" x="0"/>
        <item h="1" x="2"/>
        <item h="1" x="26"/>
        <item h="1" x="16"/>
        <item h="1" x="1"/>
        <item h="1" x="18"/>
        <item h="1" x="13"/>
        <item h="1" x="20"/>
        <item h="1" x="32"/>
        <item h="1" x="29"/>
        <item h="1" x="17"/>
        <item h="1" x="3"/>
        <item h="1" x="33"/>
        <item t="default"/>
      </items>
    </pivotField>
    <pivotField showAll="0"/>
    <pivotField showAll="0"/>
    <pivotField showAll="0"/>
    <pivotField showAll="0"/>
    <pivotField showAll="0">
      <items count="6">
        <item x="0"/>
        <item h="1" x="1"/>
        <item h="1" x="2"/>
        <item h="1" x="3"/>
        <item h="1" x="4"/>
        <item t="default"/>
      </items>
    </pivotField>
    <pivotField showAll="0">
      <items count="14">
        <item h="1" x="1"/>
        <item h="1" x="2"/>
        <item h="1" x="3"/>
        <item h="1" x="4"/>
        <item h="1" x="5"/>
        <item h="1" x="6"/>
        <item h="1" x="7"/>
        <item h="1" x="0"/>
        <item x="8"/>
        <item x="9"/>
        <item h="1" x="10"/>
        <item h="1" x="11"/>
        <item h="1" x="12"/>
        <item t="default"/>
      </items>
    </pivotField>
    <pivotField showAll="0"/>
    <pivotField showAll="0"/>
    <pivotField showAll="0"/>
    <pivotField showAll="0"/>
    <pivotField showAll="0">
      <items count="8">
        <item h="1" x="5"/>
        <item h="1" x="4"/>
        <item h="1" x="3"/>
        <item h="1" x="2"/>
        <item h="1" x="1"/>
        <item x="0"/>
        <item h="1" x="6"/>
        <item t="default"/>
      </items>
    </pivotField>
    <pivotField showAll="0">
      <items count="18">
        <item x="1"/>
        <item x="6"/>
        <item x="0"/>
        <item x="14"/>
        <item x="11"/>
        <item x="8"/>
        <item x="4"/>
        <item x="15"/>
        <item x="12"/>
        <item x="2"/>
        <item x="3"/>
        <item x="10"/>
        <item x="13"/>
        <item x="5"/>
        <item x="9"/>
        <item x="7"/>
        <item x="16"/>
        <item t="default"/>
      </items>
    </pivotField>
    <pivotField showAll="0">
      <items count="9">
        <item x="1"/>
        <item x="0"/>
        <item x="3"/>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1" showAll="0"/>
    <pivotField showAll="0"/>
    <pivotField numFmtId="1" showAll="0"/>
    <pivotField showAll="0"/>
    <pivotField showAll="0"/>
    <pivotField showAll="0"/>
    <pivotField showAll="0"/>
    <pivotField showAll="0"/>
    <pivotField showAll="0"/>
    <pivotField showAll="0"/>
    <pivotField showAll="0" defaultSubtotal="0">
      <items count="6">
        <item x="0"/>
        <item x="1"/>
        <item sd="0" x="2"/>
        <item sd="0" x="3"/>
        <item sd="0" x="4"/>
        <item sd="0" x="5"/>
      </items>
    </pivotField>
    <pivotField axis="axisRow" showAll="0" defaultSubtotal="0">
      <items count="5">
        <item h="1" x="0"/>
        <item x="1"/>
        <item x="2"/>
        <item x="3"/>
        <item h="1" sd="0" x="4"/>
      </items>
    </pivotField>
  </pivotFields>
  <rowFields count="3">
    <field x="2"/>
    <field x="41"/>
    <field x="1"/>
  </rowFields>
  <rowItems count="13">
    <i>
      <x v="3"/>
    </i>
    <i r="1">
      <x v="1"/>
    </i>
    <i r="2">
      <x v="8"/>
    </i>
    <i>
      <x v="4"/>
    </i>
    <i r="1">
      <x v="2"/>
    </i>
    <i r="2">
      <x v="8"/>
    </i>
    <i>
      <x v="5"/>
    </i>
    <i r="1">
      <x v="3"/>
    </i>
    <i r="2">
      <x v="8"/>
    </i>
    <i>
      <x v="7"/>
    </i>
    <i r="1">
      <x v="2"/>
    </i>
    <i r="2">
      <x v="12"/>
    </i>
    <i t="grand">
      <x/>
    </i>
  </rowItems>
  <colItems count="1">
    <i/>
  </colItems>
  <dataFields count="1">
    <dataField name="Sum of Gross Revenue" fld="29" baseField="0" baseItem="0"/>
  </dataFields>
  <chartFormats count="2">
    <chartFormat chart="3"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6" firstHeaderRow="1" firstDataRow="2" firstDataCol="1"/>
  <pivotFields count="42">
    <pivotField showAll="0"/>
    <pivotField showAll="0"/>
    <pivotField showAll="0">
      <items count="35">
        <item x="19"/>
        <item x="15"/>
        <item x="7"/>
        <item x="21"/>
        <item x="10"/>
        <item x="24"/>
        <item x="9"/>
        <item x="30"/>
        <item h="1" x="5"/>
        <item h="1" x="23"/>
        <item h="1" x="8"/>
        <item h="1" x="28"/>
        <item h="1" x="22"/>
        <item h="1" x="25"/>
        <item h="1" x="14"/>
        <item h="1" x="27"/>
        <item h="1" x="4"/>
        <item h="1" x="11"/>
        <item h="1" x="6"/>
        <item h="1" x="31"/>
        <item h="1" x="12"/>
        <item h="1" x="0"/>
        <item h="1" x="2"/>
        <item h="1" x="26"/>
        <item h="1" x="16"/>
        <item h="1" x="1"/>
        <item h="1" x="18"/>
        <item h="1" x="13"/>
        <item h="1" x="20"/>
        <item h="1" x="32"/>
        <item h="1" x="29"/>
        <item h="1" x="17"/>
        <item h="1" x="3"/>
        <item h="1" x="33"/>
        <item t="default"/>
      </items>
    </pivotField>
    <pivotField showAll="0"/>
    <pivotField showAll="0"/>
    <pivotField showAll="0"/>
    <pivotField showAll="0"/>
    <pivotField axis="axisCol" showAll="0">
      <items count="6">
        <item x="0"/>
        <item h="1" x="1"/>
        <item h="1" x="2"/>
        <item h="1" x="3"/>
        <item h="1" x="4"/>
        <item t="default"/>
      </items>
    </pivotField>
    <pivotField showAll="0">
      <items count="14">
        <item h="1" x="1"/>
        <item h="1" x="2"/>
        <item h="1" x="3"/>
        <item h="1" x="4"/>
        <item h="1" x="5"/>
        <item h="1" x="6"/>
        <item h="1" x="7"/>
        <item h="1" x="0"/>
        <item x="8"/>
        <item x="9"/>
        <item h="1" x="10"/>
        <item h="1" x="11"/>
        <item h="1" x="12"/>
        <item t="default"/>
      </items>
    </pivotField>
    <pivotField showAll="0"/>
    <pivotField showAll="0"/>
    <pivotField showAll="0"/>
    <pivotField showAll="0"/>
    <pivotField axis="axisRow" showAll="0">
      <items count="8">
        <item h="1" x="5"/>
        <item h="1" x="4"/>
        <item h="1" x="3"/>
        <item h="1" x="2"/>
        <item h="1" x="1"/>
        <item x="0"/>
        <item h="1" x="6"/>
        <item t="default"/>
      </items>
    </pivotField>
    <pivotField showAll="0">
      <items count="18">
        <item x="1"/>
        <item x="6"/>
        <item x="0"/>
        <item x="14"/>
        <item x="11"/>
        <item x="8"/>
        <item x="4"/>
        <item x="15"/>
        <item x="12"/>
        <item x="2"/>
        <item x="3"/>
        <item x="10"/>
        <item x="13"/>
        <item x="5"/>
        <item x="9"/>
        <item x="7"/>
        <item x="16"/>
        <item t="default"/>
      </items>
    </pivotField>
    <pivotField showAll="0">
      <items count="9">
        <item x="1"/>
        <item x="0"/>
        <item x="3"/>
        <item x="2"/>
        <item x="6"/>
        <item x="4"/>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dataField="1" numFmtId="1" showAll="0"/>
    <pivotField showAll="0"/>
    <pivotField showAll="0"/>
    <pivotField showAll="0"/>
    <pivotField showAll="0"/>
    <pivotField showAll="0"/>
    <pivotField showAll="0"/>
    <pivotField showAll="0"/>
    <pivotField showAll="0" defaultSubtotal="0"/>
    <pivotField showAll="0" defaultSubtotal="0"/>
  </pivotFields>
  <rowFields count="1">
    <field x="13"/>
  </rowFields>
  <rowItems count="2">
    <i>
      <x v="5"/>
    </i>
    <i t="grand">
      <x/>
    </i>
  </rowItems>
  <colFields count="1">
    <field x="7"/>
  </colFields>
  <colItems count="2">
    <i>
      <x/>
    </i>
    <i t="grand">
      <x/>
    </i>
  </colItems>
  <dataFields count="1">
    <dataField name="Sum of Gross profit" fld="32" baseField="0" baseItem="0"/>
  </dataFields>
  <chartFormats count="12">
    <chartFormat chart="0" format="5" series="1">
      <pivotArea type="data" outline="0" fieldPosition="0">
        <references count="2">
          <reference field="4294967294" count="1" selected="0">
            <x v="0"/>
          </reference>
          <reference field="7" count="1" selected="0">
            <x v="0"/>
          </reference>
        </references>
      </pivotArea>
    </chartFormat>
    <chartFormat chart="0" format="6" series="1">
      <pivotArea type="data" outline="0" fieldPosition="0">
        <references count="2">
          <reference field="4294967294" count="1" selected="0">
            <x v="0"/>
          </reference>
          <reference field="7" count="1" selected="0">
            <x v="1"/>
          </reference>
        </references>
      </pivotArea>
    </chartFormat>
    <chartFormat chart="0" format="7" series="1">
      <pivotArea type="data" outline="0" fieldPosition="0">
        <references count="2">
          <reference field="4294967294" count="1" selected="0">
            <x v="0"/>
          </reference>
          <reference field="7" count="1" selected="0">
            <x v="2"/>
          </reference>
        </references>
      </pivotArea>
    </chartFormat>
    <chartFormat chart="0" format="8" series="1">
      <pivotArea type="data" outline="0" fieldPosition="0">
        <references count="2">
          <reference field="4294967294" count="1" selected="0">
            <x v="0"/>
          </reference>
          <reference field="7" count="1" selected="0">
            <x v="3"/>
          </reference>
        </references>
      </pivotArea>
    </chartFormat>
    <chartFormat chart="0" format="9" series="1">
      <pivotArea type="data" outline="0" fieldPosition="0">
        <references count="2">
          <reference field="4294967294" count="1" selected="0">
            <x v="0"/>
          </reference>
          <reference field="7" count="1" selected="0">
            <x v="4"/>
          </reference>
        </references>
      </pivotArea>
    </chartFormat>
    <chartFormat chart="3" format="15" series="1">
      <pivotArea type="data" outline="0" fieldPosition="0">
        <references count="2">
          <reference field="4294967294" count="1" selected="0">
            <x v="0"/>
          </reference>
          <reference field="7" count="1" selected="0">
            <x v="0"/>
          </reference>
        </references>
      </pivotArea>
    </chartFormat>
    <chartFormat chart="3" format="16" series="1">
      <pivotArea type="data" outline="0" fieldPosition="0">
        <references count="2">
          <reference field="4294967294" count="1" selected="0">
            <x v="0"/>
          </reference>
          <reference field="7" count="1" selected="0">
            <x v="1"/>
          </reference>
        </references>
      </pivotArea>
    </chartFormat>
    <chartFormat chart="3" format="17" series="1">
      <pivotArea type="data" outline="0" fieldPosition="0">
        <references count="2">
          <reference field="4294967294" count="1" selected="0">
            <x v="0"/>
          </reference>
          <reference field="7" count="1" selected="0">
            <x v="2"/>
          </reference>
        </references>
      </pivotArea>
    </chartFormat>
    <chartFormat chart="3" format="18" series="1">
      <pivotArea type="data" outline="0" fieldPosition="0">
        <references count="2">
          <reference field="4294967294" count="1" selected="0">
            <x v="0"/>
          </reference>
          <reference field="7" count="1" selected="0">
            <x v="3"/>
          </reference>
        </references>
      </pivotArea>
    </chartFormat>
    <chartFormat chart="3" format="19" series="1">
      <pivotArea type="data" outline="0" fieldPosition="0">
        <references count="2">
          <reference field="4294967294" count="1" selected="0">
            <x v="0"/>
          </reference>
          <reference field="7" count="1" selected="0">
            <x v="4"/>
          </reference>
        </references>
      </pivotArea>
    </chartFormat>
    <chartFormat chart="3" format="2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2">
    <pivotField showAll="0"/>
    <pivotField showAll="0"/>
    <pivotField showAll="0">
      <items count="35">
        <item x="19"/>
        <item x="15"/>
        <item x="7"/>
        <item x="21"/>
        <item x="10"/>
        <item x="24"/>
        <item x="9"/>
        <item x="30"/>
        <item h="1" x="5"/>
        <item h="1" x="23"/>
        <item h="1" x="8"/>
        <item h="1" x="28"/>
        <item h="1" x="22"/>
        <item h="1" x="25"/>
        <item h="1" x="14"/>
        <item h="1" x="27"/>
        <item h="1" x="4"/>
        <item h="1" x="11"/>
        <item h="1" x="6"/>
        <item h="1" x="31"/>
        <item h="1" x="12"/>
        <item h="1" x="0"/>
        <item h="1" x="2"/>
        <item h="1" x="26"/>
        <item h="1" x="16"/>
        <item h="1" x="1"/>
        <item h="1" x="18"/>
        <item h="1" x="13"/>
        <item h="1" x="20"/>
        <item h="1" x="32"/>
        <item h="1" x="29"/>
        <item h="1" x="17"/>
        <item h="1" x="3"/>
        <item h="1" x="33"/>
        <item t="default"/>
      </items>
    </pivotField>
    <pivotField showAll="0"/>
    <pivotField showAll="0"/>
    <pivotField showAll="0"/>
    <pivotField showAll="0"/>
    <pivotField showAll="0">
      <items count="6">
        <item x="0"/>
        <item h="1" x="1"/>
        <item h="1" x="2"/>
        <item h="1" x="3"/>
        <item h="1" x="4"/>
        <item t="default"/>
      </items>
    </pivotField>
    <pivotField showAll="0">
      <items count="14">
        <item h="1" x="1"/>
        <item h="1" x="2"/>
        <item h="1" x="3"/>
        <item h="1" x="4"/>
        <item h="1" x="5"/>
        <item h="1" x="6"/>
        <item h="1" x="7"/>
        <item h="1" x="0"/>
        <item x="8"/>
        <item x="9"/>
        <item h="1" x="10"/>
        <item h="1" x="11"/>
        <item h="1" x="12"/>
        <item t="default"/>
      </items>
    </pivotField>
    <pivotField showAll="0"/>
    <pivotField showAll="0"/>
    <pivotField showAll="0"/>
    <pivotField showAll="0"/>
    <pivotField showAll="0">
      <items count="8">
        <item h="1" x="5"/>
        <item h="1" x="4"/>
        <item h="1" x="3"/>
        <item h="1" x="2"/>
        <item h="1" x="1"/>
        <item x="0"/>
        <item h="1" x="6"/>
        <item t="default"/>
      </items>
    </pivotField>
    <pivotField showAll="0">
      <items count="18">
        <item x="1"/>
        <item x="6"/>
        <item x="0"/>
        <item x="14"/>
        <item x="11"/>
        <item x="8"/>
        <item x="4"/>
        <item x="15"/>
        <item x="12"/>
        <item x="2"/>
        <item x="3"/>
        <item x="10"/>
        <item x="13"/>
        <item x="5"/>
        <item x="9"/>
        <item x="7"/>
        <item x="16"/>
        <item t="default"/>
      </items>
    </pivotField>
    <pivotField showAll="0">
      <items count="9">
        <item x="1"/>
        <item x="0"/>
        <item x="3"/>
        <item x="2"/>
        <item x="6"/>
        <item x="4"/>
        <item x="5"/>
        <item x="7"/>
        <item t="default"/>
      </items>
    </pivotField>
    <pivotField showAll="0"/>
    <pivotField axis="axisRow" showAll="0">
      <items count="631">
        <item x="120"/>
        <item x="436"/>
        <item x="553"/>
        <item x="297"/>
        <item x="413"/>
        <item x="355"/>
        <item x="305"/>
        <item x="548"/>
        <item x="367"/>
        <item x="205"/>
        <item x="402"/>
        <item x="3"/>
        <item x="253"/>
        <item x="164"/>
        <item x="235"/>
        <item x="389"/>
        <item x="505"/>
        <item x="68"/>
        <item x="335"/>
        <item x="218"/>
        <item x="51"/>
        <item x="298"/>
        <item x="85"/>
        <item x="411"/>
        <item x="472"/>
        <item x="287"/>
        <item x="555"/>
        <item x="474"/>
        <item x="175"/>
        <item x="97"/>
        <item x="593"/>
        <item x="28"/>
        <item x="563"/>
        <item x="153"/>
        <item x="573"/>
        <item x="31"/>
        <item x="441"/>
        <item x="224"/>
        <item x="447"/>
        <item x="399"/>
        <item x="456"/>
        <item x="11"/>
        <item x="582"/>
        <item x="318"/>
        <item x="435"/>
        <item x="206"/>
        <item x="594"/>
        <item x="426"/>
        <item x="261"/>
        <item x="446"/>
        <item x="515"/>
        <item x="23"/>
        <item x="461"/>
        <item x="179"/>
        <item x="217"/>
        <item x="502"/>
        <item x="66"/>
        <item x="223"/>
        <item x="191"/>
        <item x="87"/>
        <item x="19"/>
        <item x="135"/>
        <item x="586"/>
        <item x="309"/>
        <item x="427"/>
        <item x="471"/>
        <item x="378"/>
        <item x="556"/>
        <item x="208"/>
        <item x="212"/>
        <item x="237"/>
        <item x="4"/>
        <item x="458"/>
        <item x="477"/>
        <item x="547"/>
        <item x="95"/>
        <item x="6"/>
        <item x="450"/>
        <item x="445"/>
        <item x="529"/>
        <item x="12"/>
        <item x="316"/>
        <item x="520"/>
        <item x="457"/>
        <item x="337"/>
        <item x="142"/>
        <item x="394"/>
        <item x="269"/>
        <item x="538"/>
        <item x="313"/>
        <item x="149"/>
        <item x="57"/>
        <item x="525"/>
        <item x="322"/>
        <item x="482"/>
        <item x="587"/>
        <item x="262"/>
        <item x="90"/>
        <item x="221"/>
        <item x="140"/>
        <item x="71"/>
        <item x="196"/>
        <item x="619"/>
        <item x="508"/>
        <item x="5"/>
        <item x="390"/>
        <item x="168"/>
        <item x="38"/>
        <item x="618"/>
        <item x="291"/>
        <item x="192"/>
        <item x="2"/>
        <item x="119"/>
        <item x="1"/>
        <item x="348"/>
        <item x="275"/>
        <item x="419"/>
        <item x="496"/>
        <item x="182"/>
        <item x="250"/>
        <item x="489"/>
        <item x="122"/>
        <item x="453"/>
        <item x="460"/>
        <item x="281"/>
        <item x="204"/>
        <item x="405"/>
        <item x="211"/>
        <item x="104"/>
        <item x="286"/>
        <item x="487"/>
        <item x="336"/>
        <item x="207"/>
        <item x="198"/>
        <item x="475"/>
        <item x="363"/>
        <item x="530"/>
        <item x="200"/>
        <item x="429"/>
        <item x="65"/>
        <item x="536"/>
        <item x="117"/>
        <item x="115"/>
        <item x="372"/>
        <item x="473"/>
        <item x="362"/>
        <item x="307"/>
        <item x="512"/>
        <item x="264"/>
        <item x="131"/>
        <item x="326"/>
        <item x="354"/>
        <item x="497"/>
        <item x="543"/>
        <item x="109"/>
        <item x="597"/>
        <item x="213"/>
        <item x="165"/>
        <item x="490"/>
        <item x="569"/>
        <item x="273"/>
        <item x="111"/>
        <item x="499"/>
        <item x="0"/>
        <item x="108"/>
        <item x="561"/>
        <item x="359"/>
        <item x="45"/>
        <item x="503"/>
        <item x="252"/>
        <item x="77"/>
        <item x="479"/>
        <item x="226"/>
        <item x="84"/>
        <item x="455"/>
        <item x="622"/>
        <item x="37"/>
        <item x="564"/>
        <item x="565"/>
        <item x="519"/>
        <item x="124"/>
        <item x="492"/>
        <item x="240"/>
        <item x="383"/>
        <item x="424"/>
        <item x="360"/>
        <item x="431"/>
        <item x="425"/>
        <item x="290"/>
        <item x="70"/>
        <item x="283"/>
        <item x="78"/>
        <item x="292"/>
        <item x="596"/>
        <item x="185"/>
        <item x="381"/>
        <item x="195"/>
        <item x="397"/>
        <item x="526"/>
        <item x="484"/>
        <item x="454"/>
        <item x="199"/>
        <item x="100"/>
        <item x="352"/>
        <item x="219"/>
        <item x="163"/>
        <item x="462"/>
        <item x="314"/>
        <item x="373"/>
        <item x="10"/>
        <item x="181"/>
        <item x="410"/>
        <item x="259"/>
        <item x="343"/>
        <item x="248"/>
        <item x="61"/>
        <item x="579"/>
        <item x="233"/>
        <item x="311"/>
        <item x="114"/>
        <item x="127"/>
        <item x="572"/>
        <item x="139"/>
        <item x="79"/>
        <item x="493"/>
        <item x="315"/>
        <item x="432"/>
        <item x="608"/>
        <item x="8"/>
        <item x="357"/>
        <item x="32"/>
        <item x="494"/>
        <item x="392"/>
        <item x="510"/>
        <item x="54"/>
        <item x="478"/>
        <item x="468"/>
        <item x="388"/>
        <item x="588"/>
        <item x="295"/>
        <item x="220"/>
        <item x="356"/>
        <item x="300"/>
        <item x="486"/>
        <item x="63"/>
        <item x="575"/>
        <item x="145"/>
        <item x="467"/>
        <item x="284"/>
        <item x="86"/>
        <item x="464"/>
        <item x="534"/>
        <item x="544"/>
        <item x="537"/>
        <item x="384"/>
        <item x="188"/>
        <item x="238"/>
        <item x="527"/>
        <item x="506"/>
        <item x="203"/>
        <item x="504"/>
        <item x="282"/>
        <item x="375"/>
        <item x="278"/>
        <item x="176"/>
        <item x="229"/>
        <item x="272"/>
        <item x="141"/>
        <item x="174"/>
        <item x="274"/>
        <item x="485"/>
        <item x="421"/>
        <item x="312"/>
        <item x="230"/>
        <item x="14"/>
        <item x="232"/>
        <item x="60"/>
        <item x="328"/>
        <item x="39"/>
        <item x="344"/>
        <item x="170"/>
        <item x="82"/>
        <item x="190"/>
        <item x="581"/>
        <item x="513"/>
        <item x="169"/>
        <item x="157"/>
        <item x="245"/>
        <item x="577"/>
        <item x="21"/>
        <item x="242"/>
        <item x="56"/>
        <item x="601"/>
        <item x="267"/>
        <item x="80"/>
        <item x="463"/>
        <item x="469"/>
        <item x="310"/>
        <item x="7"/>
        <item x="542"/>
        <item x="148"/>
        <item x="16"/>
        <item x="268"/>
        <item x="341"/>
        <item x="75"/>
        <item x="180"/>
        <item x="94"/>
        <item x="600"/>
        <item x="602"/>
        <item x="448"/>
        <item x="136"/>
        <item x="511"/>
        <item x="99"/>
        <item x="101"/>
        <item x="422"/>
        <item x="55"/>
        <item x="550"/>
        <item x="22"/>
        <item x="225"/>
        <item x="327"/>
        <item x="615"/>
        <item x="440"/>
        <item x="539"/>
        <item x="621"/>
        <item x="514"/>
        <item x="58"/>
        <item x="541"/>
        <item x="277"/>
        <item x="186"/>
        <item x="234"/>
        <item x="76"/>
        <item x="20"/>
        <item x="167"/>
        <item x="628"/>
        <item x="522"/>
        <item x="263"/>
        <item x="236"/>
        <item x="155"/>
        <item x="562"/>
        <item x="449"/>
        <item x="616"/>
        <item x="345"/>
        <item x="270"/>
        <item x="116"/>
        <item x="201"/>
        <item x="334"/>
        <item x="52"/>
        <item x="604"/>
        <item x="243"/>
        <item x="546"/>
        <item x="276"/>
        <item x="214"/>
        <item x="567"/>
        <item x="35"/>
        <item x="50"/>
        <item x="625"/>
        <item x="89"/>
        <item x="483"/>
        <item x="498"/>
        <item x="340"/>
        <item x="34"/>
        <item x="112"/>
        <item x="607"/>
        <item x="110"/>
        <item x="364"/>
        <item x="329"/>
        <item x="266"/>
        <item x="528"/>
        <item x="17"/>
        <item x="545"/>
        <item x="321"/>
        <item x="418"/>
        <item x="571"/>
        <item x="408"/>
        <item x="48"/>
        <item x="574"/>
        <item x="331"/>
        <item x="107"/>
        <item x="416"/>
        <item x="227"/>
        <item x="138"/>
        <item x="103"/>
        <item x="152"/>
        <item x="603"/>
        <item x="102"/>
        <item x="611"/>
        <item x="43"/>
        <item x="36"/>
        <item x="584"/>
        <item x="256"/>
        <item x="491"/>
        <item x="570"/>
        <item x="605"/>
        <item x="320"/>
        <item x="156"/>
        <item x="488"/>
        <item x="183"/>
        <item x="620"/>
        <item x="444"/>
        <item x="516"/>
        <item x="210"/>
        <item x="44"/>
        <item x="599"/>
        <item x="589"/>
        <item x="434"/>
        <item x="308"/>
        <item x="401"/>
        <item x="209"/>
        <item x="53"/>
        <item x="535"/>
        <item x="330"/>
        <item x="202"/>
        <item x="296"/>
        <item x="531"/>
        <item x="370"/>
        <item x="339"/>
        <item x="509"/>
        <item x="333"/>
        <item x="481"/>
        <item x="146"/>
        <item x="151"/>
        <item x="346"/>
        <item x="15"/>
        <item x="62"/>
        <item x="173"/>
        <item x="258"/>
        <item x="480"/>
        <item x="353"/>
        <item x="552"/>
        <item x="29"/>
        <item x="623"/>
        <item x="369"/>
        <item x="351"/>
        <item x="382"/>
        <item x="161"/>
        <item x="303"/>
        <item x="285"/>
        <item x="216"/>
        <item x="614"/>
        <item x="325"/>
        <item x="409"/>
        <item x="459"/>
        <item x="404"/>
        <item x="289"/>
        <item x="386"/>
        <item x="428"/>
        <item x="255"/>
        <item x="592"/>
        <item x="609"/>
        <item x="412"/>
        <item x="533"/>
        <item x="470"/>
        <item x="279"/>
        <item x="254"/>
        <item x="26"/>
        <item x="299"/>
        <item x="118"/>
        <item x="257"/>
        <item x="30"/>
        <item x="301"/>
        <item x="590"/>
        <item x="612"/>
        <item x="271"/>
        <item x="132"/>
        <item x="239"/>
        <item x="500"/>
        <item x="288"/>
        <item x="466"/>
        <item x="304"/>
        <item x="583"/>
        <item x="319"/>
        <item x="438"/>
        <item x="59"/>
        <item x="73"/>
        <item x="9"/>
        <item x="106"/>
        <item x="452"/>
        <item x="64"/>
        <item x="137"/>
        <item x="400"/>
        <item x="549"/>
        <item x="624"/>
        <item x="557"/>
        <item x="18"/>
        <item x="361"/>
        <item x="302"/>
        <item x="465"/>
        <item x="197"/>
        <item x="371"/>
        <item x="350"/>
        <item x="606"/>
        <item x="366"/>
        <item x="46"/>
        <item x="347"/>
        <item x="501"/>
        <item x="385"/>
        <item x="415"/>
        <item x="391"/>
        <item x="324"/>
        <item x="27"/>
        <item x="25"/>
        <item x="524"/>
        <item x="126"/>
        <item x="430"/>
        <item x="134"/>
        <item x="49"/>
        <item x="395"/>
        <item x="610"/>
        <item x="396"/>
        <item x="222"/>
        <item x="518"/>
        <item x="166"/>
        <item x="113"/>
        <item x="358"/>
        <item x="244"/>
        <item x="617"/>
        <item x="407"/>
        <item x="417"/>
        <item x="393"/>
        <item x="568"/>
        <item x="380"/>
        <item x="121"/>
        <item x="241"/>
        <item x="194"/>
        <item x="374"/>
        <item x="338"/>
        <item x="150"/>
        <item x="184"/>
        <item x="451"/>
        <item x="187"/>
        <item x="47"/>
        <item x="81"/>
        <item x="96"/>
        <item x="162"/>
        <item x="154"/>
        <item x="521"/>
        <item x="189"/>
        <item x="368"/>
        <item x="476"/>
        <item x="147"/>
        <item x="595"/>
        <item x="551"/>
        <item x="306"/>
        <item x="98"/>
        <item x="246"/>
        <item x="443"/>
        <item x="423"/>
        <item x="24"/>
        <item x="598"/>
        <item x="349"/>
        <item x="129"/>
        <item x="387"/>
        <item x="251"/>
        <item x="558"/>
        <item x="88"/>
        <item x="495"/>
        <item x="365"/>
        <item x="123"/>
        <item x="160"/>
        <item x="172"/>
        <item x="72"/>
        <item x="265"/>
        <item x="517"/>
        <item x="523"/>
        <item x="585"/>
        <item x="247"/>
        <item x="414"/>
        <item x="627"/>
        <item x="171"/>
        <item x="128"/>
        <item x="280"/>
        <item x="576"/>
        <item x="540"/>
        <item x="379"/>
        <item x="40"/>
        <item x="231"/>
        <item x="433"/>
        <item x="613"/>
        <item x="130"/>
        <item x="578"/>
        <item x="566"/>
        <item x="143"/>
        <item x="560"/>
        <item x="403"/>
        <item x="377"/>
        <item x="74"/>
        <item x="439"/>
        <item x="144"/>
        <item x="69"/>
        <item x="13"/>
        <item x="133"/>
        <item x="580"/>
        <item x="317"/>
        <item x="507"/>
        <item x="177"/>
        <item x="159"/>
        <item x="249"/>
        <item x="228"/>
        <item x="406"/>
        <item x="193"/>
        <item x="398"/>
        <item x="442"/>
        <item x="554"/>
        <item x="342"/>
        <item x="83"/>
        <item x="93"/>
        <item x="323"/>
        <item x="125"/>
        <item x="332"/>
        <item x="158"/>
        <item x="591"/>
        <item x="559"/>
        <item x="178"/>
        <item x="33"/>
        <item x="293"/>
        <item x="532"/>
        <item x="626"/>
        <item x="437"/>
        <item x="294"/>
        <item x="420"/>
        <item x="42"/>
        <item x="92"/>
        <item x="260"/>
        <item x="67"/>
        <item x="215"/>
        <item x="105"/>
        <item x="376"/>
        <item x="41"/>
        <item x="91"/>
        <item h="1" x="629"/>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1" showAll="0"/>
    <pivotField showAll="0"/>
    <pivotField numFmtId="1" showAll="0"/>
    <pivotField showAll="0"/>
    <pivotField showAll="0"/>
    <pivotField showAll="0"/>
    <pivotField showAll="0"/>
    <pivotField showAll="0"/>
    <pivotField showAll="0"/>
    <pivotField showAll="0"/>
    <pivotField showAll="0" defaultSubtotal="0"/>
    <pivotField showAll="0" defaultSubtotal="0"/>
  </pivotFields>
  <rowFields count="1">
    <field x="17"/>
  </rowFields>
  <rowItems count="6">
    <i>
      <x v="40"/>
    </i>
    <i>
      <x v="94"/>
    </i>
    <i>
      <x v="270"/>
    </i>
    <i>
      <x v="296"/>
    </i>
    <i>
      <x v="510"/>
    </i>
    <i t="grand">
      <x/>
    </i>
  </rowItems>
  <colItems count="1">
    <i/>
  </colItems>
  <dataFields count="1">
    <dataField name="Sum of Gross Revenue" fld="29" baseField="0" baseItem="0"/>
  </dataFields>
  <chartFormats count="2">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51"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x="1"/>
        <item x="6"/>
        <item x="0"/>
        <item x="14"/>
        <item x="11"/>
        <item x="8"/>
        <item x="4"/>
        <item x="15"/>
        <item x="12"/>
        <item x="2"/>
        <item x="3"/>
        <item x="10"/>
        <item x="13"/>
        <item x="5"/>
        <item x="9"/>
        <item x="7"/>
        <item x="16"/>
        <item t="default"/>
      </items>
    </pivotField>
    <pivotField axis="axisRow" showAll="0">
      <items count="9">
        <item x="1"/>
        <item x="0"/>
        <item x="3"/>
        <item x="2"/>
        <item x="6"/>
        <item x="4"/>
        <item x="5"/>
        <item x="7"/>
        <item t="default"/>
      </items>
    </pivotField>
    <pivotField showAll="0"/>
    <pivotField axis="axisRow" showAll="0" sortType="descending">
      <items count="631">
        <item x="120"/>
        <item x="436"/>
        <item x="553"/>
        <item x="297"/>
        <item x="413"/>
        <item x="355"/>
        <item x="305"/>
        <item x="548"/>
        <item x="367"/>
        <item x="205"/>
        <item x="402"/>
        <item x="3"/>
        <item x="253"/>
        <item x="164"/>
        <item x="235"/>
        <item x="389"/>
        <item x="505"/>
        <item x="68"/>
        <item x="335"/>
        <item x="218"/>
        <item x="51"/>
        <item x="298"/>
        <item x="85"/>
        <item x="411"/>
        <item x="472"/>
        <item x="287"/>
        <item x="555"/>
        <item x="474"/>
        <item x="175"/>
        <item x="97"/>
        <item x="593"/>
        <item x="28"/>
        <item x="563"/>
        <item x="153"/>
        <item x="573"/>
        <item x="31"/>
        <item x="441"/>
        <item x="224"/>
        <item x="447"/>
        <item x="399"/>
        <item x="456"/>
        <item x="11"/>
        <item x="582"/>
        <item x="318"/>
        <item x="435"/>
        <item x="206"/>
        <item x="594"/>
        <item x="426"/>
        <item x="261"/>
        <item x="446"/>
        <item x="515"/>
        <item x="23"/>
        <item x="461"/>
        <item x="179"/>
        <item x="217"/>
        <item x="502"/>
        <item x="66"/>
        <item x="223"/>
        <item x="191"/>
        <item sd="0" x="87"/>
        <item x="19"/>
        <item x="135"/>
        <item x="586"/>
        <item x="309"/>
        <item x="427"/>
        <item x="471"/>
        <item x="378"/>
        <item x="556"/>
        <item x="208"/>
        <item x="212"/>
        <item x="237"/>
        <item x="4"/>
        <item x="458"/>
        <item x="477"/>
        <item x="547"/>
        <item x="95"/>
        <item x="6"/>
        <item x="450"/>
        <item x="445"/>
        <item x="529"/>
        <item x="12"/>
        <item x="316"/>
        <item x="520"/>
        <item x="457"/>
        <item x="337"/>
        <item x="142"/>
        <item x="394"/>
        <item x="269"/>
        <item x="538"/>
        <item x="313"/>
        <item x="149"/>
        <item x="57"/>
        <item x="525"/>
        <item x="322"/>
        <item x="482"/>
        <item x="587"/>
        <item x="262"/>
        <item x="90"/>
        <item x="221"/>
        <item x="140"/>
        <item x="71"/>
        <item x="196"/>
        <item x="619"/>
        <item x="508"/>
        <item x="5"/>
        <item x="390"/>
        <item x="168"/>
        <item x="38"/>
        <item x="618"/>
        <item x="291"/>
        <item x="192"/>
        <item x="2"/>
        <item x="119"/>
        <item x="1"/>
        <item x="348"/>
        <item x="275"/>
        <item sd="0" x="419"/>
        <item x="496"/>
        <item x="182"/>
        <item x="250"/>
        <item x="489"/>
        <item x="122"/>
        <item x="453"/>
        <item x="460"/>
        <item x="281"/>
        <item x="204"/>
        <item x="405"/>
        <item x="211"/>
        <item x="104"/>
        <item x="286"/>
        <item x="487"/>
        <item x="336"/>
        <item x="207"/>
        <item x="198"/>
        <item x="475"/>
        <item x="363"/>
        <item x="530"/>
        <item x="200"/>
        <item x="429"/>
        <item x="65"/>
        <item x="536"/>
        <item x="117"/>
        <item x="115"/>
        <item x="372"/>
        <item x="473"/>
        <item x="362"/>
        <item x="307"/>
        <item x="512"/>
        <item x="264"/>
        <item x="131"/>
        <item x="326"/>
        <item x="354"/>
        <item x="497"/>
        <item x="543"/>
        <item x="109"/>
        <item x="597"/>
        <item x="213"/>
        <item x="165"/>
        <item x="490"/>
        <item x="569"/>
        <item x="273"/>
        <item x="111"/>
        <item x="499"/>
        <item x="0"/>
        <item x="108"/>
        <item x="561"/>
        <item x="359"/>
        <item x="45"/>
        <item x="503"/>
        <item x="252"/>
        <item sd="0" x="77"/>
        <item x="479"/>
        <item x="226"/>
        <item x="84"/>
        <item x="455"/>
        <item x="622"/>
        <item x="37"/>
        <item x="564"/>
        <item x="565"/>
        <item x="519"/>
        <item x="124"/>
        <item x="492"/>
        <item x="240"/>
        <item x="383"/>
        <item x="424"/>
        <item x="360"/>
        <item x="431"/>
        <item x="425"/>
        <item x="290"/>
        <item x="70"/>
        <item x="283"/>
        <item x="78"/>
        <item x="292"/>
        <item x="596"/>
        <item x="185"/>
        <item x="381"/>
        <item x="195"/>
        <item x="397"/>
        <item x="526"/>
        <item x="484"/>
        <item x="454"/>
        <item x="199"/>
        <item x="100"/>
        <item x="352"/>
        <item x="219"/>
        <item x="163"/>
        <item sd="0" x="462"/>
        <item x="314"/>
        <item x="373"/>
        <item x="10"/>
        <item x="181"/>
        <item x="410"/>
        <item x="259"/>
        <item x="343"/>
        <item x="248"/>
        <item x="61"/>
        <item x="579"/>
        <item x="233"/>
        <item x="311"/>
        <item x="114"/>
        <item x="127"/>
        <item x="572"/>
        <item x="139"/>
        <item x="79"/>
        <item x="493"/>
        <item x="315"/>
        <item x="432"/>
        <item x="608"/>
        <item x="8"/>
        <item x="357"/>
        <item x="32"/>
        <item x="494"/>
        <item x="392"/>
        <item x="510"/>
        <item x="54"/>
        <item x="478"/>
        <item x="468"/>
        <item x="388"/>
        <item x="588"/>
        <item x="295"/>
        <item x="220"/>
        <item x="356"/>
        <item x="300"/>
        <item x="486"/>
        <item x="63"/>
        <item x="575"/>
        <item x="145"/>
        <item sd="0" x="467"/>
        <item x="284"/>
        <item x="86"/>
        <item x="464"/>
        <item x="534"/>
        <item x="544"/>
        <item x="537"/>
        <item x="384"/>
        <item x="188"/>
        <item x="238"/>
        <item x="527"/>
        <item x="506"/>
        <item x="203"/>
        <item x="504"/>
        <item x="282"/>
        <item x="375"/>
        <item x="278"/>
        <item x="176"/>
        <item x="229"/>
        <item x="272"/>
        <item x="141"/>
        <item x="174"/>
        <item sd="0" x="274"/>
        <item x="485"/>
        <item x="421"/>
        <item x="312"/>
        <item x="230"/>
        <item x="14"/>
        <item x="232"/>
        <item x="60"/>
        <item x="328"/>
        <item x="39"/>
        <item x="344"/>
        <item x="170"/>
        <item x="82"/>
        <item x="190"/>
        <item x="581"/>
        <item x="513"/>
        <item x="169"/>
        <item x="157"/>
        <item x="245"/>
        <item x="577"/>
        <item x="21"/>
        <item x="242"/>
        <item x="56"/>
        <item x="601"/>
        <item x="267"/>
        <item x="80"/>
        <item x="463"/>
        <item x="469"/>
        <item x="310"/>
        <item x="7"/>
        <item x="542"/>
        <item x="148"/>
        <item x="16"/>
        <item x="268"/>
        <item x="341"/>
        <item x="75"/>
        <item x="180"/>
        <item x="94"/>
        <item x="600"/>
        <item x="602"/>
        <item x="448"/>
        <item x="136"/>
        <item x="511"/>
        <item x="99"/>
        <item x="101"/>
        <item x="422"/>
        <item x="55"/>
        <item x="550"/>
        <item x="22"/>
        <item sd="0" x="225"/>
        <item x="327"/>
        <item x="615"/>
        <item x="440"/>
        <item sd="0" x="539"/>
        <item x="621"/>
        <item x="514"/>
        <item x="58"/>
        <item x="541"/>
        <item x="277"/>
        <item x="186"/>
        <item x="234"/>
        <item x="76"/>
        <item x="20"/>
        <item x="167"/>
        <item x="628"/>
        <item x="522"/>
        <item x="263"/>
        <item x="236"/>
        <item x="155"/>
        <item x="562"/>
        <item x="449"/>
        <item x="616"/>
        <item x="345"/>
        <item x="270"/>
        <item x="116"/>
        <item x="201"/>
        <item x="334"/>
        <item x="52"/>
        <item x="604"/>
        <item x="243"/>
        <item x="546"/>
        <item x="276"/>
        <item x="214"/>
        <item x="567"/>
        <item x="35"/>
        <item x="50"/>
        <item x="625"/>
        <item x="89"/>
        <item x="483"/>
        <item x="498"/>
        <item x="340"/>
        <item x="34"/>
        <item x="112"/>
        <item x="607"/>
        <item x="110"/>
        <item x="364"/>
        <item x="329"/>
        <item x="266"/>
        <item sd="0" x="528"/>
        <item x="17"/>
        <item x="545"/>
        <item x="321"/>
        <item x="418"/>
        <item x="571"/>
        <item x="408"/>
        <item x="48"/>
        <item x="574"/>
        <item x="331"/>
        <item x="107"/>
        <item x="416"/>
        <item x="227"/>
        <item x="138"/>
        <item x="103"/>
        <item x="152"/>
        <item x="603"/>
        <item x="102"/>
        <item x="611"/>
        <item x="43"/>
        <item x="36"/>
        <item x="584"/>
        <item x="256"/>
        <item x="491"/>
        <item x="570"/>
        <item x="605"/>
        <item x="320"/>
        <item x="156"/>
        <item x="488"/>
        <item x="183"/>
        <item x="620"/>
        <item x="444"/>
        <item x="516"/>
        <item x="210"/>
        <item x="44"/>
        <item sd="0" x="599"/>
        <item x="589"/>
        <item sd="0" x="434"/>
        <item x="308"/>
        <item x="401"/>
        <item x="209"/>
        <item x="53"/>
        <item x="535"/>
        <item x="330"/>
        <item x="202"/>
        <item x="296"/>
        <item x="531"/>
        <item x="370"/>
        <item x="339"/>
        <item x="509"/>
        <item x="333"/>
        <item x="481"/>
        <item x="146"/>
        <item x="151"/>
        <item x="346"/>
        <item x="15"/>
        <item x="62"/>
        <item x="173"/>
        <item x="258"/>
        <item x="480"/>
        <item x="353"/>
        <item x="552"/>
        <item x="29"/>
        <item x="623"/>
        <item x="369"/>
        <item x="351"/>
        <item x="382"/>
        <item x="161"/>
        <item x="303"/>
        <item x="285"/>
        <item x="216"/>
        <item x="614"/>
        <item x="325"/>
        <item x="409"/>
        <item x="459"/>
        <item x="404"/>
        <item x="289"/>
        <item x="386"/>
        <item x="428"/>
        <item x="255"/>
        <item x="592"/>
        <item x="609"/>
        <item x="412"/>
        <item x="533"/>
        <item x="470"/>
        <item x="279"/>
        <item x="254"/>
        <item x="26"/>
        <item x="299"/>
        <item x="118"/>
        <item x="257"/>
        <item x="30"/>
        <item x="301"/>
        <item x="590"/>
        <item x="612"/>
        <item x="271"/>
        <item x="132"/>
        <item x="239"/>
        <item x="500"/>
        <item x="288"/>
        <item x="466"/>
        <item x="304"/>
        <item x="583"/>
        <item x="319"/>
        <item x="438"/>
        <item x="59"/>
        <item x="73"/>
        <item x="9"/>
        <item x="106"/>
        <item x="452"/>
        <item x="64"/>
        <item x="137"/>
        <item x="400"/>
        <item x="549"/>
        <item x="624"/>
        <item x="557"/>
        <item x="18"/>
        <item x="361"/>
        <item x="302"/>
        <item x="465"/>
        <item x="197"/>
        <item x="371"/>
        <item x="350"/>
        <item x="606"/>
        <item x="366"/>
        <item x="46"/>
        <item x="347"/>
        <item x="501"/>
        <item x="385"/>
        <item x="415"/>
        <item x="391"/>
        <item x="324"/>
        <item x="27"/>
        <item x="25"/>
        <item x="524"/>
        <item x="126"/>
        <item x="430"/>
        <item x="134"/>
        <item x="49"/>
        <item x="395"/>
        <item x="610"/>
        <item x="396"/>
        <item x="222"/>
        <item x="518"/>
        <item x="166"/>
        <item x="113"/>
        <item x="358"/>
        <item x="244"/>
        <item x="617"/>
        <item x="407"/>
        <item x="417"/>
        <item x="393"/>
        <item x="568"/>
        <item x="380"/>
        <item x="121"/>
        <item x="241"/>
        <item x="194"/>
        <item x="374"/>
        <item x="338"/>
        <item x="150"/>
        <item x="184"/>
        <item x="451"/>
        <item x="187"/>
        <item x="47"/>
        <item x="81"/>
        <item x="96"/>
        <item x="162"/>
        <item x="154"/>
        <item x="521"/>
        <item x="189"/>
        <item x="368"/>
        <item x="476"/>
        <item x="147"/>
        <item x="595"/>
        <item x="551"/>
        <item x="306"/>
        <item x="98"/>
        <item x="246"/>
        <item x="443"/>
        <item x="423"/>
        <item x="24"/>
        <item x="598"/>
        <item x="349"/>
        <item x="129"/>
        <item x="387"/>
        <item x="251"/>
        <item x="558"/>
        <item x="88"/>
        <item x="495"/>
        <item x="365"/>
        <item x="123"/>
        <item x="160"/>
        <item x="172"/>
        <item x="72"/>
        <item x="265"/>
        <item x="517"/>
        <item x="523"/>
        <item x="585"/>
        <item x="247"/>
        <item x="414"/>
        <item x="627"/>
        <item x="171"/>
        <item x="128"/>
        <item x="280"/>
        <item x="576"/>
        <item x="540"/>
        <item x="379"/>
        <item x="40"/>
        <item x="231"/>
        <item x="433"/>
        <item x="613"/>
        <item x="130"/>
        <item x="578"/>
        <item x="566"/>
        <item x="143"/>
        <item x="560"/>
        <item x="403"/>
        <item x="377"/>
        <item x="74"/>
        <item x="439"/>
        <item x="144"/>
        <item x="69"/>
        <item x="13"/>
        <item x="133"/>
        <item x="580"/>
        <item x="317"/>
        <item x="507"/>
        <item x="177"/>
        <item x="159"/>
        <item x="249"/>
        <item x="228"/>
        <item x="406"/>
        <item x="193"/>
        <item x="398"/>
        <item x="442"/>
        <item x="554"/>
        <item x="342"/>
        <item x="83"/>
        <item x="93"/>
        <item x="323"/>
        <item x="125"/>
        <item x="332"/>
        <item x="158"/>
        <item x="591"/>
        <item x="559"/>
        <item x="178"/>
        <item x="33"/>
        <item x="293"/>
        <item x="532"/>
        <item x="626"/>
        <item x="437"/>
        <item x="294"/>
        <item x="420"/>
        <item x="42"/>
        <item x="92"/>
        <item x="260"/>
        <item x="67"/>
        <item x="215"/>
        <item x="105"/>
        <item x="376"/>
        <item x="41"/>
        <item x="91"/>
        <item h="1" x="6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1" showAll="0"/>
    <pivotField showAll="0"/>
    <pivotField numFmtId="1" showAll="0"/>
    <pivotField showAll="0"/>
    <pivotField showAll="0"/>
    <pivotField showAll="0"/>
    <pivotField showAll="0"/>
    <pivotField showAll="0"/>
    <pivotField showAll="0"/>
    <pivotField showAll="0"/>
    <pivotField showAll="0" defaultSubtotal="0"/>
    <pivotField showAll="0" defaultSubtotal="0"/>
  </pivotFields>
  <rowFields count="2">
    <field x="17"/>
    <field x="15"/>
  </rowFields>
  <rowItems count="1248">
    <i>
      <x v="170"/>
    </i>
    <i>
      <x v="367"/>
    </i>
    <i>
      <x v="247"/>
    </i>
    <i>
      <x v="322"/>
    </i>
    <i>
      <x v="269"/>
    </i>
    <i>
      <x v="318"/>
    </i>
    <i>
      <x v="116"/>
    </i>
    <i>
      <x v="206"/>
    </i>
    <i>
      <x v="404"/>
    </i>
    <i>
      <x v="402"/>
    </i>
    <i>
      <x v="59"/>
    </i>
    <i>
      <x v="302"/>
    </i>
    <i r="1">
      <x v="3"/>
    </i>
    <i>
      <x v="524"/>
    </i>
    <i r="1">
      <x v="5"/>
    </i>
    <i>
      <x v="358"/>
    </i>
    <i r="1">
      <x v="4"/>
    </i>
    <i>
      <x v="535"/>
    </i>
    <i r="1">
      <x v="6"/>
    </i>
    <i>
      <x v="240"/>
    </i>
    <i r="1">
      <x v="2"/>
    </i>
    <i>
      <x v="98"/>
    </i>
    <i r="1">
      <x v="1"/>
    </i>
    <i>
      <x v="222"/>
    </i>
    <i r="1">
      <x v="2"/>
    </i>
    <i>
      <x v="225"/>
    </i>
    <i r="1">
      <x v="2"/>
    </i>
    <i>
      <x v="113"/>
    </i>
    <i r="1">
      <x v="1"/>
    </i>
    <i>
      <x v="395"/>
    </i>
    <i r="1">
      <x v="4"/>
    </i>
    <i>
      <x v="184"/>
    </i>
    <i r="1">
      <x v="2"/>
    </i>
    <i>
      <x v="587"/>
    </i>
    <i r="1">
      <x v="6"/>
    </i>
    <i>
      <x v="246"/>
    </i>
    <i r="1">
      <x v="2"/>
    </i>
    <i>
      <x v="348"/>
    </i>
    <i r="1">
      <x v="3"/>
    </i>
    <i>
      <x v="597"/>
    </i>
    <i r="1">
      <x v="6"/>
    </i>
    <i>
      <x v="23"/>
    </i>
    <i r="1">
      <x/>
    </i>
    <i>
      <x v="512"/>
    </i>
    <i r="1">
      <x v="5"/>
    </i>
    <i>
      <x v="99"/>
    </i>
    <i r="1">
      <x v="1"/>
    </i>
    <i>
      <x v="355"/>
    </i>
    <i r="1">
      <x v="4"/>
    </i>
    <i>
      <x v="543"/>
    </i>
    <i r="1">
      <x v="6"/>
    </i>
    <i>
      <x v="159"/>
    </i>
    <i r="1">
      <x v="1"/>
    </i>
    <i>
      <x v="394"/>
    </i>
    <i r="1">
      <x v="4"/>
    </i>
    <i>
      <x v="386"/>
    </i>
    <i r="1">
      <x v="4"/>
    </i>
    <i>
      <x v="406"/>
    </i>
    <i r="1">
      <x v="4"/>
    </i>
    <i>
      <x v="385"/>
    </i>
    <i r="1">
      <x v="4"/>
    </i>
    <i>
      <x v="81"/>
    </i>
    <i r="1">
      <x/>
    </i>
    <i>
      <x v="306"/>
    </i>
    <i r="1">
      <x v="3"/>
    </i>
    <i>
      <x v="235"/>
    </i>
    <i r="1">
      <x v="2"/>
    </i>
    <i>
      <x v="620"/>
    </i>
    <i r="1">
      <x v="6"/>
    </i>
    <i>
      <x v="380"/>
    </i>
    <i r="1">
      <x v="4"/>
    </i>
    <i>
      <x v="615"/>
    </i>
    <i r="1">
      <x v="6"/>
    </i>
    <i>
      <x v="83"/>
    </i>
    <i r="1">
      <x/>
    </i>
    <i>
      <x v="473"/>
    </i>
    <i r="1">
      <x v="5"/>
    </i>
    <i>
      <x v="179"/>
    </i>
    <i r="1">
      <x v="2"/>
    </i>
    <i>
      <x v="178"/>
    </i>
    <i r="1">
      <x v="2"/>
    </i>
    <i>
      <x v="127"/>
    </i>
    <i r="1">
      <x v="1"/>
    </i>
    <i>
      <x v="502"/>
    </i>
    <i r="1">
      <x v="5"/>
    </i>
    <i>
      <x v="485"/>
    </i>
    <i r="1">
      <x v="5"/>
    </i>
    <i>
      <x v="351"/>
    </i>
    <i r="1">
      <x v="3"/>
    </i>
    <i>
      <x v="208"/>
    </i>
    <i r="1">
      <x v="2"/>
    </i>
    <i>
      <x v="364"/>
    </i>
    <i r="1">
      <x v="4"/>
    </i>
    <i>
      <x v="96"/>
    </i>
    <i r="1">
      <x v="1"/>
    </i>
    <i>
      <x v="541"/>
    </i>
    <i r="1">
      <x v="6"/>
    </i>
    <i>
      <x v="200"/>
    </i>
    <i r="1">
      <x v="2"/>
    </i>
    <i>
      <x v="584"/>
    </i>
    <i r="1">
      <x v="6"/>
    </i>
    <i>
      <x v="360"/>
    </i>
    <i r="1">
      <x v="4"/>
    </i>
    <i>
      <x v="396"/>
    </i>
    <i r="1">
      <x v="4"/>
    </i>
    <i>
      <x v="409"/>
    </i>
    <i r="1">
      <x v="4"/>
    </i>
    <i>
      <x v="198"/>
    </i>
    <i r="1">
      <x v="2"/>
    </i>
    <i>
      <x v="349"/>
    </i>
    <i r="1">
      <x v="3"/>
    </i>
    <i>
      <x v="574"/>
    </i>
    <i r="1">
      <x v="6"/>
    </i>
    <i>
      <x v="478"/>
    </i>
    <i r="1">
      <x v="5"/>
    </i>
    <i>
      <x v="71"/>
    </i>
    <i r="1">
      <x/>
    </i>
    <i>
      <x v="582"/>
    </i>
    <i r="1">
      <x v="6"/>
    </i>
    <i>
      <x v="516"/>
    </i>
    <i r="1">
      <x v="5"/>
    </i>
    <i>
      <x v="599"/>
    </i>
    <i r="1">
      <x v="6"/>
    </i>
    <i>
      <x v="196"/>
    </i>
    <i r="1">
      <x v="2"/>
    </i>
    <i>
      <x v="398"/>
    </i>
    <i r="1">
      <x v="4"/>
    </i>
    <i>
      <x v="568"/>
    </i>
    <i r="1">
      <x v="6"/>
    </i>
    <i>
      <x v="41"/>
    </i>
    <i r="1">
      <x/>
    </i>
    <i>
      <x v="439"/>
    </i>
    <i r="1">
      <x v="5"/>
    </i>
    <i>
      <x v="67"/>
    </i>
    <i r="1">
      <x/>
    </i>
    <i>
      <x v="494"/>
    </i>
    <i r="1">
      <x v="5"/>
    </i>
    <i>
      <x v="427"/>
    </i>
    <i r="1">
      <x v="4"/>
    </i>
    <i>
      <x v="515"/>
    </i>
    <i r="1">
      <x v="5"/>
    </i>
    <i>
      <x v="336"/>
    </i>
    <i r="1">
      <x v="3"/>
    </i>
    <i>
      <x v="533"/>
    </i>
    <i r="1">
      <x v="6"/>
    </i>
    <i>
      <x v="430"/>
    </i>
    <i r="1">
      <x v="4"/>
    </i>
    <i>
      <x v="49"/>
    </i>
    <i r="1">
      <x/>
    </i>
    <i>
      <x v="213"/>
    </i>
    <i r="1">
      <x v="2"/>
    </i>
    <i>
      <x v="245"/>
    </i>
    <i r="1">
      <x v="2"/>
    </i>
    <i>
      <x v="157"/>
    </i>
    <i r="1">
      <x v="1"/>
    </i>
    <i>
      <x v="488"/>
    </i>
    <i r="1">
      <x v="5"/>
    </i>
    <i>
      <x v="562"/>
    </i>
    <i r="1">
      <x v="6"/>
    </i>
    <i>
      <x v="89"/>
    </i>
    <i r="1">
      <x v="1"/>
    </i>
    <i>
      <x v="401"/>
    </i>
    <i r="1">
      <x v="4"/>
    </i>
    <i>
      <x v="445"/>
    </i>
    <i r="1">
      <x v="5"/>
    </i>
    <i>
      <x v="80"/>
    </i>
    <i r="1">
      <x/>
    </i>
    <i>
      <x v="475"/>
    </i>
    <i r="1">
      <x v="5"/>
    </i>
    <i>
      <x v="370"/>
    </i>
    <i r="1">
      <x v="4"/>
    </i>
    <i>
      <x v="366"/>
    </i>
    <i r="1">
      <x v="4"/>
    </i>
    <i>
      <x v="144"/>
    </i>
    <i r="1">
      <x v="1"/>
    </i>
    <i>
      <x v="295"/>
    </i>
    <i r="1">
      <x v="3"/>
    </i>
    <i>
      <x v="62"/>
    </i>
    <i r="1">
      <x/>
    </i>
    <i>
      <x v="622"/>
    </i>
    <i r="1">
      <x v="6"/>
    </i>
    <i>
      <x v="298"/>
    </i>
    <i r="1">
      <x v="3"/>
    </i>
    <i>
      <x v="231"/>
    </i>
    <i r="1">
      <x v="2"/>
    </i>
    <i>
      <x v="412"/>
    </i>
    <i r="1">
      <x v="4"/>
    </i>
    <i>
      <x v="6"/>
    </i>
    <i r="1">
      <x/>
    </i>
    <i>
      <x v="551"/>
    </i>
    <i r="1">
      <x v="6"/>
    </i>
    <i>
      <x v="317"/>
    </i>
    <i r="1">
      <x v="3"/>
    </i>
    <i>
      <x v="507"/>
    </i>
    <i r="1">
      <x v="5"/>
    </i>
    <i>
      <x v="316"/>
    </i>
    <i r="1">
      <x v="3"/>
    </i>
    <i>
      <x v="354"/>
    </i>
    <i r="1">
      <x v="4"/>
    </i>
    <i>
      <x v="337"/>
    </i>
    <i r="1">
      <x v="3"/>
    </i>
    <i>
      <x v="359"/>
    </i>
    <i r="1">
      <x v="4"/>
    </i>
    <i>
      <x v="236"/>
    </i>
    <i r="1">
      <x v="2"/>
    </i>
    <i>
      <x v="393"/>
    </i>
    <i r="1">
      <x v="4"/>
    </i>
    <i>
      <x v="251"/>
    </i>
    <i r="1">
      <x v="2"/>
    </i>
    <i>
      <x v="391"/>
    </i>
    <i r="1">
      <x v="4"/>
    </i>
    <i>
      <x v="228"/>
    </i>
    <i r="1">
      <x v="2"/>
    </i>
    <i>
      <x v="600"/>
    </i>
    <i r="1">
      <x v="6"/>
    </i>
    <i>
      <x v="455"/>
    </i>
    <i r="1">
      <x v="5"/>
    </i>
    <i>
      <x v="281"/>
    </i>
    <i r="1">
      <x v="3"/>
    </i>
    <i>
      <x v="521"/>
    </i>
    <i r="1">
      <x v="5"/>
    </i>
    <i>
      <x v="501"/>
    </i>
    <i r="1">
      <x v="5"/>
    </i>
    <i>
      <x v="532"/>
    </i>
    <i r="1">
      <x v="6"/>
    </i>
    <i>
      <x v="10"/>
    </i>
    <i r="1">
      <x/>
    </i>
    <i>
      <x v="504"/>
    </i>
    <i r="1">
      <x v="5"/>
    </i>
    <i>
      <x v="547"/>
    </i>
    <i r="1">
      <x v="6"/>
    </i>
    <i>
      <x v="331"/>
    </i>
    <i r="1">
      <x v="3"/>
    </i>
    <i>
      <x v="249"/>
    </i>
    <i r="1">
      <x v="2"/>
    </i>
    <i>
      <x v="150"/>
    </i>
    <i r="1">
      <x v="1"/>
    </i>
    <i>
      <x v="142"/>
    </i>
    <i r="1">
      <x v="1"/>
    </i>
    <i>
      <x v="4"/>
    </i>
    <i r="1">
      <x/>
    </i>
    <i>
      <x v="280"/>
    </i>
    <i r="1">
      <x v="3"/>
    </i>
    <i>
      <x v="94"/>
    </i>
    <i r="1">
      <x v="1"/>
    </i>
    <i>
      <x v="517"/>
    </i>
    <i r="1">
      <x v="5"/>
    </i>
    <i>
      <x v="530"/>
    </i>
    <i r="1">
      <x v="6"/>
    </i>
    <i>
      <x v="123"/>
    </i>
    <i r="1">
      <x v="1"/>
    </i>
    <i>
      <x v="55"/>
    </i>
    <i r="1">
      <x/>
    </i>
    <i>
      <x v="52"/>
    </i>
    <i r="1">
      <x/>
    </i>
    <i>
      <x v="339"/>
    </i>
    <i r="1">
      <x v="3"/>
    </i>
    <i>
      <x v="199"/>
    </i>
    <i r="1">
      <x v="2"/>
    </i>
    <i>
      <x v="477"/>
    </i>
    <i r="1">
      <x v="5"/>
    </i>
    <i>
      <x v="265"/>
    </i>
    <i r="1">
      <x v="3"/>
    </i>
    <i>
      <x v="258"/>
    </i>
    <i r="1">
      <x v="3"/>
    </i>
    <i>
      <x v="107"/>
    </i>
    <i r="1">
      <x v="1"/>
    </i>
    <i>
      <x v="595"/>
    </i>
    <i r="1">
      <x v="6"/>
    </i>
    <i>
      <x v="368"/>
    </i>
    <i r="1">
      <x v="4"/>
    </i>
    <i>
      <x v="173"/>
    </i>
    <i r="1">
      <x v="1"/>
    </i>
    <i>
      <x v="299"/>
    </i>
    <i r="1">
      <x v="3"/>
    </i>
    <i>
      <x v="204"/>
    </i>
    <i r="1">
      <x v="2"/>
    </i>
    <i>
      <x v="548"/>
    </i>
    <i r="1">
      <x v="6"/>
    </i>
    <i>
      <x v="447"/>
    </i>
    <i r="1">
      <x v="5"/>
    </i>
    <i>
      <x v="119"/>
    </i>
    <i r="1">
      <x v="1"/>
    </i>
    <i>
      <x v="352"/>
    </i>
    <i r="1">
      <x v="4"/>
    </i>
    <i>
      <x v="579"/>
    </i>
    <i r="1">
      <x v="6"/>
    </i>
    <i>
      <x v="171"/>
    </i>
    <i r="1">
      <x v="1"/>
    </i>
    <i>
      <x v="259"/>
    </i>
    <i r="1">
      <x v="3"/>
    </i>
    <i>
      <x v="104"/>
    </i>
    <i r="1">
      <x v="1"/>
    </i>
    <i>
      <x v="274"/>
    </i>
    <i r="1">
      <x v="3"/>
    </i>
    <i>
      <x v="238"/>
    </i>
    <i r="1">
      <x v="2"/>
    </i>
    <i>
      <x v="110"/>
    </i>
    <i r="1">
      <x v="1"/>
    </i>
    <i>
      <x v="58"/>
    </i>
    <i r="1">
      <x/>
    </i>
    <i>
      <x v="442"/>
    </i>
    <i r="1">
      <x v="5"/>
    </i>
    <i>
      <x v="217"/>
    </i>
    <i r="1">
      <x v="2"/>
    </i>
    <i>
      <x v="115"/>
    </i>
    <i r="1">
      <x v="1"/>
    </i>
    <i>
      <x v="254"/>
    </i>
    <i r="1">
      <x v="2"/>
    </i>
    <i>
      <x v="146"/>
    </i>
    <i r="1">
      <x v="1"/>
    </i>
    <i>
      <x v="450"/>
    </i>
    <i r="1">
      <x v="5"/>
    </i>
    <i>
      <x v="85"/>
    </i>
    <i r="1">
      <x/>
    </i>
    <i>
      <x v="74"/>
    </i>
    <i r="1">
      <x/>
    </i>
    <i>
      <x v="26"/>
    </i>
    <i r="1">
      <x/>
    </i>
    <i>
      <x v="320"/>
    </i>
    <i r="1">
      <x v="3"/>
    </i>
    <i>
      <x v="285"/>
    </i>
    <i r="1">
      <x v="3"/>
    </i>
    <i>
      <x v="122"/>
    </i>
    <i r="1">
      <x v="1"/>
    </i>
    <i>
      <x v="472"/>
    </i>
    <i r="1">
      <x v="5"/>
    </i>
    <i>
      <x v="12"/>
    </i>
    <i r="1">
      <x/>
    </i>
    <i>
      <x v="33"/>
    </i>
    <i r="1">
      <x/>
    </i>
    <i>
      <x v="618"/>
    </i>
    <i r="1">
      <x v="6"/>
    </i>
    <i>
      <x v="522"/>
    </i>
    <i r="1">
      <x v="5"/>
    </i>
    <i>
      <x v="537"/>
    </i>
    <i r="1">
      <x v="6"/>
    </i>
    <i>
      <x v="192"/>
    </i>
    <i r="1">
      <x v="2"/>
    </i>
    <i>
      <x v="350"/>
    </i>
    <i r="1">
      <x v="3"/>
    </i>
    <i>
      <x v="374"/>
    </i>
    <i r="1">
      <x v="4"/>
    </i>
    <i>
      <x v="136"/>
    </i>
    <i r="1">
      <x v="1"/>
    </i>
    <i>
      <x v="525"/>
    </i>
    <i r="1">
      <x v="5"/>
    </i>
    <i>
      <x v="621"/>
    </i>
    <i r="1">
      <x v="6"/>
    </i>
    <i>
      <x v="609"/>
    </i>
    <i r="1">
      <x v="6"/>
    </i>
    <i>
      <x v="151"/>
    </i>
    <i r="1">
      <x v="1"/>
    </i>
    <i>
      <x v="500"/>
    </i>
    <i r="1">
      <x v="5"/>
    </i>
    <i>
      <x v="224"/>
    </i>
    <i r="1">
      <x v="2"/>
    </i>
    <i>
      <x v="486"/>
    </i>
    <i r="1">
      <x v="5"/>
    </i>
    <i>
      <x v="413"/>
    </i>
    <i r="1">
      <x v="4"/>
    </i>
    <i>
      <x v="492"/>
    </i>
    <i r="1">
      <x v="5"/>
    </i>
    <i>
      <x v="539"/>
    </i>
    <i r="1">
      <x v="6"/>
    </i>
    <i>
      <x v="182"/>
    </i>
    <i r="1">
      <x v="2"/>
    </i>
    <i>
      <x v="82"/>
    </i>
    <i r="1">
      <x/>
    </i>
    <i>
      <x v="297"/>
    </i>
    <i r="1">
      <x v="3"/>
    </i>
    <i>
      <x v="216"/>
    </i>
    <i r="1">
      <x v="2"/>
    </i>
    <i>
      <x v="243"/>
    </i>
    <i r="1">
      <x v="2"/>
    </i>
    <i>
      <x v="48"/>
    </i>
    <i r="1">
      <x/>
    </i>
    <i>
      <x v="434"/>
    </i>
    <i r="1">
      <x v="4"/>
    </i>
    <i>
      <x v="78"/>
    </i>
    <i r="1">
      <x/>
    </i>
    <i>
      <x v="566"/>
    </i>
    <i r="1">
      <x v="6"/>
    </i>
    <i>
      <x v="459"/>
    </i>
    <i r="1">
      <x v="5"/>
    </i>
    <i>
      <x v="436"/>
    </i>
    <i r="1">
      <x v="4"/>
    </i>
    <i>
      <x v="377"/>
    </i>
    <i r="1">
      <x v="4"/>
    </i>
    <i>
      <x v="165"/>
    </i>
    <i r="1">
      <x v="1"/>
    </i>
    <i>
      <x v="250"/>
    </i>
    <i r="1">
      <x v="2"/>
    </i>
    <i>
      <x v="32"/>
    </i>
    <i r="1">
      <x/>
    </i>
    <i>
      <x v="187"/>
    </i>
    <i r="1">
      <x v="2"/>
    </i>
    <i>
      <x v="496"/>
    </i>
    <i r="1">
      <x v="5"/>
    </i>
    <i>
      <x v="220"/>
    </i>
    <i r="1">
      <x v="2"/>
    </i>
    <i>
      <x v="462"/>
    </i>
    <i r="1">
      <x v="5"/>
    </i>
    <i>
      <x v="523"/>
    </i>
    <i r="1">
      <x v="5"/>
    </i>
    <i>
      <x v="202"/>
    </i>
    <i r="1">
      <x v="2"/>
    </i>
    <i>
      <x v="124"/>
    </i>
    <i r="1">
      <x v="1"/>
    </i>
    <i>
      <x v="40"/>
    </i>
    <i r="1">
      <x/>
    </i>
    <i>
      <x v="156"/>
    </i>
    <i r="1">
      <x v="1"/>
    </i>
    <i>
      <x v="414"/>
    </i>
    <i r="1">
      <x v="4"/>
    </i>
    <i>
      <x v="241"/>
    </i>
    <i r="1">
      <x v="2"/>
    </i>
    <i>
      <x v="109"/>
    </i>
    <i r="1">
      <x v="1"/>
    </i>
    <i>
      <x v="400"/>
    </i>
    <i r="1">
      <x v="4"/>
    </i>
    <i>
      <x v="628"/>
    </i>
    <i r="1">
      <x v="6"/>
    </i>
    <i>
      <x v="623"/>
    </i>
    <i r="1">
      <x v="6"/>
    </i>
    <i>
      <x v="117"/>
    </i>
    <i r="1">
      <x v="1"/>
    </i>
    <i>
      <x v="567"/>
    </i>
    <i r="1">
      <x v="6"/>
    </i>
    <i>
      <x v="14"/>
    </i>
    <i r="1">
      <x/>
    </i>
    <i>
      <x v="617"/>
    </i>
    <i r="1">
      <x v="6"/>
    </i>
    <i>
      <x v="139"/>
    </i>
    <i r="1">
      <x v="1"/>
    </i>
    <i>
      <x v="77"/>
    </i>
    <i r="1">
      <x/>
    </i>
    <i>
      <x v="378"/>
    </i>
    <i r="1">
      <x v="4"/>
    </i>
    <i>
      <x v="294"/>
    </i>
    <i r="1">
      <x v="3"/>
    </i>
    <i>
      <x v="174"/>
    </i>
    <i r="1">
      <x v="1"/>
    </i>
    <i>
      <x v="138"/>
    </i>
    <i r="1">
      <x v="1"/>
    </i>
    <i>
      <x v="223"/>
    </i>
    <i r="1">
      <x v="2"/>
    </i>
    <i>
      <x v="307"/>
    </i>
    <i r="1">
      <x v="3"/>
    </i>
    <i>
      <x v="577"/>
    </i>
    <i r="1">
      <x v="6"/>
    </i>
    <i>
      <x v="603"/>
    </i>
    <i r="1">
      <x v="6"/>
    </i>
    <i>
      <x v="97"/>
    </i>
    <i r="1">
      <x v="1"/>
    </i>
    <i>
      <x v="448"/>
    </i>
    <i r="1">
      <x v="5"/>
    </i>
    <i>
      <x v="540"/>
    </i>
    <i r="1">
      <x v="6"/>
    </i>
    <i>
      <x v="346"/>
    </i>
    <i r="1">
      <x v="3"/>
    </i>
    <i>
      <x v="290"/>
    </i>
    <i r="1">
      <x v="3"/>
    </i>
    <i>
      <x v="387"/>
    </i>
    <i r="1">
      <x v="4"/>
    </i>
    <i>
      <x v="552"/>
    </i>
    <i r="1">
      <x v="6"/>
    </i>
    <i>
      <x v="527"/>
    </i>
    <i r="1">
      <x v="6"/>
    </i>
    <i>
      <x v="311"/>
    </i>
    <i r="1">
      <x v="3"/>
    </i>
    <i>
      <x v="467"/>
    </i>
    <i r="1">
      <x v="5"/>
    </i>
    <i>
      <x v="314"/>
    </i>
    <i r="1">
      <x v="3"/>
    </i>
    <i>
      <x v="388"/>
    </i>
    <i r="1">
      <x v="4"/>
    </i>
    <i>
      <x v="506"/>
    </i>
    <i r="1">
      <x v="5"/>
    </i>
    <i>
      <x v="79"/>
    </i>
    <i r="1">
      <x/>
    </i>
    <i>
      <x v="69"/>
    </i>
    <i r="1">
      <x/>
    </i>
    <i>
      <x v="47"/>
    </i>
    <i r="1">
      <x/>
    </i>
    <i>
      <x v="583"/>
    </i>
    <i r="1">
      <x v="6"/>
    </i>
    <i>
      <x v="572"/>
    </i>
    <i r="1">
      <x v="6"/>
    </i>
    <i>
      <x v="29"/>
    </i>
    <i r="1">
      <x/>
    </i>
    <i>
      <x v="256"/>
    </i>
    <i r="1">
      <x v="2"/>
    </i>
    <i>
      <x v="252"/>
    </i>
    <i r="1">
      <x v="2"/>
    </i>
    <i>
      <x v="90"/>
    </i>
    <i r="1">
      <x v="1"/>
    </i>
    <i>
      <x v="242"/>
    </i>
    <i r="1">
      <x v="2"/>
    </i>
    <i>
      <x v="103"/>
    </i>
    <i r="1">
      <x v="1"/>
    </i>
    <i>
      <x v="382"/>
    </i>
    <i r="1">
      <x v="4"/>
    </i>
    <i>
      <x v="328"/>
    </i>
    <i r="1">
      <x v="3"/>
    </i>
    <i>
      <x v="415"/>
    </i>
    <i r="1">
      <x v="4"/>
    </i>
    <i>
      <x v="234"/>
    </i>
    <i r="1">
      <x v="2"/>
    </i>
    <i>
      <x v="601"/>
    </i>
    <i r="1">
      <x v="6"/>
    </i>
    <i>
      <x v="460"/>
    </i>
    <i r="1">
      <x v="5"/>
    </i>
    <i>
      <x v="226"/>
    </i>
    <i r="1">
      <x v="2"/>
    </i>
    <i>
      <x v="56"/>
    </i>
    <i r="1">
      <x/>
    </i>
    <i>
      <x v="559"/>
    </i>
    <i r="1">
      <x v="6"/>
    </i>
    <i>
      <x v="593"/>
    </i>
    <i r="1">
      <x v="6"/>
    </i>
    <i>
      <x v="75"/>
    </i>
    <i r="1">
      <x/>
    </i>
    <i>
      <x v="321"/>
    </i>
    <i r="1">
      <x v="3"/>
    </i>
    <i>
      <x v="18"/>
    </i>
    <i r="1">
      <x/>
    </i>
    <i>
      <x v="513"/>
    </i>
    <i r="1">
      <x v="5"/>
    </i>
    <i>
      <x v="313"/>
    </i>
    <i r="1">
      <x v="3"/>
    </i>
    <i>
      <x v="180"/>
    </i>
    <i r="1">
      <x v="2"/>
    </i>
    <i>
      <x v="5"/>
    </i>
    <i r="1">
      <x/>
    </i>
    <i>
      <x v="319"/>
    </i>
    <i r="1">
      <x v="3"/>
    </i>
    <i>
      <x v="162"/>
    </i>
    <i r="1">
      <x v="1"/>
    </i>
    <i>
      <x v="405"/>
    </i>
    <i r="1">
      <x v="4"/>
    </i>
    <i>
      <x v="161"/>
    </i>
    <i r="1">
      <x v="1"/>
    </i>
    <i>
      <x v="212"/>
    </i>
    <i r="1">
      <x v="2"/>
    </i>
    <i>
      <x v="93"/>
    </i>
    <i r="1">
      <x v="1"/>
    </i>
    <i>
      <x v="381"/>
    </i>
    <i r="1">
      <x v="4"/>
    </i>
    <i>
      <x v="66"/>
    </i>
    <i r="1">
      <x/>
    </i>
    <i>
      <x v="227"/>
    </i>
    <i r="1">
      <x v="2"/>
    </i>
    <i>
      <x v="232"/>
    </i>
    <i r="1">
      <x v="2"/>
    </i>
    <i>
      <x v="203"/>
    </i>
    <i r="1">
      <x v="2"/>
    </i>
    <i>
      <x v="126"/>
    </i>
    <i r="1">
      <x v="1"/>
    </i>
    <i>
      <x v="282"/>
    </i>
    <i r="1">
      <x v="3"/>
    </i>
    <i>
      <x v="267"/>
    </i>
    <i r="1">
      <x v="3"/>
    </i>
    <i>
      <x v="421"/>
    </i>
    <i r="1">
      <x v="4"/>
    </i>
    <i>
      <x v="57"/>
    </i>
    <i r="1">
      <x/>
    </i>
    <i>
      <x v="592"/>
    </i>
    <i r="1">
      <x v="6"/>
    </i>
    <i>
      <x v="257"/>
    </i>
    <i r="1">
      <x v="2"/>
    </i>
    <i>
      <x v="147"/>
    </i>
    <i r="1">
      <x v="1"/>
    </i>
    <i>
      <x v="120"/>
    </i>
    <i r="1">
      <x v="1"/>
    </i>
    <i>
      <x v="64"/>
    </i>
    <i r="1">
      <x/>
    </i>
    <i>
      <x v="284"/>
    </i>
    <i r="1">
      <x v="3"/>
    </i>
    <i>
      <x v="296"/>
    </i>
    <i r="1">
      <x v="3"/>
    </i>
    <i>
      <x v="544"/>
    </i>
    <i r="1">
      <x v="6"/>
    </i>
    <i>
      <x v="181"/>
    </i>
    <i r="1">
      <x v="2"/>
    </i>
    <i>
      <x v="356"/>
    </i>
    <i r="1">
      <x v="4"/>
    </i>
    <i>
      <x v="520"/>
    </i>
    <i r="1">
      <x v="5"/>
    </i>
    <i>
      <x v="553"/>
    </i>
    <i r="1">
      <x v="6"/>
    </i>
    <i>
      <x v="53"/>
    </i>
    <i r="1">
      <x/>
    </i>
    <i>
      <x v="468"/>
    </i>
    <i r="1">
      <x v="5"/>
    </i>
    <i>
      <x v="531"/>
    </i>
    <i r="1">
      <x v="6"/>
    </i>
    <i>
      <x v="542"/>
    </i>
    <i r="1">
      <x v="6"/>
    </i>
    <i>
      <x v="268"/>
    </i>
    <i r="1">
      <x v="3"/>
    </i>
    <i>
      <x v="219"/>
    </i>
    <i r="1">
      <x v="2"/>
    </i>
    <i>
      <x v="451"/>
    </i>
    <i r="1">
      <x v="5"/>
    </i>
    <i>
      <x v="499"/>
    </i>
    <i r="1">
      <x v="5"/>
    </i>
    <i>
      <x v="188"/>
    </i>
    <i r="1">
      <x v="2"/>
    </i>
    <i>
      <x v="345"/>
    </i>
    <i r="1">
      <x v="3"/>
    </i>
    <i>
      <x v="155"/>
    </i>
    <i r="1">
      <x v="1"/>
    </i>
    <i>
      <x v="474"/>
    </i>
    <i r="1">
      <x v="5"/>
    </i>
    <i>
      <x v="384"/>
    </i>
    <i r="1">
      <x v="4"/>
    </i>
    <i>
      <x v="158"/>
    </i>
    <i r="1">
      <x v="1"/>
    </i>
    <i>
      <x v="9"/>
    </i>
    <i r="1">
      <x/>
    </i>
    <i>
      <x v="564"/>
    </i>
    <i r="1">
      <x v="6"/>
    </i>
    <i>
      <x v="164"/>
    </i>
    <i r="1">
      <x v="1"/>
    </i>
    <i>
      <x v="484"/>
    </i>
    <i r="1">
      <x v="5"/>
    </i>
    <i>
      <x v="510"/>
    </i>
    <i r="1">
      <x v="5"/>
    </i>
    <i>
      <x v="63"/>
    </i>
    <i r="1">
      <x/>
    </i>
    <i>
      <x v="557"/>
    </i>
    <i r="1">
      <x v="6"/>
    </i>
    <i>
      <x v="342"/>
    </i>
    <i r="1">
      <x v="3"/>
    </i>
    <i>
      <x v="279"/>
    </i>
    <i r="1">
      <x v="3"/>
    </i>
    <i>
      <x v="132"/>
    </i>
    <i r="1">
      <x v="1"/>
    </i>
    <i>
      <x v="248"/>
    </i>
    <i r="1">
      <x v="2"/>
    </i>
    <i>
      <x v="612"/>
    </i>
    <i r="1">
      <x v="6"/>
    </i>
    <i>
      <x v="534"/>
    </i>
    <i r="1">
      <x v="6"/>
    </i>
    <i>
      <x v="479"/>
    </i>
    <i r="1">
      <x v="5"/>
    </i>
    <i>
      <x v="461"/>
    </i>
    <i r="1">
      <x v="5"/>
    </i>
    <i>
      <x v="22"/>
    </i>
    <i r="1">
      <x/>
    </i>
    <i>
      <x v="39"/>
    </i>
    <i r="1">
      <x/>
    </i>
    <i>
      <x v="606"/>
    </i>
    <i r="1">
      <x v="6"/>
    </i>
    <i>
      <x v="511"/>
    </i>
    <i r="1">
      <x v="5"/>
    </i>
    <i>
      <x v="315"/>
    </i>
    <i r="1">
      <x v="3"/>
    </i>
    <i>
      <x v="36"/>
    </i>
    <i r="1">
      <x/>
    </i>
    <i>
      <x v="3"/>
    </i>
    <i r="1">
      <x/>
    </i>
    <i>
      <x v="526"/>
    </i>
    <i r="1">
      <x v="6"/>
    </i>
    <i>
      <x v="207"/>
    </i>
    <i r="1">
      <x v="2"/>
    </i>
    <i>
      <x v="422"/>
    </i>
    <i r="1">
      <x v="4"/>
    </i>
    <i>
      <x v="397"/>
    </i>
    <i r="1">
      <x v="4"/>
    </i>
    <i>
      <x v="426"/>
    </i>
    <i r="1">
      <x v="4"/>
    </i>
    <i>
      <x v="1"/>
    </i>
    <i r="1">
      <x/>
    </i>
    <i>
      <x v="624"/>
    </i>
    <i r="1">
      <x v="6"/>
    </i>
    <i>
      <x v="19"/>
    </i>
    <i r="1">
      <x/>
    </i>
    <i>
      <x v="357"/>
    </i>
    <i r="1">
      <x v="4"/>
    </i>
    <i>
      <x v="323"/>
    </i>
    <i r="1">
      <x v="3"/>
    </i>
    <i>
      <x v="573"/>
    </i>
    <i r="1">
      <x v="6"/>
    </i>
    <i>
      <x v="168"/>
    </i>
    <i r="1">
      <x v="1"/>
    </i>
    <i>
      <x v="619"/>
    </i>
    <i r="1">
      <x v="6"/>
    </i>
    <i>
      <x v="28"/>
    </i>
    <i r="1">
      <x/>
    </i>
    <i>
      <x v="37"/>
    </i>
    <i r="1">
      <x/>
    </i>
    <i>
      <x v="498"/>
    </i>
    <i r="1">
      <x v="5"/>
    </i>
    <i>
      <x v="616"/>
    </i>
    <i r="1">
      <x v="6"/>
    </i>
    <i>
      <x v="408"/>
    </i>
    <i r="1">
      <x v="4"/>
    </i>
    <i>
      <x v="372"/>
    </i>
    <i r="1">
      <x v="4"/>
    </i>
    <i>
      <x v="589"/>
    </i>
    <i r="1">
      <x v="6"/>
    </i>
    <i>
      <x v="438"/>
    </i>
    <i r="1">
      <x v="5"/>
    </i>
    <i>
      <x v="560"/>
    </i>
    <i r="1">
      <x v="6"/>
    </i>
    <i>
      <x v="590"/>
    </i>
    <i r="1">
      <x v="6"/>
    </i>
    <i>
      <x v="210"/>
    </i>
    <i r="1">
      <x v="2"/>
    </i>
    <i>
      <x v="16"/>
    </i>
    <i r="1">
      <x/>
    </i>
    <i>
      <x v="389"/>
    </i>
    <i r="1">
      <x v="4"/>
    </i>
    <i>
      <x v="148"/>
    </i>
    <i r="1">
      <x v="1"/>
    </i>
    <i>
      <x v="191"/>
    </i>
    <i r="1">
      <x v="2"/>
    </i>
    <i>
      <x v="185"/>
    </i>
    <i r="1">
      <x v="2"/>
    </i>
    <i>
      <x v="112"/>
    </i>
    <i r="1">
      <x v="1"/>
    </i>
    <i>
      <x v="463"/>
    </i>
    <i r="1">
      <x v="5"/>
    </i>
    <i>
      <x v="418"/>
    </i>
    <i r="1">
      <x v="4"/>
    </i>
    <i>
      <x v="491"/>
    </i>
    <i r="1">
      <x v="5"/>
    </i>
    <i>
      <x v="614"/>
    </i>
    <i r="1">
      <x v="6"/>
    </i>
    <i>
      <x v="287"/>
    </i>
    <i r="1">
      <x v="3"/>
    </i>
    <i>
      <x v="363"/>
    </i>
    <i r="1">
      <x v="4"/>
    </i>
    <i>
      <x v="431"/>
    </i>
    <i r="1">
      <x v="4"/>
    </i>
    <i>
      <x v="333"/>
    </i>
    <i r="1">
      <x v="3"/>
    </i>
    <i>
      <x v="272"/>
    </i>
    <i r="1">
      <x v="3"/>
    </i>
    <i>
      <x v="489"/>
    </i>
    <i r="1">
      <x v="5"/>
    </i>
    <i>
      <x v="45"/>
    </i>
    <i r="1">
      <x/>
    </i>
    <i>
      <x v="443"/>
    </i>
    <i r="1">
      <x v="5"/>
    </i>
    <i>
      <x v="154"/>
    </i>
    <i r="1">
      <x v="1"/>
    </i>
    <i>
      <x v="131"/>
    </i>
    <i r="1">
      <x v="1"/>
    </i>
    <i>
      <x v="141"/>
    </i>
    <i r="1">
      <x v="1"/>
    </i>
    <i>
      <x v="417"/>
    </i>
    <i r="1">
      <x v="4"/>
    </i>
    <i>
      <x v="190"/>
    </i>
    <i r="1">
      <x v="2"/>
    </i>
    <i>
      <x v="114"/>
    </i>
    <i r="1">
      <x v="1"/>
    </i>
    <i>
      <x v="118"/>
    </i>
    <i r="1">
      <x v="1"/>
    </i>
    <i>
      <x v="428"/>
    </i>
    <i r="1">
      <x v="4"/>
    </i>
    <i>
      <x v="326"/>
    </i>
    <i r="1">
      <x v="3"/>
    </i>
    <i>
      <x v="309"/>
    </i>
    <i r="1">
      <x v="3"/>
    </i>
    <i>
      <x v="270"/>
    </i>
    <i r="1">
      <x v="3"/>
    </i>
    <i>
      <x v="20"/>
    </i>
    <i r="1">
      <x/>
    </i>
    <i>
      <x v="420"/>
    </i>
    <i r="1">
      <x v="4"/>
    </i>
    <i>
      <x v="76"/>
    </i>
    <i r="1">
      <x/>
    </i>
    <i>
      <x v="289"/>
    </i>
    <i r="1">
      <x v="3"/>
    </i>
    <i>
      <x v="230"/>
    </i>
    <i r="1">
      <x v="2"/>
    </i>
    <i>
      <x v="312"/>
    </i>
    <i r="1">
      <x v="3"/>
    </i>
    <i>
      <x v="68"/>
    </i>
    <i r="1">
      <x/>
    </i>
    <i>
      <x v="379"/>
    </i>
    <i r="1">
      <x v="4"/>
    </i>
    <i>
      <x v="253"/>
    </i>
    <i r="1">
      <x v="2"/>
    </i>
    <i>
      <x v="271"/>
    </i>
    <i r="1">
      <x v="3"/>
    </i>
    <i>
      <x v="546"/>
    </i>
    <i r="1">
      <x v="6"/>
    </i>
    <i>
      <x v="365"/>
    </i>
    <i r="1">
      <x v="4"/>
    </i>
    <i>
      <x v="218"/>
    </i>
    <i r="1">
      <x v="2"/>
    </i>
    <i>
      <x v="509"/>
    </i>
    <i r="1">
      <x v="5"/>
    </i>
    <i>
      <x v="429"/>
    </i>
    <i r="1">
      <x v="4"/>
    </i>
    <i>
      <x v="483"/>
    </i>
    <i r="1">
      <x v="5"/>
    </i>
    <i>
      <x v="128"/>
    </i>
    <i r="1">
      <x v="1"/>
    </i>
    <i>
      <x v="480"/>
    </i>
    <i r="1">
      <x v="5"/>
    </i>
    <i>
      <x v="21"/>
    </i>
    <i r="1">
      <x/>
    </i>
    <i>
      <x v="585"/>
    </i>
    <i r="1">
      <x v="6"/>
    </i>
    <i>
      <x v="300"/>
    </i>
    <i r="1">
      <x v="3"/>
    </i>
    <i>
      <x v="51"/>
    </i>
    <i r="1">
      <x/>
    </i>
    <i>
      <x v="167"/>
    </i>
    <i r="1">
      <x v="1"/>
    </i>
    <i>
      <x v="411"/>
    </i>
    <i r="1">
      <x v="4"/>
    </i>
    <i>
      <x v="263"/>
    </i>
    <i r="1">
      <x v="3"/>
    </i>
    <i>
      <x v="301"/>
    </i>
    <i r="1">
      <x v="3"/>
    </i>
    <i>
      <x v="84"/>
    </i>
    <i r="1">
      <x/>
    </i>
    <i>
      <x v="594"/>
    </i>
    <i r="1">
      <x v="6"/>
    </i>
    <i>
      <x v="214"/>
    </i>
    <i r="1">
      <x v="2"/>
    </i>
    <i>
      <x v="11"/>
    </i>
    <i r="1">
      <x/>
    </i>
    <i>
      <x v="31"/>
    </i>
    <i r="1">
      <x/>
    </i>
    <i>
      <x v="8"/>
    </i>
    <i r="1">
      <x/>
    </i>
    <i>
      <x v="392"/>
    </i>
    <i r="1">
      <x v="4"/>
    </i>
    <i>
      <x v="625"/>
    </i>
    <i r="1">
      <x v="6"/>
    </i>
    <i>
      <x v="598"/>
    </i>
    <i r="1">
      <x v="6"/>
    </i>
    <i>
      <x v="519"/>
    </i>
    <i r="1">
      <x v="5"/>
    </i>
    <i>
      <x v="137"/>
    </i>
    <i r="1">
      <x v="1"/>
    </i>
    <i>
      <x v="7"/>
    </i>
    <i r="1">
      <x/>
    </i>
    <i>
      <x v="166"/>
    </i>
    <i r="1">
      <x v="1"/>
    </i>
    <i>
      <x v="310"/>
    </i>
    <i r="1">
      <x v="3"/>
    </i>
    <i>
      <x v="35"/>
    </i>
    <i r="1">
      <x/>
    </i>
    <i>
      <x v="424"/>
    </i>
    <i r="1">
      <x v="4"/>
    </i>
    <i>
      <x v="503"/>
    </i>
    <i r="1">
      <x v="5"/>
    </i>
    <i>
      <x v="545"/>
    </i>
    <i r="1">
      <x v="6"/>
    </i>
    <i>
      <x v="261"/>
    </i>
    <i r="1">
      <x v="3"/>
    </i>
    <i>
      <x v="25"/>
    </i>
    <i r="1">
      <x/>
    </i>
    <i>
      <x v="304"/>
    </i>
    <i r="1">
      <x v="3"/>
    </i>
    <i>
      <x v="183"/>
    </i>
    <i r="1">
      <x v="2"/>
    </i>
    <i>
      <x v="215"/>
    </i>
    <i r="1">
      <x v="2"/>
    </i>
    <i>
      <x v="550"/>
    </i>
    <i r="1">
      <x v="6"/>
    </i>
    <i>
      <x v="458"/>
    </i>
    <i r="1">
      <x v="5"/>
    </i>
    <i>
      <x v="536"/>
    </i>
    <i r="1">
      <x v="6"/>
    </i>
    <i>
      <x v="87"/>
    </i>
    <i r="1">
      <x v="1"/>
    </i>
    <i>
      <x v="327"/>
    </i>
    <i r="1">
      <x v="3"/>
    </i>
    <i>
      <x v="175"/>
    </i>
    <i r="1">
      <x v="1"/>
    </i>
    <i>
      <x v="34"/>
    </i>
    <i r="1">
      <x/>
    </i>
    <i>
      <x v="153"/>
    </i>
    <i r="1">
      <x v="1"/>
    </i>
    <i>
      <x v="452"/>
    </i>
    <i r="1">
      <x v="5"/>
    </i>
    <i>
      <x v="278"/>
    </i>
    <i r="1">
      <x v="3"/>
    </i>
    <i>
      <x v="133"/>
    </i>
    <i r="1">
      <x v="1"/>
    </i>
    <i>
      <x v="561"/>
    </i>
    <i r="1">
      <x v="6"/>
    </i>
    <i>
      <x v="416"/>
    </i>
    <i r="1">
      <x v="4"/>
    </i>
    <i>
      <x v="578"/>
    </i>
    <i r="1">
      <x v="6"/>
    </i>
    <i>
      <x v="341"/>
    </i>
    <i r="1">
      <x v="3"/>
    </i>
    <i>
      <x v="102"/>
    </i>
    <i r="1">
      <x v="1"/>
    </i>
    <i>
      <x v="209"/>
    </i>
    <i r="1">
      <x v="2"/>
    </i>
    <i>
      <x v="160"/>
    </i>
    <i r="1">
      <x v="1"/>
    </i>
    <i>
      <x v="91"/>
    </i>
    <i r="1">
      <x v="1"/>
    </i>
    <i>
      <x v="70"/>
    </i>
    <i r="1">
      <x/>
    </i>
    <i>
      <x v="101"/>
    </i>
    <i r="1">
      <x v="1"/>
    </i>
    <i>
      <x v="276"/>
    </i>
    <i r="1">
      <x v="3"/>
    </i>
    <i>
      <x v="17"/>
    </i>
    <i r="1">
      <x/>
    </i>
    <i>
      <x v="565"/>
    </i>
    <i r="1">
      <x v="6"/>
    </i>
    <i>
      <x v="211"/>
    </i>
    <i r="1">
      <x v="2"/>
    </i>
    <i>
      <x v="454"/>
    </i>
    <i r="1">
      <x v="5"/>
    </i>
    <i>
      <x v="237"/>
    </i>
    <i r="1">
      <x v="2"/>
    </i>
    <i>
      <x v="343"/>
    </i>
    <i r="1">
      <x v="3"/>
    </i>
    <i>
      <x v="262"/>
    </i>
    <i r="1">
      <x v="3"/>
    </i>
    <i>
      <x v="121"/>
    </i>
    <i r="1">
      <x v="1"/>
    </i>
    <i>
      <x v="2"/>
    </i>
    <i r="1">
      <x/>
    </i>
    <i>
      <x v="324"/>
    </i>
    <i r="1">
      <x v="3"/>
    </i>
    <i>
      <x v="435"/>
    </i>
    <i r="1">
      <x v="4"/>
    </i>
    <i>
      <x v="46"/>
    </i>
    <i r="1">
      <x/>
    </i>
    <i>
      <x v="497"/>
    </i>
    <i r="1">
      <x v="5"/>
    </i>
    <i>
      <x v="571"/>
    </i>
    <i r="1">
      <x v="6"/>
    </i>
    <i>
      <x v="549"/>
    </i>
    <i r="1">
      <x v="6"/>
    </i>
    <i>
      <x v="106"/>
    </i>
    <i r="1">
      <x v="1"/>
    </i>
    <i>
      <x v="361"/>
    </i>
    <i r="1">
      <x v="4"/>
    </i>
    <i>
      <x v="229"/>
    </i>
    <i r="1">
      <x v="2"/>
    </i>
    <i>
      <x v="303"/>
    </i>
    <i r="1">
      <x v="3"/>
    </i>
    <i>
      <x v="255"/>
    </i>
    <i r="1">
      <x v="2"/>
    </i>
    <i>
      <x v="471"/>
    </i>
    <i r="1">
      <x v="5"/>
    </i>
    <i>
      <x v="446"/>
    </i>
    <i r="1">
      <x v="5"/>
    </i>
    <i>
      <x v="487"/>
    </i>
    <i r="1">
      <x v="5"/>
    </i>
    <i>
      <x v="453"/>
    </i>
    <i r="1">
      <x v="5"/>
    </i>
    <i>
      <x v="286"/>
    </i>
    <i r="1">
      <x v="3"/>
    </i>
    <i>
      <x v="260"/>
    </i>
    <i r="1">
      <x v="3"/>
    </i>
    <i>
      <x v="111"/>
    </i>
    <i r="1">
      <x v="1"/>
    </i>
    <i>
      <x v="332"/>
    </i>
    <i r="1">
      <x v="3"/>
    </i>
    <i>
      <x v="163"/>
    </i>
    <i r="1">
      <x v="1"/>
    </i>
    <i>
      <x v="466"/>
    </i>
    <i r="1">
      <x v="5"/>
    </i>
    <i>
      <x v="264"/>
    </i>
    <i r="1">
      <x v="3"/>
    </i>
    <i>
      <x v="334"/>
    </i>
    <i r="1">
      <x v="3"/>
    </i>
    <i>
      <x v="482"/>
    </i>
    <i r="1">
      <x v="5"/>
    </i>
    <i>
      <x v="54"/>
    </i>
    <i r="1">
      <x/>
    </i>
    <i>
      <x v="556"/>
    </i>
    <i r="1">
      <x v="6"/>
    </i>
    <i>
      <x v="73"/>
    </i>
    <i r="1">
      <x/>
    </i>
    <i>
      <x v="130"/>
    </i>
    <i r="1">
      <x v="1"/>
    </i>
    <i>
      <x v="340"/>
    </i>
    <i r="1">
      <x v="3"/>
    </i>
    <i>
      <x v="239"/>
    </i>
    <i r="1">
      <x v="2"/>
    </i>
    <i>
      <x v="610"/>
    </i>
    <i r="1">
      <x v="6"/>
    </i>
    <i>
      <x v="43"/>
    </i>
    <i r="1">
      <x/>
    </i>
    <i>
      <x v="15"/>
    </i>
    <i r="1">
      <x/>
    </i>
    <i>
      <x v="554"/>
    </i>
    <i r="1">
      <x v="6"/>
    </i>
    <i>
      <x v="152"/>
    </i>
    <i r="1">
      <x v="1"/>
    </i>
    <i>
      <x v="570"/>
    </i>
    <i r="1">
      <x v="6"/>
    </i>
    <i>
      <x v="607"/>
    </i>
    <i r="1">
      <x v="6"/>
    </i>
    <i>
      <x v="38"/>
    </i>
    <i r="1">
      <x/>
    </i>
    <i>
      <x v="626"/>
    </i>
    <i r="1">
      <x v="6"/>
    </i>
    <i>
      <x v="569"/>
    </i>
    <i r="1">
      <x v="6"/>
    </i>
    <i>
      <x v="329"/>
    </i>
    <i r="1">
      <x v="3"/>
    </i>
    <i>
      <x v="508"/>
    </i>
    <i r="1">
      <x v="5"/>
    </i>
    <i>
      <x v="375"/>
    </i>
    <i r="1">
      <x v="4"/>
    </i>
    <i>
      <x v="604"/>
    </i>
    <i r="1">
      <x v="6"/>
    </i>
    <i>
      <x v="221"/>
    </i>
    <i r="1">
      <x v="2"/>
    </i>
    <i>
      <x v="169"/>
    </i>
    <i r="1">
      <x v="1"/>
    </i>
    <i>
      <x v="244"/>
    </i>
    <i r="1">
      <x v="2"/>
    </i>
    <i>
      <x v="608"/>
    </i>
    <i r="1">
      <x v="6"/>
    </i>
    <i>
      <x v="194"/>
    </i>
    <i r="1">
      <x v="2"/>
    </i>
    <i>
      <x v="602"/>
    </i>
    <i r="1">
      <x v="6"/>
    </i>
    <i>
      <x v="611"/>
    </i>
    <i r="1">
      <x v="6"/>
    </i>
    <i>
      <x v="61"/>
    </i>
    <i r="1">
      <x/>
    </i>
    <i>
      <x v="596"/>
    </i>
    <i r="1">
      <x v="6"/>
    </i>
    <i>
      <x v="580"/>
    </i>
    <i r="1">
      <x v="6"/>
    </i>
    <i>
      <x v="495"/>
    </i>
    <i r="1">
      <x v="5"/>
    </i>
    <i>
      <x v="493"/>
    </i>
    <i r="1">
      <x v="5"/>
    </i>
    <i>
      <x v="403"/>
    </i>
    <i r="1">
      <x v="4"/>
    </i>
    <i>
      <x v="201"/>
    </i>
    <i r="1">
      <x v="2"/>
    </i>
    <i>
      <x v="444"/>
    </i>
    <i r="1">
      <x v="5"/>
    </i>
    <i>
      <x v="186"/>
    </i>
    <i r="1">
      <x v="2"/>
    </i>
    <i>
      <x v="193"/>
    </i>
    <i r="1">
      <x v="2"/>
    </i>
    <i>
      <x v="449"/>
    </i>
    <i r="1">
      <x v="5"/>
    </i>
    <i>
      <x v="383"/>
    </i>
    <i r="1">
      <x v="4"/>
    </i>
    <i>
      <x v="373"/>
    </i>
    <i r="1">
      <x v="4"/>
    </i>
    <i>
      <x v="197"/>
    </i>
    <i r="1">
      <x v="2"/>
    </i>
    <i>
      <x v="591"/>
    </i>
    <i r="1">
      <x v="6"/>
    </i>
    <i>
      <x v="108"/>
    </i>
    <i r="1">
      <x v="1"/>
    </i>
    <i>
      <x v="456"/>
    </i>
    <i r="1">
      <x v="5"/>
    </i>
    <i>
      <x v="143"/>
    </i>
    <i r="1">
      <x v="1"/>
    </i>
    <i>
      <x v="425"/>
    </i>
    <i r="1">
      <x v="4"/>
    </i>
    <i>
      <x v="292"/>
    </i>
    <i r="1">
      <x v="3"/>
    </i>
    <i>
      <x v="432"/>
    </i>
    <i r="1">
      <x v="4"/>
    </i>
    <i>
      <x v="563"/>
    </i>
    <i r="1">
      <x v="6"/>
    </i>
    <i>
      <x v="72"/>
    </i>
    <i r="1">
      <x/>
    </i>
    <i>
      <x v="347"/>
    </i>
    <i r="1">
      <x v="3"/>
    </i>
    <i>
      <x v="476"/>
    </i>
    <i r="1">
      <x v="5"/>
    </i>
    <i>
      <x v="335"/>
    </i>
    <i r="1">
      <x v="3"/>
    </i>
    <i>
      <x v="528"/>
    </i>
    <i r="1">
      <x v="6"/>
    </i>
    <i>
      <x v="371"/>
    </i>
    <i r="1">
      <x v="4"/>
    </i>
    <i>
      <x v="576"/>
    </i>
    <i r="1">
      <x v="6"/>
    </i>
    <i>
      <x v="65"/>
    </i>
    <i r="1">
      <x/>
    </i>
    <i>
      <x v="469"/>
    </i>
    <i r="1">
      <x v="5"/>
    </i>
    <i>
      <x v="338"/>
    </i>
    <i r="1">
      <x v="3"/>
    </i>
    <i>
      <x v="490"/>
    </i>
    <i r="1">
      <x v="5"/>
    </i>
    <i>
      <x v="529"/>
    </i>
    <i r="1">
      <x v="6"/>
    </i>
    <i>
      <x v="205"/>
    </i>
    <i r="1">
      <x v="2"/>
    </i>
    <i>
      <x v="369"/>
    </i>
    <i r="1">
      <x v="4"/>
    </i>
    <i>
      <x v="129"/>
    </i>
    <i r="1">
      <x v="1"/>
    </i>
    <i>
      <x v="423"/>
    </i>
    <i r="1">
      <x v="4"/>
    </i>
    <i>
      <x v="88"/>
    </i>
    <i r="1">
      <x v="1"/>
    </i>
    <i>
      <x v="273"/>
    </i>
    <i r="1">
      <x v="3"/>
    </i>
    <i>
      <x v="441"/>
    </i>
    <i r="1">
      <x v="5"/>
    </i>
    <i>
      <x v="538"/>
    </i>
    <i r="1">
      <x v="6"/>
    </i>
    <i>
      <x v="42"/>
    </i>
    <i r="1">
      <x/>
    </i>
    <i>
      <x v="92"/>
    </i>
    <i r="1">
      <x v="1"/>
    </i>
    <i>
      <x v="100"/>
    </i>
    <i r="1">
      <x v="1"/>
    </i>
    <i>
      <x v="514"/>
    </i>
    <i r="1">
      <x v="5"/>
    </i>
    <i>
      <x v="555"/>
    </i>
    <i r="1">
      <x v="6"/>
    </i>
    <i>
      <x v="419"/>
    </i>
    <i r="1">
      <x v="4"/>
    </i>
    <i>
      <x v="605"/>
    </i>
    <i r="1">
      <x v="6"/>
    </i>
    <i>
      <x v="399"/>
    </i>
    <i r="1">
      <x v="4"/>
    </i>
    <i>
      <x v="291"/>
    </i>
    <i r="1">
      <x v="3"/>
    </i>
    <i>
      <x v="135"/>
    </i>
    <i r="1">
      <x v="1"/>
    </i>
    <i>
      <x v="325"/>
    </i>
    <i r="1">
      <x v="3"/>
    </i>
    <i>
      <x v="330"/>
    </i>
    <i r="1">
      <x v="3"/>
    </i>
    <i>
      <x v="558"/>
    </i>
    <i r="1">
      <x v="6"/>
    </i>
    <i>
      <x v="145"/>
    </i>
    <i r="1">
      <x v="1"/>
    </i>
    <i>
      <x v="410"/>
    </i>
    <i r="1">
      <x v="4"/>
    </i>
    <i>
      <x v="105"/>
    </i>
    <i r="1">
      <x v="1"/>
    </i>
    <i>
      <x v="305"/>
    </i>
    <i r="1">
      <x v="3"/>
    </i>
    <i>
      <x v="24"/>
    </i>
    <i r="1">
      <x/>
    </i>
    <i>
      <x v="376"/>
    </i>
    <i r="1">
      <x v="4"/>
    </i>
    <i>
      <x/>
    </i>
    <i r="1">
      <x/>
    </i>
    <i>
      <x v="627"/>
    </i>
    <i r="1">
      <x v="6"/>
    </i>
    <i>
      <x v="362"/>
    </i>
    <i r="1">
      <x v="4"/>
    </i>
    <i>
      <x v="613"/>
    </i>
    <i r="1">
      <x v="6"/>
    </i>
    <i>
      <x v="407"/>
    </i>
    <i r="1">
      <x v="4"/>
    </i>
    <i>
      <x v="44"/>
    </i>
    <i r="1">
      <x/>
    </i>
    <i>
      <x v="27"/>
    </i>
    <i r="1">
      <x/>
    </i>
    <i>
      <x v="177"/>
    </i>
    <i r="1">
      <x v="2"/>
    </i>
    <i>
      <x v="50"/>
    </i>
    <i r="1">
      <x/>
    </i>
    <i>
      <x v="30"/>
    </i>
    <i r="1">
      <x/>
    </i>
    <i>
      <x v="353"/>
    </i>
    <i r="1">
      <x v="4"/>
    </i>
    <i>
      <x v="134"/>
    </i>
    <i r="1">
      <x v="1"/>
    </i>
    <i>
      <x v="140"/>
    </i>
    <i r="1">
      <x v="1"/>
    </i>
    <i>
      <x v="470"/>
    </i>
    <i r="1">
      <x v="5"/>
    </i>
    <i>
      <x v="588"/>
    </i>
    <i r="1">
      <x v="6"/>
    </i>
    <i>
      <x v="575"/>
    </i>
    <i r="1">
      <x v="6"/>
    </i>
    <i>
      <x v="581"/>
    </i>
    <i r="1">
      <x v="6"/>
    </i>
    <i>
      <x v="176"/>
    </i>
    <i r="1">
      <x v="1"/>
    </i>
    <i>
      <x v="586"/>
    </i>
    <i r="1">
      <x v="6"/>
    </i>
    <i>
      <x v="440"/>
    </i>
    <i r="1">
      <x v="5"/>
    </i>
    <i>
      <x v="149"/>
    </i>
    <i r="1">
      <x v="1"/>
    </i>
    <i>
      <x v="277"/>
    </i>
    <i r="1">
      <x v="3"/>
    </i>
    <i>
      <x v="457"/>
    </i>
    <i r="1">
      <x v="5"/>
    </i>
    <i>
      <x v="275"/>
    </i>
    <i r="1">
      <x v="3"/>
    </i>
    <i>
      <x v="293"/>
    </i>
    <i r="1">
      <x v="3"/>
    </i>
    <i>
      <x v="189"/>
    </i>
    <i r="1">
      <x v="2"/>
    </i>
    <i>
      <x v="465"/>
    </i>
    <i r="1">
      <x v="5"/>
    </i>
    <i>
      <x v="86"/>
    </i>
    <i r="1">
      <x/>
    </i>
    <i>
      <x v="344"/>
    </i>
    <i r="1">
      <x v="3"/>
    </i>
    <i>
      <x v="283"/>
    </i>
    <i r="1">
      <x v="3"/>
    </i>
    <i>
      <x v="518"/>
    </i>
    <i r="1">
      <x v="5"/>
    </i>
    <i>
      <x v="125"/>
    </i>
    <i r="1">
      <x v="1"/>
    </i>
    <i>
      <x v="233"/>
    </i>
    <i r="1">
      <x v="2"/>
    </i>
    <i>
      <x v="481"/>
    </i>
    <i r="1">
      <x v="5"/>
    </i>
    <i>
      <x v="172"/>
    </i>
    <i r="1">
      <x v="1"/>
    </i>
    <i>
      <x v="195"/>
    </i>
    <i r="1">
      <x v="2"/>
    </i>
    <i>
      <x v="437"/>
    </i>
    <i r="1">
      <x v="4"/>
    </i>
    <i>
      <x v="266"/>
    </i>
    <i r="1">
      <x v="3"/>
    </i>
    <i>
      <x v="505"/>
    </i>
    <i r="1">
      <x v="5"/>
    </i>
    <i>
      <x v="95"/>
    </i>
    <i r="1">
      <x v="1"/>
    </i>
    <i>
      <x v="464"/>
    </i>
    <i r="1">
      <x v="5"/>
    </i>
    <i>
      <x v="308"/>
    </i>
    <i r="1">
      <x v="3"/>
    </i>
    <i>
      <x v="390"/>
    </i>
    <i r="1">
      <x v="4"/>
    </i>
    <i>
      <x v="60"/>
    </i>
    <i r="1">
      <x/>
    </i>
    <i>
      <x v="433"/>
    </i>
    <i r="1">
      <x v="4"/>
    </i>
    <i>
      <x v="288"/>
    </i>
    <i r="1">
      <x v="3"/>
    </i>
    <i>
      <x v="13"/>
    </i>
    <i r="1">
      <x/>
    </i>
    <i t="grand">
      <x/>
    </i>
  </rowItems>
  <colItems count="1">
    <i/>
  </colItems>
  <dataFields count="1">
    <dataField name="Sum of Gross Reven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3" name="PivotTable7"/>
    <pivotTable tabId="42" name="PivotTable6"/>
    <pivotTable tabId="41" name="PivotTable5"/>
  </pivotTables>
  <data>
    <tabular pivotCacheId="2">
      <items count="34">
        <i x="21" s="1"/>
        <i x="10" s="1"/>
        <i x="24" s="1"/>
        <i x="30" s="1"/>
        <i x="5"/>
        <i x="14"/>
        <i x="12"/>
        <i x="26"/>
        <i x="19" s="1" nd="1"/>
        <i x="15" s="1" nd="1"/>
        <i x="7" s="1" nd="1"/>
        <i x="9" s="1" nd="1"/>
        <i x="23" nd="1"/>
        <i x="8" nd="1"/>
        <i x="28" nd="1"/>
        <i x="22" nd="1"/>
        <i x="25" nd="1"/>
        <i x="27" nd="1"/>
        <i x="4" nd="1"/>
        <i x="11" nd="1"/>
        <i x="6" nd="1"/>
        <i x="31" nd="1"/>
        <i x="0" nd="1"/>
        <i x="2" nd="1"/>
        <i x="16" nd="1"/>
        <i x="1" nd="1"/>
        <i x="18" nd="1"/>
        <i x="13" nd="1"/>
        <i x="20" nd="1"/>
        <i x="32" nd="1"/>
        <i x="29" nd="1"/>
        <i x="17" nd="1"/>
        <i x="3" nd="1"/>
        <i x="3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3" name="PivotTable7"/>
    <pivotTable tabId="42" name="PivotTable6"/>
    <pivotTable tabId="41" name="PivotTable5"/>
  </pivotTables>
  <data>
    <tabular pivotCacheId="2">
      <items count="5">
        <i x="0" s="1"/>
        <i x="1" nd="1"/>
        <i x="2" nd="1"/>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3" name="PivotTable7"/>
    <pivotTable tabId="42" name="PivotTable6"/>
    <pivotTable tabId="41" name="PivotTable5"/>
  </pivotTables>
  <data>
    <tabular pivotCacheId="2">
      <items count="13">
        <i x="0"/>
        <i x="8" s="1"/>
        <i x="9" s="1"/>
        <i x="1" nd="1"/>
        <i x="2" nd="1"/>
        <i x="3" nd="1"/>
        <i x="4" nd="1"/>
        <i x="5" nd="1"/>
        <i x="6" nd="1"/>
        <i x="7" nd="1"/>
        <i x="10" nd="1"/>
        <i x="11" nd="1"/>
        <i x="1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annel_corrected" sourceName="Channel corrected">
  <pivotTables>
    <pivotTable tabId="43" name="PivotTable7"/>
    <pivotTable tabId="42" name="PivotTable6"/>
    <pivotTable tabId="41" name="PivotTable5"/>
  </pivotTables>
  <data>
    <tabular pivotCacheId="2">
      <items count="7">
        <i x="5"/>
        <i x="4"/>
        <i x="3"/>
        <i x="2"/>
        <i x="1"/>
        <i x="0" s="1"/>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person_cleaned" sourceName="Salesperson cleaned">
  <pivotTables>
    <pivotTable tabId="43" name="PivotTable7"/>
    <pivotTable tabId="42" name="PivotTable6"/>
    <pivotTable tabId="41" name="PivotTable5"/>
  </pivotTables>
  <data>
    <tabular pivotCacheId="2">
      <items count="17">
        <i x="1" s="1"/>
        <i x="14" s="1"/>
        <i x="11" s="1"/>
        <i x="7" s="1"/>
        <i x="6" s="1" nd="1"/>
        <i x="0" s="1" nd="1"/>
        <i x="8" s="1" nd="1"/>
        <i x="4" s="1" nd="1"/>
        <i x="15" s="1" nd="1"/>
        <i x="12" s="1" nd="1"/>
        <i x="2" s="1" nd="1"/>
        <i x="3" s="1" nd="1"/>
        <i x="10" s="1" nd="1"/>
        <i x="13" s="1" nd="1"/>
        <i x="5" s="1" nd="1"/>
        <i x="9" s="1" nd="1"/>
        <i x="1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Category_std" sourceName="ProductCategory_std">
  <pivotTables>
    <pivotTable tabId="43" name="PivotTable7"/>
    <pivotTable tabId="42" name="PivotTable6"/>
    <pivotTable tabId="41" name="PivotTable5"/>
  </pivotTables>
  <data>
    <tabular pivotCacheId="2">
      <items count="8">
        <i x="1" s="1"/>
        <i x="0" s="1"/>
        <i x="2" s="1"/>
        <i x="4" s="1"/>
        <i x="3" s="1" nd="1"/>
        <i x="6" s="1" nd="1"/>
        <i x="5"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 name="Region 1" cache="Slicer_Region" caption="Region" rowHeight="241300"/>
  <slicer name="Country 1" cache="Slicer_Country" caption="Country" rowHeight="241300"/>
  <slicer name="Channel corrected 1" cache="Slicer_Channel_corrected" caption="Channel corrected" rowHeight="241300"/>
  <slicer name="Salesperson cleaned 1" cache="Slicer_Salesperson_cleaned" caption="Salesperson cleaned" rowHeight="241300"/>
  <slicer name="ProductCategory_std 1" cache="Slicer_ProductCategory_std" caption="ProductCategory_st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topLeftCell="A48" workbookViewId="0">
      <selection activeCell="N68" sqref="N68"/>
    </sheetView>
  </sheetViews>
  <sheetFormatPr defaultRowHeight="14.25" x14ac:dyDescent="0.45"/>
  <sheetData>
    <row r="1" spans="1:1" x14ac:dyDescent="0.45">
      <c r="A1" s="1" t="s">
        <v>1357</v>
      </c>
    </row>
    <row r="2" spans="1:1" x14ac:dyDescent="0.45">
      <c r="A2" t="s">
        <v>1358</v>
      </c>
    </row>
    <row r="4" spans="1:1" x14ac:dyDescent="0.45">
      <c r="A4" t="s">
        <v>1359</v>
      </c>
    </row>
    <row r="5" spans="1:1" x14ac:dyDescent="0.45">
      <c r="A5" t="s">
        <v>1360</v>
      </c>
    </row>
    <row r="6" spans="1:1" x14ac:dyDescent="0.45">
      <c r="A6" t="s">
        <v>1361</v>
      </c>
    </row>
    <row r="8" spans="1:1" x14ac:dyDescent="0.45">
      <c r="A8" t="s">
        <v>1362</v>
      </c>
    </row>
    <row r="9" spans="1:1" x14ac:dyDescent="0.45">
      <c r="A9" t="s">
        <v>1363</v>
      </c>
    </row>
    <row r="10" spans="1:1" x14ac:dyDescent="0.45">
      <c r="A10" t="s">
        <v>1364</v>
      </c>
    </row>
    <row r="11" spans="1:1" x14ac:dyDescent="0.45">
      <c r="A11" t="s">
        <v>1365</v>
      </c>
    </row>
    <row r="12" spans="1:1" x14ac:dyDescent="0.45">
      <c r="A12" t="s">
        <v>1366</v>
      </c>
    </row>
    <row r="13" spans="1:1" x14ac:dyDescent="0.45">
      <c r="A13" t="s">
        <v>1367</v>
      </c>
    </row>
    <row r="14" spans="1:1" x14ac:dyDescent="0.45">
      <c r="A14" t="s">
        <v>1368</v>
      </c>
    </row>
    <row r="15" spans="1:1" x14ac:dyDescent="0.45">
      <c r="A15" t="s">
        <v>1369</v>
      </c>
    </row>
    <row r="17" spans="1:1" x14ac:dyDescent="0.45">
      <c r="A17" t="s">
        <v>1370</v>
      </c>
    </row>
    <row r="18" spans="1:1" x14ac:dyDescent="0.45">
      <c r="A18" t="s">
        <v>1371</v>
      </c>
    </row>
    <row r="19" spans="1:1" x14ac:dyDescent="0.45">
      <c r="A19" t="s">
        <v>1372</v>
      </c>
    </row>
    <row r="20" spans="1:1" x14ac:dyDescent="0.45">
      <c r="A20" t="s">
        <v>1373</v>
      </c>
    </row>
    <row r="21" spans="1:1" x14ac:dyDescent="0.45">
      <c r="A21" t="s">
        <v>1374</v>
      </c>
    </row>
    <row r="23" spans="1:1" x14ac:dyDescent="0.45">
      <c r="A23" t="s">
        <v>1375</v>
      </c>
    </row>
    <row r="24" spans="1:1" x14ac:dyDescent="0.45">
      <c r="A24" t="s">
        <v>1376</v>
      </c>
    </row>
    <row r="25" spans="1:1" x14ac:dyDescent="0.45">
      <c r="A25" t="s">
        <v>1377</v>
      </c>
    </row>
    <row r="26" spans="1:1" x14ac:dyDescent="0.45">
      <c r="A26" t="s">
        <v>1378</v>
      </c>
    </row>
    <row r="27" spans="1:1" x14ac:dyDescent="0.45">
      <c r="A27" t="s">
        <v>1379</v>
      </c>
    </row>
    <row r="29" spans="1:1" x14ac:dyDescent="0.45">
      <c r="A29" t="s">
        <v>1380</v>
      </c>
    </row>
    <row r="30" spans="1:1" x14ac:dyDescent="0.45">
      <c r="A30" t="s">
        <v>1381</v>
      </c>
    </row>
    <row r="31" spans="1:1" x14ac:dyDescent="0.45">
      <c r="A31" t="s">
        <v>1382</v>
      </c>
    </row>
    <row r="32" spans="1:1" x14ac:dyDescent="0.45">
      <c r="A32" t="s">
        <v>1383</v>
      </c>
    </row>
    <row r="33" spans="1:1" x14ac:dyDescent="0.45">
      <c r="A33" t="s">
        <v>1384</v>
      </c>
    </row>
    <row r="34" spans="1:1" x14ac:dyDescent="0.45">
      <c r="A34" t="s">
        <v>1385</v>
      </c>
    </row>
    <row r="35" spans="1:1" x14ac:dyDescent="0.45">
      <c r="A35" t="s">
        <v>1386</v>
      </c>
    </row>
    <row r="36" spans="1:1" x14ac:dyDescent="0.45">
      <c r="A36" t="s">
        <v>1387</v>
      </c>
    </row>
    <row r="37" spans="1:1" x14ac:dyDescent="0.45">
      <c r="A37" t="s">
        <v>1388</v>
      </c>
    </row>
    <row r="38" spans="1:1" x14ac:dyDescent="0.45">
      <c r="A38" t="s">
        <v>1389</v>
      </c>
    </row>
    <row r="39" spans="1:1" x14ac:dyDescent="0.45">
      <c r="A39" t="s">
        <v>1390</v>
      </c>
    </row>
    <row r="40" spans="1:1" x14ac:dyDescent="0.45">
      <c r="A40" t="s">
        <v>1391</v>
      </c>
    </row>
    <row r="41" spans="1:1" x14ac:dyDescent="0.45">
      <c r="A41" t="s">
        <v>1392</v>
      </c>
    </row>
    <row r="43" spans="1:1" x14ac:dyDescent="0.45">
      <c r="A43" t="s">
        <v>1393</v>
      </c>
    </row>
    <row r="44" spans="1:1" x14ac:dyDescent="0.45">
      <c r="A44" t="s">
        <v>1394</v>
      </c>
    </row>
    <row r="45" spans="1:1" x14ac:dyDescent="0.45">
      <c r="A45" t="s">
        <v>1395</v>
      </c>
    </row>
    <row r="46" spans="1:1" x14ac:dyDescent="0.45">
      <c r="A46" t="s">
        <v>1396</v>
      </c>
    </row>
    <row r="47" spans="1:1" x14ac:dyDescent="0.45">
      <c r="A47" t="s">
        <v>1397</v>
      </c>
    </row>
    <row r="48" spans="1:1" x14ac:dyDescent="0.45">
      <c r="A48" t="s">
        <v>1398</v>
      </c>
    </row>
    <row r="50" spans="1:1" x14ac:dyDescent="0.45">
      <c r="A50" t="s">
        <v>1399</v>
      </c>
    </row>
    <row r="51" spans="1:1" x14ac:dyDescent="0.45">
      <c r="A51" t="s">
        <v>1400</v>
      </c>
    </row>
    <row r="52" spans="1:1" x14ac:dyDescent="0.45">
      <c r="A52" t="s">
        <v>1401</v>
      </c>
    </row>
    <row r="53" spans="1:1" x14ac:dyDescent="0.45">
      <c r="A53" t="s">
        <v>1402</v>
      </c>
    </row>
    <row r="54" spans="1:1" x14ac:dyDescent="0.45">
      <c r="A54" t="s">
        <v>1403</v>
      </c>
    </row>
    <row r="55" spans="1:1" x14ac:dyDescent="0.45">
      <c r="A55" t="s">
        <v>1404</v>
      </c>
    </row>
    <row r="56" spans="1:1" x14ac:dyDescent="0.45">
      <c r="A56" t="s">
        <v>1405</v>
      </c>
    </row>
    <row r="57" spans="1:1" x14ac:dyDescent="0.45">
      <c r="A57" t="s">
        <v>1406</v>
      </c>
    </row>
    <row r="58" spans="1:1" x14ac:dyDescent="0.45">
      <c r="A58" t="s">
        <v>1407</v>
      </c>
    </row>
    <row r="59" spans="1:1" x14ac:dyDescent="0.45">
      <c r="A59" t="s">
        <v>1408</v>
      </c>
    </row>
    <row r="61" spans="1:1" x14ac:dyDescent="0.45">
      <c r="A61" t="s">
        <v>1409</v>
      </c>
    </row>
    <row r="62" spans="1:1" x14ac:dyDescent="0.45">
      <c r="A62" t="s">
        <v>1410</v>
      </c>
    </row>
    <row r="64" spans="1:1" x14ac:dyDescent="0.45">
      <c r="A64" t="s">
        <v>1411</v>
      </c>
    </row>
    <row r="65" spans="1:10" x14ac:dyDescent="0.45">
      <c r="A65" t="s">
        <v>1412</v>
      </c>
    </row>
    <row r="66" spans="1:10" x14ac:dyDescent="0.45">
      <c r="A66" t="s">
        <v>1413</v>
      </c>
    </row>
    <row r="67" spans="1:10" x14ac:dyDescent="0.45">
      <c r="A67" t="s">
        <v>1414</v>
      </c>
    </row>
    <row r="73" spans="1:10" x14ac:dyDescent="0.45">
      <c r="J73" t="s">
        <v>1543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D53"/>
  <sheetViews>
    <sheetView topLeftCell="A3" workbookViewId="0">
      <selection activeCell="B7" sqref="B7"/>
    </sheetView>
  </sheetViews>
  <sheetFormatPr defaultRowHeight="14.25" x14ac:dyDescent="0.45"/>
  <cols>
    <col min="1" max="1" width="14.73046875" customWidth="1"/>
    <col min="2" max="2" width="10.73046875" customWidth="1"/>
    <col min="3" max="28" width="19.19921875" bestFit="1" customWidth="1"/>
    <col min="29" max="29" width="19.33203125" bestFit="1" customWidth="1"/>
    <col min="30" max="30" width="23.796875" bestFit="1" customWidth="1"/>
  </cols>
  <sheetData>
    <row r="3" spans="1:30" x14ac:dyDescent="0.45">
      <c r="C3" s="14" t="s">
        <v>3</v>
      </c>
      <c r="D3" s="14" t="s">
        <v>1479</v>
      </c>
    </row>
    <row r="4" spans="1:30" x14ac:dyDescent="0.45">
      <c r="C4" t="s">
        <v>649</v>
      </c>
      <c r="E4" t="s">
        <v>647</v>
      </c>
      <c r="G4" t="s">
        <v>653</v>
      </c>
      <c r="I4" t="s">
        <v>651</v>
      </c>
      <c r="K4" t="s">
        <v>650</v>
      </c>
      <c r="M4" t="s">
        <v>648</v>
      </c>
      <c r="O4" t="s">
        <v>646</v>
      </c>
      <c r="Q4" t="s">
        <v>644</v>
      </c>
      <c r="S4" t="s">
        <v>645</v>
      </c>
      <c r="U4" t="s">
        <v>655</v>
      </c>
      <c r="W4" t="s">
        <v>652</v>
      </c>
      <c r="Y4" t="s">
        <v>654</v>
      </c>
      <c r="AA4" t="s">
        <v>1434</v>
      </c>
      <c r="AC4" t="s">
        <v>1480</v>
      </c>
      <c r="AD4" t="s">
        <v>1481</v>
      </c>
    </row>
    <row r="5" spans="1:30" x14ac:dyDescent="0.45">
      <c r="A5" s="14" t="s">
        <v>1</v>
      </c>
      <c r="B5" s="14" t="s">
        <v>1417</v>
      </c>
      <c r="C5" t="s">
        <v>1445</v>
      </c>
      <c r="D5" t="s">
        <v>1438</v>
      </c>
      <c r="E5" t="s">
        <v>1445</v>
      </c>
      <c r="F5" t="s">
        <v>1438</v>
      </c>
      <c r="G5" t="s">
        <v>1445</v>
      </c>
      <c r="H5" t="s">
        <v>1438</v>
      </c>
      <c r="I5" t="s">
        <v>1445</v>
      </c>
      <c r="J5" t="s">
        <v>1438</v>
      </c>
      <c r="K5" t="s">
        <v>1445</v>
      </c>
      <c r="L5" t="s">
        <v>1438</v>
      </c>
      <c r="M5" t="s">
        <v>1445</v>
      </c>
      <c r="N5" t="s">
        <v>1438</v>
      </c>
      <c r="O5" t="s">
        <v>1445</v>
      </c>
      <c r="P5" t="s">
        <v>1438</v>
      </c>
      <c r="Q5" t="s">
        <v>1445</v>
      </c>
      <c r="R5" t="s">
        <v>1438</v>
      </c>
      <c r="S5" t="s">
        <v>1445</v>
      </c>
      <c r="T5" t="s">
        <v>1438</v>
      </c>
      <c r="U5" t="s">
        <v>1445</v>
      </c>
      <c r="V5" t="s">
        <v>1438</v>
      </c>
      <c r="W5" t="s">
        <v>1445</v>
      </c>
      <c r="X5" t="s">
        <v>1438</v>
      </c>
      <c r="Y5" t="s">
        <v>1445</v>
      </c>
      <c r="Z5" t="s">
        <v>1438</v>
      </c>
      <c r="AA5" t="s">
        <v>1445</v>
      </c>
      <c r="AB5" t="s">
        <v>1438</v>
      </c>
    </row>
    <row r="6" spans="1:30" x14ac:dyDescent="0.45">
      <c r="A6" t="s">
        <v>1434</v>
      </c>
      <c r="B6" t="s">
        <v>1459</v>
      </c>
      <c r="C6" s="13"/>
      <c r="D6" s="13"/>
      <c r="E6" s="13"/>
      <c r="F6" s="13"/>
      <c r="G6" s="13"/>
      <c r="H6" s="13"/>
      <c r="I6" s="13"/>
      <c r="J6" s="13"/>
      <c r="K6" s="13"/>
      <c r="L6" s="13"/>
      <c r="M6" s="13"/>
      <c r="N6" s="13"/>
      <c r="O6" s="13"/>
      <c r="P6" s="13"/>
      <c r="Q6" s="13"/>
      <c r="R6" s="13"/>
      <c r="S6" s="13"/>
      <c r="T6" s="13"/>
      <c r="U6" s="13"/>
      <c r="V6" s="13"/>
      <c r="W6" s="13"/>
      <c r="X6" s="13"/>
      <c r="Y6" s="13"/>
      <c r="Z6" s="13"/>
      <c r="AA6" s="13"/>
      <c r="AB6" s="13">
        <v>0</v>
      </c>
      <c r="AC6" s="13"/>
      <c r="AD6" s="13">
        <v>0</v>
      </c>
    </row>
    <row r="7" spans="1:30" x14ac:dyDescent="0.45">
      <c r="A7" t="s">
        <v>1466</v>
      </c>
      <c r="C7" s="13"/>
      <c r="D7" s="13"/>
      <c r="E7" s="13"/>
      <c r="F7" s="13"/>
      <c r="G7" s="13"/>
      <c r="H7" s="13"/>
      <c r="I7" s="13"/>
      <c r="J7" s="13"/>
      <c r="K7" s="13"/>
      <c r="L7" s="13"/>
      <c r="M7" s="13"/>
      <c r="N7" s="13"/>
      <c r="O7" s="13"/>
      <c r="P7" s="13"/>
      <c r="Q7" s="13"/>
      <c r="R7" s="13"/>
      <c r="S7" s="13"/>
      <c r="T7" s="13"/>
      <c r="U7" s="13"/>
      <c r="V7" s="13"/>
      <c r="W7" s="13"/>
      <c r="X7" s="13"/>
      <c r="Y7" s="13"/>
      <c r="Z7" s="13"/>
      <c r="AA7" s="13"/>
      <c r="AB7" s="13">
        <v>0</v>
      </c>
      <c r="AC7" s="13"/>
      <c r="AD7" s="13">
        <v>0</v>
      </c>
    </row>
    <row r="8" spans="1:30" x14ac:dyDescent="0.45">
      <c r="A8" t="s">
        <v>1446</v>
      </c>
      <c r="B8" t="s">
        <v>1439</v>
      </c>
      <c r="C8" s="13">
        <v>1</v>
      </c>
      <c r="D8" s="13">
        <v>1801.4076000000002</v>
      </c>
      <c r="E8" s="13">
        <v>1</v>
      </c>
      <c r="F8" s="13">
        <v>4141.7599999999993</v>
      </c>
      <c r="G8" s="13">
        <v>1</v>
      </c>
      <c r="H8" s="13">
        <v>11406.96</v>
      </c>
      <c r="I8" s="13">
        <v>1</v>
      </c>
      <c r="J8" s="13">
        <v>9847.2358600000007</v>
      </c>
      <c r="K8" s="13">
        <v>3</v>
      </c>
      <c r="L8" s="13">
        <v>13921.506140000001</v>
      </c>
      <c r="M8" s="13"/>
      <c r="N8" s="13"/>
      <c r="O8" s="13"/>
      <c r="P8" s="13"/>
      <c r="Q8" s="13">
        <v>1</v>
      </c>
      <c r="R8" s="13">
        <v>47962.717579999997</v>
      </c>
      <c r="S8" s="13">
        <v>1</v>
      </c>
      <c r="T8" s="13">
        <v>685.06776000000002</v>
      </c>
      <c r="U8" s="13">
        <v>1</v>
      </c>
      <c r="V8" s="13">
        <v>3116.21</v>
      </c>
      <c r="W8" s="13">
        <v>2</v>
      </c>
      <c r="X8" s="13">
        <v>27965.366600000001</v>
      </c>
      <c r="Y8" s="13">
        <v>2</v>
      </c>
      <c r="Z8" s="13">
        <v>31035.217859999997</v>
      </c>
      <c r="AA8" s="13"/>
      <c r="AB8" s="13"/>
      <c r="AC8" s="13">
        <v>14</v>
      </c>
      <c r="AD8" s="13">
        <v>151883.44940000001</v>
      </c>
    </row>
    <row r="9" spans="1:30" x14ac:dyDescent="0.45">
      <c r="B9" t="s">
        <v>1460</v>
      </c>
      <c r="C9" s="13">
        <v>1</v>
      </c>
      <c r="D9" s="13">
        <v>8567.3924999999999</v>
      </c>
      <c r="E9" s="13">
        <v>1</v>
      </c>
      <c r="F9" s="13">
        <v>19139.594240000002</v>
      </c>
      <c r="G9" s="13"/>
      <c r="H9" s="13"/>
      <c r="I9" s="13">
        <v>2</v>
      </c>
      <c r="J9" s="13">
        <v>29263.361400000002</v>
      </c>
      <c r="K9" s="13">
        <v>3</v>
      </c>
      <c r="L9" s="13">
        <v>41020.909639999998</v>
      </c>
      <c r="M9" s="13">
        <v>4</v>
      </c>
      <c r="N9" s="13">
        <v>33792.866320000001</v>
      </c>
      <c r="O9" s="13">
        <v>3</v>
      </c>
      <c r="P9" s="13">
        <v>67110.666420000009</v>
      </c>
      <c r="Q9" s="13"/>
      <c r="R9" s="13"/>
      <c r="S9" s="13"/>
      <c r="T9" s="13"/>
      <c r="U9" s="13">
        <v>4</v>
      </c>
      <c r="V9" s="13">
        <v>54214.972159999998</v>
      </c>
      <c r="W9" s="13">
        <v>2</v>
      </c>
      <c r="X9" s="13">
        <v>27424.450400000002</v>
      </c>
      <c r="Y9" s="13">
        <v>3</v>
      </c>
      <c r="Z9" s="13">
        <v>18566.16</v>
      </c>
      <c r="AA9" s="13"/>
      <c r="AB9" s="13"/>
      <c r="AC9" s="13">
        <v>23</v>
      </c>
      <c r="AD9" s="13">
        <v>299100.37307999993</v>
      </c>
    </row>
    <row r="10" spans="1:30" x14ac:dyDescent="0.45">
      <c r="B10" t="s">
        <v>1461</v>
      </c>
      <c r="C10" s="13">
        <v>2</v>
      </c>
      <c r="D10" s="13">
        <v>22987.3279</v>
      </c>
      <c r="E10" s="13"/>
      <c r="F10" s="13"/>
      <c r="G10" s="13">
        <v>2</v>
      </c>
      <c r="H10" s="13">
        <v>56274.47408</v>
      </c>
      <c r="I10" s="13">
        <v>3</v>
      </c>
      <c r="J10" s="13">
        <v>20050.102040000002</v>
      </c>
      <c r="K10" s="13"/>
      <c r="L10" s="13"/>
      <c r="M10" s="13">
        <v>1</v>
      </c>
      <c r="N10" s="13">
        <v>33308.550000000003</v>
      </c>
      <c r="O10" s="13">
        <v>2</v>
      </c>
      <c r="P10" s="13">
        <v>15705.464199999999</v>
      </c>
      <c r="Q10" s="13">
        <v>2</v>
      </c>
      <c r="R10" s="13">
        <v>52609.065839999996</v>
      </c>
      <c r="S10" s="13"/>
      <c r="T10" s="13"/>
      <c r="U10" s="13">
        <v>1</v>
      </c>
      <c r="V10" s="13">
        <v>6576.298960000001</v>
      </c>
      <c r="W10" s="13">
        <v>1</v>
      </c>
      <c r="X10" s="13">
        <v>11332.142999999998</v>
      </c>
      <c r="Y10" s="13">
        <v>2</v>
      </c>
      <c r="Z10" s="13">
        <v>4654.7743</v>
      </c>
      <c r="AA10" s="13"/>
      <c r="AB10" s="13"/>
      <c r="AC10" s="13">
        <v>16</v>
      </c>
      <c r="AD10" s="13">
        <v>223498.20032</v>
      </c>
    </row>
    <row r="11" spans="1:30" x14ac:dyDescent="0.45">
      <c r="A11" t="s">
        <v>1467</v>
      </c>
      <c r="C11" s="13">
        <v>4</v>
      </c>
      <c r="D11" s="13">
        <v>33356.128000000004</v>
      </c>
      <c r="E11" s="13">
        <v>2</v>
      </c>
      <c r="F11" s="13">
        <v>23281.354240000001</v>
      </c>
      <c r="G11" s="13">
        <v>3</v>
      </c>
      <c r="H11" s="13">
        <v>67681.434079999992</v>
      </c>
      <c r="I11" s="13">
        <v>6</v>
      </c>
      <c r="J11" s="13">
        <v>59160.6993</v>
      </c>
      <c r="K11" s="13">
        <v>6</v>
      </c>
      <c r="L11" s="13">
        <v>54942.415780000003</v>
      </c>
      <c r="M11" s="13">
        <v>5</v>
      </c>
      <c r="N11" s="13">
        <v>67101.416320000004</v>
      </c>
      <c r="O11" s="13">
        <v>5</v>
      </c>
      <c r="P11" s="13">
        <v>82816.130620000011</v>
      </c>
      <c r="Q11" s="13">
        <v>3</v>
      </c>
      <c r="R11" s="13">
        <v>100571.78341999999</v>
      </c>
      <c r="S11" s="13">
        <v>1</v>
      </c>
      <c r="T11" s="13">
        <v>685.06776000000002</v>
      </c>
      <c r="U11" s="13">
        <v>6</v>
      </c>
      <c r="V11" s="13">
        <v>63907.481120000004</v>
      </c>
      <c r="W11" s="13">
        <v>5</v>
      </c>
      <c r="X11" s="13">
        <v>66721.959999999992</v>
      </c>
      <c r="Y11" s="13">
        <v>7</v>
      </c>
      <c r="Z11" s="13">
        <v>54256.152160000005</v>
      </c>
      <c r="AA11" s="13"/>
      <c r="AB11" s="13"/>
      <c r="AC11" s="13">
        <v>53</v>
      </c>
      <c r="AD11" s="13">
        <v>674482.02279999992</v>
      </c>
    </row>
    <row r="12" spans="1:30" x14ac:dyDescent="0.45">
      <c r="A12" t="s">
        <v>1447</v>
      </c>
      <c r="B12" t="s">
        <v>1439</v>
      </c>
      <c r="C12" s="13">
        <v>1</v>
      </c>
      <c r="D12" s="13">
        <v>24894.430559999997</v>
      </c>
      <c r="E12" s="13">
        <v>1</v>
      </c>
      <c r="F12" s="13">
        <v>26150.364320000001</v>
      </c>
      <c r="G12" s="13">
        <v>1</v>
      </c>
      <c r="H12" s="13">
        <v>10869.182940000001</v>
      </c>
      <c r="I12" s="13">
        <v>1</v>
      </c>
      <c r="J12" s="13">
        <v>39546.774539999999</v>
      </c>
      <c r="K12" s="13">
        <v>3</v>
      </c>
      <c r="L12" s="13">
        <v>142962.67473</v>
      </c>
      <c r="M12" s="13">
        <v>1</v>
      </c>
      <c r="N12" s="13">
        <v>22044.871499999997</v>
      </c>
      <c r="O12" s="13"/>
      <c r="P12" s="13"/>
      <c r="Q12" s="13">
        <v>2</v>
      </c>
      <c r="R12" s="13" t="e">
        <v>#VALUE!</v>
      </c>
      <c r="S12" s="13">
        <v>1</v>
      </c>
      <c r="T12" s="13">
        <v>4737.2198399999997</v>
      </c>
      <c r="U12" s="13">
        <v>2</v>
      </c>
      <c r="V12" s="13">
        <v>86597.081299999991</v>
      </c>
      <c r="W12" s="13">
        <v>1</v>
      </c>
      <c r="X12" s="13">
        <v>4132.0325200000007</v>
      </c>
      <c r="Y12" s="13">
        <v>3</v>
      </c>
      <c r="Z12" s="13">
        <v>68738.647320000004</v>
      </c>
      <c r="AA12" s="13"/>
      <c r="AB12" s="13"/>
      <c r="AC12" s="13">
        <v>17</v>
      </c>
      <c r="AD12" s="13" t="e">
        <v>#VALUE!</v>
      </c>
    </row>
    <row r="13" spans="1:30" x14ac:dyDescent="0.45">
      <c r="B13" t="s">
        <v>1460</v>
      </c>
      <c r="C13" s="13">
        <v>2</v>
      </c>
      <c r="D13" s="13">
        <v>39239.197899999999</v>
      </c>
      <c r="E13" s="13">
        <v>1</v>
      </c>
      <c r="F13" s="13">
        <v>9774.3888000000006</v>
      </c>
      <c r="G13" s="13">
        <v>3</v>
      </c>
      <c r="H13" s="13">
        <v>79081.561010000005</v>
      </c>
      <c r="I13" s="13">
        <v>2</v>
      </c>
      <c r="J13" s="13">
        <v>20654.544699999999</v>
      </c>
      <c r="K13" s="13">
        <v>1</v>
      </c>
      <c r="L13" s="13">
        <v>321.93290999999999</v>
      </c>
      <c r="M13" s="13">
        <v>2</v>
      </c>
      <c r="N13" s="13">
        <v>24305.882859999998</v>
      </c>
      <c r="O13" s="13">
        <v>1</v>
      </c>
      <c r="P13" s="13">
        <v>15253.069799999999</v>
      </c>
      <c r="Q13" s="13">
        <v>4</v>
      </c>
      <c r="R13" s="13">
        <v>66852.128960000002</v>
      </c>
      <c r="S13" s="13"/>
      <c r="T13" s="13"/>
      <c r="U13" s="13"/>
      <c r="V13" s="13"/>
      <c r="W13" s="13"/>
      <c r="X13" s="13"/>
      <c r="Y13" s="13">
        <v>2</v>
      </c>
      <c r="Z13" s="13">
        <v>52311.007679999995</v>
      </c>
      <c r="AA13" s="13"/>
      <c r="AB13" s="13"/>
      <c r="AC13" s="13">
        <v>18</v>
      </c>
      <c r="AD13" s="13">
        <v>307793.71461999998</v>
      </c>
    </row>
    <row r="14" spans="1:30" x14ac:dyDescent="0.45">
      <c r="B14" t="s">
        <v>1461</v>
      </c>
      <c r="C14" s="13">
        <v>3</v>
      </c>
      <c r="D14" s="13">
        <v>70563.592109999998</v>
      </c>
      <c r="E14" s="13">
        <v>1</v>
      </c>
      <c r="F14" s="13">
        <v>8128.5187499999993</v>
      </c>
      <c r="G14" s="13"/>
      <c r="H14" s="13"/>
      <c r="I14" s="13">
        <v>1</v>
      </c>
      <c r="J14" s="13">
        <v>12040.64352</v>
      </c>
      <c r="K14" s="13">
        <v>2</v>
      </c>
      <c r="L14" s="13">
        <v>30546.068040000002</v>
      </c>
      <c r="M14" s="13">
        <v>1</v>
      </c>
      <c r="N14" s="13">
        <v>7120.6486400000003</v>
      </c>
      <c r="O14" s="13">
        <v>2</v>
      </c>
      <c r="P14" s="13">
        <v>7955.6342199999999</v>
      </c>
      <c r="Q14" s="13">
        <v>1</v>
      </c>
      <c r="R14" s="13">
        <v>15860.782080000001</v>
      </c>
      <c r="S14" s="13">
        <v>2</v>
      </c>
      <c r="T14" s="13">
        <v>23687.576009999997</v>
      </c>
      <c r="U14" s="13"/>
      <c r="V14" s="13"/>
      <c r="W14" s="13">
        <v>2</v>
      </c>
      <c r="X14" s="13">
        <v>35720.318400000004</v>
      </c>
      <c r="Y14" s="13">
        <v>1</v>
      </c>
      <c r="Z14" s="13">
        <v>9984.7160999999978</v>
      </c>
      <c r="AA14" s="13"/>
      <c r="AB14" s="13"/>
      <c r="AC14" s="13">
        <v>16</v>
      </c>
      <c r="AD14" s="13">
        <v>221608.49786999999</v>
      </c>
    </row>
    <row r="15" spans="1:30" x14ac:dyDescent="0.45">
      <c r="A15" t="s">
        <v>1468</v>
      </c>
      <c r="C15" s="13">
        <v>6</v>
      </c>
      <c r="D15" s="13">
        <v>134697.22057</v>
      </c>
      <c r="E15" s="13">
        <v>3</v>
      </c>
      <c r="F15" s="13">
        <v>44053.271869999997</v>
      </c>
      <c r="G15" s="13">
        <v>4</v>
      </c>
      <c r="H15" s="13">
        <v>89950.743950000004</v>
      </c>
      <c r="I15" s="13">
        <v>4</v>
      </c>
      <c r="J15" s="13">
        <v>72241.962759999995</v>
      </c>
      <c r="K15" s="13">
        <v>6</v>
      </c>
      <c r="L15" s="13">
        <v>173830.67567999999</v>
      </c>
      <c r="M15" s="13">
        <v>4</v>
      </c>
      <c r="N15" s="13">
        <v>53471.402999999991</v>
      </c>
      <c r="O15" s="13">
        <v>3</v>
      </c>
      <c r="P15" s="13">
        <v>23208.704020000001</v>
      </c>
      <c r="Q15" s="13">
        <v>7</v>
      </c>
      <c r="R15" s="13" t="e">
        <v>#VALUE!</v>
      </c>
      <c r="S15" s="13">
        <v>3</v>
      </c>
      <c r="T15" s="13">
        <v>28424.795849999995</v>
      </c>
      <c r="U15" s="13">
        <v>2</v>
      </c>
      <c r="V15" s="13">
        <v>86597.081299999991</v>
      </c>
      <c r="W15" s="13">
        <v>3</v>
      </c>
      <c r="X15" s="13">
        <v>39852.350920000004</v>
      </c>
      <c r="Y15" s="13">
        <v>6</v>
      </c>
      <c r="Z15" s="13">
        <v>131034.37109999999</v>
      </c>
      <c r="AA15" s="13"/>
      <c r="AB15" s="13"/>
      <c r="AC15" s="13">
        <v>51</v>
      </c>
      <c r="AD15" s="13" t="e">
        <v>#VALUE!</v>
      </c>
    </row>
    <row r="16" spans="1:30" x14ac:dyDescent="0.45">
      <c r="A16" t="s">
        <v>1448</v>
      </c>
      <c r="B16" t="s">
        <v>1439</v>
      </c>
      <c r="C16" s="13">
        <v>1</v>
      </c>
      <c r="D16" s="13">
        <v>24523.006720000001</v>
      </c>
      <c r="E16" s="13">
        <v>1</v>
      </c>
      <c r="F16" s="13">
        <v>17453.3436</v>
      </c>
      <c r="G16" s="13">
        <v>1</v>
      </c>
      <c r="H16" s="13">
        <v>13437.300239999999</v>
      </c>
      <c r="I16" s="13"/>
      <c r="J16" s="13"/>
      <c r="K16" s="13">
        <v>2</v>
      </c>
      <c r="L16" s="13">
        <v>6271.3801999999996</v>
      </c>
      <c r="M16" s="13">
        <v>1</v>
      </c>
      <c r="N16" s="13">
        <v>6631.6443100000006</v>
      </c>
      <c r="O16" s="13">
        <v>2</v>
      </c>
      <c r="P16" s="13">
        <v>31024.83872</v>
      </c>
      <c r="Q16" s="13">
        <v>4</v>
      </c>
      <c r="R16" s="13">
        <v>70602.927789999987</v>
      </c>
      <c r="S16" s="13"/>
      <c r="T16" s="13"/>
      <c r="U16" s="13">
        <v>2</v>
      </c>
      <c r="V16" s="13">
        <v>29618.551199999998</v>
      </c>
      <c r="W16" s="13">
        <v>1</v>
      </c>
      <c r="X16" s="13">
        <v>16013.681599999998</v>
      </c>
      <c r="Y16" s="13"/>
      <c r="Z16" s="13"/>
      <c r="AA16" s="13"/>
      <c r="AB16" s="13"/>
      <c r="AC16" s="13">
        <v>15</v>
      </c>
      <c r="AD16" s="13">
        <v>215576.67437999998</v>
      </c>
    </row>
    <row r="17" spans="1:30" x14ac:dyDescent="0.45">
      <c r="B17" t="s">
        <v>1460</v>
      </c>
      <c r="C17" s="13">
        <v>1</v>
      </c>
      <c r="D17" s="13">
        <v>110.14919999999999</v>
      </c>
      <c r="E17" s="13">
        <v>2</v>
      </c>
      <c r="F17" s="13">
        <v>21931.50405</v>
      </c>
      <c r="G17" s="13">
        <v>2</v>
      </c>
      <c r="H17" s="13">
        <v>45749.975680000003</v>
      </c>
      <c r="I17" s="13">
        <v>2</v>
      </c>
      <c r="J17" s="13">
        <v>45104.930900000007</v>
      </c>
      <c r="K17" s="13">
        <v>4</v>
      </c>
      <c r="L17" s="13">
        <v>68292.728010000006</v>
      </c>
      <c r="M17" s="13">
        <v>1</v>
      </c>
      <c r="N17" s="13">
        <v>12668.50728</v>
      </c>
      <c r="O17" s="13"/>
      <c r="P17" s="13"/>
      <c r="Q17" s="13">
        <v>1</v>
      </c>
      <c r="R17" s="13">
        <v>4866.3287999999993</v>
      </c>
      <c r="S17" s="13">
        <v>2</v>
      </c>
      <c r="T17" s="13">
        <v>28041.02492</v>
      </c>
      <c r="U17" s="13">
        <v>1</v>
      </c>
      <c r="V17" s="13">
        <v>4826.5396199999996</v>
      </c>
      <c r="W17" s="13">
        <v>1</v>
      </c>
      <c r="X17" s="13">
        <v>33938.142760000002</v>
      </c>
      <c r="Y17" s="13">
        <v>6</v>
      </c>
      <c r="Z17" s="13">
        <v>108770.27859</v>
      </c>
      <c r="AA17" s="13"/>
      <c r="AB17" s="13"/>
      <c r="AC17" s="13">
        <v>23</v>
      </c>
      <c r="AD17" s="13">
        <v>374300.10980999994</v>
      </c>
    </row>
    <row r="18" spans="1:30" x14ac:dyDescent="0.45">
      <c r="B18" t="s">
        <v>1461</v>
      </c>
      <c r="C18" s="13">
        <v>3</v>
      </c>
      <c r="D18" s="13">
        <v>16257.340179999999</v>
      </c>
      <c r="E18" s="13"/>
      <c r="F18" s="13"/>
      <c r="G18" s="13">
        <v>2</v>
      </c>
      <c r="H18" s="13">
        <v>9378.6258099999995</v>
      </c>
      <c r="I18" s="13"/>
      <c r="J18" s="13"/>
      <c r="K18" s="13">
        <v>2</v>
      </c>
      <c r="L18" s="13">
        <v>16870.419779999997</v>
      </c>
      <c r="M18" s="13">
        <v>3</v>
      </c>
      <c r="N18" s="13">
        <v>24075.089819999997</v>
      </c>
      <c r="O18" s="13">
        <v>4</v>
      </c>
      <c r="P18" s="13">
        <v>49818.786760000003</v>
      </c>
      <c r="Q18" s="13">
        <v>1</v>
      </c>
      <c r="R18" s="13">
        <v>13669.81</v>
      </c>
      <c r="S18" s="13">
        <v>3</v>
      </c>
      <c r="T18" s="13">
        <v>52727.976460000005</v>
      </c>
      <c r="U18" s="13">
        <v>1</v>
      </c>
      <c r="V18" s="13">
        <v>5565.3272500000003</v>
      </c>
      <c r="W18" s="13">
        <v>1</v>
      </c>
      <c r="X18" s="13">
        <v>21062.61248</v>
      </c>
      <c r="Y18" s="13"/>
      <c r="Z18" s="13"/>
      <c r="AA18" s="13"/>
      <c r="AB18" s="13"/>
      <c r="AC18" s="13">
        <v>20</v>
      </c>
      <c r="AD18" s="13">
        <v>209425.98853999999</v>
      </c>
    </row>
    <row r="19" spans="1:30" x14ac:dyDescent="0.45">
      <c r="A19" t="s">
        <v>1469</v>
      </c>
      <c r="C19" s="13">
        <v>5</v>
      </c>
      <c r="D19" s="13">
        <v>40890.496100000004</v>
      </c>
      <c r="E19" s="13">
        <v>3</v>
      </c>
      <c r="F19" s="13">
        <v>39384.847649999996</v>
      </c>
      <c r="G19" s="13">
        <v>5</v>
      </c>
      <c r="H19" s="13">
        <v>68565.901729999998</v>
      </c>
      <c r="I19" s="13">
        <v>2</v>
      </c>
      <c r="J19" s="13">
        <v>45104.930900000007</v>
      </c>
      <c r="K19" s="13">
        <v>8</v>
      </c>
      <c r="L19" s="13">
        <v>91434.527990000002</v>
      </c>
      <c r="M19" s="13">
        <v>5</v>
      </c>
      <c r="N19" s="13">
        <v>43375.24141000001</v>
      </c>
      <c r="O19" s="13">
        <v>6</v>
      </c>
      <c r="P19" s="13">
        <v>80843.625479999988</v>
      </c>
      <c r="Q19" s="13">
        <v>6</v>
      </c>
      <c r="R19" s="13">
        <v>89139.066589999988</v>
      </c>
      <c r="S19" s="13">
        <v>5</v>
      </c>
      <c r="T19" s="13">
        <v>80769.001380000002</v>
      </c>
      <c r="U19" s="13">
        <v>4</v>
      </c>
      <c r="V19" s="13">
        <v>40010.41807</v>
      </c>
      <c r="W19" s="13">
        <v>3</v>
      </c>
      <c r="X19" s="13">
        <v>71014.436839999995</v>
      </c>
      <c r="Y19" s="13">
        <v>6</v>
      </c>
      <c r="Z19" s="13">
        <v>108770.27859</v>
      </c>
      <c r="AA19" s="13"/>
      <c r="AB19" s="13"/>
      <c r="AC19" s="13">
        <v>58</v>
      </c>
      <c r="AD19" s="13">
        <v>799302.77272999985</v>
      </c>
    </row>
    <row r="20" spans="1:30" x14ac:dyDescent="0.45">
      <c r="A20" t="s">
        <v>1449</v>
      </c>
      <c r="B20" t="s">
        <v>1440</v>
      </c>
      <c r="C20" s="13">
        <v>1</v>
      </c>
      <c r="D20" s="13">
        <v>12248.675999999999</v>
      </c>
      <c r="E20" s="13">
        <v>2</v>
      </c>
      <c r="F20" s="13">
        <v>15618.84504</v>
      </c>
      <c r="G20" s="13">
        <v>2</v>
      </c>
      <c r="H20" s="13">
        <v>23379.011199999997</v>
      </c>
      <c r="I20" s="13">
        <v>4</v>
      </c>
      <c r="J20" s="13">
        <v>40811.05186</v>
      </c>
      <c r="K20" s="13">
        <v>3</v>
      </c>
      <c r="L20" s="13">
        <v>104633.05091000001</v>
      </c>
      <c r="M20" s="13">
        <v>1</v>
      </c>
      <c r="N20" s="13">
        <v>32506.559399999998</v>
      </c>
      <c r="O20" s="13">
        <v>2</v>
      </c>
      <c r="P20" s="13">
        <v>21196.913249999998</v>
      </c>
      <c r="Q20" s="13">
        <v>2</v>
      </c>
      <c r="R20" s="13">
        <v>11003.7672</v>
      </c>
      <c r="S20" s="13">
        <v>1</v>
      </c>
      <c r="T20" s="13">
        <v>32280.32474</v>
      </c>
      <c r="U20" s="13"/>
      <c r="V20" s="13"/>
      <c r="W20" s="13">
        <v>4</v>
      </c>
      <c r="X20" s="13">
        <v>66551.125379999983</v>
      </c>
      <c r="Y20" s="13">
        <v>2</v>
      </c>
      <c r="Z20" s="13">
        <v>11375.257759999999</v>
      </c>
      <c r="AA20" s="13"/>
      <c r="AB20" s="13"/>
      <c r="AC20" s="13">
        <v>24</v>
      </c>
      <c r="AD20" s="13">
        <v>371604.58273999998</v>
      </c>
    </row>
    <row r="21" spans="1:30" x14ac:dyDescent="0.45">
      <c r="B21" t="s">
        <v>1462</v>
      </c>
      <c r="C21" s="13">
        <v>2</v>
      </c>
      <c r="D21" s="13">
        <v>57491.062559999998</v>
      </c>
      <c r="E21" s="13"/>
      <c r="F21" s="13"/>
      <c r="G21" s="13">
        <v>1</v>
      </c>
      <c r="H21" s="13">
        <v>14197.064400000001</v>
      </c>
      <c r="I21" s="13">
        <v>1</v>
      </c>
      <c r="J21" s="13">
        <v>16219.34496</v>
      </c>
      <c r="K21" s="13">
        <v>2</v>
      </c>
      <c r="L21" s="13">
        <v>37482.345600000001</v>
      </c>
      <c r="M21" s="13"/>
      <c r="N21" s="13"/>
      <c r="O21" s="13"/>
      <c r="P21" s="13"/>
      <c r="Q21" s="13">
        <v>2</v>
      </c>
      <c r="R21" s="13">
        <v>24447.95865</v>
      </c>
      <c r="S21" s="13">
        <v>3</v>
      </c>
      <c r="T21" s="13">
        <v>48850.80702</v>
      </c>
      <c r="U21" s="13">
        <v>1</v>
      </c>
      <c r="V21" s="13">
        <v>20171.63305</v>
      </c>
      <c r="W21" s="13">
        <v>2</v>
      </c>
      <c r="X21" s="13">
        <v>20646.6109</v>
      </c>
      <c r="Y21" s="13"/>
      <c r="Z21" s="13"/>
      <c r="AA21" s="13"/>
      <c r="AB21" s="13"/>
      <c r="AC21" s="13">
        <v>14</v>
      </c>
      <c r="AD21" s="13">
        <v>239506.82714000001</v>
      </c>
    </row>
    <row r="22" spans="1:30" x14ac:dyDescent="0.45">
      <c r="B22" t="s">
        <v>1463</v>
      </c>
      <c r="C22" s="13">
        <v>5</v>
      </c>
      <c r="D22" s="13">
        <v>68920.107260000004</v>
      </c>
      <c r="E22" s="13">
        <v>1</v>
      </c>
      <c r="F22" s="13">
        <v>7901.5041599999995</v>
      </c>
      <c r="G22" s="13"/>
      <c r="H22" s="13"/>
      <c r="I22" s="13">
        <v>4</v>
      </c>
      <c r="J22" s="13">
        <v>33208.325400000002</v>
      </c>
      <c r="K22" s="13">
        <v>3</v>
      </c>
      <c r="L22" s="13">
        <v>5810.4844599999997</v>
      </c>
      <c r="M22" s="13">
        <v>1</v>
      </c>
      <c r="N22" s="13">
        <v>4856.35725</v>
      </c>
      <c r="O22" s="13">
        <v>3</v>
      </c>
      <c r="P22" s="13">
        <v>20606.46444</v>
      </c>
      <c r="Q22" s="13">
        <v>1</v>
      </c>
      <c r="R22" s="13">
        <v>17731.623</v>
      </c>
      <c r="S22" s="13">
        <v>1</v>
      </c>
      <c r="T22" s="13">
        <v>40139.874619999995</v>
      </c>
      <c r="U22" s="13">
        <v>1</v>
      </c>
      <c r="V22" s="13">
        <v>1886.9915999999998</v>
      </c>
      <c r="W22" s="13">
        <v>2</v>
      </c>
      <c r="X22" s="13">
        <v>96832.738060000003</v>
      </c>
      <c r="Y22" s="13">
        <v>3</v>
      </c>
      <c r="Z22" s="13">
        <v>38240.697249999997</v>
      </c>
      <c r="AA22" s="13"/>
      <c r="AB22" s="13"/>
      <c r="AC22" s="13">
        <v>25</v>
      </c>
      <c r="AD22" s="13">
        <v>336135.16749999998</v>
      </c>
    </row>
    <row r="23" spans="1:30" x14ac:dyDescent="0.45">
      <c r="A23" t="s">
        <v>1470</v>
      </c>
      <c r="C23" s="13">
        <v>8</v>
      </c>
      <c r="D23" s="13">
        <v>138659.84581999999</v>
      </c>
      <c r="E23" s="13">
        <v>3</v>
      </c>
      <c r="F23" s="13">
        <v>23520.349200000001</v>
      </c>
      <c r="G23" s="13">
        <v>3</v>
      </c>
      <c r="H23" s="13">
        <v>37576.075599999996</v>
      </c>
      <c r="I23" s="13">
        <v>9</v>
      </c>
      <c r="J23" s="13">
        <v>90238.722220000011</v>
      </c>
      <c r="K23" s="13">
        <v>8</v>
      </c>
      <c r="L23" s="13">
        <v>147925.88097</v>
      </c>
      <c r="M23" s="13">
        <v>2</v>
      </c>
      <c r="N23" s="13">
        <v>37362.916649999999</v>
      </c>
      <c r="O23" s="13">
        <v>5</v>
      </c>
      <c r="P23" s="13">
        <v>41803.377689999994</v>
      </c>
      <c r="Q23" s="13">
        <v>5</v>
      </c>
      <c r="R23" s="13">
        <v>53183.348850000002</v>
      </c>
      <c r="S23" s="13">
        <v>5</v>
      </c>
      <c r="T23" s="13">
        <v>121271.00637999998</v>
      </c>
      <c r="U23" s="13">
        <v>2</v>
      </c>
      <c r="V23" s="13">
        <v>22058.624650000002</v>
      </c>
      <c r="W23" s="13">
        <v>8</v>
      </c>
      <c r="X23" s="13">
        <v>184030.47433999999</v>
      </c>
      <c r="Y23" s="13">
        <v>5</v>
      </c>
      <c r="Z23" s="13">
        <v>49615.955010000005</v>
      </c>
      <c r="AA23" s="13"/>
      <c r="AB23" s="13"/>
      <c r="AC23" s="13">
        <v>63</v>
      </c>
      <c r="AD23" s="13">
        <v>947246.57737999992</v>
      </c>
    </row>
    <row r="24" spans="1:30" x14ac:dyDescent="0.45">
      <c r="A24" t="s">
        <v>1450</v>
      </c>
      <c r="B24" t="s">
        <v>1440</v>
      </c>
      <c r="C24" s="13">
        <v>1</v>
      </c>
      <c r="D24" s="13">
        <v>27194.152039999997</v>
      </c>
      <c r="E24" s="13"/>
      <c r="F24" s="13"/>
      <c r="G24" s="13">
        <v>4</v>
      </c>
      <c r="H24" s="13">
        <v>49097.717239999998</v>
      </c>
      <c r="I24" s="13"/>
      <c r="J24" s="13"/>
      <c r="K24" s="13">
        <v>1</v>
      </c>
      <c r="L24" s="13">
        <v>17964.4038</v>
      </c>
      <c r="M24" s="13">
        <v>6</v>
      </c>
      <c r="N24" s="13">
        <v>249678.13582000002</v>
      </c>
      <c r="O24" s="13">
        <v>1</v>
      </c>
      <c r="P24" s="13">
        <v>9062.34692</v>
      </c>
      <c r="Q24" s="13">
        <v>2</v>
      </c>
      <c r="R24" s="13">
        <v>10946.711730000001</v>
      </c>
      <c r="S24" s="13">
        <v>4</v>
      </c>
      <c r="T24" s="13">
        <v>43539.233140000004</v>
      </c>
      <c r="U24" s="13">
        <v>3</v>
      </c>
      <c r="V24" s="13">
        <v>15476.94406</v>
      </c>
      <c r="W24" s="13">
        <v>1</v>
      </c>
      <c r="X24" s="13">
        <v>19800.88896</v>
      </c>
      <c r="Y24" s="13">
        <v>3</v>
      </c>
      <c r="Z24" s="13">
        <v>27431.638109999996</v>
      </c>
      <c r="AA24" s="13"/>
      <c r="AB24" s="13"/>
      <c r="AC24" s="13">
        <v>26</v>
      </c>
      <c r="AD24" s="13">
        <v>470192.17181999987</v>
      </c>
    </row>
    <row r="25" spans="1:30" x14ac:dyDescent="0.45">
      <c r="B25" t="s">
        <v>1462</v>
      </c>
      <c r="C25" s="13">
        <v>2</v>
      </c>
      <c r="D25" s="13">
        <v>9469.7678000000014</v>
      </c>
      <c r="E25" s="13">
        <v>1</v>
      </c>
      <c r="F25" s="13">
        <v>17930.494560000003</v>
      </c>
      <c r="G25" s="13"/>
      <c r="H25" s="13"/>
      <c r="I25" s="13">
        <v>3</v>
      </c>
      <c r="J25" s="13">
        <v>43635.435039999997</v>
      </c>
      <c r="K25" s="13">
        <v>2</v>
      </c>
      <c r="L25" s="13">
        <v>32187.988280000001</v>
      </c>
      <c r="M25" s="13">
        <v>2</v>
      </c>
      <c r="N25" s="13">
        <v>35554.10024</v>
      </c>
      <c r="O25" s="13">
        <v>1</v>
      </c>
      <c r="P25" s="13">
        <v>14287.896349999999</v>
      </c>
      <c r="Q25" s="13">
        <v>1</v>
      </c>
      <c r="R25" s="13">
        <v>13108.78584</v>
      </c>
      <c r="S25" s="13">
        <v>3</v>
      </c>
      <c r="T25" s="13">
        <v>68626.652039999986</v>
      </c>
      <c r="U25" s="13">
        <v>2</v>
      </c>
      <c r="V25" s="13">
        <v>14032.850879999998</v>
      </c>
      <c r="W25" s="13">
        <v>3</v>
      </c>
      <c r="X25" s="13">
        <v>114279.15346</v>
      </c>
      <c r="Y25" s="13">
        <v>3</v>
      </c>
      <c r="Z25" s="13">
        <v>53872.641179999999</v>
      </c>
      <c r="AA25" s="13"/>
      <c r="AB25" s="13"/>
      <c r="AC25" s="13">
        <v>23</v>
      </c>
      <c r="AD25" s="13">
        <v>416985.76566999999</v>
      </c>
    </row>
    <row r="26" spans="1:30" x14ac:dyDescent="0.45">
      <c r="B26" t="s">
        <v>1463</v>
      </c>
      <c r="C26" s="13">
        <v>2</v>
      </c>
      <c r="D26" s="13">
        <v>67596.422359999997</v>
      </c>
      <c r="E26" s="13">
        <v>2</v>
      </c>
      <c r="F26" s="13">
        <v>76122.593299999993</v>
      </c>
      <c r="G26" s="13">
        <v>1</v>
      </c>
      <c r="H26" s="13">
        <v>9684.8756000000012</v>
      </c>
      <c r="I26" s="13">
        <v>1</v>
      </c>
      <c r="J26" s="13">
        <v>5331.6696000000002</v>
      </c>
      <c r="K26" s="13">
        <v>1</v>
      </c>
      <c r="L26" s="13">
        <v>10666.229420000001</v>
      </c>
      <c r="M26" s="13">
        <v>3</v>
      </c>
      <c r="N26" s="13">
        <v>62421.224639999993</v>
      </c>
      <c r="O26" s="13">
        <v>3</v>
      </c>
      <c r="P26" s="13">
        <v>63856.506820000002</v>
      </c>
      <c r="Q26" s="13">
        <v>1</v>
      </c>
      <c r="R26" s="13">
        <v>4569.8508000000002</v>
      </c>
      <c r="S26" s="13">
        <v>1</v>
      </c>
      <c r="T26" s="13">
        <v>1010.3759200000001</v>
      </c>
      <c r="U26" s="13">
        <v>1</v>
      </c>
      <c r="V26" s="13">
        <v>31556.187599999997</v>
      </c>
      <c r="W26" s="13">
        <v>1</v>
      </c>
      <c r="X26" s="13">
        <v>39263.702919999996</v>
      </c>
      <c r="Y26" s="13">
        <v>1</v>
      </c>
      <c r="Z26" s="13">
        <v>3644.3212800000006</v>
      </c>
      <c r="AA26" s="13"/>
      <c r="AB26" s="13"/>
      <c r="AC26" s="13">
        <v>18</v>
      </c>
      <c r="AD26" s="13">
        <v>375723.96025999996</v>
      </c>
    </row>
    <row r="27" spans="1:30" x14ac:dyDescent="0.45">
      <c r="A27" t="s">
        <v>1471</v>
      </c>
      <c r="C27" s="13">
        <v>5</v>
      </c>
      <c r="D27" s="13">
        <v>104260.3422</v>
      </c>
      <c r="E27" s="13">
        <v>3</v>
      </c>
      <c r="F27" s="13">
        <v>94053.08786</v>
      </c>
      <c r="G27" s="13">
        <v>5</v>
      </c>
      <c r="H27" s="13">
        <v>58782.592839999998</v>
      </c>
      <c r="I27" s="13">
        <v>4</v>
      </c>
      <c r="J27" s="13">
        <v>48967.104639999998</v>
      </c>
      <c r="K27" s="13">
        <v>4</v>
      </c>
      <c r="L27" s="13">
        <v>60818.621500000001</v>
      </c>
      <c r="M27" s="13">
        <v>11</v>
      </c>
      <c r="N27" s="13">
        <v>347653.46070000005</v>
      </c>
      <c r="O27" s="13">
        <v>5</v>
      </c>
      <c r="P27" s="13">
        <v>87206.750090000001</v>
      </c>
      <c r="Q27" s="13">
        <v>4</v>
      </c>
      <c r="R27" s="13">
        <v>28625.34837</v>
      </c>
      <c r="S27" s="13">
        <v>8</v>
      </c>
      <c r="T27" s="13">
        <v>113176.2611</v>
      </c>
      <c r="U27" s="13">
        <v>6</v>
      </c>
      <c r="V27" s="13">
        <v>61065.982539999997</v>
      </c>
      <c r="W27" s="13">
        <v>5</v>
      </c>
      <c r="X27" s="13">
        <v>173343.74533999996</v>
      </c>
      <c r="Y27" s="13">
        <v>7</v>
      </c>
      <c r="Z27" s="13">
        <v>84948.60057000001</v>
      </c>
      <c r="AA27" s="13"/>
      <c r="AB27" s="13"/>
      <c r="AC27" s="13">
        <v>67</v>
      </c>
      <c r="AD27" s="13">
        <v>1262901.89775</v>
      </c>
    </row>
    <row r="28" spans="1:30" x14ac:dyDescent="0.45">
      <c r="A28" t="s">
        <v>1451</v>
      </c>
      <c r="B28" t="s">
        <v>1440</v>
      </c>
      <c r="C28" s="13">
        <v>3</v>
      </c>
      <c r="D28" s="13">
        <v>46991.747199999998</v>
      </c>
      <c r="E28" s="13">
        <v>3</v>
      </c>
      <c r="F28" s="13">
        <v>46226.11952</v>
      </c>
      <c r="G28" s="13">
        <v>1</v>
      </c>
      <c r="H28" s="13">
        <v>5769.2758000000003</v>
      </c>
      <c r="I28" s="13">
        <v>1</v>
      </c>
      <c r="J28" s="13">
        <v>10388.429999999998</v>
      </c>
      <c r="K28" s="13">
        <v>1</v>
      </c>
      <c r="L28" s="13">
        <v>5189.8836000000001</v>
      </c>
      <c r="M28" s="13">
        <v>1</v>
      </c>
      <c r="N28" s="13">
        <v>4577.1480000000001</v>
      </c>
      <c r="O28" s="13">
        <v>2</v>
      </c>
      <c r="P28" s="13">
        <v>4603.0824400000001</v>
      </c>
      <c r="Q28" s="13">
        <v>1</v>
      </c>
      <c r="R28" s="13">
        <v>3799.8031499999997</v>
      </c>
      <c r="S28" s="13">
        <v>1</v>
      </c>
      <c r="T28" s="13">
        <v>7135.57</v>
      </c>
      <c r="U28" s="13"/>
      <c r="V28" s="13"/>
      <c r="W28" s="13">
        <v>3</v>
      </c>
      <c r="X28" s="13">
        <v>29905.537640000002</v>
      </c>
      <c r="Y28" s="13">
        <v>4</v>
      </c>
      <c r="Z28" s="13">
        <v>71887.464219999994</v>
      </c>
      <c r="AA28" s="13"/>
      <c r="AB28" s="13"/>
      <c r="AC28" s="13">
        <v>21</v>
      </c>
      <c r="AD28" s="13">
        <v>236474.06157000002</v>
      </c>
    </row>
    <row r="29" spans="1:30" x14ac:dyDescent="0.45">
      <c r="B29" t="s">
        <v>1462</v>
      </c>
      <c r="C29" s="13">
        <v>2</v>
      </c>
      <c r="D29" s="13">
        <v>41658.527040000008</v>
      </c>
      <c r="E29" s="13">
        <v>2</v>
      </c>
      <c r="F29" s="13">
        <v>55516.603510000001</v>
      </c>
      <c r="G29" s="13">
        <v>3</v>
      </c>
      <c r="H29" s="13">
        <v>70180.55992</v>
      </c>
      <c r="I29" s="13"/>
      <c r="J29" s="13"/>
      <c r="K29" s="13">
        <v>1</v>
      </c>
      <c r="L29" s="13">
        <v>65111.38614000001</v>
      </c>
      <c r="M29" s="13">
        <v>1</v>
      </c>
      <c r="N29" s="13">
        <v>31513.423040000001</v>
      </c>
      <c r="O29" s="13">
        <v>1</v>
      </c>
      <c r="P29" s="13">
        <v>68665.574250000005</v>
      </c>
      <c r="Q29" s="13">
        <v>6</v>
      </c>
      <c r="R29" s="13">
        <v>181608.69623999999</v>
      </c>
      <c r="S29" s="13">
        <v>2</v>
      </c>
      <c r="T29" s="13">
        <v>15009.056700000001</v>
      </c>
      <c r="U29" s="13">
        <v>3</v>
      </c>
      <c r="V29" s="13">
        <v>39907.476419999999</v>
      </c>
      <c r="W29" s="13">
        <v>2</v>
      </c>
      <c r="X29" s="13">
        <v>65319.420119999995</v>
      </c>
      <c r="Y29" s="13"/>
      <c r="Z29" s="13"/>
      <c r="AA29" s="13"/>
      <c r="AB29" s="13"/>
      <c r="AC29" s="13">
        <v>23</v>
      </c>
      <c r="AD29" s="13">
        <v>634490.7233800001</v>
      </c>
    </row>
    <row r="30" spans="1:30" x14ac:dyDescent="0.45">
      <c r="B30" t="s">
        <v>1463</v>
      </c>
      <c r="C30" s="13"/>
      <c r="D30" s="13"/>
      <c r="E30" s="13">
        <v>2</v>
      </c>
      <c r="F30" s="13">
        <v>5335.5655499999993</v>
      </c>
      <c r="G30" s="13">
        <v>2</v>
      </c>
      <c r="H30" s="13">
        <v>55548.646980000005</v>
      </c>
      <c r="I30" s="13">
        <v>3</v>
      </c>
      <c r="J30" s="13" t="e">
        <v>#VALUE!</v>
      </c>
      <c r="K30" s="13">
        <v>4</v>
      </c>
      <c r="L30" s="13">
        <v>56166.983609999996</v>
      </c>
      <c r="M30" s="13">
        <v>3</v>
      </c>
      <c r="N30" s="13">
        <v>39717.144099999998</v>
      </c>
      <c r="O30" s="13">
        <v>1</v>
      </c>
      <c r="P30" s="13">
        <v>11984.891250000001</v>
      </c>
      <c r="Q30" s="13"/>
      <c r="R30" s="13"/>
      <c r="S30" s="13">
        <v>2</v>
      </c>
      <c r="T30" s="13">
        <v>55110.619960000004</v>
      </c>
      <c r="U30" s="13">
        <v>4</v>
      </c>
      <c r="V30" s="13">
        <v>88311.186580000009</v>
      </c>
      <c r="W30" s="13">
        <v>3</v>
      </c>
      <c r="X30" s="13">
        <v>52414.751029999999</v>
      </c>
      <c r="Y30" s="13"/>
      <c r="Z30" s="13"/>
      <c r="AA30" s="13"/>
      <c r="AB30" s="13"/>
      <c r="AC30" s="13">
        <v>24</v>
      </c>
      <c r="AD30" s="13" t="e">
        <v>#VALUE!</v>
      </c>
    </row>
    <row r="31" spans="1:30" x14ac:dyDescent="0.45">
      <c r="A31" t="s">
        <v>1472</v>
      </c>
      <c r="C31" s="13">
        <v>5</v>
      </c>
      <c r="D31" s="13">
        <v>88650.274239999999</v>
      </c>
      <c r="E31" s="13">
        <v>7</v>
      </c>
      <c r="F31" s="13">
        <v>107078.28857999999</v>
      </c>
      <c r="G31" s="13">
        <v>6</v>
      </c>
      <c r="H31" s="13">
        <v>131498.48269999999</v>
      </c>
      <c r="I31" s="13">
        <v>4</v>
      </c>
      <c r="J31" s="13" t="e">
        <v>#VALUE!</v>
      </c>
      <c r="K31" s="13">
        <v>6</v>
      </c>
      <c r="L31" s="13">
        <v>126468.25335</v>
      </c>
      <c r="M31" s="13">
        <v>5</v>
      </c>
      <c r="N31" s="13">
        <v>75807.71514</v>
      </c>
      <c r="O31" s="13">
        <v>4</v>
      </c>
      <c r="P31" s="13">
        <v>85253.547940000004</v>
      </c>
      <c r="Q31" s="13">
        <v>7</v>
      </c>
      <c r="R31" s="13">
        <v>185408.49938999998</v>
      </c>
      <c r="S31" s="13">
        <v>5</v>
      </c>
      <c r="T31" s="13">
        <v>77255.246660000004</v>
      </c>
      <c r="U31" s="13">
        <v>7</v>
      </c>
      <c r="V31" s="13">
        <v>128218.66300000002</v>
      </c>
      <c r="W31" s="13">
        <v>8</v>
      </c>
      <c r="X31" s="13">
        <v>147639.70878999998</v>
      </c>
      <c r="Y31" s="13">
        <v>4</v>
      </c>
      <c r="Z31" s="13">
        <v>71887.464219999994</v>
      </c>
      <c r="AA31" s="13"/>
      <c r="AB31" s="13"/>
      <c r="AC31" s="13">
        <v>68</v>
      </c>
      <c r="AD31" s="13" t="e">
        <v>#VALUE!</v>
      </c>
    </row>
    <row r="32" spans="1:30" x14ac:dyDescent="0.45">
      <c r="A32" t="s">
        <v>1452</v>
      </c>
      <c r="B32" t="s">
        <v>1441</v>
      </c>
      <c r="C32" s="13">
        <v>3</v>
      </c>
      <c r="D32" s="13">
        <v>93430.735400000005</v>
      </c>
      <c r="E32" s="13">
        <v>1</v>
      </c>
      <c r="F32" s="13">
        <v>29536.716</v>
      </c>
      <c r="G32" s="13"/>
      <c r="H32" s="13"/>
      <c r="I32" s="13">
        <v>3</v>
      </c>
      <c r="J32" s="13">
        <v>60768.60312</v>
      </c>
      <c r="K32" s="13">
        <v>1</v>
      </c>
      <c r="L32" s="13">
        <v>14114.068500000001</v>
      </c>
      <c r="M32" s="13">
        <v>1</v>
      </c>
      <c r="N32" s="13">
        <v>12462.65055</v>
      </c>
      <c r="O32" s="13">
        <v>2</v>
      </c>
      <c r="P32" s="13">
        <v>32142.113530000002</v>
      </c>
      <c r="Q32" s="13">
        <v>2</v>
      </c>
      <c r="R32" s="13">
        <v>47047.517999999996</v>
      </c>
      <c r="S32" s="13">
        <v>3</v>
      </c>
      <c r="T32" s="13">
        <v>112088.8161</v>
      </c>
      <c r="U32" s="13">
        <v>4</v>
      </c>
      <c r="V32" s="13">
        <v>78566.392940000005</v>
      </c>
      <c r="W32" s="13">
        <v>2</v>
      </c>
      <c r="X32" s="13">
        <v>48616.566040000005</v>
      </c>
      <c r="Y32" s="13">
        <v>1</v>
      </c>
      <c r="Z32" s="13">
        <v>32086.37586</v>
      </c>
      <c r="AA32" s="13"/>
      <c r="AB32" s="13"/>
      <c r="AC32" s="13">
        <v>23</v>
      </c>
      <c r="AD32" s="13">
        <v>560860.55603999994</v>
      </c>
    </row>
    <row r="33" spans="1:30" x14ac:dyDescent="0.45">
      <c r="B33" t="s">
        <v>1464</v>
      </c>
      <c r="C33" s="13">
        <v>1</v>
      </c>
      <c r="D33" s="13">
        <v>10937.519999999999</v>
      </c>
      <c r="E33" s="13">
        <v>1</v>
      </c>
      <c r="F33" s="13">
        <v>79082.507010000001</v>
      </c>
      <c r="G33" s="13">
        <v>2</v>
      </c>
      <c r="H33" s="13">
        <v>50774.406560000003</v>
      </c>
      <c r="I33" s="13">
        <v>3</v>
      </c>
      <c r="J33" s="13">
        <v>27907.424579999999</v>
      </c>
      <c r="K33" s="13"/>
      <c r="L33" s="13"/>
      <c r="M33" s="13">
        <v>1</v>
      </c>
      <c r="N33" s="13">
        <v>30229.994880000002</v>
      </c>
      <c r="O33" s="13">
        <v>3</v>
      </c>
      <c r="P33" s="13">
        <v>23449.833500000001</v>
      </c>
      <c r="Q33" s="13">
        <v>2</v>
      </c>
      <c r="R33" s="13">
        <v>27763.018220000002</v>
      </c>
      <c r="S33" s="13"/>
      <c r="T33" s="13"/>
      <c r="U33" s="13"/>
      <c r="V33" s="13"/>
      <c r="W33" s="13"/>
      <c r="X33" s="13"/>
      <c r="Y33" s="13">
        <v>1</v>
      </c>
      <c r="Z33" s="13">
        <v>25483.91488</v>
      </c>
      <c r="AA33" s="13"/>
      <c r="AB33" s="13"/>
      <c r="AC33" s="13">
        <v>14</v>
      </c>
      <c r="AD33" s="13">
        <v>275628.61963000003</v>
      </c>
    </row>
    <row r="34" spans="1:30" x14ac:dyDescent="0.45">
      <c r="B34" t="s">
        <v>1465</v>
      </c>
      <c r="C34" s="13">
        <v>1</v>
      </c>
      <c r="D34" s="13">
        <v>38096.18406</v>
      </c>
      <c r="E34" s="13">
        <v>3</v>
      </c>
      <c r="F34" s="13">
        <v>141645.56601000001</v>
      </c>
      <c r="G34" s="13">
        <v>2</v>
      </c>
      <c r="H34" s="13">
        <v>20703.052239999997</v>
      </c>
      <c r="I34" s="13"/>
      <c r="J34" s="13"/>
      <c r="K34" s="13"/>
      <c r="L34" s="13"/>
      <c r="M34" s="13"/>
      <c r="N34" s="13"/>
      <c r="O34" s="13">
        <v>2</v>
      </c>
      <c r="P34" s="13">
        <v>9315.4974099999999</v>
      </c>
      <c r="Q34" s="13">
        <v>2</v>
      </c>
      <c r="R34" s="13">
        <v>17867.219160000001</v>
      </c>
      <c r="S34" s="13">
        <v>2</v>
      </c>
      <c r="T34" s="13">
        <v>119970.84924</v>
      </c>
      <c r="U34" s="13">
        <v>2</v>
      </c>
      <c r="V34" s="13">
        <v>76636.156479999991</v>
      </c>
      <c r="W34" s="13">
        <v>2</v>
      </c>
      <c r="X34" s="13">
        <v>62736.308879999997</v>
      </c>
      <c r="Y34" s="13"/>
      <c r="Z34" s="13"/>
      <c r="AA34" s="13"/>
      <c r="AB34" s="13"/>
      <c r="AC34" s="13">
        <v>16</v>
      </c>
      <c r="AD34" s="13">
        <v>486970.83348000003</v>
      </c>
    </row>
    <row r="35" spans="1:30" x14ac:dyDescent="0.45">
      <c r="A35" t="s">
        <v>1473</v>
      </c>
      <c r="C35" s="13">
        <v>5</v>
      </c>
      <c r="D35" s="13">
        <v>142464.43946000002</v>
      </c>
      <c r="E35" s="13">
        <v>5</v>
      </c>
      <c r="F35" s="13">
        <v>250264.78902000003</v>
      </c>
      <c r="G35" s="13">
        <v>4</v>
      </c>
      <c r="H35" s="13">
        <v>71477.458800000008</v>
      </c>
      <c r="I35" s="13">
        <v>6</v>
      </c>
      <c r="J35" s="13">
        <v>88676.027699999991</v>
      </c>
      <c r="K35" s="13">
        <v>1</v>
      </c>
      <c r="L35" s="13">
        <v>14114.068500000001</v>
      </c>
      <c r="M35" s="13">
        <v>2</v>
      </c>
      <c r="N35" s="13">
        <v>42692.645430000004</v>
      </c>
      <c r="O35" s="13">
        <v>7</v>
      </c>
      <c r="P35" s="13">
        <v>64907.444439999992</v>
      </c>
      <c r="Q35" s="13">
        <v>6</v>
      </c>
      <c r="R35" s="13">
        <v>92677.755379999988</v>
      </c>
      <c r="S35" s="13">
        <v>5</v>
      </c>
      <c r="T35" s="13">
        <v>232059.66534000001</v>
      </c>
      <c r="U35" s="13">
        <v>6</v>
      </c>
      <c r="V35" s="13">
        <v>155202.54942</v>
      </c>
      <c r="W35" s="13">
        <v>4</v>
      </c>
      <c r="X35" s="13">
        <v>111352.87492</v>
      </c>
      <c r="Y35" s="13">
        <v>2</v>
      </c>
      <c r="Z35" s="13">
        <v>57570.290739999997</v>
      </c>
      <c r="AA35" s="13"/>
      <c r="AB35" s="13"/>
      <c r="AC35" s="13">
        <v>53</v>
      </c>
      <c r="AD35" s="13">
        <v>1323460.0091500001</v>
      </c>
    </row>
    <row r="36" spans="1:30" x14ac:dyDescent="0.45">
      <c r="A36" t="s">
        <v>1453</v>
      </c>
      <c r="B36" t="s">
        <v>1441</v>
      </c>
      <c r="C36" s="13">
        <v>3</v>
      </c>
      <c r="D36" s="13">
        <v>37330.00275</v>
      </c>
      <c r="E36" s="13">
        <v>4</v>
      </c>
      <c r="F36" s="13">
        <v>52625.804160000007</v>
      </c>
      <c r="G36" s="13">
        <v>3</v>
      </c>
      <c r="H36" s="13">
        <v>64096.735299999993</v>
      </c>
      <c r="I36" s="13">
        <v>1</v>
      </c>
      <c r="J36" s="13">
        <v>36549.429260000004</v>
      </c>
      <c r="K36" s="13">
        <v>1</v>
      </c>
      <c r="L36" s="13">
        <v>215.19839999999996</v>
      </c>
      <c r="M36" s="13">
        <v>1</v>
      </c>
      <c r="N36" s="13">
        <v>7105.3528000000006</v>
      </c>
      <c r="O36" s="13"/>
      <c r="P36" s="13"/>
      <c r="Q36" s="13">
        <v>1</v>
      </c>
      <c r="R36" s="13">
        <v>667.74</v>
      </c>
      <c r="S36" s="13">
        <v>2</v>
      </c>
      <c r="T36" s="13">
        <v>24833.097520000003</v>
      </c>
      <c r="U36" s="13">
        <v>4</v>
      </c>
      <c r="V36" s="13">
        <v>58520.369640000004</v>
      </c>
      <c r="W36" s="13">
        <v>3</v>
      </c>
      <c r="X36" s="13">
        <v>31801.900559999998</v>
      </c>
      <c r="Y36" s="13">
        <v>1</v>
      </c>
      <c r="Z36" s="13">
        <v>25299.040000000001</v>
      </c>
      <c r="AA36" s="13"/>
      <c r="AB36" s="13"/>
      <c r="AC36" s="13">
        <v>24</v>
      </c>
      <c r="AD36" s="13">
        <v>339044.67038999987</v>
      </c>
    </row>
    <row r="37" spans="1:30" x14ac:dyDescent="0.45">
      <c r="B37" t="s">
        <v>1464</v>
      </c>
      <c r="C37" s="13">
        <v>2</v>
      </c>
      <c r="D37" s="13">
        <v>41358.420049999993</v>
      </c>
      <c r="E37" s="13">
        <v>1</v>
      </c>
      <c r="F37" s="13">
        <v>7466.3063999999986</v>
      </c>
      <c r="G37" s="13"/>
      <c r="H37" s="13"/>
      <c r="I37" s="13">
        <v>2</v>
      </c>
      <c r="J37" s="13">
        <v>9189.1634999999987</v>
      </c>
      <c r="K37" s="13">
        <v>2</v>
      </c>
      <c r="L37" s="13">
        <v>47066.843850000005</v>
      </c>
      <c r="M37" s="13">
        <v>2</v>
      </c>
      <c r="N37" s="13">
        <v>44186.458500000001</v>
      </c>
      <c r="O37" s="13">
        <v>4</v>
      </c>
      <c r="P37" s="13">
        <v>82602.550499999998</v>
      </c>
      <c r="Q37" s="13">
        <v>1</v>
      </c>
      <c r="R37" s="13">
        <v>3823.6151599999998</v>
      </c>
      <c r="S37" s="13"/>
      <c r="T37" s="13"/>
      <c r="U37" s="13">
        <v>1</v>
      </c>
      <c r="V37" s="13">
        <v>27331.829999999998</v>
      </c>
      <c r="W37" s="13">
        <v>1</v>
      </c>
      <c r="X37" s="13">
        <v>23687.524440000001</v>
      </c>
      <c r="Y37" s="13">
        <v>4</v>
      </c>
      <c r="Z37" s="13">
        <v>97443.477979999996</v>
      </c>
      <c r="AA37" s="13"/>
      <c r="AB37" s="13"/>
      <c r="AC37" s="13">
        <v>20</v>
      </c>
      <c r="AD37" s="13">
        <v>384156.19037999999</v>
      </c>
    </row>
    <row r="38" spans="1:30" x14ac:dyDescent="0.45">
      <c r="B38" t="s">
        <v>1465</v>
      </c>
      <c r="C38" s="13">
        <v>2</v>
      </c>
      <c r="D38" s="13">
        <v>45754.744080000004</v>
      </c>
      <c r="E38" s="13">
        <v>2</v>
      </c>
      <c r="F38" s="13">
        <v>24972.288</v>
      </c>
      <c r="G38" s="13">
        <v>2</v>
      </c>
      <c r="H38" s="13">
        <v>33684.350699999995</v>
      </c>
      <c r="I38" s="13">
        <v>4</v>
      </c>
      <c r="J38" s="13">
        <v>68199.913</v>
      </c>
      <c r="K38" s="13">
        <v>1</v>
      </c>
      <c r="L38" s="13">
        <v>56176.777799999996</v>
      </c>
      <c r="M38" s="13">
        <v>2</v>
      </c>
      <c r="N38" s="13">
        <v>11006.647559999999</v>
      </c>
      <c r="O38" s="13">
        <v>1</v>
      </c>
      <c r="P38" s="13">
        <v>34082.864639999993</v>
      </c>
      <c r="Q38" s="13">
        <v>2</v>
      </c>
      <c r="R38" s="13">
        <v>15174.425699999998</v>
      </c>
      <c r="S38" s="13">
        <v>2</v>
      </c>
      <c r="T38" s="13">
        <v>49501.660319999995</v>
      </c>
      <c r="U38" s="13"/>
      <c r="V38" s="13"/>
      <c r="W38" s="13">
        <v>1</v>
      </c>
      <c r="X38" s="13">
        <v>853.32276999999988</v>
      </c>
      <c r="Y38" s="13">
        <v>2</v>
      </c>
      <c r="Z38" s="13">
        <v>27401.727929999997</v>
      </c>
      <c r="AA38" s="13"/>
      <c r="AB38" s="13"/>
      <c r="AC38" s="13">
        <v>21</v>
      </c>
      <c r="AD38" s="13">
        <v>366808.72250000003</v>
      </c>
    </row>
    <row r="39" spans="1:30" x14ac:dyDescent="0.45">
      <c r="A39" t="s">
        <v>1474</v>
      </c>
      <c r="C39" s="13">
        <v>7</v>
      </c>
      <c r="D39" s="13">
        <v>124443.16688</v>
      </c>
      <c r="E39" s="13">
        <v>7</v>
      </c>
      <c r="F39" s="13">
        <v>85064.398560000001</v>
      </c>
      <c r="G39" s="13">
        <v>5</v>
      </c>
      <c r="H39" s="13">
        <v>97781.085999999981</v>
      </c>
      <c r="I39" s="13">
        <v>7</v>
      </c>
      <c r="J39" s="13">
        <v>113938.50576000001</v>
      </c>
      <c r="K39" s="13">
        <v>4</v>
      </c>
      <c r="L39" s="13">
        <v>103458.82005000001</v>
      </c>
      <c r="M39" s="13">
        <v>5</v>
      </c>
      <c r="N39" s="13">
        <v>62298.458859999999</v>
      </c>
      <c r="O39" s="13">
        <v>5</v>
      </c>
      <c r="P39" s="13">
        <v>116685.41514</v>
      </c>
      <c r="Q39" s="13">
        <v>4</v>
      </c>
      <c r="R39" s="13">
        <v>19665.780859999999</v>
      </c>
      <c r="S39" s="13">
        <v>4</v>
      </c>
      <c r="T39" s="13">
        <v>74334.757840000006</v>
      </c>
      <c r="U39" s="13">
        <v>5</v>
      </c>
      <c r="V39" s="13">
        <v>85852.199640000006</v>
      </c>
      <c r="W39" s="13">
        <v>5</v>
      </c>
      <c r="X39" s="13">
        <v>56342.747770000002</v>
      </c>
      <c r="Y39" s="13">
        <v>7</v>
      </c>
      <c r="Z39" s="13">
        <v>150144.24591</v>
      </c>
      <c r="AA39" s="13"/>
      <c r="AB39" s="13"/>
      <c r="AC39" s="13">
        <v>65</v>
      </c>
      <c r="AD39" s="13">
        <v>1090009.5832699998</v>
      </c>
    </row>
    <row r="40" spans="1:30" x14ac:dyDescent="0.45">
      <c r="A40" t="s">
        <v>1454</v>
      </c>
      <c r="B40" t="s">
        <v>1441</v>
      </c>
      <c r="C40" s="13">
        <v>1</v>
      </c>
      <c r="D40" s="13">
        <v>7071.6331400000008</v>
      </c>
      <c r="E40" s="13">
        <v>1</v>
      </c>
      <c r="F40" s="13">
        <v>15530.929919999999</v>
      </c>
      <c r="G40" s="13">
        <v>1</v>
      </c>
      <c r="H40" s="13">
        <v>14108.16791</v>
      </c>
      <c r="I40" s="13">
        <v>1</v>
      </c>
      <c r="J40" s="13">
        <v>14877.464000000002</v>
      </c>
      <c r="K40" s="13"/>
      <c r="L40" s="13"/>
      <c r="M40" s="13">
        <v>3</v>
      </c>
      <c r="N40" s="13">
        <v>42824.196989999997</v>
      </c>
      <c r="O40" s="13">
        <v>2</v>
      </c>
      <c r="P40" s="13">
        <v>31130.741829999995</v>
      </c>
      <c r="Q40" s="13">
        <v>1</v>
      </c>
      <c r="R40" s="13">
        <v>1030.7574</v>
      </c>
      <c r="S40" s="13"/>
      <c r="T40" s="13"/>
      <c r="U40" s="13"/>
      <c r="V40" s="13"/>
      <c r="W40" s="13"/>
      <c r="X40" s="13"/>
      <c r="Y40" s="13">
        <v>2</v>
      </c>
      <c r="Z40" s="13">
        <v>14692.623000000001</v>
      </c>
      <c r="AA40" s="13"/>
      <c r="AB40" s="13"/>
      <c r="AC40" s="13">
        <v>12</v>
      </c>
      <c r="AD40" s="13">
        <v>141266.51418999999</v>
      </c>
    </row>
    <row r="41" spans="1:30" x14ac:dyDescent="0.45">
      <c r="B41" t="s">
        <v>1464</v>
      </c>
      <c r="C41" s="13">
        <v>3</v>
      </c>
      <c r="D41" s="13">
        <v>85419.017859999993</v>
      </c>
      <c r="E41" s="13">
        <v>2</v>
      </c>
      <c r="F41" s="13">
        <v>64160.245439999999</v>
      </c>
      <c r="G41" s="13">
        <v>3</v>
      </c>
      <c r="H41" s="13">
        <v>21270.482609999999</v>
      </c>
      <c r="I41" s="13"/>
      <c r="J41" s="13"/>
      <c r="K41" s="13"/>
      <c r="L41" s="13"/>
      <c r="M41" s="13">
        <v>1</v>
      </c>
      <c r="N41" s="13">
        <v>20028.787380000002</v>
      </c>
      <c r="O41" s="13">
        <v>3</v>
      </c>
      <c r="P41" s="13">
        <v>50582.705609999997</v>
      </c>
      <c r="Q41" s="13">
        <v>2</v>
      </c>
      <c r="R41" s="13">
        <v>52863.98113</v>
      </c>
      <c r="S41" s="13">
        <v>1</v>
      </c>
      <c r="T41" s="13">
        <v>2879.9836</v>
      </c>
      <c r="U41" s="13">
        <v>1</v>
      </c>
      <c r="V41" s="13">
        <v>12972.00222</v>
      </c>
      <c r="W41" s="13">
        <v>1</v>
      </c>
      <c r="X41" s="13">
        <v>25249.613219999999</v>
      </c>
      <c r="Y41" s="13">
        <v>1</v>
      </c>
      <c r="Z41" s="13">
        <v>12186.368600000002</v>
      </c>
      <c r="AA41" s="13"/>
      <c r="AB41" s="13"/>
      <c r="AC41" s="13">
        <v>18</v>
      </c>
      <c r="AD41" s="13">
        <v>347613.18766999996</v>
      </c>
    </row>
    <row r="42" spans="1:30" x14ac:dyDescent="0.45">
      <c r="B42" t="s">
        <v>1465</v>
      </c>
      <c r="C42" s="13">
        <v>3</v>
      </c>
      <c r="D42" s="13">
        <v>24172.044580000002</v>
      </c>
      <c r="E42" s="13">
        <v>1</v>
      </c>
      <c r="F42" s="13">
        <v>12597.52224</v>
      </c>
      <c r="G42" s="13"/>
      <c r="H42" s="13"/>
      <c r="I42" s="13"/>
      <c r="J42" s="13"/>
      <c r="K42" s="13"/>
      <c r="L42" s="13"/>
      <c r="M42" s="13">
        <v>1</v>
      </c>
      <c r="N42" s="13">
        <v>29627.320319999999</v>
      </c>
      <c r="O42" s="13">
        <v>3</v>
      </c>
      <c r="P42" s="13">
        <v>74882.385600000009</v>
      </c>
      <c r="Q42" s="13">
        <v>2</v>
      </c>
      <c r="R42" s="13">
        <v>9050.5052999999989</v>
      </c>
      <c r="S42" s="13"/>
      <c r="T42" s="13"/>
      <c r="U42" s="13">
        <v>1</v>
      </c>
      <c r="V42" s="13">
        <v>13185.543</v>
      </c>
      <c r="W42" s="13">
        <v>1</v>
      </c>
      <c r="X42" s="13">
        <v>8764.4065599999994</v>
      </c>
      <c r="Y42" s="13"/>
      <c r="Z42" s="13"/>
      <c r="AA42" s="13"/>
      <c r="AB42" s="13"/>
      <c r="AC42" s="13">
        <v>12</v>
      </c>
      <c r="AD42" s="13">
        <v>172279.72759999998</v>
      </c>
    </row>
    <row r="43" spans="1:30" x14ac:dyDescent="0.45">
      <c r="A43" t="s">
        <v>1475</v>
      </c>
      <c r="C43" s="13">
        <v>7</v>
      </c>
      <c r="D43" s="13">
        <v>116662.69557999997</v>
      </c>
      <c r="E43" s="13">
        <v>4</v>
      </c>
      <c r="F43" s="13">
        <v>92288.6976</v>
      </c>
      <c r="G43" s="13">
        <v>4</v>
      </c>
      <c r="H43" s="13">
        <v>35378.650520000003</v>
      </c>
      <c r="I43" s="13">
        <v>1</v>
      </c>
      <c r="J43" s="13">
        <v>14877.464000000002</v>
      </c>
      <c r="K43" s="13"/>
      <c r="L43" s="13"/>
      <c r="M43" s="13">
        <v>5</v>
      </c>
      <c r="N43" s="13">
        <v>92480.30468999999</v>
      </c>
      <c r="O43" s="13">
        <v>8</v>
      </c>
      <c r="P43" s="13">
        <v>156595.83303999997</v>
      </c>
      <c r="Q43" s="13">
        <v>5</v>
      </c>
      <c r="R43" s="13">
        <v>62945.243830000007</v>
      </c>
      <c r="S43" s="13">
        <v>1</v>
      </c>
      <c r="T43" s="13">
        <v>2879.9836</v>
      </c>
      <c r="U43" s="13">
        <v>2</v>
      </c>
      <c r="V43" s="13">
        <v>26157.54522</v>
      </c>
      <c r="W43" s="13">
        <v>2</v>
      </c>
      <c r="X43" s="13">
        <v>34014.019780000002</v>
      </c>
      <c r="Y43" s="13">
        <v>3</v>
      </c>
      <c r="Z43" s="13">
        <v>26878.991600000001</v>
      </c>
      <c r="AA43" s="13"/>
      <c r="AB43" s="13"/>
      <c r="AC43" s="13">
        <v>42</v>
      </c>
      <c r="AD43" s="13">
        <v>661159.4294599999</v>
      </c>
    </row>
    <row r="44" spans="1:30" x14ac:dyDescent="0.45">
      <c r="A44" t="s">
        <v>1455</v>
      </c>
      <c r="B44" t="s">
        <v>1442</v>
      </c>
      <c r="C44" s="13">
        <v>2</v>
      </c>
      <c r="D44" s="13">
        <v>16213.632800000001</v>
      </c>
      <c r="E44" s="13">
        <v>1</v>
      </c>
      <c r="F44" s="13">
        <v>27756.432000000001</v>
      </c>
      <c r="G44" s="13">
        <v>3</v>
      </c>
      <c r="H44" s="13">
        <v>66630.071960000001</v>
      </c>
      <c r="I44" s="13">
        <v>1</v>
      </c>
      <c r="J44" s="13">
        <v>5159.7893599999998</v>
      </c>
      <c r="K44" s="13"/>
      <c r="L44" s="13"/>
      <c r="M44" s="13">
        <v>3</v>
      </c>
      <c r="N44" s="13">
        <v>34805.040549999998</v>
      </c>
      <c r="O44" s="13">
        <v>1</v>
      </c>
      <c r="P44" s="13">
        <v>14527.748400000002</v>
      </c>
      <c r="Q44" s="13">
        <v>2</v>
      </c>
      <c r="R44" s="13">
        <v>38264.510399999999</v>
      </c>
      <c r="S44" s="13">
        <v>1</v>
      </c>
      <c r="T44" s="13">
        <v>10786.32144</v>
      </c>
      <c r="U44" s="13">
        <v>1</v>
      </c>
      <c r="V44" s="13">
        <v>434.45248000000004</v>
      </c>
      <c r="W44" s="13">
        <v>2</v>
      </c>
      <c r="X44" s="13">
        <v>26003.218060000003</v>
      </c>
      <c r="Y44" s="13">
        <v>1</v>
      </c>
      <c r="Z44" s="13">
        <v>5533.6230000000005</v>
      </c>
      <c r="AA44" s="13"/>
      <c r="AB44" s="13"/>
      <c r="AC44" s="13">
        <v>18</v>
      </c>
      <c r="AD44" s="13">
        <v>246114.84045000002</v>
      </c>
    </row>
    <row r="45" spans="1:30" x14ac:dyDescent="0.45">
      <c r="B45" t="s">
        <v>1458</v>
      </c>
      <c r="C45" s="13"/>
      <c r="D45" s="13"/>
      <c r="E45" s="13"/>
      <c r="F45" s="13"/>
      <c r="G45" s="13">
        <v>4</v>
      </c>
      <c r="H45" s="13">
        <v>68861.979880000014</v>
      </c>
      <c r="I45" s="13">
        <v>1</v>
      </c>
      <c r="J45" s="13">
        <v>41419.524249999995</v>
      </c>
      <c r="K45" s="13"/>
      <c r="L45" s="13"/>
      <c r="M45" s="13">
        <v>1</v>
      </c>
      <c r="N45" s="13">
        <v>599.53200000000004</v>
      </c>
      <c r="O45" s="13">
        <v>3</v>
      </c>
      <c r="P45" s="13">
        <v>29808.424959999997</v>
      </c>
      <c r="Q45" s="13">
        <v>2</v>
      </c>
      <c r="R45" s="13">
        <v>51457.539999999994</v>
      </c>
      <c r="S45" s="13">
        <v>4</v>
      </c>
      <c r="T45" s="13">
        <v>100069.71683999999</v>
      </c>
      <c r="U45" s="13">
        <v>1</v>
      </c>
      <c r="V45" s="13">
        <v>18061.204320000004</v>
      </c>
      <c r="W45" s="13">
        <v>3</v>
      </c>
      <c r="X45" s="13">
        <v>91431.437760000001</v>
      </c>
      <c r="Y45" s="13">
        <v>2</v>
      </c>
      <c r="Z45" s="13">
        <v>16023.123</v>
      </c>
      <c r="AA45" s="13"/>
      <c r="AB45" s="13"/>
      <c r="AC45" s="13">
        <v>21</v>
      </c>
      <c r="AD45" s="13">
        <v>417732.48301000008</v>
      </c>
    </row>
    <row r="46" spans="1:30" x14ac:dyDescent="0.45">
      <c r="A46" t="s">
        <v>1476</v>
      </c>
      <c r="C46" s="13">
        <v>2</v>
      </c>
      <c r="D46" s="13">
        <v>16213.632800000001</v>
      </c>
      <c r="E46" s="13">
        <v>1</v>
      </c>
      <c r="F46" s="13">
        <v>27756.432000000001</v>
      </c>
      <c r="G46" s="13">
        <v>7</v>
      </c>
      <c r="H46" s="13">
        <v>135492.05184</v>
      </c>
      <c r="I46" s="13">
        <v>2</v>
      </c>
      <c r="J46" s="13">
        <v>46579.313609999997</v>
      </c>
      <c r="K46" s="13"/>
      <c r="L46" s="13"/>
      <c r="M46" s="13">
        <v>4</v>
      </c>
      <c r="N46" s="13">
        <v>35404.572549999997</v>
      </c>
      <c r="O46" s="13">
        <v>4</v>
      </c>
      <c r="P46" s="13">
        <v>44336.173359999993</v>
      </c>
      <c r="Q46" s="13">
        <v>4</v>
      </c>
      <c r="R46" s="13">
        <v>89722.050400000007</v>
      </c>
      <c r="S46" s="13">
        <v>5</v>
      </c>
      <c r="T46" s="13">
        <v>110856.03827999999</v>
      </c>
      <c r="U46" s="13">
        <v>2</v>
      </c>
      <c r="V46" s="13">
        <v>18495.656800000004</v>
      </c>
      <c r="W46" s="13">
        <v>5</v>
      </c>
      <c r="X46" s="13">
        <v>117434.65582000001</v>
      </c>
      <c r="Y46" s="13">
        <v>3</v>
      </c>
      <c r="Z46" s="13">
        <v>21556.745999999999</v>
      </c>
      <c r="AA46" s="13"/>
      <c r="AB46" s="13"/>
      <c r="AC46" s="13">
        <v>39</v>
      </c>
      <c r="AD46" s="13">
        <v>663847.3234600001</v>
      </c>
    </row>
    <row r="47" spans="1:30" x14ac:dyDescent="0.45">
      <c r="A47" t="s">
        <v>1456</v>
      </c>
      <c r="B47" t="s">
        <v>1442</v>
      </c>
      <c r="C47" s="13">
        <v>2</v>
      </c>
      <c r="D47" s="13">
        <v>24161.26311</v>
      </c>
      <c r="E47" s="13"/>
      <c r="F47" s="13"/>
      <c r="G47" s="13"/>
      <c r="H47" s="13"/>
      <c r="I47" s="13">
        <v>1</v>
      </c>
      <c r="J47" s="13">
        <v>22983.34563</v>
      </c>
      <c r="K47" s="13">
        <v>1</v>
      </c>
      <c r="L47" s="13">
        <v>7643.2649999999994</v>
      </c>
      <c r="M47" s="13">
        <v>2</v>
      </c>
      <c r="N47" s="13">
        <v>39388.573900000003</v>
      </c>
      <c r="O47" s="13">
        <v>2</v>
      </c>
      <c r="P47" s="13">
        <v>14268.607679999999</v>
      </c>
      <c r="Q47" s="13"/>
      <c r="R47" s="13"/>
      <c r="S47" s="13"/>
      <c r="T47" s="13"/>
      <c r="U47" s="13">
        <v>1</v>
      </c>
      <c r="V47" s="13">
        <v>12954.358080000002</v>
      </c>
      <c r="W47" s="13">
        <v>1</v>
      </c>
      <c r="X47" s="13">
        <v>5610.0923999999995</v>
      </c>
      <c r="Y47" s="13"/>
      <c r="Z47" s="13"/>
      <c r="AA47" s="13"/>
      <c r="AB47" s="13"/>
      <c r="AC47" s="13">
        <v>10</v>
      </c>
      <c r="AD47" s="13">
        <v>127009.5058</v>
      </c>
    </row>
    <row r="48" spans="1:30" x14ac:dyDescent="0.45">
      <c r="B48" t="s">
        <v>1458</v>
      </c>
      <c r="C48" s="13">
        <v>2</v>
      </c>
      <c r="D48" s="13">
        <v>11939.431199999999</v>
      </c>
      <c r="E48" s="13">
        <v>3</v>
      </c>
      <c r="F48" s="13">
        <v>60697.470840000002</v>
      </c>
      <c r="G48" s="13">
        <v>1</v>
      </c>
      <c r="H48" s="13">
        <v>4071.8</v>
      </c>
      <c r="I48" s="13">
        <v>4</v>
      </c>
      <c r="J48" s="13">
        <v>67281.056590000007</v>
      </c>
      <c r="K48" s="13">
        <v>1</v>
      </c>
      <c r="L48" s="13">
        <v>12955.824749999998</v>
      </c>
      <c r="M48" s="13">
        <v>3</v>
      </c>
      <c r="N48" s="13">
        <v>91856.869250000003</v>
      </c>
      <c r="O48" s="13"/>
      <c r="P48" s="13"/>
      <c r="Q48" s="13">
        <v>4</v>
      </c>
      <c r="R48" s="13">
        <v>123535.74428</v>
      </c>
      <c r="S48" s="13"/>
      <c r="T48" s="13"/>
      <c r="U48" s="13"/>
      <c r="V48" s="13"/>
      <c r="W48" s="13">
        <v>2</v>
      </c>
      <c r="X48" s="13">
        <v>44605.988639999996</v>
      </c>
      <c r="Y48" s="13"/>
      <c r="Z48" s="13"/>
      <c r="AA48" s="13"/>
      <c r="AB48" s="13"/>
      <c r="AC48" s="13">
        <v>20</v>
      </c>
      <c r="AD48" s="13">
        <v>416944.18554999999</v>
      </c>
    </row>
    <row r="49" spans="1:30" x14ac:dyDescent="0.45">
      <c r="A49" t="s">
        <v>1477</v>
      </c>
      <c r="C49" s="13">
        <v>4</v>
      </c>
      <c r="D49" s="13">
        <v>36100.694309999999</v>
      </c>
      <c r="E49" s="13">
        <v>3</v>
      </c>
      <c r="F49" s="13">
        <v>60697.470840000002</v>
      </c>
      <c r="G49" s="13">
        <v>1</v>
      </c>
      <c r="H49" s="13">
        <v>4071.8</v>
      </c>
      <c r="I49" s="13">
        <v>5</v>
      </c>
      <c r="J49" s="13">
        <v>90264.402220000004</v>
      </c>
      <c r="K49" s="13">
        <v>2</v>
      </c>
      <c r="L49" s="13">
        <v>20599.089749999999</v>
      </c>
      <c r="M49" s="13">
        <v>5</v>
      </c>
      <c r="N49" s="13">
        <v>131245.44315000001</v>
      </c>
      <c r="O49" s="13">
        <v>2</v>
      </c>
      <c r="P49" s="13">
        <v>14268.607679999999</v>
      </c>
      <c r="Q49" s="13">
        <v>4</v>
      </c>
      <c r="R49" s="13">
        <v>123535.74428</v>
      </c>
      <c r="S49" s="13"/>
      <c r="T49" s="13"/>
      <c r="U49" s="13">
        <v>1</v>
      </c>
      <c r="V49" s="13">
        <v>12954.358080000002</v>
      </c>
      <c r="W49" s="13">
        <v>3</v>
      </c>
      <c r="X49" s="13">
        <v>50216.081039999997</v>
      </c>
      <c r="Y49" s="13"/>
      <c r="Z49" s="13"/>
      <c r="AA49" s="13"/>
      <c r="AB49" s="13"/>
      <c r="AC49" s="13">
        <v>30</v>
      </c>
      <c r="AD49" s="13">
        <v>543953.69134999998</v>
      </c>
    </row>
    <row r="50" spans="1:30" x14ac:dyDescent="0.45">
      <c r="A50" t="s">
        <v>1457</v>
      </c>
      <c r="B50" t="s">
        <v>1442</v>
      </c>
      <c r="C50" s="13">
        <v>4</v>
      </c>
      <c r="D50" s="13">
        <v>61471.696859999996</v>
      </c>
      <c r="E50" s="13">
        <v>1</v>
      </c>
      <c r="F50" s="13">
        <v>14466.95104</v>
      </c>
      <c r="G50" s="13">
        <v>1</v>
      </c>
      <c r="H50" s="13">
        <v>23668.560000000001</v>
      </c>
      <c r="I50" s="13">
        <v>2</v>
      </c>
      <c r="J50" s="13">
        <v>28412.100360000004</v>
      </c>
      <c r="K50" s="13">
        <v>2</v>
      </c>
      <c r="L50" s="13">
        <v>56963.241009999998</v>
      </c>
      <c r="M50" s="13">
        <v>3</v>
      </c>
      <c r="N50" s="13">
        <v>35984.636809999996</v>
      </c>
      <c r="O50" s="13">
        <v>4</v>
      </c>
      <c r="P50" s="13">
        <v>38506.528819999992</v>
      </c>
      <c r="Q50" s="13">
        <v>1</v>
      </c>
      <c r="R50" s="13">
        <v>16061.972879999999</v>
      </c>
      <c r="S50" s="13">
        <v>1</v>
      </c>
      <c r="T50" s="13">
        <v>27158.894079999998</v>
      </c>
      <c r="U50" s="13">
        <v>2</v>
      </c>
      <c r="V50" s="13">
        <v>79406.784939999983</v>
      </c>
      <c r="W50" s="13"/>
      <c r="X50" s="13"/>
      <c r="Y50" s="13"/>
      <c r="Z50" s="13"/>
      <c r="AA50" s="13"/>
      <c r="AB50" s="13"/>
      <c r="AC50" s="13">
        <v>21</v>
      </c>
      <c r="AD50" s="13">
        <v>382101.36679999996</v>
      </c>
    </row>
    <row r="51" spans="1:30" x14ac:dyDescent="0.45">
      <c r="B51" t="s">
        <v>1458</v>
      </c>
      <c r="C51" s="13"/>
      <c r="D51" s="13"/>
      <c r="E51" s="13">
        <v>2</v>
      </c>
      <c r="F51" s="13">
        <v>20713.040080000002</v>
      </c>
      <c r="G51" s="13">
        <v>3</v>
      </c>
      <c r="H51" s="13">
        <v>77129.274059999996</v>
      </c>
      <c r="I51" s="13">
        <v>2</v>
      </c>
      <c r="J51" s="13">
        <v>32011.666519999995</v>
      </c>
      <c r="K51" s="13">
        <v>4</v>
      </c>
      <c r="L51" s="13">
        <v>78869.293639999989</v>
      </c>
      <c r="M51" s="13">
        <v>4</v>
      </c>
      <c r="N51" s="13">
        <v>40695.91504</v>
      </c>
      <c r="O51" s="13">
        <v>1</v>
      </c>
      <c r="P51" s="13">
        <v>18641.222160000001</v>
      </c>
      <c r="Q51" s="13"/>
      <c r="R51" s="13"/>
      <c r="S51" s="13">
        <v>1</v>
      </c>
      <c r="T51" s="13">
        <v>12967.958640000001</v>
      </c>
      <c r="U51" s="13"/>
      <c r="V51" s="13"/>
      <c r="W51" s="13">
        <v>3</v>
      </c>
      <c r="X51" s="13" t="e">
        <v>#VALUE!</v>
      </c>
      <c r="Y51" s="13">
        <v>1</v>
      </c>
      <c r="Z51" s="13">
        <v>12031.491680000001</v>
      </c>
      <c r="AA51" s="13"/>
      <c r="AB51" s="13"/>
      <c r="AC51" s="13">
        <v>21</v>
      </c>
      <c r="AD51" s="13" t="e">
        <v>#VALUE!</v>
      </c>
    </row>
    <row r="52" spans="1:30" x14ac:dyDescent="0.45">
      <c r="A52" t="s">
        <v>1478</v>
      </c>
      <c r="C52" s="13">
        <v>4</v>
      </c>
      <c r="D52" s="13">
        <v>61471.696859999996</v>
      </c>
      <c r="E52" s="13">
        <v>3</v>
      </c>
      <c r="F52" s="13">
        <v>35179.991120000006</v>
      </c>
      <c r="G52" s="13">
        <v>4</v>
      </c>
      <c r="H52" s="13">
        <v>100797.83405999999</v>
      </c>
      <c r="I52" s="13">
        <v>4</v>
      </c>
      <c r="J52" s="13">
        <v>60423.766879999996</v>
      </c>
      <c r="K52" s="13">
        <v>6</v>
      </c>
      <c r="L52" s="13">
        <v>135832.53465000002</v>
      </c>
      <c r="M52" s="13">
        <v>7</v>
      </c>
      <c r="N52" s="13">
        <v>76680.551849999989</v>
      </c>
      <c r="O52" s="13">
        <v>5</v>
      </c>
      <c r="P52" s="13">
        <v>57147.750979999997</v>
      </c>
      <c r="Q52" s="13">
        <v>1</v>
      </c>
      <c r="R52" s="13">
        <v>16061.972879999999</v>
      </c>
      <c r="S52" s="13">
        <v>2</v>
      </c>
      <c r="T52" s="13">
        <v>40126.852719999995</v>
      </c>
      <c r="U52" s="13">
        <v>2</v>
      </c>
      <c r="V52" s="13">
        <v>79406.784939999983</v>
      </c>
      <c r="W52" s="13">
        <v>3</v>
      </c>
      <c r="X52" s="13" t="e">
        <v>#VALUE!</v>
      </c>
      <c r="Y52" s="13">
        <v>1</v>
      </c>
      <c r="Z52" s="13">
        <v>12031.491680000001</v>
      </c>
      <c r="AA52" s="13"/>
      <c r="AB52" s="13"/>
      <c r="AC52" s="13">
        <v>42</v>
      </c>
      <c r="AD52" s="13" t="e">
        <v>#VALUE!</v>
      </c>
    </row>
    <row r="53" spans="1:30" x14ac:dyDescent="0.45">
      <c r="A53" t="s">
        <v>1435</v>
      </c>
      <c r="C53" s="13">
        <v>62</v>
      </c>
      <c r="D53" s="13">
        <v>1037870.6328200002</v>
      </c>
      <c r="E53" s="13">
        <v>44</v>
      </c>
      <c r="F53" s="13">
        <v>882622.97854000016</v>
      </c>
      <c r="G53" s="13">
        <v>51</v>
      </c>
      <c r="H53" s="13">
        <v>899054.11212000018</v>
      </c>
      <c r="I53" s="13">
        <v>54</v>
      </c>
      <c r="J53" s="13" t="e">
        <v>#VALUE!</v>
      </c>
      <c r="K53" s="13">
        <v>51</v>
      </c>
      <c r="L53" s="13">
        <v>929424.88821999996</v>
      </c>
      <c r="M53" s="13">
        <v>60</v>
      </c>
      <c r="N53" s="13">
        <v>1065574.1297500001</v>
      </c>
      <c r="O53" s="13">
        <v>59</v>
      </c>
      <c r="P53" s="13">
        <v>855073.36047999992</v>
      </c>
      <c r="Q53" s="13">
        <v>56</v>
      </c>
      <c r="R53" s="13" t="e">
        <v>#VALUE!</v>
      </c>
      <c r="S53" s="13">
        <v>44</v>
      </c>
      <c r="T53" s="13">
        <v>881838.67691000015</v>
      </c>
      <c r="U53" s="13">
        <v>45</v>
      </c>
      <c r="V53" s="13">
        <v>779927.34477999969</v>
      </c>
      <c r="W53" s="13">
        <v>54</v>
      </c>
      <c r="X53" s="13" t="e">
        <v>#VALUE!</v>
      </c>
      <c r="Y53" s="13">
        <v>51</v>
      </c>
      <c r="Z53" s="13">
        <v>768694.58758000017</v>
      </c>
      <c r="AA53" s="13"/>
      <c r="AB53" s="13">
        <v>0</v>
      </c>
      <c r="AC53" s="13">
        <v>631</v>
      </c>
      <c r="AD53" s="13" t="e">
        <v>#VALUE!</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36"/>
  <sheetViews>
    <sheetView topLeftCell="A611" workbookViewId="0">
      <selection activeCell="N636" sqref="N636"/>
    </sheetView>
  </sheetViews>
  <sheetFormatPr defaultRowHeight="14.25" x14ac:dyDescent="0.45"/>
  <cols>
    <col min="1" max="1" width="15.53125" bestFit="1" customWidth="1"/>
    <col min="2" max="2" width="19.19921875" bestFit="1" customWidth="1"/>
  </cols>
  <sheetData>
    <row r="3" spans="1:2" x14ac:dyDescent="0.45">
      <c r="A3" s="14" t="s">
        <v>1513</v>
      </c>
      <c r="B3" t="s">
        <v>1438</v>
      </c>
    </row>
    <row r="4" spans="1:2" x14ac:dyDescent="0.45">
      <c r="A4" s="18">
        <v>0</v>
      </c>
      <c r="B4" s="13">
        <v>0</v>
      </c>
    </row>
    <row r="5" spans="1:2" x14ac:dyDescent="0.45">
      <c r="A5" s="18" t="s">
        <v>614</v>
      </c>
      <c r="B5" s="13">
        <v>13856.52411</v>
      </c>
    </row>
    <row r="6" spans="1:2" x14ac:dyDescent="0.45">
      <c r="A6" s="18" t="s">
        <v>458</v>
      </c>
      <c r="B6" s="13">
        <v>12462.65055</v>
      </c>
    </row>
    <row r="7" spans="1:2" x14ac:dyDescent="0.45">
      <c r="A7" s="18" t="s">
        <v>16</v>
      </c>
      <c r="B7" s="13">
        <v>685.06776000000002</v>
      </c>
    </row>
    <row r="8" spans="1:2" x14ac:dyDescent="0.45">
      <c r="A8" s="18" t="s">
        <v>527</v>
      </c>
      <c r="B8" s="13">
        <v>855.72881999999993</v>
      </c>
    </row>
    <row r="9" spans="1:2" x14ac:dyDescent="0.45">
      <c r="A9" s="18" t="s">
        <v>582</v>
      </c>
      <c r="B9" s="13">
        <v>14466.95104</v>
      </c>
    </row>
    <row r="10" spans="1:2" x14ac:dyDescent="0.45">
      <c r="A10" s="18" t="s">
        <v>55</v>
      </c>
      <c r="B10" s="13">
        <v>7135.57</v>
      </c>
    </row>
    <row r="11" spans="1:2" x14ac:dyDescent="0.45">
      <c r="A11" s="18" t="s">
        <v>376</v>
      </c>
      <c r="B11" s="13">
        <v>13784.586000000001</v>
      </c>
    </row>
    <row r="12" spans="1:2" x14ac:dyDescent="0.45">
      <c r="A12" s="18" t="s">
        <v>210</v>
      </c>
      <c r="B12" s="13">
        <v>25299.040000000001</v>
      </c>
    </row>
    <row r="13" spans="1:2" x14ac:dyDescent="0.45">
      <c r="A13" s="18" t="s">
        <v>560</v>
      </c>
      <c r="B13" s="13">
        <v>18830.12472</v>
      </c>
    </row>
    <row r="14" spans="1:2" x14ac:dyDescent="0.45">
      <c r="A14" s="18" t="s">
        <v>333</v>
      </c>
      <c r="B14" s="13">
        <v>9829.0483199999999</v>
      </c>
    </row>
    <row r="15" spans="1:2" x14ac:dyDescent="0.45">
      <c r="A15" s="18" t="s">
        <v>447</v>
      </c>
      <c r="B15" s="13">
        <v>2795.6384399999997</v>
      </c>
    </row>
    <row r="16" spans="1:2" x14ac:dyDescent="0.45">
      <c r="A16" s="18" t="s">
        <v>175</v>
      </c>
      <c r="B16" s="13">
        <v>14448.298699999998</v>
      </c>
    </row>
    <row r="17" spans="1:2" x14ac:dyDescent="0.45">
      <c r="A17" s="18" t="s">
        <v>89</v>
      </c>
      <c r="B17" s="13">
        <v>60292.805299999993</v>
      </c>
    </row>
    <row r="18" spans="1:2" x14ac:dyDescent="0.45">
      <c r="A18" s="18" t="s">
        <v>370</v>
      </c>
      <c r="B18" s="13">
        <v>82514.711519999997</v>
      </c>
    </row>
    <row r="19" spans="1:2" x14ac:dyDescent="0.45">
      <c r="A19" s="18" t="s">
        <v>337</v>
      </c>
      <c r="B19" s="13">
        <v>27756.432000000001</v>
      </c>
    </row>
    <row r="20" spans="1:2" x14ac:dyDescent="0.45">
      <c r="A20" s="18" t="s">
        <v>309</v>
      </c>
      <c r="B20" s="13">
        <v>9866.3104799999983</v>
      </c>
    </row>
    <row r="21" spans="1:2" x14ac:dyDescent="0.45">
      <c r="A21" s="18" t="s">
        <v>462</v>
      </c>
      <c r="B21" s="13">
        <v>23132.398349999996</v>
      </c>
    </row>
    <row r="22" spans="1:2" x14ac:dyDescent="0.45">
      <c r="A22" s="18" t="s">
        <v>586</v>
      </c>
      <c r="B22" s="13">
        <v>6732.4334000000008</v>
      </c>
    </row>
    <row r="23" spans="1:2" x14ac:dyDescent="0.45">
      <c r="A23" s="18" t="s">
        <v>202</v>
      </c>
      <c r="B23" s="13">
        <v>3928.3797600000003</v>
      </c>
    </row>
    <row r="24" spans="1:2" x14ac:dyDescent="0.45">
      <c r="A24" s="18" t="s">
        <v>131</v>
      </c>
      <c r="B24" s="13">
        <v>16061.972879999999</v>
      </c>
    </row>
    <row r="25" spans="1:2" x14ac:dyDescent="0.45">
      <c r="A25" s="18" t="s">
        <v>341</v>
      </c>
      <c r="B25" s="13">
        <v>5610.0923999999995</v>
      </c>
    </row>
    <row r="26" spans="1:2" x14ac:dyDescent="0.45">
      <c r="A26" s="18" t="s">
        <v>448</v>
      </c>
      <c r="B26" s="13">
        <v>20672.289000000001</v>
      </c>
    </row>
    <row r="27" spans="1:2" x14ac:dyDescent="0.45">
      <c r="A27" s="18" t="s">
        <v>466</v>
      </c>
      <c r="B27" s="13">
        <v>7643.2649999999994</v>
      </c>
    </row>
    <row r="28" spans="1:2" x14ac:dyDescent="0.45">
      <c r="A28" s="18" t="s">
        <v>157</v>
      </c>
      <c r="B28" s="13">
        <v>14877.464000000002</v>
      </c>
    </row>
    <row r="29" spans="1:2" x14ac:dyDescent="0.45">
      <c r="A29" s="18" t="s">
        <v>233</v>
      </c>
      <c r="B29" s="13">
        <v>21573.6495</v>
      </c>
    </row>
    <row r="30" spans="1:2" x14ac:dyDescent="0.45">
      <c r="A30" s="18" t="s">
        <v>199</v>
      </c>
      <c r="B30" s="13">
        <v>8763.2849999999999</v>
      </c>
    </row>
    <row r="31" spans="1:2" x14ac:dyDescent="0.45">
      <c r="A31" s="18" t="s">
        <v>356</v>
      </c>
      <c r="B31" s="13">
        <v>27158.894079999998</v>
      </c>
    </row>
    <row r="32" spans="1:2" x14ac:dyDescent="0.45">
      <c r="A32" s="18" t="s">
        <v>287</v>
      </c>
      <c r="B32" s="13">
        <v>8907.6924999999992</v>
      </c>
    </row>
    <row r="33" spans="1:2" x14ac:dyDescent="0.45">
      <c r="A33" s="18" t="s">
        <v>359</v>
      </c>
      <c r="B33" s="13">
        <v>16487.22781</v>
      </c>
    </row>
    <row r="34" spans="1:2" x14ac:dyDescent="0.45">
      <c r="A34" s="18" t="s">
        <v>544</v>
      </c>
      <c r="B34" s="13">
        <v>7823.4472399999995</v>
      </c>
    </row>
    <row r="35" spans="1:2" x14ac:dyDescent="0.45">
      <c r="A35" s="18" t="s">
        <v>63</v>
      </c>
      <c r="B35" s="13">
        <v>215.19839999999996</v>
      </c>
    </row>
    <row r="36" spans="1:2" x14ac:dyDescent="0.45">
      <c r="A36" s="18" t="s">
        <v>74</v>
      </c>
      <c r="B36" s="13">
        <v>12153.267360000002</v>
      </c>
    </row>
    <row r="37" spans="1:2" x14ac:dyDescent="0.45">
      <c r="A37" s="18" t="s">
        <v>172</v>
      </c>
      <c r="B37" s="13">
        <v>12194.714</v>
      </c>
    </row>
    <row r="38" spans="1:2" x14ac:dyDescent="0.45">
      <c r="A38" s="18" t="s">
        <v>479</v>
      </c>
      <c r="B38" s="13">
        <v>36549.429260000004</v>
      </c>
    </row>
    <row r="39" spans="1:2" x14ac:dyDescent="0.45">
      <c r="A39" s="18" t="s">
        <v>589</v>
      </c>
      <c r="B39" s="13">
        <v>6137.8019999999988</v>
      </c>
    </row>
    <row r="40" spans="1:2" x14ac:dyDescent="0.45">
      <c r="A40" s="18" t="s">
        <v>634</v>
      </c>
      <c r="B40" s="13">
        <v>13983.752729999998</v>
      </c>
    </row>
    <row r="41" spans="1:2" x14ac:dyDescent="0.45">
      <c r="A41" s="18" t="s">
        <v>115</v>
      </c>
      <c r="B41" s="13">
        <v>518.65436999999997</v>
      </c>
    </row>
    <row r="42" spans="1:2" x14ac:dyDescent="0.45">
      <c r="A42" s="18" t="s">
        <v>278</v>
      </c>
      <c r="B42" s="13">
        <v>7235.2134999999998</v>
      </c>
    </row>
    <row r="43" spans="1:2" x14ac:dyDescent="0.45">
      <c r="A43" s="18" t="s">
        <v>265</v>
      </c>
      <c r="B43" s="13">
        <v>2394.1605599999998</v>
      </c>
    </row>
    <row r="44" spans="1:2" x14ac:dyDescent="0.45">
      <c r="A44" s="18" t="s">
        <v>98</v>
      </c>
      <c r="B44" s="13">
        <v>624.43503999999996</v>
      </c>
    </row>
    <row r="45" spans="1:2" x14ac:dyDescent="0.45">
      <c r="A45" s="18" t="s">
        <v>348</v>
      </c>
      <c r="B45" s="13">
        <v>27465.647999999997</v>
      </c>
    </row>
    <row r="46" spans="1:2" x14ac:dyDescent="0.45">
      <c r="A46" s="18" t="s">
        <v>33</v>
      </c>
      <c r="B46" s="13">
        <v>24894.430559999997</v>
      </c>
    </row>
    <row r="47" spans="1:2" x14ac:dyDescent="0.45">
      <c r="A47" s="18" t="s">
        <v>229</v>
      </c>
      <c r="B47" s="13">
        <v>908.03700000000003</v>
      </c>
    </row>
    <row r="48" spans="1:2" x14ac:dyDescent="0.45">
      <c r="A48" s="18" t="s">
        <v>290</v>
      </c>
      <c r="B48" s="13">
        <v>667.74</v>
      </c>
    </row>
    <row r="49" spans="1:2" x14ac:dyDescent="0.45">
      <c r="A49" s="18" t="s">
        <v>259</v>
      </c>
      <c r="B49" s="13">
        <v>17453.3436</v>
      </c>
    </row>
    <row r="50" spans="1:2" x14ac:dyDescent="0.45">
      <c r="A50" s="18" t="s">
        <v>385</v>
      </c>
      <c r="B50" s="13">
        <v>15348.702599999999</v>
      </c>
    </row>
    <row r="51" spans="1:2" x14ac:dyDescent="0.45">
      <c r="A51" s="18" t="s">
        <v>549</v>
      </c>
      <c r="B51" s="13">
        <v>19581.87</v>
      </c>
    </row>
    <row r="52" spans="1:2" x14ac:dyDescent="0.45">
      <c r="A52" s="18" t="s">
        <v>181</v>
      </c>
      <c r="B52" s="13">
        <v>97.0154</v>
      </c>
    </row>
    <row r="53" spans="1:2" x14ac:dyDescent="0.45">
      <c r="A53" s="18" t="s">
        <v>234</v>
      </c>
      <c r="B53" s="13">
        <v>30479.418970000002</v>
      </c>
    </row>
    <row r="54" spans="1:2" x14ac:dyDescent="0.45">
      <c r="A54" s="18" t="s">
        <v>87</v>
      </c>
      <c r="B54" s="13">
        <v>10455.7932</v>
      </c>
    </row>
    <row r="55" spans="1:2" x14ac:dyDescent="0.45">
      <c r="A55" s="18" t="s">
        <v>58</v>
      </c>
      <c r="B55" s="13">
        <v>34444.462359999998</v>
      </c>
    </row>
    <row r="56" spans="1:2" x14ac:dyDescent="0.45">
      <c r="A56" s="18" t="s">
        <v>612</v>
      </c>
      <c r="B56" s="13">
        <v>5457.4317000000001</v>
      </c>
    </row>
    <row r="57" spans="1:2" x14ac:dyDescent="0.45">
      <c r="A57" s="18" t="s">
        <v>235</v>
      </c>
      <c r="B57" s="13">
        <v>5533.6230000000005</v>
      </c>
    </row>
    <row r="58" spans="1:2" x14ac:dyDescent="0.45">
      <c r="A58" s="18" t="s">
        <v>177</v>
      </c>
      <c r="B58" s="13">
        <v>6824.2884000000004</v>
      </c>
    </row>
    <row r="59" spans="1:2" x14ac:dyDescent="0.45">
      <c r="A59" s="18" t="s">
        <v>54</v>
      </c>
      <c r="B59" s="13">
        <v>32506.559399999998</v>
      </c>
    </row>
    <row r="60" spans="1:2" x14ac:dyDescent="0.45">
      <c r="A60" s="18" t="s">
        <v>153</v>
      </c>
      <c r="B60" s="13">
        <v>25672.127039999999</v>
      </c>
    </row>
    <row r="61" spans="1:2" x14ac:dyDescent="0.45">
      <c r="A61" s="18" t="s">
        <v>192</v>
      </c>
      <c r="B61" s="13">
        <v>8698.8768300000011</v>
      </c>
    </row>
    <row r="62" spans="1:2" x14ac:dyDescent="0.45">
      <c r="A62" s="18" t="s">
        <v>583</v>
      </c>
      <c r="B62" s="13">
        <v>496.98660000000001</v>
      </c>
    </row>
    <row r="63" spans="1:2" x14ac:dyDescent="0.45">
      <c r="A63" s="18" t="s">
        <v>90</v>
      </c>
      <c r="B63" s="13">
        <v>18258.868320000001</v>
      </c>
    </row>
    <row r="64" spans="1:2" x14ac:dyDescent="0.45">
      <c r="A64" s="18" t="s">
        <v>521</v>
      </c>
      <c r="B64" s="13">
        <v>5189.8836000000001</v>
      </c>
    </row>
    <row r="65" spans="1:2" x14ac:dyDescent="0.45">
      <c r="A65" s="18" t="s">
        <v>571</v>
      </c>
      <c r="B65" s="13">
        <v>8520.2954399999999</v>
      </c>
    </row>
    <row r="66" spans="1:2" x14ac:dyDescent="0.45">
      <c r="A66" s="18" t="s">
        <v>324</v>
      </c>
      <c r="B66" s="13">
        <v>9062.34692</v>
      </c>
    </row>
    <row r="67" spans="1:2" x14ac:dyDescent="0.45">
      <c r="A67" s="18" t="s">
        <v>400</v>
      </c>
      <c r="B67" s="13">
        <v>52361.645000000004</v>
      </c>
    </row>
    <row r="68" spans="1:2" x14ac:dyDescent="0.45">
      <c r="A68" s="18" t="s">
        <v>297</v>
      </c>
      <c r="B68" s="13">
        <v>10456.416880000001</v>
      </c>
    </row>
    <row r="69" spans="1:2" x14ac:dyDescent="0.45">
      <c r="A69" s="18" t="s">
        <v>281</v>
      </c>
      <c r="B69" s="13">
        <v>29536.716</v>
      </c>
    </row>
    <row r="70" spans="1:2" x14ac:dyDescent="0.45">
      <c r="A70" s="18" t="s">
        <v>11</v>
      </c>
      <c r="B70" s="13">
        <v>0</v>
      </c>
    </row>
    <row r="71" spans="1:2" x14ac:dyDescent="0.45">
      <c r="A71" s="18" t="s">
        <v>101</v>
      </c>
      <c r="B71" s="13">
        <v>10161.46624</v>
      </c>
    </row>
    <row r="72" spans="1:2" x14ac:dyDescent="0.45">
      <c r="A72" s="18" t="s">
        <v>301</v>
      </c>
      <c r="B72" s="13">
        <v>7382.1450000000004</v>
      </c>
    </row>
    <row r="73" spans="1:2" x14ac:dyDescent="0.45">
      <c r="A73" s="18" t="s">
        <v>443</v>
      </c>
      <c r="B73" s="13">
        <v>27249</v>
      </c>
    </row>
    <row r="74" spans="1:2" x14ac:dyDescent="0.45">
      <c r="A74" s="18" t="s">
        <v>594</v>
      </c>
      <c r="B74" s="13">
        <v>370.86</v>
      </c>
    </row>
    <row r="75" spans="1:2" x14ac:dyDescent="0.45">
      <c r="A75" s="18" t="s">
        <v>208</v>
      </c>
      <c r="B75" s="13">
        <v>14963.769179999999</v>
      </c>
    </row>
    <row r="76" spans="1:2" x14ac:dyDescent="0.45">
      <c r="A76" s="18" t="s">
        <v>83</v>
      </c>
      <c r="B76" s="13">
        <v>4717.72</v>
      </c>
    </row>
    <row r="77" spans="1:2" x14ac:dyDescent="0.45">
      <c r="A77" s="18" t="s">
        <v>372</v>
      </c>
      <c r="B77" s="13">
        <v>12717.311040000001</v>
      </c>
    </row>
    <row r="78" spans="1:2" x14ac:dyDescent="0.45">
      <c r="A78" s="18" t="s">
        <v>213</v>
      </c>
      <c r="B78" s="13">
        <v>26131.70736</v>
      </c>
    </row>
    <row r="79" spans="1:2" x14ac:dyDescent="0.45">
      <c r="A79" s="18" t="s">
        <v>194</v>
      </c>
      <c r="B79" s="13">
        <v>10388.429999999998</v>
      </c>
    </row>
    <row r="80" spans="1:2" x14ac:dyDescent="0.45">
      <c r="A80" s="18" t="s">
        <v>506</v>
      </c>
      <c r="B80" s="13">
        <v>8644.6696000000011</v>
      </c>
    </row>
    <row r="81" spans="1:2" x14ac:dyDescent="0.45">
      <c r="A81" s="18" t="s">
        <v>61</v>
      </c>
      <c r="B81" s="13">
        <v>5785.8</v>
      </c>
    </row>
    <row r="82" spans="1:2" x14ac:dyDescent="0.45">
      <c r="A82" s="18" t="s">
        <v>108</v>
      </c>
      <c r="B82" s="13">
        <v>25502.910479999999</v>
      </c>
    </row>
    <row r="83" spans="1:2" x14ac:dyDescent="0.45">
      <c r="A83" s="18" t="s">
        <v>127</v>
      </c>
      <c r="B83" s="13">
        <v>5769.2758000000003</v>
      </c>
    </row>
    <row r="84" spans="1:2" x14ac:dyDescent="0.45">
      <c r="A84" s="18" t="s">
        <v>141</v>
      </c>
      <c r="B84" s="13">
        <v>8336.8896000000004</v>
      </c>
    </row>
    <row r="85" spans="1:2" x14ac:dyDescent="0.45">
      <c r="A85" s="18" t="s">
        <v>224</v>
      </c>
      <c r="B85" s="13">
        <v>7738.9596900000006</v>
      </c>
    </row>
    <row r="86" spans="1:2" x14ac:dyDescent="0.45">
      <c r="A86" s="18" t="s">
        <v>504</v>
      </c>
      <c r="B86" s="13">
        <v>30692.47896</v>
      </c>
    </row>
    <row r="87" spans="1:2" x14ac:dyDescent="0.45">
      <c r="A87" s="18" t="s">
        <v>180</v>
      </c>
      <c r="B87" s="13">
        <v>8928.9795999999988</v>
      </c>
    </row>
    <row r="88" spans="1:2" x14ac:dyDescent="0.45">
      <c r="A88" s="18" t="s">
        <v>622</v>
      </c>
      <c r="B88" s="13">
        <v>18500.693520000001</v>
      </c>
    </row>
    <row r="89" spans="1:2" x14ac:dyDescent="0.45">
      <c r="A89" s="18" t="s">
        <v>552</v>
      </c>
      <c r="B89" s="13">
        <v>14114.068500000001</v>
      </c>
    </row>
    <row r="90" spans="1:2" x14ac:dyDescent="0.45">
      <c r="A90" s="18" t="s">
        <v>638</v>
      </c>
      <c r="B90" s="13">
        <v>12769.38768</v>
      </c>
    </row>
    <row r="91" spans="1:2" x14ac:dyDescent="0.45">
      <c r="A91" s="18" t="s">
        <v>529</v>
      </c>
      <c r="B91" s="13">
        <v>64192.976999999999</v>
      </c>
    </row>
    <row r="92" spans="1:2" x14ac:dyDescent="0.45">
      <c r="A92" s="18" t="s">
        <v>556</v>
      </c>
      <c r="B92" s="13">
        <v>31822.023930000003</v>
      </c>
    </row>
    <row r="93" spans="1:2" x14ac:dyDescent="0.45">
      <c r="A93" s="18" t="s">
        <v>264</v>
      </c>
      <c r="B93" s="13">
        <v>19073.059649999999</v>
      </c>
    </row>
    <row r="94" spans="1:2" x14ac:dyDescent="0.45">
      <c r="A94" s="18" t="s">
        <v>360</v>
      </c>
      <c r="B94" s="13">
        <v>26552.60298</v>
      </c>
    </row>
    <row r="95" spans="1:2" x14ac:dyDescent="0.45">
      <c r="A95" s="18" t="s">
        <v>73</v>
      </c>
      <c r="B95" s="13">
        <v>26304.275999999998</v>
      </c>
    </row>
    <row r="96" spans="1:2" x14ac:dyDescent="0.45">
      <c r="A96" s="18" t="s">
        <v>555</v>
      </c>
      <c r="B96" s="13">
        <v>15530.929919999999</v>
      </c>
    </row>
    <row r="97" spans="1:2" x14ac:dyDescent="0.45">
      <c r="A97" s="18" t="s">
        <v>160</v>
      </c>
      <c r="B97" s="13">
        <v>21572.590500000002</v>
      </c>
    </row>
    <row r="98" spans="1:2" x14ac:dyDescent="0.45">
      <c r="A98" s="18" t="s">
        <v>232</v>
      </c>
      <c r="B98" s="13">
        <v>15490.527</v>
      </c>
    </row>
    <row r="99" spans="1:2" x14ac:dyDescent="0.45">
      <c r="A99" s="18" t="s">
        <v>624</v>
      </c>
      <c r="B99" s="13">
        <v>10786.32144</v>
      </c>
    </row>
    <row r="100" spans="1:2" x14ac:dyDescent="0.45">
      <c r="A100" s="18" t="s">
        <v>248</v>
      </c>
      <c r="B100" s="13">
        <v>4436.6291200000005</v>
      </c>
    </row>
    <row r="101" spans="1:2" x14ac:dyDescent="0.45">
      <c r="A101" s="18" t="s">
        <v>269</v>
      </c>
      <c r="B101" s="13">
        <v>17964.4038</v>
      </c>
    </row>
    <row r="102" spans="1:2" x14ac:dyDescent="0.45">
      <c r="A102" s="18" t="s">
        <v>138</v>
      </c>
      <c r="B102" s="13">
        <v>16071.44868</v>
      </c>
    </row>
    <row r="103" spans="1:2" x14ac:dyDescent="0.45">
      <c r="A103" s="18" t="s">
        <v>541</v>
      </c>
      <c r="B103" s="13">
        <v>11924.0978</v>
      </c>
    </row>
    <row r="104" spans="1:2" x14ac:dyDescent="0.45">
      <c r="A104" s="18" t="s">
        <v>335</v>
      </c>
      <c r="B104" s="13">
        <v>3799.8031499999997</v>
      </c>
    </row>
    <row r="105" spans="1:2" x14ac:dyDescent="0.45">
      <c r="A105" s="18" t="s">
        <v>468</v>
      </c>
      <c r="B105" s="13">
        <v>1662.6945600000001</v>
      </c>
    </row>
    <row r="106" spans="1:2" x14ac:dyDescent="0.45">
      <c r="A106" s="18" t="s">
        <v>380</v>
      </c>
      <c r="B106" s="13">
        <v>32280.32474</v>
      </c>
    </row>
    <row r="107" spans="1:2" x14ac:dyDescent="0.45">
      <c r="A107" s="18" t="s">
        <v>75</v>
      </c>
      <c r="B107" s="13">
        <v>16013.681599999998</v>
      </c>
    </row>
    <row r="108" spans="1:2" x14ac:dyDescent="0.45">
      <c r="A108" s="18" t="s">
        <v>635</v>
      </c>
      <c r="B108" s="13">
        <v>5096.4790800000001</v>
      </c>
    </row>
    <row r="109" spans="1:2" x14ac:dyDescent="0.45">
      <c r="A109" s="18" t="s">
        <v>613</v>
      </c>
      <c r="B109" s="13">
        <v>7071.6331400000008</v>
      </c>
    </row>
    <row r="110" spans="1:2" x14ac:dyDescent="0.45">
      <c r="A110" s="18" t="s">
        <v>633</v>
      </c>
      <c r="B110" s="13">
        <v>32704.386400000003</v>
      </c>
    </row>
    <row r="111" spans="1:2" x14ac:dyDescent="0.45">
      <c r="A111" s="18" t="s">
        <v>40</v>
      </c>
      <c r="B111" s="13">
        <v>26150.364320000001</v>
      </c>
    </row>
    <row r="112" spans="1:2" x14ac:dyDescent="0.45">
      <c r="A112" s="18" t="s">
        <v>524</v>
      </c>
      <c r="B112" s="13">
        <v>22201.762229999997</v>
      </c>
    </row>
    <row r="113" spans="1:2" x14ac:dyDescent="0.45">
      <c r="A113" s="18" t="s">
        <v>486</v>
      </c>
      <c r="B113" s="13">
        <v>41914.215840000004</v>
      </c>
    </row>
    <row r="114" spans="1:2" x14ac:dyDescent="0.45">
      <c r="A114" s="18" t="s">
        <v>353</v>
      </c>
      <c r="B114" s="13">
        <v>13637.287999999999</v>
      </c>
    </row>
    <row r="115" spans="1:2" x14ac:dyDescent="0.45">
      <c r="A115" s="18" t="s">
        <v>508</v>
      </c>
      <c r="B115" s="13">
        <v>20332.775539999999</v>
      </c>
    </row>
    <row r="116" spans="1:2" x14ac:dyDescent="0.45">
      <c r="A116" s="18" t="s">
        <v>206</v>
      </c>
      <c r="B116" s="13">
        <v>8349.2224200000001</v>
      </c>
    </row>
    <row r="117" spans="1:2" x14ac:dyDescent="0.45">
      <c r="A117" s="18" t="s">
        <v>130</v>
      </c>
      <c r="B117" s="13">
        <v>22983.34563</v>
      </c>
    </row>
    <row r="118" spans="1:2" x14ac:dyDescent="0.45">
      <c r="A118" s="18" t="s">
        <v>454</v>
      </c>
      <c r="B118" s="13">
        <v>9771.4483199999995</v>
      </c>
    </row>
    <row r="119" spans="1:2" x14ac:dyDescent="0.45">
      <c r="A119" s="18" t="s">
        <v>464</v>
      </c>
      <c r="B119" s="13">
        <v>20797.98</v>
      </c>
    </row>
    <row r="120" spans="1:2" x14ac:dyDescent="0.45">
      <c r="A120" s="18" t="s">
        <v>211</v>
      </c>
      <c r="B120" s="13">
        <v>47962.717579999997</v>
      </c>
    </row>
    <row r="121" spans="1:2" x14ac:dyDescent="0.45">
      <c r="A121" s="18" t="s">
        <v>483</v>
      </c>
      <c r="B121" s="13">
        <v>27194.152039999997</v>
      </c>
    </row>
    <row r="122" spans="1:2" x14ac:dyDescent="0.45">
      <c r="A122" s="18" t="s">
        <v>310</v>
      </c>
      <c r="B122" s="13">
        <v>39686.4182</v>
      </c>
    </row>
    <row r="123" spans="1:2" x14ac:dyDescent="0.45">
      <c r="A123" s="18" t="s">
        <v>391</v>
      </c>
      <c r="B123" s="13">
        <v>47693.373</v>
      </c>
    </row>
    <row r="124" spans="1:2" x14ac:dyDescent="0.45">
      <c r="A124" s="18" t="s">
        <v>161</v>
      </c>
      <c r="B124" s="13">
        <v>4139.8127999999997</v>
      </c>
    </row>
    <row r="125" spans="1:2" x14ac:dyDescent="0.45">
      <c r="A125" s="18" t="s">
        <v>494</v>
      </c>
      <c r="B125" s="13">
        <v>5159.7893599999998</v>
      </c>
    </row>
    <row r="126" spans="1:2" x14ac:dyDescent="0.45">
      <c r="A126" s="18" t="s">
        <v>305</v>
      </c>
      <c r="B126" s="13">
        <v>3190.8713200000002</v>
      </c>
    </row>
    <row r="127" spans="1:2" x14ac:dyDescent="0.45">
      <c r="A127" s="18" t="s">
        <v>133</v>
      </c>
      <c r="B127" s="13">
        <v>2072.9258400000003</v>
      </c>
    </row>
    <row r="128" spans="1:2" x14ac:dyDescent="0.45">
      <c r="A128" s="18" t="s">
        <v>238</v>
      </c>
      <c r="B128" s="13">
        <v>667.15008</v>
      </c>
    </row>
    <row r="129" spans="1:2" x14ac:dyDescent="0.45">
      <c r="A129" s="18" t="s">
        <v>487</v>
      </c>
      <c r="B129" s="13">
        <v>22620.859800000002</v>
      </c>
    </row>
    <row r="130" spans="1:2" x14ac:dyDescent="0.45">
      <c r="A130" s="18" t="s">
        <v>293</v>
      </c>
      <c r="B130" s="13">
        <v>3978.6474000000003</v>
      </c>
    </row>
    <row r="131" spans="1:2" x14ac:dyDescent="0.45">
      <c r="A131" s="18" t="s">
        <v>146</v>
      </c>
      <c r="B131" s="13">
        <v>4336.2427499999994</v>
      </c>
    </row>
    <row r="132" spans="1:2" x14ac:dyDescent="0.45">
      <c r="A132" s="18" t="s">
        <v>225</v>
      </c>
      <c r="B132" s="13">
        <v>2231.6467200000002</v>
      </c>
    </row>
    <row r="133" spans="1:2" x14ac:dyDescent="0.45">
      <c r="A133" s="18" t="s">
        <v>396</v>
      </c>
      <c r="B133" s="13">
        <v>14108.16791</v>
      </c>
    </row>
    <row r="134" spans="1:2" x14ac:dyDescent="0.45">
      <c r="A134" s="18" t="s">
        <v>600</v>
      </c>
      <c r="B134" s="13">
        <v>51768.181920000003</v>
      </c>
    </row>
    <row r="135" spans="1:2" x14ac:dyDescent="0.45">
      <c r="A135" s="18" t="s">
        <v>325</v>
      </c>
      <c r="B135" s="13">
        <v>16306.59375</v>
      </c>
    </row>
    <row r="136" spans="1:2" x14ac:dyDescent="0.45">
      <c r="A136" s="18" t="s">
        <v>546</v>
      </c>
      <c r="B136" s="13">
        <v>20430.771599999996</v>
      </c>
    </row>
    <row r="137" spans="1:2" x14ac:dyDescent="0.45">
      <c r="A137" s="18" t="s">
        <v>428</v>
      </c>
      <c r="B137" s="13">
        <v>14527.748400000002</v>
      </c>
    </row>
    <row r="138" spans="1:2" x14ac:dyDescent="0.45">
      <c r="A138" s="18" t="s">
        <v>270</v>
      </c>
      <c r="B138" s="13">
        <v>8186.057600000001</v>
      </c>
    </row>
    <row r="139" spans="1:2" x14ac:dyDescent="0.45">
      <c r="A139" s="18" t="s">
        <v>275</v>
      </c>
      <c r="B139" s="13">
        <v>17594.028880000002</v>
      </c>
    </row>
    <row r="140" spans="1:2" x14ac:dyDescent="0.45">
      <c r="A140" s="18" t="s">
        <v>268</v>
      </c>
      <c r="B140" s="13">
        <v>22882.675440000003</v>
      </c>
    </row>
    <row r="141" spans="1:2" x14ac:dyDescent="0.45">
      <c r="A141" s="18" t="s">
        <v>537</v>
      </c>
      <c r="B141" s="13">
        <v>33421.1</v>
      </c>
    </row>
    <row r="142" spans="1:2" x14ac:dyDescent="0.45">
      <c r="A142" s="18" t="s">
        <v>48</v>
      </c>
      <c r="B142" s="13">
        <v>3562.1983800000003</v>
      </c>
    </row>
    <row r="143" spans="1:2" x14ac:dyDescent="0.45">
      <c r="A143" s="18" t="s">
        <v>222</v>
      </c>
      <c r="B143" s="13">
        <v>7854.6693599999999</v>
      </c>
    </row>
    <row r="144" spans="1:2" x14ac:dyDescent="0.45">
      <c r="A144" s="18" t="s">
        <v>440</v>
      </c>
      <c r="B144" s="13">
        <v>2627.6239999999998</v>
      </c>
    </row>
    <row r="145" spans="1:2" x14ac:dyDescent="0.45">
      <c r="A145" s="18" t="s">
        <v>346</v>
      </c>
      <c r="B145" s="13">
        <v>3021.5016000000001</v>
      </c>
    </row>
    <row r="146" spans="1:2" x14ac:dyDescent="0.45">
      <c r="A146" s="18" t="s">
        <v>185</v>
      </c>
      <c r="B146" s="13">
        <v>15656.47056</v>
      </c>
    </row>
    <row r="147" spans="1:2" x14ac:dyDescent="0.45">
      <c r="A147" s="18" t="s">
        <v>618</v>
      </c>
      <c r="B147" s="13">
        <v>10260.060159999999</v>
      </c>
    </row>
    <row r="148" spans="1:2" x14ac:dyDescent="0.45">
      <c r="A148" s="18" t="s">
        <v>300</v>
      </c>
      <c r="B148" s="13">
        <v>23375.594060000003</v>
      </c>
    </row>
    <row r="149" spans="1:2" x14ac:dyDescent="0.45">
      <c r="A149" s="18" t="s">
        <v>417</v>
      </c>
      <c r="B149" s="13">
        <v>23668.560000000001</v>
      </c>
    </row>
    <row r="150" spans="1:2" x14ac:dyDescent="0.45">
      <c r="A150" s="18" t="s">
        <v>393</v>
      </c>
      <c r="B150" s="13">
        <v>22064.910300000003</v>
      </c>
    </row>
    <row r="151" spans="1:2" x14ac:dyDescent="0.45">
      <c r="A151" s="18" t="s">
        <v>605</v>
      </c>
      <c r="B151" s="13">
        <v>3116.21</v>
      </c>
    </row>
    <row r="152" spans="1:2" x14ac:dyDescent="0.45">
      <c r="A152" s="18" t="s">
        <v>535</v>
      </c>
      <c r="B152" s="13">
        <v>11406.96</v>
      </c>
    </row>
    <row r="153" spans="1:2" x14ac:dyDescent="0.45">
      <c r="A153" s="18" t="s">
        <v>207</v>
      </c>
      <c r="B153" s="13">
        <v>55880.483749999999</v>
      </c>
    </row>
    <row r="154" spans="1:2" x14ac:dyDescent="0.45">
      <c r="A154" s="18" t="s">
        <v>469</v>
      </c>
      <c r="B154" s="13">
        <v>930.17574000000002</v>
      </c>
    </row>
    <row r="155" spans="1:2" x14ac:dyDescent="0.45">
      <c r="A155" s="18" t="s">
        <v>230</v>
      </c>
      <c r="B155" s="13">
        <v>4503.4363999999996</v>
      </c>
    </row>
    <row r="156" spans="1:2" x14ac:dyDescent="0.45">
      <c r="A156" s="18" t="s">
        <v>585</v>
      </c>
      <c r="B156" s="13">
        <v>13882.6016</v>
      </c>
    </row>
    <row r="157" spans="1:2" x14ac:dyDescent="0.45">
      <c r="A157" s="18" t="s">
        <v>288</v>
      </c>
      <c r="B157" s="13">
        <v>17441.021520000002</v>
      </c>
    </row>
    <row r="158" spans="1:2" x14ac:dyDescent="0.45">
      <c r="A158" s="18" t="s">
        <v>84</v>
      </c>
      <c r="B158" s="13">
        <v>6874.4828600000001</v>
      </c>
    </row>
    <row r="159" spans="1:2" x14ac:dyDescent="0.45">
      <c r="A159" s="18" t="s">
        <v>14</v>
      </c>
      <c r="B159" s="13">
        <v>4141.7599999999993</v>
      </c>
    </row>
    <row r="160" spans="1:2" x14ac:dyDescent="0.45">
      <c r="A160" s="18" t="s">
        <v>598</v>
      </c>
      <c r="B160" s="13">
        <v>9022.35</v>
      </c>
    </row>
    <row r="161" spans="1:2" x14ac:dyDescent="0.45">
      <c r="A161" s="18" t="s">
        <v>475</v>
      </c>
      <c r="B161" s="13">
        <v>14261.92439</v>
      </c>
    </row>
    <row r="162" spans="1:2" x14ac:dyDescent="0.45">
      <c r="A162" s="18" t="s">
        <v>421</v>
      </c>
      <c r="B162" s="13">
        <v>16134.22069</v>
      </c>
    </row>
    <row r="163" spans="1:2" x14ac:dyDescent="0.45">
      <c r="A163" s="18" t="s">
        <v>358</v>
      </c>
      <c r="B163" s="13">
        <v>4132.0325200000007</v>
      </c>
    </row>
    <row r="164" spans="1:2" x14ac:dyDescent="0.45">
      <c r="A164" s="18" t="s">
        <v>510</v>
      </c>
      <c r="B164" s="13">
        <v>10869.182940000001</v>
      </c>
    </row>
    <row r="165" spans="1:2" x14ac:dyDescent="0.45">
      <c r="A165" s="18" t="s">
        <v>252</v>
      </c>
      <c r="B165" s="13">
        <v>12248.675999999999</v>
      </c>
    </row>
    <row r="166" spans="1:2" x14ac:dyDescent="0.45">
      <c r="A166" s="18" t="s">
        <v>77</v>
      </c>
      <c r="B166" s="13">
        <v>8671.7354400000004</v>
      </c>
    </row>
    <row r="167" spans="1:2" x14ac:dyDescent="0.45">
      <c r="A167" s="18" t="s">
        <v>445</v>
      </c>
      <c r="B167" s="13">
        <v>7340.3891399999993</v>
      </c>
    </row>
    <row r="168" spans="1:2" x14ac:dyDescent="0.45">
      <c r="A168" s="18" t="s">
        <v>628</v>
      </c>
      <c r="B168" s="13">
        <v>1030.7574</v>
      </c>
    </row>
    <row r="169" spans="1:2" x14ac:dyDescent="0.45">
      <c r="A169" s="18" t="s">
        <v>349</v>
      </c>
      <c r="B169" s="13">
        <v>1115.1975999999997</v>
      </c>
    </row>
    <row r="170" spans="1:2" x14ac:dyDescent="0.45">
      <c r="A170" s="18" t="s">
        <v>453</v>
      </c>
      <c r="B170" s="13">
        <v>1925.29872</v>
      </c>
    </row>
    <row r="171" spans="1:2" x14ac:dyDescent="0.45">
      <c r="A171" s="18" t="s">
        <v>459</v>
      </c>
      <c r="B171" s="13">
        <v>19628.476999999999</v>
      </c>
    </row>
    <row r="172" spans="1:2" x14ac:dyDescent="0.45">
      <c r="A172" s="18" t="s">
        <v>485</v>
      </c>
      <c r="B172" s="13">
        <v>4212.3745999999992</v>
      </c>
    </row>
    <row r="173" spans="1:2" x14ac:dyDescent="0.45">
      <c r="A173" s="18" t="s">
        <v>446</v>
      </c>
      <c r="B173" s="13">
        <v>24278.849280000002</v>
      </c>
    </row>
    <row r="174" spans="1:2" x14ac:dyDescent="0.45">
      <c r="A174" s="18" t="s">
        <v>78</v>
      </c>
      <c r="B174" s="13">
        <v>8930.7124999999996</v>
      </c>
    </row>
    <row r="175" spans="1:2" x14ac:dyDescent="0.45">
      <c r="A175" s="18" t="s">
        <v>548</v>
      </c>
      <c r="B175" s="13">
        <v>3340.6370000000002</v>
      </c>
    </row>
    <row r="176" spans="1:2" x14ac:dyDescent="0.45">
      <c r="A176" s="18" t="s">
        <v>378</v>
      </c>
      <c r="B176" s="13">
        <v>4133.25108</v>
      </c>
    </row>
    <row r="177" spans="1:2" x14ac:dyDescent="0.45">
      <c r="A177" s="18" t="s">
        <v>13</v>
      </c>
      <c r="B177" s="13">
        <v>10957.9797</v>
      </c>
    </row>
    <row r="178" spans="1:2" x14ac:dyDescent="0.45">
      <c r="A178" s="18" t="s">
        <v>347</v>
      </c>
      <c r="B178" s="13">
        <v>26106.613960000002</v>
      </c>
    </row>
    <row r="179" spans="1:2" x14ac:dyDescent="0.45">
      <c r="A179" s="18" t="s">
        <v>154</v>
      </c>
      <c r="B179" s="13">
        <v>12954.358080000002</v>
      </c>
    </row>
    <row r="180" spans="1:2" x14ac:dyDescent="0.45">
      <c r="A180" s="18" t="s">
        <v>196</v>
      </c>
      <c r="B180" s="13">
        <v>28072.190160000002</v>
      </c>
    </row>
    <row r="181" spans="1:2" x14ac:dyDescent="0.45">
      <c r="A181" s="18" t="s">
        <v>327</v>
      </c>
      <c r="B181" s="13">
        <v>53034.364139999991</v>
      </c>
    </row>
    <row r="182" spans="1:2" x14ac:dyDescent="0.45">
      <c r="A182" s="18" t="s">
        <v>397</v>
      </c>
      <c r="B182" s="13">
        <v>434.45248000000004</v>
      </c>
    </row>
    <row r="183" spans="1:2" x14ac:dyDescent="0.45">
      <c r="A183" s="18" t="s">
        <v>94</v>
      </c>
      <c r="B183" s="13">
        <v>13146.470699999998</v>
      </c>
    </row>
    <row r="184" spans="1:2" x14ac:dyDescent="0.45">
      <c r="A184" s="18" t="s">
        <v>163</v>
      </c>
      <c r="B184" s="13">
        <v>11015.510400000003</v>
      </c>
    </row>
    <row r="185" spans="1:2" x14ac:dyDescent="0.45">
      <c r="A185" s="18" t="s">
        <v>450</v>
      </c>
      <c r="B185" s="13">
        <v>31513.085009999999</v>
      </c>
    </row>
    <row r="186" spans="1:2" x14ac:dyDescent="0.45">
      <c r="A186" s="18" t="s">
        <v>169</v>
      </c>
      <c r="B186" s="13">
        <v>22044.871499999997</v>
      </c>
    </row>
    <row r="187" spans="1:2" x14ac:dyDescent="0.45">
      <c r="A187" s="18" t="s">
        <v>413</v>
      </c>
      <c r="B187" s="13">
        <v>13437.300239999999</v>
      </c>
    </row>
    <row r="188" spans="1:2" x14ac:dyDescent="0.45">
      <c r="A188" s="18" t="s">
        <v>379</v>
      </c>
      <c r="B188" s="13">
        <v>16873.45</v>
      </c>
    </row>
    <row r="189" spans="1:2" x14ac:dyDescent="0.45">
      <c r="A189" s="18" t="s">
        <v>590</v>
      </c>
      <c r="B189" s="13">
        <v>1801.4076000000002</v>
      </c>
    </row>
    <row r="190" spans="1:2" x14ac:dyDescent="0.45">
      <c r="A190" s="18" t="s">
        <v>44</v>
      </c>
      <c r="B190" s="13">
        <v>6631.6443100000006</v>
      </c>
    </row>
    <row r="191" spans="1:2" x14ac:dyDescent="0.45">
      <c r="A191" s="18" t="s">
        <v>516</v>
      </c>
      <c r="B191" s="13">
        <v>3921.1744000000008</v>
      </c>
    </row>
    <row r="192" spans="1:2" x14ac:dyDescent="0.45">
      <c r="A192" s="18" t="s">
        <v>492</v>
      </c>
      <c r="B192" s="13">
        <v>21908.731650000002</v>
      </c>
    </row>
    <row r="193" spans="1:2" x14ac:dyDescent="0.45">
      <c r="A193" s="18" t="s">
        <v>144</v>
      </c>
      <c r="B193" s="13">
        <v>27370.540859999997</v>
      </c>
    </row>
    <row r="194" spans="1:2" x14ac:dyDescent="0.45">
      <c r="A194" s="18" t="s">
        <v>30</v>
      </c>
      <c r="B194" s="13">
        <v>19903.585040000002</v>
      </c>
    </row>
    <row r="195" spans="1:2" x14ac:dyDescent="0.45">
      <c r="A195" s="18" t="s">
        <v>579</v>
      </c>
      <c r="B195" s="13">
        <v>4577.1480000000001</v>
      </c>
    </row>
    <row r="196" spans="1:2" x14ac:dyDescent="0.45">
      <c r="A196" s="18" t="s">
        <v>104</v>
      </c>
      <c r="B196" s="13">
        <v>43209.006119999991</v>
      </c>
    </row>
    <row r="197" spans="1:2" x14ac:dyDescent="0.45">
      <c r="A197" s="18" t="s">
        <v>124</v>
      </c>
      <c r="B197" s="13">
        <v>24523.006720000001</v>
      </c>
    </row>
    <row r="198" spans="1:2" x14ac:dyDescent="0.45">
      <c r="A198" s="18" t="s">
        <v>465</v>
      </c>
      <c r="B198" s="13">
        <v>7854.6931199999999</v>
      </c>
    </row>
    <row r="199" spans="1:2" x14ac:dyDescent="0.45">
      <c r="A199" s="18" t="s">
        <v>134</v>
      </c>
      <c r="B199" s="13">
        <v>8909.8587200000002</v>
      </c>
    </row>
    <row r="200" spans="1:2" x14ac:dyDescent="0.45">
      <c r="A200" s="18" t="s">
        <v>317</v>
      </c>
      <c r="B200" s="13">
        <v>9847.2358600000007</v>
      </c>
    </row>
    <row r="201" spans="1:2" x14ac:dyDescent="0.45">
      <c r="A201" s="18" t="s">
        <v>174</v>
      </c>
      <c r="B201" s="13">
        <v>85637.740319999997</v>
      </c>
    </row>
    <row r="202" spans="1:2" x14ac:dyDescent="0.45">
      <c r="A202" s="18" t="s">
        <v>632</v>
      </c>
      <c r="B202" s="13">
        <v>50090.397499999999</v>
      </c>
    </row>
    <row r="203" spans="1:2" x14ac:dyDescent="0.45">
      <c r="A203" s="18" t="s">
        <v>267</v>
      </c>
      <c r="B203" s="13">
        <v>7568.9632000000001</v>
      </c>
    </row>
    <row r="204" spans="1:2" x14ac:dyDescent="0.45">
      <c r="A204" s="18" t="s">
        <v>330</v>
      </c>
      <c r="B204" s="13">
        <v>39546.774539999999</v>
      </c>
    </row>
    <row r="205" spans="1:2" x14ac:dyDescent="0.45">
      <c r="A205" s="18" t="s">
        <v>320</v>
      </c>
      <c r="B205" s="13">
        <v>11283.400799999999</v>
      </c>
    </row>
    <row r="206" spans="1:2" x14ac:dyDescent="0.45">
      <c r="A206" s="18" t="s">
        <v>37</v>
      </c>
      <c r="B206" s="13">
        <v>3913.2000000000003</v>
      </c>
    </row>
    <row r="207" spans="1:2" x14ac:dyDescent="0.45">
      <c r="A207" s="18" t="s">
        <v>355</v>
      </c>
      <c r="B207" s="13">
        <v>2206.8000000000002</v>
      </c>
    </row>
    <row r="208" spans="1:2" x14ac:dyDescent="0.45">
      <c r="A208" s="18" t="s">
        <v>149</v>
      </c>
      <c r="B208" s="13">
        <v>87404.929919999995</v>
      </c>
    </row>
    <row r="209" spans="1:2" x14ac:dyDescent="0.45">
      <c r="A209" s="18" t="s">
        <v>151</v>
      </c>
      <c r="B209" s="13">
        <v>32086.37586</v>
      </c>
    </row>
    <row r="210" spans="1:2" x14ac:dyDescent="0.45">
      <c r="A210" s="18" t="s">
        <v>518</v>
      </c>
      <c r="B210" s="13">
        <v>9232.2830599999998</v>
      </c>
    </row>
    <row r="211" spans="1:2" x14ac:dyDescent="0.45">
      <c r="A211" s="18" t="s">
        <v>214</v>
      </c>
      <c r="B211" s="13">
        <v>6702.3501999999999</v>
      </c>
    </row>
    <row r="212" spans="1:2" x14ac:dyDescent="0.45">
      <c r="A212" s="18" t="s">
        <v>636</v>
      </c>
      <c r="B212" s="13">
        <v>33017.42</v>
      </c>
    </row>
    <row r="213" spans="1:2" x14ac:dyDescent="0.45">
      <c r="A213" s="18" t="s">
        <v>201</v>
      </c>
      <c r="B213" s="13">
        <v>4402.1164799999997</v>
      </c>
    </row>
    <row r="214" spans="1:2" x14ac:dyDescent="0.45">
      <c r="A214" s="18" t="s">
        <v>402</v>
      </c>
      <c r="B214" s="13">
        <v>19800.88896</v>
      </c>
    </row>
    <row r="215" spans="1:2" x14ac:dyDescent="0.45">
      <c r="A215" s="18" t="s">
        <v>478</v>
      </c>
      <c r="B215" s="13">
        <v>10428.057360000001</v>
      </c>
    </row>
    <row r="216" spans="1:2" x14ac:dyDescent="0.45">
      <c r="A216" s="18" t="s">
        <v>420</v>
      </c>
      <c r="B216" s="13">
        <v>2059.0056</v>
      </c>
    </row>
    <row r="217" spans="1:2" x14ac:dyDescent="0.45">
      <c r="A217" s="18" t="s">
        <v>24</v>
      </c>
      <c r="B217" s="13">
        <v>7090.5672000000004</v>
      </c>
    </row>
    <row r="218" spans="1:2" x14ac:dyDescent="0.45">
      <c r="A218" s="18" t="s">
        <v>340</v>
      </c>
      <c r="B218" s="13">
        <v>7105.3528000000006</v>
      </c>
    </row>
    <row r="219" spans="1:2" x14ac:dyDescent="0.45">
      <c r="A219" s="18" t="s">
        <v>242</v>
      </c>
      <c r="B219" s="13">
        <v>14269.848599999999</v>
      </c>
    </row>
    <row r="220" spans="1:2" x14ac:dyDescent="0.45">
      <c r="A220" s="18" t="s">
        <v>237</v>
      </c>
      <c r="B220" s="13">
        <v>7446.5209000000004</v>
      </c>
    </row>
    <row r="221" spans="1:2" x14ac:dyDescent="0.45">
      <c r="A221" s="18" t="s">
        <v>564</v>
      </c>
      <c r="B221" s="13">
        <v>46450.26</v>
      </c>
    </row>
    <row r="222" spans="1:2" x14ac:dyDescent="0.45">
      <c r="A222" s="18" t="s">
        <v>551</v>
      </c>
      <c r="B222" s="13">
        <v>4737.2198399999997</v>
      </c>
    </row>
    <row r="223" spans="1:2" x14ac:dyDescent="0.45">
      <c r="A223" s="18" t="s">
        <v>637</v>
      </c>
      <c r="B223" s="13">
        <v>40476.013200000001</v>
      </c>
    </row>
    <row r="224" spans="1:2" x14ac:dyDescent="0.45">
      <c r="A224" s="18" t="s">
        <v>246</v>
      </c>
      <c r="B224" s="13">
        <v>6684.1875</v>
      </c>
    </row>
    <row r="225" spans="1:2" x14ac:dyDescent="0.45">
      <c r="A225" s="18" t="s">
        <v>276</v>
      </c>
      <c r="B225" s="13">
        <v>6946.8</v>
      </c>
    </row>
    <row r="226" spans="1:2" x14ac:dyDescent="0.45">
      <c r="A226" s="18" t="s">
        <v>547</v>
      </c>
      <c r="B226" s="13">
        <v>66260.314239999992</v>
      </c>
    </row>
    <row r="227" spans="1:2" x14ac:dyDescent="0.45">
      <c r="A227" s="18" t="s">
        <v>123</v>
      </c>
      <c r="B227" s="13">
        <v>1499.22</v>
      </c>
    </row>
    <row r="228" spans="1:2" x14ac:dyDescent="0.45">
      <c r="A228" s="18" t="s">
        <v>423</v>
      </c>
      <c r="B228" s="13">
        <v>18411.4084</v>
      </c>
    </row>
    <row r="229" spans="1:2" x14ac:dyDescent="0.45">
      <c r="A229" s="18" t="s">
        <v>187</v>
      </c>
      <c r="B229" s="13">
        <v>7098.5495999999994</v>
      </c>
    </row>
    <row r="230" spans="1:2" x14ac:dyDescent="0.45">
      <c r="A230" s="18" t="s">
        <v>405</v>
      </c>
      <c r="B230" s="13">
        <v>18641.222160000001</v>
      </c>
    </row>
    <row r="231" spans="1:2" x14ac:dyDescent="0.45">
      <c r="A231" s="18" t="s">
        <v>488</v>
      </c>
      <c r="B231" s="13">
        <v>40488.792960000006</v>
      </c>
    </row>
    <row r="232" spans="1:2" x14ac:dyDescent="0.45">
      <c r="A232" s="18" t="s">
        <v>345</v>
      </c>
      <c r="B232" s="13">
        <v>38535.955099999999</v>
      </c>
    </row>
    <row r="233" spans="1:2" x14ac:dyDescent="0.45">
      <c r="A233" s="18" t="s">
        <v>173</v>
      </c>
      <c r="B233" s="13">
        <v>11851.806399999999</v>
      </c>
    </row>
    <row r="234" spans="1:2" x14ac:dyDescent="0.45">
      <c r="A234" s="18" t="s">
        <v>164</v>
      </c>
      <c r="B234" s="13">
        <v>8909.6646800000017</v>
      </c>
    </row>
    <row r="235" spans="1:2" x14ac:dyDescent="0.45">
      <c r="A235" s="18" t="s">
        <v>558</v>
      </c>
      <c r="B235" s="13">
        <v>29673.454499999993</v>
      </c>
    </row>
    <row r="236" spans="1:2" x14ac:dyDescent="0.45">
      <c r="A236" s="18" t="s">
        <v>334</v>
      </c>
      <c r="B236" s="13">
        <v>2373.9623200000001</v>
      </c>
    </row>
    <row r="237" spans="1:2" x14ac:dyDescent="0.45">
      <c r="A237" s="18" t="s">
        <v>114</v>
      </c>
      <c r="B237" s="13">
        <v>12080.215199999999</v>
      </c>
    </row>
    <row r="238" spans="1:2" x14ac:dyDescent="0.45">
      <c r="A238" s="18" t="s">
        <v>143</v>
      </c>
      <c r="B238" s="13">
        <v>12031.491680000001</v>
      </c>
    </row>
    <row r="239" spans="1:2" x14ac:dyDescent="0.45">
      <c r="A239" s="18" t="s">
        <v>318</v>
      </c>
      <c r="B239" s="13">
        <v>30799.273800000003</v>
      </c>
    </row>
    <row r="240" spans="1:2" x14ac:dyDescent="0.45">
      <c r="A240" s="18" t="s">
        <v>118</v>
      </c>
      <c r="B240" s="13">
        <v>549.80010000000004</v>
      </c>
    </row>
    <row r="241" spans="1:2" x14ac:dyDescent="0.45">
      <c r="A241" s="18" t="s">
        <v>43</v>
      </c>
      <c r="B241" s="13">
        <v>27331.829999999998</v>
      </c>
    </row>
    <row r="242" spans="1:2" x14ac:dyDescent="0.45">
      <c r="A242" s="18" t="s">
        <v>410</v>
      </c>
      <c r="B242" s="13">
        <v>16946.091840000001</v>
      </c>
    </row>
    <row r="243" spans="1:2" x14ac:dyDescent="0.45">
      <c r="A243" s="18" t="s">
        <v>39</v>
      </c>
      <c r="B243" s="13">
        <v>9805.8573800000013</v>
      </c>
    </row>
    <row r="244" spans="1:2" x14ac:dyDescent="0.45">
      <c r="A244" s="18" t="s">
        <v>88</v>
      </c>
      <c r="B244" s="13">
        <v>4877.1379800000004</v>
      </c>
    </row>
    <row r="245" spans="1:2" x14ac:dyDescent="0.45">
      <c r="A245" s="18" t="s">
        <v>223</v>
      </c>
      <c r="B245" s="13">
        <v>15253.069799999999</v>
      </c>
    </row>
    <row r="246" spans="1:2" x14ac:dyDescent="0.45">
      <c r="A246" s="18" t="s">
        <v>162</v>
      </c>
      <c r="B246" s="13">
        <v>29654.83008</v>
      </c>
    </row>
    <row r="247" spans="1:2" x14ac:dyDescent="0.45">
      <c r="A247" s="18" t="s">
        <v>467</v>
      </c>
      <c r="B247" s="13">
        <v>24321.57</v>
      </c>
    </row>
    <row r="248" spans="1:2" x14ac:dyDescent="0.45">
      <c r="A248" s="18" t="s">
        <v>557</v>
      </c>
      <c r="B248" s="13">
        <v>10937.519999999999</v>
      </c>
    </row>
    <row r="249" spans="1:2" x14ac:dyDescent="0.45">
      <c r="A249" s="18" t="s">
        <v>25</v>
      </c>
      <c r="B249" s="13">
        <v>25948.414799999995</v>
      </c>
    </row>
    <row r="250" spans="1:2" x14ac:dyDescent="0.45">
      <c r="A250" s="18" t="s">
        <v>331</v>
      </c>
      <c r="B250" s="13">
        <v>703.2428000000001</v>
      </c>
    </row>
    <row r="251" spans="1:2" x14ac:dyDescent="0.45">
      <c r="A251" s="18" t="s">
        <v>532</v>
      </c>
      <c r="B251" s="13">
        <v>6435.2555999999995</v>
      </c>
    </row>
    <row r="252" spans="1:2" x14ac:dyDescent="0.45">
      <c r="A252" s="18" t="s">
        <v>306</v>
      </c>
      <c r="B252" s="13">
        <v>66.920760000000001</v>
      </c>
    </row>
    <row r="253" spans="1:2" x14ac:dyDescent="0.45">
      <c r="A253" s="18" t="s">
        <v>573</v>
      </c>
      <c r="B253" s="13">
        <v>4229.4321199999995</v>
      </c>
    </row>
    <row r="254" spans="1:2" x14ac:dyDescent="0.45">
      <c r="A254" s="18" t="s">
        <v>489</v>
      </c>
      <c r="B254" s="13">
        <v>4738.5261</v>
      </c>
    </row>
    <row r="255" spans="1:2" x14ac:dyDescent="0.45">
      <c r="A255" s="18" t="s">
        <v>19</v>
      </c>
      <c r="B255" s="13">
        <v>16006.14344</v>
      </c>
    </row>
    <row r="256" spans="1:2" x14ac:dyDescent="0.45">
      <c r="A256" s="18" t="s">
        <v>156</v>
      </c>
      <c r="B256" s="13">
        <v>13321.14</v>
      </c>
    </row>
    <row r="257" spans="1:2" x14ac:dyDescent="0.45">
      <c r="A257" s="18" t="s">
        <v>200</v>
      </c>
      <c r="B257" s="13">
        <v>24374.594880000001</v>
      </c>
    </row>
    <row r="258" spans="1:2" x14ac:dyDescent="0.45">
      <c r="A258" s="18" t="s">
        <v>34</v>
      </c>
      <c r="B258" s="13">
        <v>8596.2905599999995</v>
      </c>
    </row>
    <row r="259" spans="1:2" x14ac:dyDescent="0.45">
      <c r="A259" s="18" t="s">
        <v>171</v>
      </c>
      <c r="B259" s="13">
        <v>8154.5511600000009</v>
      </c>
    </row>
    <row r="260" spans="1:2" x14ac:dyDescent="0.45">
      <c r="A260" s="18" t="s">
        <v>260</v>
      </c>
      <c r="B260" s="13">
        <v>17689.623</v>
      </c>
    </row>
    <row r="261" spans="1:2" x14ac:dyDescent="0.45">
      <c r="A261" s="18" t="s">
        <v>120</v>
      </c>
      <c r="B261" s="13">
        <v>30151.675319999998</v>
      </c>
    </row>
    <row r="262" spans="1:2" x14ac:dyDescent="0.45">
      <c r="A262" s="18" t="s">
        <v>362</v>
      </c>
      <c r="B262" s="13">
        <v>1122.0896000000002</v>
      </c>
    </row>
    <row r="263" spans="1:2" x14ac:dyDescent="0.45">
      <c r="A263" s="18" t="s">
        <v>148</v>
      </c>
      <c r="B263" s="13">
        <v>1446.9507000000001</v>
      </c>
    </row>
    <row r="264" spans="1:2" x14ac:dyDescent="0.45">
      <c r="A264" s="18" t="s">
        <v>190</v>
      </c>
      <c r="B264" s="13">
        <v>41352.246200000009</v>
      </c>
    </row>
    <row r="265" spans="1:2" x14ac:dyDescent="0.45">
      <c r="A265" s="18" t="s">
        <v>595</v>
      </c>
      <c r="B265" s="13">
        <v>25131.155999999999</v>
      </c>
    </row>
    <row r="266" spans="1:2" x14ac:dyDescent="0.45">
      <c r="A266" s="18" t="s">
        <v>498</v>
      </c>
      <c r="B266" s="13">
        <v>1547.3500000000001</v>
      </c>
    </row>
    <row r="267" spans="1:2" x14ac:dyDescent="0.45">
      <c r="A267" s="18" t="s">
        <v>72</v>
      </c>
      <c r="B267" s="13">
        <v>72665.817450000002</v>
      </c>
    </row>
    <row r="268" spans="1:2" x14ac:dyDescent="0.45">
      <c r="A268" s="18" t="s">
        <v>569</v>
      </c>
      <c r="B268" s="13">
        <v>6766.9829999999993</v>
      </c>
    </row>
    <row r="269" spans="1:2" x14ac:dyDescent="0.45">
      <c r="A269" s="18" t="s">
        <v>401</v>
      </c>
      <c r="B269" s="13">
        <v>11285.764020000001</v>
      </c>
    </row>
    <row r="270" spans="1:2" x14ac:dyDescent="0.45">
      <c r="A270" s="18" t="s">
        <v>463</v>
      </c>
      <c r="B270" s="13">
        <v>14752.706080000002</v>
      </c>
    </row>
    <row r="271" spans="1:2" x14ac:dyDescent="0.45">
      <c r="A271" s="18" t="s">
        <v>60</v>
      </c>
      <c r="B271" s="13">
        <v>599.53200000000004</v>
      </c>
    </row>
    <row r="272" spans="1:2" x14ac:dyDescent="0.45">
      <c r="A272" s="18" t="s">
        <v>616</v>
      </c>
      <c r="B272" s="13">
        <v>2736.27018</v>
      </c>
    </row>
    <row r="273" spans="1:2" x14ac:dyDescent="0.45">
      <c r="A273" s="18" t="s">
        <v>9</v>
      </c>
      <c r="B273" s="13">
        <v>4866.3287999999993</v>
      </c>
    </row>
    <row r="274" spans="1:2" x14ac:dyDescent="0.45">
      <c r="A274" s="18" t="s">
        <v>296</v>
      </c>
      <c r="B274" s="13">
        <v>26765.040239999998</v>
      </c>
    </row>
    <row r="275" spans="1:2" x14ac:dyDescent="0.45">
      <c r="A275" s="18" t="s">
        <v>243</v>
      </c>
      <c r="B275" s="13">
        <v>17359.804799999998</v>
      </c>
    </row>
    <row r="276" spans="1:2" x14ac:dyDescent="0.45">
      <c r="A276" s="18" t="s">
        <v>116</v>
      </c>
      <c r="B276" s="13">
        <v>23687.524440000001</v>
      </c>
    </row>
    <row r="277" spans="1:2" x14ac:dyDescent="0.45">
      <c r="A277" s="18" t="s">
        <v>79</v>
      </c>
      <c r="B277" s="13">
        <v>10647.727199999999</v>
      </c>
    </row>
    <row r="278" spans="1:2" x14ac:dyDescent="0.45">
      <c r="A278" s="18" t="s">
        <v>66</v>
      </c>
      <c r="B278" s="13">
        <v>4790.1068000000005</v>
      </c>
    </row>
    <row r="279" spans="1:2" x14ac:dyDescent="0.45">
      <c r="A279" s="18" t="s">
        <v>50</v>
      </c>
      <c r="B279" s="13">
        <v>10558.74</v>
      </c>
    </row>
    <row r="280" spans="1:2" x14ac:dyDescent="0.45">
      <c r="A280" s="18" t="s">
        <v>261</v>
      </c>
      <c r="B280" s="13">
        <v>25483.91488</v>
      </c>
    </row>
    <row r="281" spans="1:2" x14ac:dyDescent="0.45">
      <c r="A281" s="18" t="s">
        <v>399</v>
      </c>
      <c r="B281" s="13">
        <v>2525.0635000000002</v>
      </c>
    </row>
    <row r="282" spans="1:2" x14ac:dyDescent="0.45">
      <c r="A282" s="18" t="s">
        <v>513</v>
      </c>
      <c r="B282" s="13">
        <v>32335.21802</v>
      </c>
    </row>
    <row r="283" spans="1:2" x14ac:dyDescent="0.45">
      <c r="A283" s="18" t="s">
        <v>256</v>
      </c>
      <c r="B283" s="13">
        <v>3592.04</v>
      </c>
    </row>
    <row r="284" spans="1:2" x14ac:dyDescent="0.45">
      <c r="A284" s="18" t="s">
        <v>176</v>
      </c>
      <c r="B284" s="13">
        <v>12413.98458</v>
      </c>
    </row>
    <row r="285" spans="1:2" x14ac:dyDescent="0.45">
      <c r="A285" s="18" t="s">
        <v>570</v>
      </c>
      <c r="B285" s="13">
        <v>33071.3145</v>
      </c>
    </row>
    <row r="286" spans="1:2" x14ac:dyDescent="0.45">
      <c r="A286" s="18" t="s">
        <v>619</v>
      </c>
      <c r="B286" s="13">
        <v>18003.847679999999</v>
      </c>
    </row>
    <row r="287" spans="1:2" x14ac:dyDescent="0.45">
      <c r="A287" s="18" t="s">
        <v>343</v>
      </c>
      <c r="B287" s="13">
        <v>16219.34496</v>
      </c>
    </row>
    <row r="288" spans="1:2" x14ac:dyDescent="0.45">
      <c r="A288" s="18" t="s">
        <v>350</v>
      </c>
      <c r="B288" s="13">
        <v>20053.439999999999</v>
      </c>
    </row>
    <row r="289" spans="1:2" x14ac:dyDescent="0.45">
      <c r="A289" s="18" t="s">
        <v>15</v>
      </c>
      <c r="B289" s="13">
        <v>2886.4496399999998</v>
      </c>
    </row>
    <row r="290" spans="1:2" x14ac:dyDescent="0.45">
      <c r="A290" s="18" t="s">
        <v>621</v>
      </c>
      <c r="B290" s="13">
        <v>82141.339799999987</v>
      </c>
    </row>
    <row r="291" spans="1:2" x14ac:dyDescent="0.45">
      <c r="A291" s="18" t="s">
        <v>371</v>
      </c>
      <c r="B291" s="13">
        <v>7327.9533600000004</v>
      </c>
    </row>
    <row r="292" spans="1:2" x14ac:dyDescent="0.45">
      <c r="A292" s="18" t="s">
        <v>76</v>
      </c>
      <c r="B292" s="13">
        <v>14287.896349999999</v>
      </c>
    </row>
    <row r="293" spans="1:2" x14ac:dyDescent="0.45">
      <c r="A293" s="18" t="s">
        <v>262</v>
      </c>
      <c r="B293" s="13">
        <v>6468.2751599999992</v>
      </c>
    </row>
    <row r="294" spans="1:2" x14ac:dyDescent="0.45">
      <c r="A294" s="18" t="s">
        <v>545</v>
      </c>
      <c r="B294" s="13">
        <v>50958.766320000002</v>
      </c>
    </row>
    <row r="295" spans="1:2" x14ac:dyDescent="0.45">
      <c r="A295" s="18" t="s">
        <v>581</v>
      </c>
      <c r="B295" s="13">
        <v>19139.594240000002</v>
      </c>
    </row>
    <row r="296" spans="1:2" x14ac:dyDescent="0.45">
      <c r="A296" s="18" t="s">
        <v>470</v>
      </c>
      <c r="B296" s="13">
        <v>4055.5175999999997</v>
      </c>
    </row>
    <row r="297" spans="1:2" x14ac:dyDescent="0.45">
      <c r="A297" s="18" t="s">
        <v>170</v>
      </c>
      <c r="B297" s="13">
        <v>5650.1744000000008</v>
      </c>
    </row>
    <row r="298" spans="1:2" x14ac:dyDescent="0.45">
      <c r="A298" s="18" t="s">
        <v>10</v>
      </c>
      <c r="B298" s="13">
        <v>17960.432489999999</v>
      </c>
    </row>
    <row r="299" spans="1:2" x14ac:dyDescent="0.45">
      <c r="A299" s="18" t="s">
        <v>533</v>
      </c>
      <c r="B299" s="13">
        <v>8326.6852500000005</v>
      </c>
    </row>
    <row r="300" spans="1:2" x14ac:dyDescent="0.45">
      <c r="A300" s="18" t="s">
        <v>292</v>
      </c>
      <c r="B300" s="13">
        <v>15505.479600000001</v>
      </c>
    </row>
    <row r="301" spans="1:2" x14ac:dyDescent="0.45">
      <c r="A301" s="18" t="s">
        <v>495</v>
      </c>
      <c r="B301" s="13">
        <v>28856.475000000002</v>
      </c>
    </row>
    <row r="302" spans="1:2" x14ac:dyDescent="0.45">
      <c r="A302" s="18" t="s">
        <v>419</v>
      </c>
      <c r="B302" s="13">
        <v>6899.8804600000003</v>
      </c>
    </row>
    <row r="303" spans="1:2" x14ac:dyDescent="0.45">
      <c r="A303" s="18" t="s">
        <v>438</v>
      </c>
      <c r="B303" s="13">
        <v>12955.824749999998</v>
      </c>
    </row>
    <row r="304" spans="1:2" x14ac:dyDescent="0.45">
      <c r="A304" s="18" t="s">
        <v>493</v>
      </c>
      <c r="B304" s="13">
        <v>6063.2517199999993</v>
      </c>
    </row>
    <row r="305" spans="1:2" x14ac:dyDescent="0.45">
      <c r="A305" s="18" t="s">
        <v>152</v>
      </c>
      <c r="B305" s="13">
        <v>9969.4201499999999</v>
      </c>
    </row>
    <row r="306" spans="1:2" x14ac:dyDescent="0.45">
      <c r="A306" s="18" t="s">
        <v>53</v>
      </c>
      <c r="B306" s="13">
        <v>17930.494560000003</v>
      </c>
    </row>
    <row r="307" spans="1:2" x14ac:dyDescent="0.45">
      <c r="A307" s="18" t="s">
        <v>414</v>
      </c>
      <c r="B307" s="13">
        <v>22457.143800000002</v>
      </c>
    </row>
    <row r="308" spans="1:2" x14ac:dyDescent="0.45">
      <c r="A308" s="18" t="s">
        <v>392</v>
      </c>
      <c r="B308" s="13">
        <v>15257.51748</v>
      </c>
    </row>
    <row r="309" spans="1:2" x14ac:dyDescent="0.45">
      <c r="A309" s="18" t="s">
        <v>526</v>
      </c>
      <c r="B309" s="13">
        <v>9807.7842799999999</v>
      </c>
    </row>
    <row r="310" spans="1:2" x14ac:dyDescent="0.45">
      <c r="A310" s="18" t="s">
        <v>319</v>
      </c>
      <c r="B310" s="13">
        <v>879.05840000000001</v>
      </c>
    </row>
    <row r="311" spans="1:2" x14ac:dyDescent="0.45">
      <c r="A311" s="18" t="s">
        <v>554</v>
      </c>
      <c r="B311" s="13">
        <v>4826.5396199999996</v>
      </c>
    </row>
    <row r="312" spans="1:2" x14ac:dyDescent="0.45">
      <c r="A312" s="18" t="s">
        <v>240</v>
      </c>
      <c r="B312" s="13">
        <v>2879.9836</v>
      </c>
    </row>
    <row r="313" spans="1:2" x14ac:dyDescent="0.45">
      <c r="A313" s="18" t="s">
        <v>322</v>
      </c>
      <c r="B313" s="13">
        <v>5032.4433599999993</v>
      </c>
    </row>
    <row r="314" spans="1:2" x14ac:dyDescent="0.45">
      <c r="A314" s="18" t="s">
        <v>503</v>
      </c>
      <c r="B314" s="13">
        <v>4682.9519799999998</v>
      </c>
    </row>
    <row r="315" spans="1:2" x14ac:dyDescent="0.45">
      <c r="A315" s="18" t="s">
        <v>577</v>
      </c>
      <c r="B315" s="13">
        <v>34307.159999999996</v>
      </c>
    </row>
    <row r="316" spans="1:2" x14ac:dyDescent="0.45">
      <c r="A316" s="18" t="s">
        <v>158</v>
      </c>
      <c r="B316" s="13">
        <v>42495.805439999996</v>
      </c>
    </row>
    <row r="317" spans="1:2" x14ac:dyDescent="0.45">
      <c r="A317" s="18" t="s">
        <v>603</v>
      </c>
      <c r="B317" s="13">
        <v>14910.609600000002</v>
      </c>
    </row>
    <row r="318" spans="1:2" x14ac:dyDescent="0.45">
      <c r="A318" s="18" t="s">
        <v>203</v>
      </c>
      <c r="B318" s="13">
        <v>31191.64716</v>
      </c>
    </row>
    <row r="319" spans="1:2" x14ac:dyDescent="0.45">
      <c r="A319" s="18" t="s">
        <v>449</v>
      </c>
      <c r="B319" s="13">
        <v>12668.50728</v>
      </c>
    </row>
    <row r="320" spans="1:2" x14ac:dyDescent="0.45">
      <c r="A320" s="18" t="s">
        <v>85</v>
      </c>
      <c r="B320" s="13">
        <v>35396.277799999996</v>
      </c>
    </row>
    <row r="321" spans="1:2" x14ac:dyDescent="0.45">
      <c r="A321" s="18" t="s">
        <v>86</v>
      </c>
      <c r="B321" s="13">
        <v>33062.236480000007</v>
      </c>
    </row>
    <row r="322" spans="1:2" x14ac:dyDescent="0.45">
      <c r="A322" s="18" t="s">
        <v>422</v>
      </c>
      <c r="B322" s="13">
        <v>31513.423040000001</v>
      </c>
    </row>
    <row r="323" spans="1:2" x14ac:dyDescent="0.45">
      <c r="A323" s="18" t="s">
        <v>59</v>
      </c>
      <c r="B323" s="13">
        <v>14894.903999999999</v>
      </c>
    </row>
    <row r="324" spans="1:2" x14ac:dyDescent="0.45">
      <c r="A324" s="18" t="s">
        <v>530</v>
      </c>
      <c r="B324" s="13">
        <v>22526.66</v>
      </c>
    </row>
    <row r="325" spans="1:2" x14ac:dyDescent="0.45">
      <c r="A325" s="18" t="s">
        <v>432</v>
      </c>
      <c r="B325" s="13">
        <v>58091.634960000003</v>
      </c>
    </row>
    <row r="326" spans="1:2" x14ac:dyDescent="0.45">
      <c r="A326" s="18" t="s">
        <v>126</v>
      </c>
      <c r="B326" s="13">
        <v>65119.329599999997</v>
      </c>
    </row>
    <row r="327" spans="1:2" x14ac:dyDescent="0.45">
      <c r="A327" s="18" t="s">
        <v>112</v>
      </c>
      <c r="B327" s="13">
        <v>5960.3340000000007</v>
      </c>
    </row>
    <row r="328" spans="1:2" x14ac:dyDescent="0.45">
      <c r="A328" s="18" t="s">
        <v>587</v>
      </c>
      <c r="B328" s="13">
        <v>4280.6786400000001</v>
      </c>
    </row>
    <row r="329" spans="1:2" x14ac:dyDescent="0.45">
      <c r="A329" s="18" t="s">
        <v>283</v>
      </c>
      <c r="B329" s="13">
        <v>8567.3924999999999</v>
      </c>
    </row>
    <row r="330" spans="1:2" x14ac:dyDescent="0.45">
      <c r="A330" s="18" t="s">
        <v>32</v>
      </c>
      <c r="B330" s="13">
        <v>20225.2248</v>
      </c>
    </row>
    <row r="331" spans="1:2" x14ac:dyDescent="0.45">
      <c r="A331" s="18" t="s">
        <v>274</v>
      </c>
      <c r="B331" s="13">
        <v>38818.760160000005</v>
      </c>
    </row>
    <row r="332" spans="1:2" x14ac:dyDescent="0.45">
      <c r="A332" s="18" t="s">
        <v>332</v>
      </c>
      <c r="B332" s="13">
        <v>26015.449459999996</v>
      </c>
    </row>
    <row r="333" spans="1:2" x14ac:dyDescent="0.45">
      <c r="A333" s="18" t="s">
        <v>197</v>
      </c>
      <c r="B333" s="13">
        <v>8590.7094000000016</v>
      </c>
    </row>
    <row r="334" spans="1:2" x14ac:dyDescent="0.45">
      <c r="A334" s="18" t="s">
        <v>473</v>
      </c>
      <c r="B334" s="13">
        <v>84136.119600000005</v>
      </c>
    </row>
    <row r="335" spans="1:2" x14ac:dyDescent="0.45">
      <c r="A335" s="18" t="s">
        <v>452</v>
      </c>
      <c r="B335" s="13">
        <v>21664.440000000002</v>
      </c>
    </row>
    <row r="336" spans="1:2" x14ac:dyDescent="0.45">
      <c r="A336" s="18" t="s">
        <v>365</v>
      </c>
      <c r="B336" s="13">
        <v>49336.511399999996</v>
      </c>
    </row>
    <row r="337" spans="1:2" x14ac:dyDescent="0.45">
      <c r="A337" s="18" t="s">
        <v>433</v>
      </c>
      <c r="B337" s="13">
        <v>15366.983199999999</v>
      </c>
    </row>
    <row r="338" spans="1:2" x14ac:dyDescent="0.45">
      <c r="A338" s="18" t="s">
        <v>501</v>
      </c>
      <c r="B338" s="13">
        <v>110.14919999999999</v>
      </c>
    </row>
    <row r="339" spans="1:2" x14ac:dyDescent="0.45">
      <c r="A339" s="18" t="s">
        <v>395</v>
      </c>
      <c r="B339" s="13">
        <v>19773.362699999998</v>
      </c>
    </row>
    <row r="340" spans="1:2" x14ac:dyDescent="0.45">
      <c r="A340" s="18" t="s">
        <v>538</v>
      </c>
      <c r="B340" s="13">
        <v>9262.0686600000008</v>
      </c>
    </row>
    <row r="341" spans="1:2" x14ac:dyDescent="0.45">
      <c r="A341" s="18" t="s">
        <v>563</v>
      </c>
      <c r="B341" s="13">
        <v>33551.927499999998</v>
      </c>
    </row>
    <row r="342" spans="1:2" x14ac:dyDescent="0.45">
      <c r="A342" s="18" t="s">
        <v>418</v>
      </c>
      <c r="B342" s="13">
        <v>5323.9903199999999</v>
      </c>
    </row>
    <row r="343" spans="1:2" x14ac:dyDescent="0.45">
      <c r="A343" s="18" t="s">
        <v>254</v>
      </c>
      <c r="B343" s="13">
        <v>9774.3888000000006</v>
      </c>
    </row>
    <row r="344" spans="1:2" x14ac:dyDescent="0.45">
      <c r="A344" s="18" t="s">
        <v>56</v>
      </c>
      <c r="B344" s="13">
        <v>109244</v>
      </c>
    </row>
    <row r="345" spans="1:2" x14ac:dyDescent="0.45">
      <c r="A345" s="18" t="s">
        <v>609</v>
      </c>
      <c r="B345" s="13">
        <v>7466.3063999999986</v>
      </c>
    </row>
    <row r="346" spans="1:2" x14ac:dyDescent="0.45">
      <c r="A346" s="18" t="s">
        <v>166</v>
      </c>
      <c r="B346" s="13">
        <v>24147.922500000001</v>
      </c>
    </row>
    <row r="347" spans="1:2" x14ac:dyDescent="0.45">
      <c r="A347" s="18" t="s">
        <v>567</v>
      </c>
      <c r="B347" s="13">
        <v>13108.78584</v>
      </c>
    </row>
    <row r="348" spans="1:2" x14ac:dyDescent="0.45">
      <c r="A348" s="18" t="s">
        <v>457</v>
      </c>
      <c r="B348" s="13">
        <v>12289.2</v>
      </c>
    </row>
    <row r="349" spans="1:2" x14ac:dyDescent="0.45">
      <c r="A349" s="18" t="s">
        <v>509</v>
      </c>
      <c r="B349" s="13">
        <v>7428.1108999999988</v>
      </c>
    </row>
    <row r="350" spans="1:2" x14ac:dyDescent="0.45">
      <c r="A350" s="18" t="s">
        <v>241</v>
      </c>
      <c r="B350" s="13">
        <v>5280.8577599999999</v>
      </c>
    </row>
    <row r="351" spans="1:2" x14ac:dyDescent="0.45">
      <c r="A351" s="18" t="s">
        <v>344</v>
      </c>
      <c r="B351" s="13">
        <v>28247.74656</v>
      </c>
    </row>
    <row r="352" spans="1:2" x14ac:dyDescent="0.45">
      <c r="A352" s="18" t="s">
        <v>596</v>
      </c>
      <c r="B352" s="13">
        <v>68665.574250000005</v>
      </c>
    </row>
    <row r="353" spans="1:2" x14ac:dyDescent="0.45">
      <c r="A353" s="18" t="s">
        <v>502</v>
      </c>
      <c r="B353" s="13">
        <v>11859.695119999998</v>
      </c>
    </row>
    <row r="354" spans="1:2" x14ac:dyDescent="0.45">
      <c r="A354" s="18" t="s">
        <v>286</v>
      </c>
      <c r="B354" s="13">
        <v>34840.344000000005</v>
      </c>
    </row>
    <row r="355" spans="1:2" x14ac:dyDescent="0.45">
      <c r="A355" s="18" t="s">
        <v>442</v>
      </c>
      <c r="B355" s="13">
        <v>1950.0031200000001</v>
      </c>
    </row>
    <row r="356" spans="1:2" x14ac:dyDescent="0.45">
      <c r="A356" s="18" t="s">
        <v>135</v>
      </c>
      <c r="B356" s="13">
        <v>65111.38614000001</v>
      </c>
    </row>
    <row r="357" spans="1:2" x14ac:dyDescent="0.45">
      <c r="A357" s="18" t="s">
        <v>607</v>
      </c>
      <c r="B357" s="13">
        <v>5962.1422499999999</v>
      </c>
    </row>
    <row r="358" spans="1:2" x14ac:dyDescent="0.45">
      <c r="A358" s="18" t="s">
        <v>132</v>
      </c>
      <c r="B358" s="13">
        <v>10817.3416</v>
      </c>
    </row>
    <row r="359" spans="1:2" x14ac:dyDescent="0.45">
      <c r="A359" s="18" t="s">
        <v>17</v>
      </c>
      <c r="B359" s="13">
        <v>14714.12934</v>
      </c>
    </row>
    <row r="360" spans="1:2" x14ac:dyDescent="0.45">
      <c r="A360" s="18" t="s">
        <v>591</v>
      </c>
      <c r="B360" s="13">
        <v>40563.321749999996</v>
      </c>
    </row>
    <row r="361" spans="1:2" x14ac:dyDescent="0.45">
      <c r="A361" s="18" t="s">
        <v>95</v>
      </c>
      <c r="B361" s="13">
        <v>14197.064400000001</v>
      </c>
    </row>
    <row r="362" spans="1:2" x14ac:dyDescent="0.45">
      <c r="A362" s="18" t="s">
        <v>47</v>
      </c>
      <c r="B362" s="13">
        <v>14968.239</v>
      </c>
    </row>
    <row r="363" spans="1:2" x14ac:dyDescent="0.45">
      <c r="A363" s="18" t="s">
        <v>97</v>
      </c>
      <c r="B363" s="13">
        <v>11842.8464</v>
      </c>
    </row>
    <row r="364" spans="1:2" x14ac:dyDescent="0.45">
      <c r="A364" s="18" t="s">
        <v>137</v>
      </c>
      <c r="B364" s="13">
        <v>2642.1686999999997</v>
      </c>
    </row>
    <row r="365" spans="1:2" x14ac:dyDescent="0.45">
      <c r="A365" s="18" t="s">
        <v>179</v>
      </c>
      <c r="B365" s="13">
        <v>14549.029120000001</v>
      </c>
    </row>
    <row r="366" spans="1:2" x14ac:dyDescent="0.45">
      <c r="A366" s="18" t="s">
        <v>409</v>
      </c>
      <c r="B366" s="13">
        <v>17427.164800000002</v>
      </c>
    </row>
    <row r="367" spans="1:2" x14ac:dyDescent="0.45">
      <c r="A367" s="18" t="s">
        <v>550</v>
      </c>
      <c r="B367" s="13">
        <v>30652.403519999996</v>
      </c>
    </row>
    <row r="368" spans="1:2" x14ac:dyDescent="0.45">
      <c r="A368" s="18" t="s">
        <v>42</v>
      </c>
      <c r="B368" s="13">
        <v>13218.5</v>
      </c>
    </row>
    <row r="369" spans="1:2" x14ac:dyDescent="0.45">
      <c r="A369" s="18" t="s">
        <v>49</v>
      </c>
      <c r="B369" s="13">
        <v>41106.800970000004</v>
      </c>
    </row>
    <row r="370" spans="1:2" x14ac:dyDescent="0.45">
      <c r="A370" s="18" t="s">
        <v>106</v>
      </c>
      <c r="B370" s="13">
        <v>34139.159999999996</v>
      </c>
    </row>
    <row r="371" spans="1:2" x14ac:dyDescent="0.45">
      <c r="A371" s="18" t="s">
        <v>193</v>
      </c>
      <c r="B371" s="13">
        <v>26408.63841</v>
      </c>
    </row>
    <row r="372" spans="1:2" x14ac:dyDescent="0.45">
      <c r="A372" s="18" t="s">
        <v>484</v>
      </c>
      <c r="B372" s="13">
        <v>1009.2969000000002</v>
      </c>
    </row>
    <row r="373" spans="1:2" x14ac:dyDescent="0.45">
      <c r="A373" s="18" t="s">
        <v>351</v>
      </c>
      <c r="B373" s="13">
        <v>8938.8996600000009</v>
      </c>
    </row>
    <row r="374" spans="1:2" x14ac:dyDescent="0.45">
      <c r="A374" s="18" t="s">
        <v>481</v>
      </c>
      <c r="B374" s="13">
        <v>8330.2513199999994</v>
      </c>
    </row>
    <row r="375" spans="1:2" x14ac:dyDescent="0.45">
      <c r="A375" s="18" t="s">
        <v>439</v>
      </c>
      <c r="B375" s="13">
        <v>58057.65</v>
      </c>
    </row>
    <row r="376" spans="1:2" x14ac:dyDescent="0.45">
      <c r="A376" s="18" t="s">
        <v>424</v>
      </c>
      <c r="B376" s="13">
        <v>10893.6232</v>
      </c>
    </row>
    <row r="377" spans="1:2" x14ac:dyDescent="0.45">
      <c r="A377" s="18" t="s">
        <v>258</v>
      </c>
      <c r="B377" s="13">
        <v>12186.368600000002</v>
      </c>
    </row>
    <row r="378" spans="1:2" x14ac:dyDescent="0.45">
      <c r="A378" s="18" t="s">
        <v>204</v>
      </c>
      <c r="B378" s="13">
        <v>21679.749799999998</v>
      </c>
    </row>
    <row r="379" spans="1:2" x14ac:dyDescent="0.45">
      <c r="A379" s="18" t="s">
        <v>411</v>
      </c>
      <c r="B379" s="13">
        <v>5250.4239000000007</v>
      </c>
    </row>
    <row r="380" spans="1:2" x14ac:dyDescent="0.45">
      <c r="A380" s="18" t="s">
        <v>218</v>
      </c>
      <c r="B380" s="13">
        <v>18061.204320000004</v>
      </c>
    </row>
    <row r="381" spans="1:2" x14ac:dyDescent="0.45">
      <c r="A381" s="18" t="s">
        <v>566</v>
      </c>
      <c r="B381" s="13">
        <v>10519.776450000001</v>
      </c>
    </row>
    <row r="382" spans="1:2" x14ac:dyDescent="0.45">
      <c r="A382" s="18" t="s">
        <v>216</v>
      </c>
      <c r="B382" s="13">
        <v>15825.399369999997</v>
      </c>
    </row>
    <row r="383" spans="1:2" x14ac:dyDescent="0.45">
      <c r="A383" s="18" t="s">
        <v>592</v>
      </c>
      <c r="B383" s="13">
        <v>3823.6151599999998</v>
      </c>
    </row>
    <row r="384" spans="1:2" x14ac:dyDescent="0.45">
      <c r="A384" s="18" t="s">
        <v>382</v>
      </c>
      <c r="B384" s="13">
        <v>31005.24768</v>
      </c>
    </row>
    <row r="385" spans="1:2" x14ac:dyDescent="0.45">
      <c r="A385" s="18" t="s">
        <v>45</v>
      </c>
      <c r="B385" s="13">
        <v>18957.37689</v>
      </c>
    </row>
    <row r="386" spans="1:2" x14ac:dyDescent="0.45">
      <c r="A386" s="18" t="s">
        <v>368</v>
      </c>
      <c r="B386" s="13">
        <v>35167.7448</v>
      </c>
    </row>
    <row r="387" spans="1:2" x14ac:dyDescent="0.45">
      <c r="A387" s="18" t="s">
        <v>536</v>
      </c>
      <c r="B387" s="13">
        <v>58526.83122</v>
      </c>
    </row>
    <row r="388" spans="1:2" x14ac:dyDescent="0.45">
      <c r="A388" s="18" t="s">
        <v>329</v>
      </c>
      <c r="B388" s="13">
        <v>7493.1076000000012</v>
      </c>
    </row>
    <row r="389" spans="1:2" x14ac:dyDescent="0.45">
      <c r="A389" s="18" t="s">
        <v>226</v>
      </c>
      <c r="B389" s="13">
        <v>6535.6324800000002</v>
      </c>
    </row>
    <row r="390" spans="1:2" x14ac:dyDescent="0.45">
      <c r="A390" s="18" t="s">
        <v>505</v>
      </c>
      <c r="B390" s="13">
        <v>25249.613219999999</v>
      </c>
    </row>
    <row r="391" spans="1:2" x14ac:dyDescent="0.45">
      <c r="A391" s="18" t="s">
        <v>515</v>
      </c>
      <c r="B391" s="13">
        <v>15323.926799999999</v>
      </c>
    </row>
    <row r="392" spans="1:2" x14ac:dyDescent="0.45">
      <c r="A392" s="18" t="s">
        <v>620</v>
      </c>
      <c r="B392" s="13">
        <v>9256.14</v>
      </c>
    </row>
    <row r="393" spans="1:2" x14ac:dyDescent="0.45">
      <c r="A393" s="18" t="s">
        <v>451</v>
      </c>
      <c r="B393" s="13">
        <v>5960.04288</v>
      </c>
    </row>
    <row r="394" spans="1:2" x14ac:dyDescent="0.45">
      <c r="A394" s="18" t="s">
        <v>280</v>
      </c>
      <c r="B394" s="13">
        <v>34632.106319999999</v>
      </c>
    </row>
    <row r="395" spans="1:2" x14ac:dyDescent="0.45">
      <c r="A395" s="18" t="s">
        <v>427</v>
      </c>
      <c r="B395" s="13">
        <v>9509.2865999999995</v>
      </c>
    </row>
    <row r="396" spans="1:2" x14ac:dyDescent="0.45">
      <c r="A396" s="18" t="s">
        <v>627</v>
      </c>
      <c r="B396" s="13">
        <v>41419.524249999995</v>
      </c>
    </row>
    <row r="397" spans="1:2" x14ac:dyDescent="0.45">
      <c r="A397" s="18" t="s">
        <v>198</v>
      </c>
      <c r="B397" s="13">
        <v>19542.975350000001</v>
      </c>
    </row>
    <row r="398" spans="1:2" x14ac:dyDescent="0.45">
      <c r="A398" s="18" t="s">
        <v>165</v>
      </c>
      <c r="B398" s="13">
        <v>7203.8047000000006</v>
      </c>
    </row>
    <row r="399" spans="1:2" x14ac:dyDescent="0.45">
      <c r="A399" s="18" t="s">
        <v>576</v>
      </c>
      <c r="B399" s="13">
        <v>25079.480689999997</v>
      </c>
    </row>
    <row r="400" spans="1:2" x14ac:dyDescent="0.45">
      <c r="A400" s="18" t="s">
        <v>113</v>
      </c>
      <c r="B400" s="13">
        <v>12335.654849999999</v>
      </c>
    </row>
    <row r="401" spans="1:2" x14ac:dyDescent="0.45">
      <c r="A401" s="18" t="s">
        <v>517</v>
      </c>
      <c r="B401" s="13">
        <v>8297.4286000000011</v>
      </c>
    </row>
    <row r="402" spans="1:2" x14ac:dyDescent="0.45">
      <c r="A402" s="18" t="s">
        <v>227</v>
      </c>
      <c r="B402" s="13">
        <v>28211.92124</v>
      </c>
    </row>
    <row r="403" spans="1:2" x14ac:dyDescent="0.45">
      <c r="A403" s="18" t="s">
        <v>147</v>
      </c>
      <c r="B403" s="13">
        <v>35567.737920000007</v>
      </c>
    </row>
    <row r="404" spans="1:2" x14ac:dyDescent="0.45">
      <c r="A404" s="18" t="s">
        <v>474</v>
      </c>
      <c r="B404" s="13">
        <v>2719.8567000000003</v>
      </c>
    </row>
    <row r="405" spans="1:2" x14ac:dyDescent="0.45">
      <c r="A405" s="18" t="s">
        <v>35</v>
      </c>
      <c r="B405" s="13">
        <v>1756.6999999999998</v>
      </c>
    </row>
    <row r="406" spans="1:2" x14ac:dyDescent="0.45">
      <c r="A406" s="18" t="s">
        <v>304</v>
      </c>
      <c r="B406" s="13">
        <v>4241.88105</v>
      </c>
    </row>
    <row r="407" spans="1:2" x14ac:dyDescent="0.45">
      <c r="A407" s="18" t="s">
        <v>499</v>
      </c>
      <c r="B407" s="13">
        <v>6664.0999999999995</v>
      </c>
    </row>
    <row r="408" spans="1:2" x14ac:dyDescent="0.45">
      <c r="A408" s="18" t="s">
        <v>117</v>
      </c>
      <c r="B408" s="13">
        <v>1660.3999999999999</v>
      </c>
    </row>
    <row r="409" spans="1:2" x14ac:dyDescent="0.45">
      <c r="A409" s="18" t="s">
        <v>29</v>
      </c>
      <c r="B409" s="13">
        <v>23782.310720000001</v>
      </c>
    </row>
    <row r="410" spans="1:2" x14ac:dyDescent="0.45">
      <c r="A410" s="18" t="s">
        <v>82</v>
      </c>
      <c r="B410" s="13">
        <v>9373.460219999999</v>
      </c>
    </row>
    <row r="411" spans="1:2" x14ac:dyDescent="0.45">
      <c r="A411" s="18" t="s">
        <v>244</v>
      </c>
      <c r="B411" s="13">
        <v>37038.581760000001</v>
      </c>
    </row>
    <row r="412" spans="1:2" x14ac:dyDescent="0.45">
      <c r="A412" s="18" t="s">
        <v>436</v>
      </c>
      <c r="B412" s="13">
        <v>13450.74</v>
      </c>
    </row>
    <row r="413" spans="1:2" x14ac:dyDescent="0.45">
      <c r="A413" s="18" t="s">
        <v>630</v>
      </c>
      <c r="B413" s="13">
        <v>30229.994880000002</v>
      </c>
    </row>
    <row r="414" spans="1:2" x14ac:dyDescent="0.45">
      <c r="A414" s="18" t="s">
        <v>374</v>
      </c>
      <c r="B414" s="13">
        <v>19547.329920000004</v>
      </c>
    </row>
    <row r="415" spans="1:2" x14ac:dyDescent="0.45">
      <c r="A415" s="18" t="s">
        <v>328</v>
      </c>
      <c r="B415" s="13">
        <v>22380.204000000002</v>
      </c>
    </row>
    <row r="416" spans="1:2" x14ac:dyDescent="0.45">
      <c r="A416" s="18" t="s">
        <v>531</v>
      </c>
      <c r="B416" s="13">
        <v>16121.273400000002</v>
      </c>
    </row>
    <row r="417" spans="1:2" x14ac:dyDescent="0.45">
      <c r="A417" s="18" t="s">
        <v>282</v>
      </c>
      <c r="B417" s="13">
        <v>11417.429099999999</v>
      </c>
    </row>
    <row r="418" spans="1:2" x14ac:dyDescent="0.45">
      <c r="A418" s="18" t="s">
        <v>145</v>
      </c>
      <c r="B418" s="13">
        <v>9698.1638399999993</v>
      </c>
    </row>
    <row r="419" spans="1:2" x14ac:dyDescent="0.45">
      <c r="A419" s="18" t="s">
        <v>441</v>
      </c>
      <c r="B419" s="13">
        <v>12967.958640000001</v>
      </c>
    </row>
    <row r="420" spans="1:2" x14ac:dyDescent="0.45">
      <c r="A420" s="18" t="s">
        <v>617</v>
      </c>
      <c r="B420" s="13">
        <v>2077.46</v>
      </c>
    </row>
    <row r="421" spans="1:2" x14ac:dyDescent="0.45">
      <c r="A421" s="18" t="s">
        <v>110</v>
      </c>
      <c r="B421" s="13">
        <v>6324.5775999999996</v>
      </c>
    </row>
    <row r="422" spans="1:2" x14ac:dyDescent="0.45">
      <c r="A422" s="18" t="s">
        <v>460</v>
      </c>
      <c r="B422" s="13">
        <v>23694.405119999999</v>
      </c>
    </row>
    <row r="423" spans="1:2" x14ac:dyDescent="0.45">
      <c r="A423" s="18" t="s">
        <v>253</v>
      </c>
      <c r="B423" s="13">
        <v>2909.8689199999999</v>
      </c>
    </row>
    <row r="424" spans="1:2" x14ac:dyDescent="0.45">
      <c r="A424" s="18" t="s">
        <v>36</v>
      </c>
      <c r="B424" s="13">
        <v>3980.7075</v>
      </c>
    </row>
    <row r="425" spans="1:2" x14ac:dyDescent="0.45">
      <c r="A425" s="18" t="s">
        <v>263</v>
      </c>
      <c r="B425" s="13">
        <v>24161.205600000001</v>
      </c>
    </row>
    <row r="426" spans="1:2" x14ac:dyDescent="0.45">
      <c r="A426" s="18" t="s">
        <v>295</v>
      </c>
      <c r="B426" s="13">
        <v>20028.787380000002</v>
      </c>
    </row>
    <row r="427" spans="1:2" x14ac:dyDescent="0.45">
      <c r="A427" s="18" t="s">
        <v>251</v>
      </c>
      <c r="B427" s="13">
        <v>748.22303999999997</v>
      </c>
    </row>
    <row r="428" spans="1:2" x14ac:dyDescent="0.45">
      <c r="A428" s="18" t="s">
        <v>383</v>
      </c>
      <c r="B428" s="13">
        <v>38422.022320000004</v>
      </c>
    </row>
    <row r="429" spans="1:2" x14ac:dyDescent="0.45">
      <c r="A429" s="18" t="s">
        <v>568</v>
      </c>
      <c r="B429" s="13">
        <v>13251.48</v>
      </c>
    </row>
    <row r="430" spans="1:2" x14ac:dyDescent="0.45">
      <c r="A430" s="18" t="s">
        <v>312</v>
      </c>
      <c r="B430" s="13">
        <v>5932.7856000000002</v>
      </c>
    </row>
    <row r="431" spans="1:2" x14ac:dyDescent="0.45">
      <c r="A431" s="18" t="s">
        <v>277</v>
      </c>
      <c r="B431" s="13">
        <v>7678.2113999999992</v>
      </c>
    </row>
    <row r="432" spans="1:2" x14ac:dyDescent="0.45">
      <c r="A432" s="18" t="s">
        <v>456</v>
      </c>
      <c r="B432" s="13">
        <v>45547.183360000003</v>
      </c>
    </row>
    <row r="433" spans="1:2" x14ac:dyDescent="0.45">
      <c r="A433" s="18" t="s">
        <v>22</v>
      </c>
      <c r="B433" s="13">
        <v>21585.15</v>
      </c>
    </row>
    <row r="434" spans="1:2" x14ac:dyDescent="0.45">
      <c r="A434" s="18" t="s">
        <v>367</v>
      </c>
      <c r="B434" s="13">
        <v>14813.731920000002</v>
      </c>
    </row>
    <row r="435" spans="1:2" x14ac:dyDescent="0.45">
      <c r="A435" s="18" t="s">
        <v>528</v>
      </c>
      <c r="B435" s="13">
        <v>7399.4832000000006</v>
      </c>
    </row>
    <row r="436" spans="1:2" x14ac:dyDescent="0.45">
      <c r="A436" s="18" t="s">
        <v>352</v>
      </c>
      <c r="B436" s="13">
        <v>3175.1547799999998</v>
      </c>
    </row>
    <row r="437" spans="1:2" x14ac:dyDescent="0.45">
      <c r="A437" s="18" t="s">
        <v>247</v>
      </c>
      <c r="B437" s="13">
        <v>3823.5108</v>
      </c>
    </row>
    <row r="438" spans="1:2" x14ac:dyDescent="0.45">
      <c r="A438" s="18" t="s">
        <v>354</v>
      </c>
      <c r="B438" s="13">
        <v>79082.507010000001</v>
      </c>
    </row>
    <row r="439" spans="1:2" x14ac:dyDescent="0.45">
      <c r="A439" s="18" t="s">
        <v>150</v>
      </c>
      <c r="B439" s="13">
        <v>8211.6342000000004</v>
      </c>
    </row>
    <row r="440" spans="1:2" x14ac:dyDescent="0.45">
      <c r="A440" s="18" t="s">
        <v>69</v>
      </c>
      <c r="B440" s="13">
        <v>33687.501800000005</v>
      </c>
    </row>
    <row r="441" spans="1:2" x14ac:dyDescent="0.45">
      <c r="A441" s="18" t="s">
        <v>608</v>
      </c>
      <c r="B441" s="13">
        <v>33938.142760000002</v>
      </c>
    </row>
    <row r="442" spans="1:2" x14ac:dyDescent="0.45">
      <c r="A442" s="18" t="s">
        <v>119</v>
      </c>
      <c r="B442" s="13">
        <v>27676.35</v>
      </c>
    </row>
    <row r="443" spans="1:2" x14ac:dyDescent="0.45">
      <c r="A443" s="18" t="s">
        <v>361</v>
      </c>
      <c r="B443" s="13">
        <v>34816.968000000001</v>
      </c>
    </row>
    <row r="444" spans="1:2" x14ac:dyDescent="0.45">
      <c r="A444" s="18" t="s">
        <v>121</v>
      </c>
      <c r="B444" s="13">
        <v>34.689059999999998</v>
      </c>
    </row>
    <row r="445" spans="1:2" x14ac:dyDescent="0.45">
      <c r="A445" s="18" t="s">
        <v>363</v>
      </c>
      <c r="B445" s="13">
        <v>23195.01828</v>
      </c>
    </row>
    <row r="446" spans="1:2" x14ac:dyDescent="0.45">
      <c r="A446" s="18" t="s">
        <v>321</v>
      </c>
      <c r="B446" s="13">
        <v>40325.31</v>
      </c>
    </row>
    <row r="447" spans="1:2" x14ac:dyDescent="0.45">
      <c r="A447" s="18" t="s">
        <v>625</v>
      </c>
      <c r="B447" s="13">
        <v>0</v>
      </c>
    </row>
    <row r="448" spans="1:2" x14ac:dyDescent="0.45">
      <c r="A448" s="18" t="s">
        <v>81</v>
      </c>
      <c r="B448" s="13">
        <v>20171.63305</v>
      </c>
    </row>
    <row r="449" spans="1:2" x14ac:dyDescent="0.45">
      <c r="A449" s="18" t="s">
        <v>178</v>
      </c>
      <c r="B449" s="13">
        <v>2316.2621999999997</v>
      </c>
    </row>
    <row r="450" spans="1:2" x14ac:dyDescent="0.45">
      <c r="A450" s="18" t="s">
        <v>601</v>
      </c>
      <c r="B450" s="13">
        <v>5725.6496000000006</v>
      </c>
    </row>
    <row r="451" spans="1:2" x14ac:dyDescent="0.45">
      <c r="A451" s="18" t="s">
        <v>284</v>
      </c>
      <c r="B451" s="13">
        <v>79548.755999999994</v>
      </c>
    </row>
    <row r="452" spans="1:2" x14ac:dyDescent="0.45">
      <c r="A452" s="18" t="s">
        <v>186</v>
      </c>
      <c r="B452" s="13">
        <v>321.93290999999999</v>
      </c>
    </row>
    <row r="453" spans="1:2" x14ac:dyDescent="0.45">
      <c r="A453" s="18" t="s">
        <v>519</v>
      </c>
      <c r="B453" s="13">
        <v>3525.5505600000001</v>
      </c>
    </row>
    <row r="454" spans="1:2" x14ac:dyDescent="0.45">
      <c r="A454" s="18" t="s">
        <v>366</v>
      </c>
      <c r="B454" s="13">
        <v>4071.8</v>
      </c>
    </row>
    <row r="455" spans="1:2" x14ac:dyDescent="0.45">
      <c r="A455" s="18" t="s">
        <v>520</v>
      </c>
      <c r="B455" s="13">
        <v>50296.415399999998</v>
      </c>
    </row>
    <row r="456" spans="1:2" x14ac:dyDescent="0.45">
      <c r="A456" s="18" t="s">
        <v>57</v>
      </c>
      <c r="B456" s="13">
        <v>35621.302319999995</v>
      </c>
    </row>
    <row r="457" spans="1:2" x14ac:dyDescent="0.45">
      <c r="A457" s="18" t="s">
        <v>205</v>
      </c>
      <c r="B457" s="13">
        <v>11326.846439999999</v>
      </c>
    </row>
    <row r="458" spans="1:2" x14ac:dyDescent="0.45">
      <c r="A458" s="18" t="s">
        <v>183</v>
      </c>
      <c r="B458" s="13">
        <v>1952.6356799999999</v>
      </c>
    </row>
    <row r="459" spans="1:2" x14ac:dyDescent="0.45">
      <c r="A459" s="18" t="s">
        <v>444</v>
      </c>
      <c r="B459" s="13">
        <v>5546.4642200000008</v>
      </c>
    </row>
    <row r="460" spans="1:2" x14ac:dyDescent="0.45">
      <c r="A460" s="18" t="s">
        <v>407</v>
      </c>
      <c r="B460" s="13">
        <v>12972.00222</v>
      </c>
    </row>
    <row r="461" spans="1:2" x14ac:dyDescent="0.45">
      <c r="A461" s="18" t="s">
        <v>496</v>
      </c>
      <c r="B461" s="13">
        <v>4025.8565599999993</v>
      </c>
    </row>
    <row r="462" spans="1:2" x14ac:dyDescent="0.45">
      <c r="A462" s="18" t="s">
        <v>574</v>
      </c>
      <c r="B462" s="13">
        <v>17540.201120000002</v>
      </c>
    </row>
    <row r="463" spans="1:2" x14ac:dyDescent="0.45">
      <c r="A463" s="18" t="s">
        <v>220</v>
      </c>
      <c r="B463" s="13">
        <v>6984.8246399999998</v>
      </c>
    </row>
    <row r="464" spans="1:2" x14ac:dyDescent="0.45">
      <c r="A464" s="18" t="s">
        <v>435</v>
      </c>
      <c r="B464" s="13">
        <v>20038.536</v>
      </c>
    </row>
    <row r="465" spans="1:2" x14ac:dyDescent="0.45">
      <c r="A465" s="18" t="s">
        <v>102</v>
      </c>
      <c r="B465" s="13">
        <v>20079.343620000003</v>
      </c>
    </row>
    <row r="466" spans="1:2" x14ac:dyDescent="0.45">
      <c r="A466" s="18" t="s">
        <v>51</v>
      </c>
      <c r="B466" s="13">
        <v>31404.1</v>
      </c>
    </row>
    <row r="467" spans="1:2" x14ac:dyDescent="0.45">
      <c r="A467" s="18" t="s">
        <v>209</v>
      </c>
      <c r="B467" s="13">
        <v>4637.7968000000001</v>
      </c>
    </row>
    <row r="468" spans="1:2" x14ac:dyDescent="0.45">
      <c r="A468" s="18" t="s">
        <v>91</v>
      </c>
      <c r="B468" s="13">
        <v>5331.6696000000002</v>
      </c>
    </row>
    <row r="469" spans="1:2" x14ac:dyDescent="0.45">
      <c r="A469" s="18" t="s">
        <v>373</v>
      </c>
      <c r="B469" s="13">
        <v>21584.693520000001</v>
      </c>
    </row>
    <row r="470" spans="1:2" x14ac:dyDescent="0.45">
      <c r="A470" s="18" t="s">
        <v>245</v>
      </c>
      <c r="B470" s="13">
        <v>139277.83032000001</v>
      </c>
    </row>
    <row r="471" spans="1:2" x14ac:dyDescent="0.45">
      <c r="A471" s="18" t="s">
        <v>522</v>
      </c>
      <c r="B471" s="13">
        <v>33308.550000000003</v>
      </c>
    </row>
    <row r="472" spans="1:2" x14ac:dyDescent="0.45">
      <c r="A472" s="18" t="s">
        <v>313</v>
      </c>
      <c r="B472" s="13">
        <v>1641.7107199999998</v>
      </c>
    </row>
    <row r="473" spans="1:2" x14ac:dyDescent="0.45">
      <c r="A473" s="18" t="s">
        <v>215</v>
      </c>
      <c r="B473" s="13">
        <v>28386.015839999996</v>
      </c>
    </row>
    <row r="474" spans="1:2" x14ac:dyDescent="0.45">
      <c r="A474" s="18" t="s">
        <v>543</v>
      </c>
      <c r="B474" s="13">
        <v>15155.326800000001</v>
      </c>
    </row>
    <row r="475" spans="1:2" x14ac:dyDescent="0.45">
      <c r="A475" s="18" t="s">
        <v>626</v>
      </c>
      <c r="B475" s="13">
        <v>25174.028880000002</v>
      </c>
    </row>
    <row r="476" spans="1:2" x14ac:dyDescent="0.45">
      <c r="A476" s="18" t="s">
        <v>588</v>
      </c>
      <c r="B476" s="13">
        <v>7173.3342799999991</v>
      </c>
    </row>
    <row r="477" spans="1:2" x14ac:dyDescent="0.45">
      <c r="A477" s="18" t="s">
        <v>12</v>
      </c>
      <c r="B477" s="13">
        <v>5225.2710400000005</v>
      </c>
    </row>
    <row r="478" spans="1:2" x14ac:dyDescent="0.45">
      <c r="A478" s="18" t="s">
        <v>578</v>
      </c>
      <c r="B478" s="13">
        <v>3378.1478400000001</v>
      </c>
    </row>
    <row r="479" spans="1:2" x14ac:dyDescent="0.45">
      <c r="A479" s="18" t="s">
        <v>580</v>
      </c>
      <c r="B479" s="13">
        <v>841.00536</v>
      </c>
    </row>
    <row r="480" spans="1:2" x14ac:dyDescent="0.45">
      <c r="A480" s="18" t="s">
        <v>129</v>
      </c>
      <c r="B480" s="13">
        <v>39516.804389999998</v>
      </c>
    </row>
    <row r="481" spans="1:2" x14ac:dyDescent="0.45">
      <c r="A481" s="18" t="s">
        <v>266</v>
      </c>
      <c r="B481" s="13">
        <v>4375.3620000000001</v>
      </c>
    </row>
    <row r="482" spans="1:2" x14ac:dyDescent="0.45">
      <c r="A482" s="18" t="s">
        <v>384</v>
      </c>
      <c r="B482" s="13">
        <v>43553.493060000001</v>
      </c>
    </row>
    <row r="483" spans="1:2" x14ac:dyDescent="0.45">
      <c r="A483" s="18" t="s">
        <v>610</v>
      </c>
      <c r="B483" s="13">
        <v>1062.5902000000001</v>
      </c>
    </row>
    <row r="484" spans="1:2" x14ac:dyDescent="0.45">
      <c r="A484" s="18" t="s">
        <v>308</v>
      </c>
      <c r="B484" s="13">
        <v>25577.274079999999</v>
      </c>
    </row>
    <row r="485" spans="1:2" x14ac:dyDescent="0.45">
      <c r="A485" s="18" t="s">
        <v>388</v>
      </c>
      <c r="B485" s="13">
        <v>11332.142999999998</v>
      </c>
    </row>
    <row r="486" spans="1:2" x14ac:dyDescent="0.45">
      <c r="A486" s="18" t="s">
        <v>426</v>
      </c>
      <c r="B486" s="13">
        <v>741.43835999999999</v>
      </c>
    </row>
    <row r="487" spans="1:2" x14ac:dyDescent="0.45">
      <c r="A487" s="18" t="s">
        <v>323</v>
      </c>
      <c r="B487" s="13">
        <v>8780.5809000000008</v>
      </c>
    </row>
    <row r="488" spans="1:2" x14ac:dyDescent="0.45">
      <c r="A488" s="18" t="s">
        <v>26</v>
      </c>
      <c r="B488" s="13">
        <v>35367.211040000002</v>
      </c>
    </row>
    <row r="489" spans="1:2" x14ac:dyDescent="0.45">
      <c r="A489" s="18" t="s">
        <v>155</v>
      </c>
      <c r="B489" s="13">
        <v>3562.9028999999996</v>
      </c>
    </row>
    <row r="490" spans="1:2" x14ac:dyDescent="0.45">
      <c r="A490" s="18" t="s">
        <v>159</v>
      </c>
      <c r="B490" s="13">
        <v>7901.5041599999995</v>
      </c>
    </row>
    <row r="491" spans="1:2" x14ac:dyDescent="0.45">
      <c r="A491" s="18" t="s">
        <v>593</v>
      </c>
      <c r="B491" s="13">
        <v>22676.312610000001</v>
      </c>
    </row>
    <row r="492" spans="1:2" x14ac:dyDescent="0.45">
      <c r="A492" s="18" t="s">
        <v>257</v>
      </c>
      <c r="B492" s="13">
        <v>11813.604160000001</v>
      </c>
    </row>
    <row r="493" spans="1:2" x14ac:dyDescent="0.45">
      <c r="A493" s="18" t="s">
        <v>491</v>
      </c>
      <c r="B493" s="13">
        <v>5127.0390600000001</v>
      </c>
    </row>
    <row r="494" spans="1:2" x14ac:dyDescent="0.45">
      <c r="A494" s="18" t="s">
        <v>497</v>
      </c>
      <c r="B494" s="13">
        <v>9614.4403999999995</v>
      </c>
    </row>
    <row r="495" spans="1:2" x14ac:dyDescent="0.45">
      <c r="A495" s="18" t="s">
        <v>615</v>
      </c>
      <c r="B495" s="13">
        <v>29175.036029999999</v>
      </c>
    </row>
    <row r="496" spans="1:2" x14ac:dyDescent="0.45">
      <c r="A496" s="18" t="s">
        <v>105</v>
      </c>
      <c r="B496" s="13">
        <v>147.00756000000001</v>
      </c>
    </row>
    <row r="497" spans="1:2" x14ac:dyDescent="0.45">
      <c r="A497" s="18" t="s">
        <v>381</v>
      </c>
      <c r="B497" s="13">
        <v>4117.4880599999997</v>
      </c>
    </row>
    <row r="498" spans="1:2" x14ac:dyDescent="0.45">
      <c r="A498" s="18" t="s">
        <v>429</v>
      </c>
      <c r="B498" s="13">
        <v>9984.7160999999978</v>
      </c>
    </row>
    <row r="499" spans="1:2" x14ac:dyDescent="0.45">
      <c r="A499" s="18" t="s">
        <v>311</v>
      </c>
      <c r="B499" s="13">
        <v>8093.4784</v>
      </c>
    </row>
    <row r="500" spans="1:2" x14ac:dyDescent="0.45">
      <c r="A500" s="18" t="s">
        <v>597</v>
      </c>
      <c r="B500" s="13">
        <v>12040.64352</v>
      </c>
    </row>
    <row r="501" spans="1:2" x14ac:dyDescent="0.45">
      <c r="A501" s="18" t="s">
        <v>584</v>
      </c>
      <c r="B501" s="13">
        <v>12091.190399999999</v>
      </c>
    </row>
    <row r="502" spans="1:2" x14ac:dyDescent="0.45">
      <c r="A502" s="18" t="s">
        <v>236</v>
      </c>
      <c r="B502" s="13">
        <v>16609.090809999998</v>
      </c>
    </row>
    <row r="503" spans="1:2" x14ac:dyDescent="0.45">
      <c r="A503" s="18" t="s">
        <v>471</v>
      </c>
      <c r="B503" s="13">
        <v>1886.9915999999998</v>
      </c>
    </row>
    <row r="504" spans="1:2" x14ac:dyDescent="0.45">
      <c r="A504" s="18" t="s">
        <v>377</v>
      </c>
      <c r="B504" s="13">
        <v>4569.5735999999997</v>
      </c>
    </row>
    <row r="505" spans="1:2" x14ac:dyDescent="0.45">
      <c r="A505" s="18" t="s">
        <v>542</v>
      </c>
      <c r="B505" s="13">
        <v>42433.254400000005</v>
      </c>
    </row>
    <row r="506" spans="1:2" x14ac:dyDescent="0.45">
      <c r="A506" s="18" t="s">
        <v>342</v>
      </c>
      <c r="B506" s="13">
        <v>4856.35725</v>
      </c>
    </row>
    <row r="507" spans="1:2" x14ac:dyDescent="0.45">
      <c r="A507" s="18" t="s">
        <v>109</v>
      </c>
      <c r="B507" s="13">
        <v>52780.07</v>
      </c>
    </row>
    <row r="508" spans="1:2" x14ac:dyDescent="0.45">
      <c r="A508" s="18" t="s">
        <v>93</v>
      </c>
      <c r="B508" s="13">
        <v>21062.61248</v>
      </c>
    </row>
    <row r="509" spans="1:2" x14ac:dyDescent="0.45">
      <c r="A509" s="18" t="s">
        <v>511</v>
      </c>
      <c r="B509" s="13">
        <v>8637.1874499999994</v>
      </c>
    </row>
    <row r="510" spans="1:2" x14ac:dyDescent="0.45">
      <c r="A510" s="18" t="s">
        <v>562</v>
      </c>
      <c r="B510" s="13">
        <v>15860.782080000001</v>
      </c>
    </row>
    <row r="511" spans="1:2" x14ac:dyDescent="0.45">
      <c r="A511" s="18" t="s">
        <v>561</v>
      </c>
      <c r="B511" s="13">
        <v>20163.409200000002</v>
      </c>
    </row>
    <row r="512" spans="1:2" x14ac:dyDescent="0.45">
      <c r="A512" s="18" t="s">
        <v>142</v>
      </c>
      <c r="B512" s="13">
        <v>3494.4040799999998</v>
      </c>
    </row>
    <row r="513" spans="1:2" x14ac:dyDescent="0.45">
      <c r="A513" s="18" t="s">
        <v>315</v>
      </c>
      <c r="B513" s="13">
        <v>3644.3212800000006</v>
      </c>
    </row>
    <row r="514" spans="1:2" x14ac:dyDescent="0.45">
      <c r="A514" s="18" t="s">
        <v>303</v>
      </c>
      <c r="B514" s="13">
        <v>20455.985130000001</v>
      </c>
    </row>
    <row r="515" spans="1:2" x14ac:dyDescent="0.45">
      <c r="A515" s="18" t="s">
        <v>425</v>
      </c>
      <c r="B515" s="13">
        <v>7969.4615000000003</v>
      </c>
    </row>
    <row r="516" spans="1:2" x14ac:dyDescent="0.45">
      <c r="A516" s="18" t="s">
        <v>316</v>
      </c>
      <c r="B516" s="13">
        <v>5334.9141999999993</v>
      </c>
    </row>
    <row r="517" spans="1:2" x14ac:dyDescent="0.45">
      <c r="A517" s="18" t="s">
        <v>490</v>
      </c>
      <c r="B517" s="13">
        <v>36161.097000000002</v>
      </c>
    </row>
    <row r="518" spans="1:2" x14ac:dyDescent="0.45">
      <c r="A518" s="18" t="s">
        <v>461</v>
      </c>
      <c r="B518" s="13">
        <v>11984.891250000001</v>
      </c>
    </row>
    <row r="519" spans="1:2" x14ac:dyDescent="0.45">
      <c r="A519" s="18" t="s">
        <v>168</v>
      </c>
      <c r="B519" s="13">
        <v>29263.754519999995</v>
      </c>
    </row>
    <row r="520" spans="1:2" x14ac:dyDescent="0.45">
      <c r="A520" s="18" t="s">
        <v>559</v>
      </c>
      <c r="B520" s="13">
        <v>1846.8040799999999</v>
      </c>
    </row>
    <row r="521" spans="1:2" x14ac:dyDescent="0.45">
      <c r="A521" s="18" t="s">
        <v>272</v>
      </c>
      <c r="B521" s="13">
        <v>40139.874619999995</v>
      </c>
    </row>
    <row r="522" spans="1:2" x14ac:dyDescent="0.45">
      <c r="A522" s="18" t="s">
        <v>534</v>
      </c>
      <c r="B522" s="13">
        <v>2146.5580500000001</v>
      </c>
    </row>
    <row r="523" spans="1:2" x14ac:dyDescent="0.45">
      <c r="A523" s="18" t="s">
        <v>455</v>
      </c>
      <c r="B523" s="13">
        <v>5565.3272500000003</v>
      </c>
    </row>
    <row r="524" spans="1:2" x14ac:dyDescent="0.45">
      <c r="A524" s="18" t="s">
        <v>514</v>
      </c>
      <c r="B524" s="13">
        <v>34800.431400000001</v>
      </c>
    </row>
    <row r="525" spans="1:2" x14ac:dyDescent="0.45">
      <c r="A525" s="18" t="s">
        <v>41</v>
      </c>
      <c r="B525" s="13">
        <v>9647.3852800000004</v>
      </c>
    </row>
    <row r="526" spans="1:2" x14ac:dyDescent="0.45">
      <c r="A526" s="18" t="s">
        <v>357</v>
      </c>
      <c r="B526" s="13">
        <v>12236.874600000001</v>
      </c>
    </row>
    <row r="527" spans="1:2" x14ac:dyDescent="0.45">
      <c r="A527" s="18" t="s">
        <v>279</v>
      </c>
      <c r="B527" s="13">
        <v>7120.6486400000003</v>
      </c>
    </row>
    <row r="528" spans="1:2" x14ac:dyDescent="0.45">
      <c r="A528" s="18" t="s">
        <v>398</v>
      </c>
      <c r="B528" s="13">
        <v>16142.527829999999</v>
      </c>
    </row>
    <row r="529" spans="1:2" x14ac:dyDescent="0.45">
      <c r="A529" s="18" t="s">
        <v>403</v>
      </c>
      <c r="B529" s="13">
        <v>14431.738420000001</v>
      </c>
    </row>
    <row r="530" spans="1:2" x14ac:dyDescent="0.45">
      <c r="A530" s="18" t="s">
        <v>302</v>
      </c>
      <c r="B530" s="13">
        <v>8903.4839999999986</v>
      </c>
    </row>
    <row r="531" spans="1:2" x14ac:dyDescent="0.45">
      <c r="A531" s="18" t="s">
        <v>21</v>
      </c>
      <c r="B531" s="13">
        <v>4968.5039999999999</v>
      </c>
    </row>
    <row r="532" spans="1:2" x14ac:dyDescent="0.45">
      <c r="A532" s="18" t="s">
        <v>92</v>
      </c>
      <c r="B532" s="13">
        <v>524.81174999999996</v>
      </c>
    </row>
    <row r="533" spans="1:2" x14ac:dyDescent="0.45">
      <c r="A533" s="18" t="s">
        <v>472</v>
      </c>
      <c r="B533" s="13">
        <v>1808.04592</v>
      </c>
    </row>
    <row r="534" spans="1:2" x14ac:dyDescent="0.45">
      <c r="A534" s="18" t="s">
        <v>140</v>
      </c>
      <c r="B534" s="13">
        <v>4417.8334199999999</v>
      </c>
    </row>
    <row r="535" spans="1:2" x14ac:dyDescent="0.45">
      <c r="A535" s="18" t="s">
        <v>249</v>
      </c>
      <c r="B535" s="13">
        <v>9684.8756000000012</v>
      </c>
    </row>
    <row r="536" spans="1:2" x14ac:dyDescent="0.45">
      <c r="A536" s="18" t="s">
        <v>416</v>
      </c>
      <c r="B536" s="13">
        <v>4679.7141600000004</v>
      </c>
    </row>
    <row r="537" spans="1:2" x14ac:dyDescent="0.45">
      <c r="A537" s="18" t="s">
        <v>20</v>
      </c>
      <c r="B537" s="13">
        <v>10370.549999999999</v>
      </c>
    </row>
    <row r="538" spans="1:2" x14ac:dyDescent="0.45">
      <c r="A538" s="18" t="s">
        <v>71</v>
      </c>
      <c r="B538" s="13">
        <v>10947.904</v>
      </c>
    </row>
    <row r="539" spans="1:2" x14ac:dyDescent="0.45">
      <c r="A539" s="18" t="s">
        <v>100</v>
      </c>
      <c r="B539" s="13">
        <v>19510.808000000001</v>
      </c>
    </row>
    <row r="540" spans="1:2" x14ac:dyDescent="0.45">
      <c r="A540" s="18" t="s">
        <v>623</v>
      </c>
      <c r="B540" s="13">
        <v>10464.138360000001</v>
      </c>
    </row>
    <row r="541" spans="1:2" x14ac:dyDescent="0.45">
      <c r="A541" s="18" t="s">
        <v>136</v>
      </c>
      <c r="B541" s="13">
        <v>853.32276999999988</v>
      </c>
    </row>
    <row r="542" spans="1:2" x14ac:dyDescent="0.45">
      <c r="A542" s="18" t="s">
        <v>294</v>
      </c>
      <c r="B542" s="13">
        <v>76.138720000000006</v>
      </c>
    </row>
    <row r="543" spans="1:2" x14ac:dyDescent="0.45">
      <c r="A543" s="18" t="s">
        <v>107</v>
      </c>
      <c r="B543" s="13">
        <v>5328.4890400000004</v>
      </c>
    </row>
    <row r="544" spans="1:2" x14ac:dyDescent="0.45">
      <c r="A544" s="18" t="s">
        <v>195</v>
      </c>
      <c r="B544" s="13">
        <v>4831.9464600000001</v>
      </c>
    </row>
    <row r="545" spans="1:2" x14ac:dyDescent="0.45">
      <c r="A545" s="18" t="s">
        <v>38</v>
      </c>
      <c r="B545" s="13">
        <v>20084.133720000002</v>
      </c>
    </row>
    <row r="546" spans="1:2" x14ac:dyDescent="0.45">
      <c r="A546" s="18" t="s">
        <v>221</v>
      </c>
      <c r="B546" s="13">
        <v>24223.05</v>
      </c>
    </row>
    <row r="547" spans="1:2" x14ac:dyDescent="0.45">
      <c r="A547" s="18" t="s">
        <v>62</v>
      </c>
      <c r="B547" s="13">
        <v>2518.8755800000004</v>
      </c>
    </row>
    <row r="548" spans="1:2" x14ac:dyDescent="0.45">
      <c r="A548" s="18" t="s">
        <v>31</v>
      </c>
      <c r="B548" s="13">
        <v>10936.992</v>
      </c>
    </row>
    <row r="549" spans="1:2" x14ac:dyDescent="0.45">
      <c r="A549" s="18" t="s">
        <v>219</v>
      </c>
      <c r="B549" s="13">
        <v>1774.8072</v>
      </c>
    </row>
    <row r="550" spans="1:2" x14ac:dyDescent="0.45">
      <c r="A550" s="18" t="s">
        <v>406</v>
      </c>
      <c r="B550" s="13">
        <v>13185.543</v>
      </c>
    </row>
    <row r="551" spans="1:2" x14ac:dyDescent="0.45">
      <c r="A551" s="18" t="s">
        <v>369</v>
      </c>
      <c r="B551" s="13">
        <v>4804.4682400000002</v>
      </c>
    </row>
    <row r="552" spans="1:2" x14ac:dyDescent="0.45">
      <c r="A552" s="18" t="s">
        <v>408</v>
      </c>
      <c r="B552" s="13">
        <v>17731.623</v>
      </c>
    </row>
    <row r="553" spans="1:2" x14ac:dyDescent="0.45">
      <c r="A553" s="18" t="s">
        <v>375</v>
      </c>
      <c r="B553" s="13">
        <v>18554.370299999999</v>
      </c>
    </row>
    <row r="554" spans="1:2" x14ac:dyDescent="0.45">
      <c r="A554" s="18" t="s">
        <v>99</v>
      </c>
      <c r="B554" s="13">
        <v>8324.8326000000015</v>
      </c>
    </row>
    <row r="555" spans="1:2" x14ac:dyDescent="0.45">
      <c r="A555" s="18" t="s">
        <v>217</v>
      </c>
      <c r="B555" s="13">
        <v>17847.907199999998</v>
      </c>
    </row>
    <row r="556" spans="1:2" x14ac:dyDescent="0.45">
      <c r="A556" s="18" t="s">
        <v>523</v>
      </c>
      <c r="B556" s="13">
        <v>10859.64</v>
      </c>
    </row>
    <row r="557" spans="1:2" x14ac:dyDescent="0.45">
      <c r="A557" s="18" t="s">
        <v>386</v>
      </c>
      <c r="B557" s="13">
        <v>6576.298960000001</v>
      </c>
    </row>
    <row r="558" spans="1:2" x14ac:dyDescent="0.45">
      <c r="A558" s="18" t="s">
        <v>67</v>
      </c>
      <c r="B558" s="13">
        <v>0</v>
      </c>
    </row>
    <row r="559" spans="1:2" x14ac:dyDescent="0.45">
      <c r="A559" s="18" t="s">
        <v>80</v>
      </c>
      <c r="B559" s="13">
        <v>6393.0952799999995</v>
      </c>
    </row>
    <row r="560" spans="1:2" x14ac:dyDescent="0.45">
      <c r="A560" s="18" t="s">
        <v>250</v>
      </c>
      <c r="B560" s="13">
        <v>34082.864639999993</v>
      </c>
    </row>
    <row r="561" spans="1:2" x14ac:dyDescent="0.45">
      <c r="A561" s="18" t="s">
        <v>122</v>
      </c>
      <c r="B561" s="13">
        <v>2117.4834999999998</v>
      </c>
    </row>
    <row r="562" spans="1:2" x14ac:dyDescent="0.45">
      <c r="A562" s="18" t="s">
        <v>631</v>
      </c>
      <c r="B562" s="13">
        <v>10693.88488</v>
      </c>
    </row>
    <row r="563" spans="1:2" x14ac:dyDescent="0.45">
      <c r="A563" s="18" t="s">
        <v>139</v>
      </c>
      <c r="B563" s="13">
        <v>7703.8640800000003</v>
      </c>
    </row>
    <row r="564" spans="1:2" x14ac:dyDescent="0.45">
      <c r="A564" s="18" t="s">
        <v>430</v>
      </c>
      <c r="B564" s="13">
        <v>102122.94203999999</v>
      </c>
    </row>
    <row r="565" spans="1:2" x14ac:dyDescent="0.45">
      <c r="A565" s="18" t="s">
        <v>188</v>
      </c>
      <c r="B565" s="13">
        <v>4420.5961799999995</v>
      </c>
    </row>
    <row r="566" spans="1:2" x14ac:dyDescent="0.45">
      <c r="A566" s="18" t="s">
        <v>338</v>
      </c>
      <c r="B566" s="13">
        <v>2537.2908000000002</v>
      </c>
    </row>
    <row r="567" spans="1:2" x14ac:dyDescent="0.45">
      <c r="A567" s="18" t="s">
        <v>572</v>
      </c>
      <c r="B567" s="13">
        <v>10166.535600000001</v>
      </c>
    </row>
    <row r="568" spans="1:2" x14ac:dyDescent="0.45">
      <c r="A568" s="18" t="s">
        <v>111</v>
      </c>
      <c r="B568" s="13">
        <v>13669.81</v>
      </c>
    </row>
    <row r="569" spans="1:2" x14ac:dyDescent="0.45">
      <c r="A569" s="18" t="s">
        <v>189</v>
      </c>
      <c r="B569" s="13">
        <v>18.659839999999999</v>
      </c>
    </row>
    <row r="570" spans="1:2" x14ac:dyDescent="0.45">
      <c r="A570" s="18" t="s">
        <v>437</v>
      </c>
      <c r="B570" s="13">
        <v>41138.261999999995</v>
      </c>
    </row>
    <row r="571" spans="1:2" x14ac:dyDescent="0.45">
      <c r="A571" s="18" t="s">
        <v>404</v>
      </c>
      <c r="B571" s="13">
        <v>56176.777799999996</v>
      </c>
    </row>
    <row r="572" spans="1:2" x14ac:dyDescent="0.45">
      <c r="A572" s="18" t="s">
        <v>285</v>
      </c>
      <c r="B572" s="13">
        <v>6066.54648</v>
      </c>
    </row>
    <row r="573" spans="1:2" x14ac:dyDescent="0.45">
      <c r="A573" s="18" t="s">
        <v>231</v>
      </c>
      <c r="B573" s="13">
        <v>66988.771199999988</v>
      </c>
    </row>
    <row r="574" spans="1:2" x14ac:dyDescent="0.45">
      <c r="A574" s="18" t="s">
        <v>512</v>
      </c>
      <c r="B574" s="13">
        <v>10189.8891</v>
      </c>
    </row>
    <row r="575" spans="1:2" x14ac:dyDescent="0.45">
      <c r="A575" s="18" t="s">
        <v>482</v>
      </c>
      <c r="B575" s="13">
        <v>19233.355499999998</v>
      </c>
    </row>
    <row r="576" spans="1:2" x14ac:dyDescent="0.45">
      <c r="A576" s="18" t="s">
        <v>606</v>
      </c>
      <c r="B576" s="13">
        <v>4409.5168800000001</v>
      </c>
    </row>
    <row r="577" spans="1:2" x14ac:dyDescent="0.45">
      <c r="A577" s="18" t="s">
        <v>289</v>
      </c>
      <c r="B577" s="13">
        <v>13360.438</v>
      </c>
    </row>
    <row r="578" spans="1:2" x14ac:dyDescent="0.45">
      <c r="A578" s="18" t="s">
        <v>125</v>
      </c>
      <c r="B578" s="13">
        <v>765.99195000000009</v>
      </c>
    </row>
    <row r="579" spans="1:2" x14ac:dyDescent="0.45">
      <c r="A579" s="18" t="s">
        <v>182</v>
      </c>
      <c r="B579" s="13">
        <v>31556.187599999997</v>
      </c>
    </row>
    <row r="580" spans="1:2" x14ac:dyDescent="0.45">
      <c r="A580" s="18" t="s">
        <v>500</v>
      </c>
      <c r="B580" s="13">
        <v>7507.4514899999995</v>
      </c>
    </row>
    <row r="581" spans="1:2" x14ac:dyDescent="0.45">
      <c r="A581" s="18" t="s">
        <v>604</v>
      </c>
      <c r="B581" s="13">
        <v>8128.5187499999993</v>
      </c>
    </row>
    <row r="582" spans="1:2" x14ac:dyDescent="0.45">
      <c r="A582" s="18" t="s">
        <v>46</v>
      </c>
      <c r="B582" s="13">
        <v>11995.153920000001</v>
      </c>
    </row>
    <row r="583" spans="1:2" x14ac:dyDescent="0.45">
      <c r="A583" s="18" t="s">
        <v>103</v>
      </c>
      <c r="B583" s="13">
        <v>5487.6023999999998</v>
      </c>
    </row>
    <row r="584" spans="1:2" x14ac:dyDescent="0.45">
      <c r="A584" s="18" t="s">
        <v>639</v>
      </c>
      <c r="B584" s="13">
        <v>266.17821999999995</v>
      </c>
    </row>
    <row r="585" spans="1:2" x14ac:dyDescent="0.45">
      <c r="A585" s="18" t="s">
        <v>339</v>
      </c>
      <c r="B585" s="13">
        <v>8764.4065599999994</v>
      </c>
    </row>
    <row r="586" spans="1:2" x14ac:dyDescent="0.45">
      <c r="A586" s="18" t="s">
        <v>28</v>
      </c>
      <c r="B586" s="13">
        <v>39263.702919999996</v>
      </c>
    </row>
    <row r="587" spans="1:2" x14ac:dyDescent="0.45">
      <c r="A587" s="18" t="s">
        <v>611</v>
      </c>
      <c r="B587" s="13">
        <v>39810.328000000001</v>
      </c>
    </row>
    <row r="588" spans="1:2" x14ac:dyDescent="0.45">
      <c r="A588" s="18" t="s">
        <v>299</v>
      </c>
      <c r="B588" s="13">
        <v>1098.9470800000001</v>
      </c>
    </row>
    <row r="589" spans="1:2" x14ac:dyDescent="0.45">
      <c r="A589" s="18" t="s">
        <v>239</v>
      </c>
      <c r="B589" s="13">
        <v>5814.6927299999998</v>
      </c>
    </row>
    <row r="590" spans="1:2" x14ac:dyDescent="0.45">
      <c r="A590" s="18" t="s">
        <v>228</v>
      </c>
      <c r="B590" s="13">
        <v>13519.529099999998</v>
      </c>
    </row>
    <row r="591" spans="1:2" x14ac:dyDescent="0.45">
      <c r="A591" s="18" t="s">
        <v>68</v>
      </c>
      <c r="B591" s="13">
        <v>4569.8508000000002</v>
      </c>
    </row>
    <row r="592" spans="1:2" x14ac:dyDescent="0.45">
      <c r="A592" s="18" t="s">
        <v>64</v>
      </c>
      <c r="B592" s="13">
        <v>31680.795320000001</v>
      </c>
    </row>
    <row r="593" spans="1:2" x14ac:dyDescent="0.45">
      <c r="A593" s="18" t="s">
        <v>167</v>
      </c>
      <c r="B593" s="13">
        <v>10382.65884</v>
      </c>
    </row>
    <row r="594" spans="1:2" x14ac:dyDescent="0.45">
      <c r="A594" s="18" t="s">
        <v>540</v>
      </c>
      <c r="B594" s="13">
        <v>534.57695999999999</v>
      </c>
    </row>
    <row r="595" spans="1:2" x14ac:dyDescent="0.45">
      <c r="A595" s="18" t="s">
        <v>336</v>
      </c>
      <c r="B595" s="13">
        <v>6667.9199999999983</v>
      </c>
    </row>
    <row r="596" spans="1:2" x14ac:dyDescent="0.45">
      <c r="A596" s="18" t="s">
        <v>70</v>
      </c>
      <c r="B596" s="13">
        <v>27701.570400000001</v>
      </c>
    </row>
    <row r="597" spans="1:2" x14ac:dyDescent="0.45">
      <c r="A597" s="18" t="s">
        <v>480</v>
      </c>
      <c r="B597" s="13">
        <v>15374.563199999999</v>
      </c>
    </row>
    <row r="598" spans="1:2" x14ac:dyDescent="0.45">
      <c r="A598" s="18" t="s">
        <v>390</v>
      </c>
      <c r="B598" s="13">
        <v>37562.28</v>
      </c>
    </row>
    <row r="599" spans="1:2" x14ac:dyDescent="0.45">
      <c r="A599" s="18" t="s">
        <v>476</v>
      </c>
      <c r="B599" s="13">
        <v>25269.09</v>
      </c>
    </row>
    <row r="600" spans="1:2" x14ac:dyDescent="0.45">
      <c r="A600" s="18" t="s">
        <v>434</v>
      </c>
      <c r="B600" s="13">
        <v>30435.614999999998</v>
      </c>
    </row>
    <row r="601" spans="1:2" x14ac:dyDescent="0.45">
      <c r="A601" s="18" t="s">
        <v>52</v>
      </c>
      <c r="B601" s="13">
        <v>10666.229420000001</v>
      </c>
    </row>
    <row r="602" spans="1:2" x14ac:dyDescent="0.45">
      <c r="A602" s="18" t="s">
        <v>389</v>
      </c>
      <c r="B602" s="13">
        <v>12881.097599999999</v>
      </c>
    </row>
    <row r="603" spans="1:2" x14ac:dyDescent="0.45">
      <c r="A603" s="18" t="s">
        <v>507</v>
      </c>
      <c r="B603" s="13">
        <v>16574.544740000001</v>
      </c>
    </row>
    <row r="604" spans="1:2" x14ac:dyDescent="0.45">
      <c r="A604" s="18" t="s">
        <v>525</v>
      </c>
      <c r="B604" s="13">
        <v>1010.3759200000001</v>
      </c>
    </row>
    <row r="605" spans="1:2" x14ac:dyDescent="0.45">
      <c r="A605" s="18" t="s">
        <v>431</v>
      </c>
      <c r="B605" s="13">
        <v>29627.320319999999</v>
      </c>
    </row>
    <row r="606" spans="1:2" x14ac:dyDescent="0.45">
      <c r="A606" s="18" t="s">
        <v>23</v>
      </c>
      <c r="B606" s="13">
        <v>7578.84</v>
      </c>
    </row>
    <row r="607" spans="1:2" x14ac:dyDescent="0.45">
      <c r="A607" s="18" t="s">
        <v>27</v>
      </c>
      <c r="B607" s="13">
        <v>38096.18406</v>
      </c>
    </row>
    <row r="608" spans="1:2" x14ac:dyDescent="0.45">
      <c r="A608" s="18" t="s">
        <v>184</v>
      </c>
      <c r="B608" s="13">
        <v>92715.25</v>
      </c>
    </row>
    <row r="609" spans="1:2" x14ac:dyDescent="0.45">
      <c r="A609" s="18" t="s">
        <v>602</v>
      </c>
      <c r="B609" s="13">
        <v>8366.02</v>
      </c>
    </row>
    <row r="610" spans="1:2" x14ac:dyDescent="0.45">
      <c r="A610" s="18" t="s">
        <v>326</v>
      </c>
      <c r="B610" s="13">
        <v>2915.4540999999999</v>
      </c>
    </row>
    <row r="611" spans="1:2" x14ac:dyDescent="0.45">
      <c r="A611" s="18" t="s">
        <v>96</v>
      </c>
      <c r="B611" s="13">
        <v>1654.8966000000003</v>
      </c>
    </row>
    <row r="612" spans="1:2" x14ac:dyDescent="0.45">
      <c r="A612" s="18" t="s">
        <v>394</v>
      </c>
      <c r="B612" s="13">
        <v>9586.8057599999993</v>
      </c>
    </row>
    <row r="613" spans="1:2" x14ac:dyDescent="0.45">
      <c r="A613" s="18" t="s">
        <v>565</v>
      </c>
      <c r="B613" s="13">
        <v>50545.319219999998</v>
      </c>
    </row>
    <row r="614" spans="1:2" x14ac:dyDescent="0.45">
      <c r="A614" s="18" t="s">
        <v>415</v>
      </c>
      <c r="B614" s="13">
        <v>21541.017959999997</v>
      </c>
    </row>
    <row r="615" spans="1:2" x14ac:dyDescent="0.45">
      <c r="A615" s="18" t="s">
        <v>273</v>
      </c>
      <c r="B615" s="13">
        <v>12597.52224</v>
      </c>
    </row>
    <row r="616" spans="1:2" x14ac:dyDescent="0.45">
      <c r="A616" s="18" t="s">
        <v>191</v>
      </c>
      <c r="B616" s="13">
        <v>7689.4560000000001</v>
      </c>
    </row>
    <row r="617" spans="1:2" x14ac:dyDescent="0.45">
      <c r="A617" s="18" t="s">
        <v>629</v>
      </c>
      <c r="B617" s="13">
        <v>2355.2113199999999</v>
      </c>
    </row>
    <row r="618" spans="1:2" x14ac:dyDescent="0.45">
      <c r="A618" s="18" t="s">
        <v>271</v>
      </c>
      <c r="B618" s="13">
        <v>560.36831999999993</v>
      </c>
    </row>
    <row r="619" spans="1:2" x14ac:dyDescent="0.45">
      <c r="A619" s="18" t="s">
        <v>412</v>
      </c>
      <c r="B619" s="13">
        <v>7832.0010999999995</v>
      </c>
    </row>
    <row r="620" spans="1:2" x14ac:dyDescent="0.45">
      <c r="A620" s="18" t="s">
        <v>387</v>
      </c>
      <c r="B620" s="13">
        <v>33200.038079999998</v>
      </c>
    </row>
    <row r="621" spans="1:2" x14ac:dyDescent="0.45">
      <c r="A621" s="18" t="s">
        <v>298</v>
      </c>
      <c r="B621" s="13">
        <v>19066.045319999997</v>
      </c>
    </row>
    <row r="622" spans="1:2" x14ac:dyDescent="0.45">
      <c r="A622" s="18" t="s">
        <v>539</v>
      </c>
      <c r="B622" s="13">
        <v>618.19979999999987</v>
      </c>
    </row>
    <row r="623" spans="1:2" x14ac:dyDescent="0.45">
      <c r="A623" s="18" t="s">
        <v>575</v>
      </c>
      <c r="B623" s="13">
        <v>44173.627960000005</v>
      </c>
    </row>
    <row r="624" spans="1:2" x14ac:dyDescent="0.45">
      <c r="A624" s="18" t="s">
        <v>65</v>
      </c>
      <c r="B624" s="13">
        <v>29659.68995</v>
      </c>
    </row>
    <row r="625" spans="1:2" x14ac:dyDescent="0.45">
      <c r="A625" s="18" t="s">
        <v>307</v>
      </c>
      <c r="B625" s="13">
        <v>12699.28</v>
      </c>
    </row>
    <row r="626" spans="1:2" x14ac:dyDescent="0.45">
      <c r="A626" s="18" t="s">
        <v>314</v>
      </c>
      <c r="B626" s="13">
        <v>43084.872000000003</v>
      </c>
    </row>
    <row r="627" spans="1:2" x14ac:dyDescent="0.45">
      <c r="A627" s="18" t="s">
        <v>255</v>
      </c>
      <c r="B627" s="13">
        <v>607.30668000000003</v>
      </c>
    </row>
    <row r="628" spans="1:2" x14ac:dyDescent="0.45">
      <c r="A628" s="18" t="s">
        <v>477</v>
      </c>
      <c r="B628" s="13">
        <v>16252.219979999998</v>
      </c>
    </row>
    <row r="629" spans="1:2" x14ac:dyDescent="0.45">
      <c r="A629" s="18" t="s">
        <v>364</v>
      </c>
      <c r="B629" s="13">
        <v>43907.94</v>
      </c>
    </row>
    <row r="630" spans="1:2" x14ac:dyDescent="0.45">
      <c r="A630" s="18" t="s">
        <v>128</v>
      </c>
      <c r="B630" s="13">
        <v>592.92849000000001</v>
      </c>
    </row>
    <row r="631" spans="1:2" x14ac:dyDescent="0.45">
      <c r="A631" s="18" t="s">
        <v>553</v>
      </c>
      <c r="B631" s="13">
        <v>10792.637119999999</v>
      </c>
    </row>
    <row r="632" spans="1:2" x14ac:dyDescent="0.45">
      <c r="A632" s="18" t="s">
        <v>212</v>
      </c>
      <c r="B632" s="13">
        <v>25553.782800000001</v>
      </c>
    </row>
    <row r="633" spans="1:2" x14ac:dyDescent="0.45">
      <c r="A633" s="18" t="s">
        <v>291</v>
      </c>
      <c r="B633" s="13">
        <v>11696.156879999999</v>
      </c>
    </row>
    <row r="634" spans="1:2" x14ac:dyDescent="0.45">
      <c r="A634" s="18" t="s">
        <v>599</v>
      </c>
      <c r="B634" s="13">
        <v>11742.8703</v>
      </c>
    </row>
    <row r="635" spans="1:2" x14ac:dyDescent="0.45">
      <c r="A635" s="18" t="s">
        <v>18</v>
      </c>
      <c r="B635" s="13">
        <v>60928.502359999999</v>
      </c>
    </row>
    <row r="636" spans="1:2" x14ac:dyDescent="0.45">
      <c r="A636" s="18" t="s">
        <v>1435</v>
      </c>
      <c r="B636" s="13">
        <v>10917569.569679994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8"/>
  <sheetViews>
    <sheetView workbookViewId="0">
      <selection activeCell="B12" sqref="B12"/>
    </sheetView>
  </sheetViews>
  <sheetFormatPr defaultRowHeight="14.25" x14ac:dyDescent="0.45"/>
  <cols>
    <col min="1" max="1" width="12.06640625" customWidth="1"/>
    <col min="2" max="2" width="14.73046875" bestFit="1" customWidth="1"/>
  </cols>
  <sheetData>
    <row r="3" spans="1:2" x14ac:dyDescent="0.45">
      <c r="A3" s="14" t="s">
        <v>1513</v>
      </c>
      <c r="B3" t="s">
        <v>1445</v>
      </c>
    </row>
    <row r="4" spans="1:2" x14ac:dyDescent="0.45">
      <c r="A4" s="18" t="s">
        <v>1494</v>
      </c>
      <c r="B4" s="13">
        <v>24</v>
      </c>
    </row>
    <row r="5" spans="1:2" x14ac:dyDescent="0.45">
      <c r="A5" s="18" t="s">
        <v>1503</v>
      </c>
      <c r="B5" s="13">
        <v>14</v>
      </c>
    </row>
    <row r="6" spans="1:2" x14ac:dyDescent="0.45">
      <c r="A6" s="18" t="s">
        <v>1514</v>
      </c>
      <c r="B6" s="13">
        <v>25</v>
      </c>
    </row>
    <row r="7" spans="1:2" x14ac:dyDescent="0.45">
      <c r="A7" s="18" t="s">
        <v>1490</v>
      </c>
      <c r="B7" s="13">
        <v>24</v>
      </c>
    </row>
    <row r="8" spans="1:2" x14ac:dyDescent="0.45">
      <c r="A8" s="18" t="s">
        <v>1507</v>
      </c>
      <c r="B8" s="13">
        <v>20</v>
      </c>
    </row>
    <row r="9" spans="1:2" x14ac:dyDescent="0.45">
      <c r="A9" s="18" t="s">
        <v>1506</v>
      </c>
      <c r="B9" s="13">
        <v>21</v>
      </c>
    </row>
    <row r="10" spans="1:2" x14ac:dyDescent="0.45">
      <c r="A10" s="18" t="s">
        <v>1509</v>
      </c>
      <c r="B10" s="13">
        <v>21</v>
      </c>
    </row>
    <row r="11" spans="1:2" x14ac:dyDescent="0.45">
      <c r="A11" s="18" t="s">
        <v>1497</v>
      </c>
      <c r="B11" s="13">
        <v>21</v>
      </c>
    </row>
    <row r="12" spans="1:2" x14ac:dyDescent="0.45">
      <c r="A12" s="18" t="s">
        <v>1511</v>
      </c>
      <c r="B12" s="13">
        <v>17</v>
      </c>
    </row>
    <row r="13" spans="1:2" x14ac:dyDescent="0.45">
      <c r="A13" s="18" t="s">
        <v>1482</v>
      </c>
      <c r="B13" s="13">
        <v>18</v>
      </c>
    </row>
    <row r="14" spans="1:2" x14ac:dyDescent="0.45">
      <c r="A14" s="18" t="s">
        <v>1491</v>
      </c>
      <c r="B14" s="13">
        <v>16</v>
      </c>
    </row>
    <row r="15" spans="1:2" x14ac:dyDescent="0.45">
      <c r="A15" s="18" t="s">
        <v>1515</v>
      </c>
      <c r="B15" s="13">
        <v>1</v>
      </c>
    </row>
    <row r="16" spans="1:2" x14ac:dyDescent="0.45">
      <c r="A16" s="18" t="s">
        <v>1483</v>
      </c>
      <c r="B16" s="13">
        <v>14</v>
      </c>
    </row>
    <row r="17" spans="1:2" x14ac:dyDescent="0.45">
      <c r="A17" s="18" t="s">
        <v>1504</v>
      </c>
      <c r="B17" s="13">
        <v>23</v>
      </c>
    </row>
    <row r="18" spans="1:2" x14ac:dyDescent="0.45">
      <c r="A18" s="18" t="s">
        <v>1492</v>
      </c>
      <c r="B18" s="13">
        <v>16</v>
      </c>
    </row>
    <row r="19" spans="1:2" x14ac:dyDescent="0.45">
      <c r="A19" s="18" t="s">
        <v>1487</v>
      </c>
      <c r="B19" s="13">
        <v>23</v>
      </c>
    </row>
    <row r="20" spans="1:2" x14ac:dyDescent="0.45">
      <c r="A20" s="18" t="s">
        <v>1498</v>
      </c>
      <c r="B20" s="13">
        <v>14</v>
      </c>
    </row>
    <row r="21" spans="1:2" x14ac:dyDescent="0.45">
      <c r="A21" s="18" t="s">
        <v>1484</v>
      </c>
      <c r="B21" s="13">
        <v>16</v>
      </c>
    </row>
    <row r="22" spans="1:2" x14ac:dyDescent="0.45">
      <c r="A22" s="18" t="s">
        <v>1501</v>
      </c>
      <c r="B22" s="13">
        <v>21</v>
      </c>
    </row>
    <row r="23" spans="1:2" x14ac:dyDescent="0.45">
      <c r="A23" s="18" t="s">
        <v>1510</v>
      </c>
      <c r="B23" s="13">
        <v>23</v>
      </c>
    </row>
    <row r="24" spans="1:2" x14ac:dyDescent="0.45">
      <c r="A24" s="18" t="s">
        <v>1495</v>
      </c>
      <c r="B24" s="13">
        <v>24</v>
      </c>
    </row>
    <row r="25" spans="1:2" x14ac:dyDescent="0.45">
      <c r="A25" s="18" t="s">
        <v>1502</v>
      </c>
      <c r="B25" s="13">
        <v>15</v>
      </c>
    </row>
    <row r="26" spans="1:2" x14ac:dyDescent="0.45">
      <c r="A26" s="18" t="s">
        <v>1499</v>
      </c>
      <c r="B26" s="13">
        <v>23</v>
      </c>
    </row>
    <row r="27" spans="1:2" x14ac:dyDescent="0.45">
      <c r="A27" s="18" t="s">
        <v>1505</v>
      </c>
      <c r="B27" s="13">
        <v>20</v>
      </c>
    </row>
    <row r="28" spans="1:2" x14ac:dyDescent="0.45">
      <c r="A28" s="18" t="s">
        <v>1496</v>
      </c>
      <c r="B28" s="13">
        <v>26</v>
      </c>
    </row>
    <row r="29" spans="1:2" x14ac:dyDescent="0.45">
      <c r="A29" s="18" t="s">
        <v>1508</v>
      </c>
      <c r="B29" s="13">
        <v>23</v>
      </c>
    </row>
    <row r="30" spans="1:2" x14ac:dyDescent="0.45">
      <c r="A30" s="18" t="s">
        <v>1488</v>
      </c>
      <c r="B30" s="13">
        <v>18</v>
      </c>
    </row>
    <row r="31" spans="1:2" x14ac:dyDescent="0.45">
      <c r="A31" s="18" t="s">
        <v>1485</v>
      </c>
      <c r="B31" s="13">
        <v>10</v>
      </c>
    </row>
    <row r="32" spans="1:2" x14ac:dyDescent="0.45">
      <c r="A32" s="18" t="s">
        <v>1486</v>
      </c>
      <c r="B32" s="13">
        <v>20</v>
      </c>
    </row>
    <row r="33" spans="1:2" x14ac:dyDescent="0.45">
      <c r="A33" s="18" t="s">
        <v>1500</v>
      </c>
      <c r="B33" s="13">
        <v>18</v>
      </c>
    </row>
    <row r="34" spans="1:2" x14ac:dyDescent="0.45">
      <c r="A34" s="18" t="s">
        <v>1512</v>
      </c>
      <c r="B34" s="13">
        <v>21</v>
      </c>
    </row>
    <row r="35" spans="1:2" x14ac:dyDescent="0.45">
      <c r="A35" s="18" t="s">
        <v>1489</v>
      </c>
      <c r="B35" s="13">
        <v>12</v>
      </c>
    </row>
    <row r="36" spans="1:2" x14ac:dyDescent="0.45">
      <c r="A36" s="18" t="s">
        <v>1516</v>
      </c>
      <c r="B36" s="13">
        <v>18</v>
      </c>
    </row>
    <row r="37" spans="1:2" x14ac:dyDescent="0.45">
      <c r="A37" s="18" t="s">
        <v>1493</v>
      </c>
      <c r="B37" s="13">
        <v>12</v>
      </c>
    </row>
    <row r="38" spans="1:2" x14ac:dyDescent="0.45">
      <c r="A38" s="18" t="s">
        <v>1435</v>
      </c>
      <c r="B38" s="13">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16" sqref="A16:C18"/>
    </sheetView>
  </sheetViews>
  <sheetFormatPr defaultRowHeight="14.25" x14ac:dyDescent="0.45"/>
  <cols>
    <col min="1" max="1" width="12.06640625" bestFit="1" customWidth="1"/>
    <col min="2" max="2" width="16.53125" bestFit="1" customWidth="1"/>
    <col min="3" max="3" width="14.73046875" bestFit="1" customWidth="1"/>
  </cols>
  <sheetData>
    <row r="3" spans="1:3" x14ac:dyDescent="0.45">
      <c r="A3" s="14" t="s">
        <v>1513</v>
      </c>
      <c r="B3" t="s">
        <v>1517</v>
      </c>
      <c r="C3" t="s">
        <v>1445</v>
      </c>
    </row>
    <row r="4" spans="1:3" x14ac:dyDescent="0.45">
      <c r="A4" s="19" t="s">
        <v>711</v>
      </c>
      <c r="B4" s="20">
        <v>320763.18310000002</v>
      </c>
      <c r="C4" s="20">
        <v>47</v>
      </c>
    </row>
    <row r="5" spans="1:3" x14ac:dyDescent="0.45">
      <c r="A5" s="19" t="s">
        <v>718</v>
      </c>
      <c r="B5" s="20">
        <v>313054.76714999997</v>
      </c>
      <c r="C5" s="20">
        <v>48</v>
      </c>
    </row>
    <row r="6" spans="1:3" x14ac:dyDescent="0.45">
      <c r="A6" s="19" t="s">
        <v>714</v>
      </c>
      <c r="B6" s="20">
        <v>282234.2737299999</v>
      </c>
      <c r="C6" s="20">
        <v>46</v>
      </c>
    </row>
    <row r="7" spans="1:3" x14ac:dyDescent="0.45">
      <c r="A7" s="18" t="s">
        <v>717</v>
      </c>
      <c r="B7" s="13">
        <v>278762.26936000003</v>
      </c>
      <c r="C7" s="13">
        <v>44</v>
      </c>
    </row>
    <row r="8" spans="1:3" x14ac:dyDescent="0.45">
      <c r="A8" s="18" t="s">
        <v>707</v>
      </c>
      <c r="B8" s="13">
        <v>273113.11228</v>
      </c>
      <c r="C8" s="13">
        <v>50</v>
      </c>
    </row>
    <row r="9" spans="1:3" x14ac:dyDescent="0.45">
      <c r="A9" s="18" t="s">
        <v>710</v>
      </c>
      <c r="B9" s="13">
        <v>270154.73105000006</v>
      </c>
      <c r="C9" s="13">
        <v>46</v>
      </c>
    </row>
    <row r="10" spans="1:3" x14ac:dyDescent="0.45">
      <c r="A10" s="18" t="s">
        <v>715</v>
      </c>
      <c r="B10" s="13">
        <v>251733.01232000001</v>
      </c>
      <c r="C10" s="13">
        <v>51</v>
      </c>
    </row>
    <row r="11" spans="1:3" x14ac:dyDescent="0.45">
      <c r="A11" s="18" t="s">
        <v>706</v>
      </c>
      <c r="B11" s="13">
        <v>230359.52458999996</v>
      </c>
      <c r="C11" s="13">
        <v>37</v>
      </c>
    </row>
    <row r="12" spans="1:3" x14ac:dyDescent="0.45">
      <c r="A12" s="18" t="s">
        <v>712</v>
      </c>
      <c r="B12" s="13">
        <v>204981.34052999996</v>
      </c>
      <c r="C12" s="13">
        <v>34</v>
      </c>
    </row>
    <row r="13" spans="1:3" x14ac:dyDescent="0.45">
      <c r="A13" s="18" t="s">
        <v>713</v>
      </c>
      <c r="B13" s="13">
        <v>185219.43694000004</v>
      </c>
      <c r="C13" s="13">
        <v>37</v>
      </c>
    </row>
    <row r="14" spans="1:3" x14ac:dyDescent="0.45">
      <c r="A14" s="18" t="s">
        <v>709</v>
      </c>
      <c r="B14" s="13">
        <v>172441.87305000002</v>
      </c>
      <c r="C14" s="13">
        <v>30</v>
      </c>
    </row>
    <row r="15" spans="1:3" x14ac:dyDescent="0.45">
      <c r="A15" s="18" t="s">
        <v>720</v>
      </c>
      <c r="B15" s="13">
        <v>150230.58387</v>
      </c>
      <c r="C15" s="13">
        <v>38</v>
      </c>
    </row>
    <row r="16" spans="1:3" x14ac:dyDescent="0.45">
      <c r="A16" s="21" t="s">
        <v>708</v>
      </c>
      <c r="B16" s="22">
        <v>139701.96933999998</v>
      </c>
      <c r="C16" s="22">
        <v>38</v>
      </c>
    </row>
    <row r="17" spans="1:3" x14ac:dyDescent="0.45">
      <c r="A17" s="21" t="s">
        <v>716</v>
      </c>
      <c r="B17" s="22">
        <v>137879.82430999994</v>
      </c>
      <c r="C17" s="22">
        <v>45</v>
      </c>
    </row>
    <row r="18" spans="1:3" x14ac:dyDescent="0.45">
      <c r="A18" s="21" t="s">
        <v>719</v>
      </c>
      <c r="B18" s="22">
        <v>110646.45659</v>
      </c>
      <c r="C18" s="22">
        <v>32</v>
      </c>
    </row>
    <row r="19" spans="1:3" x14ac:dyDescent="0.45">
      <c r="A19" s="18" t="s">
        <v>1443</v>
      </c>
      <c r="B19" s="13">
        <v>100098.00146999999</v>
      </c>
      <c r="C19" s="13">
        <v>9</v>
      </c>
    </row>
    <row r="20" spans="1:3" x14ac:dyDescent="0.45">
      <c r="A20" s="18" t="s">
        <v>1435</v>
      </c>
      <c r="B20" s="13">
        <v>3421374.3596799979</v>
      </c>
      <c r="C20" s="13">
        <v>632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F27" sqref="F27"/>
    </sheetView>
  </sheetViews>
  <sheetFormatPr defaultRowHeight="14.25" x14ac:dyDescent="0.45"/>
  <cols>
    <col min="1" max="1" width="19.19921875" bestFit="1" customWidth="1"/>
    <col min="2" max="3" width="11.73046875" bestFit="1" customWidth="1"/>
    <col min="4" max="6" width="11.73046875" customWidth="1"/>
    <col min="7" max="7" width="11.73046875" bestFit="1" customWidth="1"/>
  </cols>
  <sheetData>
    <row r="3" spans="1:7" x14ac:dyDescent="0.45">
      <c r="A3" s="14" t="s">
        <v>1438</v>
      </c>
      <c r="B3" s="14" t="s">
        <v>2</v>
      </c>
    </row>
    <row r="4" spans="1:7" x14ac:dyDescent="0.45">
      <c r="A4" s="14" t="s">
        <v>1423</v>
      </c>
      <c r="B4" t="s">
        <v>640</v>
      </c>
      <c r="C4" t="s">
        <v>642</v>
      </c>
      <c r="D4" t="s">
        <v>641</v>
      </c>
      <c r="E4" t="s">
        <v>643</v>
      </c>
      <c r="F4" t="s">
        <v>1435</v>
      </c>
    </row>
    <row r="5" spans="1:7" x14ac:dyDescent="0.45">
      <c r="A5" t="s">
        <v>705</v>
      </c>
      <c r="B5" s="13">
        <v>462236.49369999993</v>
      </c>
      <c r="C5" s="13">
        <v>751887.68591</v>
      </c>
      <c r="D5" s="13">
        <v>642753.25635999988</v>
      </c>
      <c r="E5" s="13">
        <v>842614.45203999989</v>
      </c>
      <c r="F5" s="13">
        <v>2699491.8880099999</v>
      </c>
    </row>
    <row r="6" spans="1:7" x14ac:dyDescent="0.45">
      <c r="A6" t="s">
        <v>704</v>
      </c>
      <c r="B6" s="13">
        <v>634581.62447000016</v>
      </c>
      <c r="C6" s="13">
        <v>568863.41192000022</v>
      </c>
      <c r="D6" s="13">
        <v>509418.80598999996</v>
      </c>
      <c r="E6" s="13">
        <v>318736.67219999997</v>
      </c>
      <c r="F6" s="13">
        <v>2031600.5145800004</v>
      </c>
    </row>
    <row r="7" spans="1:7" x14ac:dyDescent="0.45">
      <c r="A7" t="s">
        <v>703</v>
      </c>
      <c r="B7" s="13">
        <v>527467.87455999991</v>
      </c>
      <c r="C7" s="13">
        <v>366375.92752000008</v>
      </c>
      <c r="D7" s="13">
        <v>546106.24273000006</v>
      </c>
      <c r="E7" s="13">
        <v>569403.54424999992</v>
      </c>
      <c r="F7" s="13">
        <v>2009353.5890600001</v>
      </c>
    </row>
    <row r="8" spans="1:7" x14ac:dyDescent="0.45">
      <c r="A8" s="23" t="s">
        <v>702</v>
      </c>
      <c r="B8" s="20">
        <v>433406.33627000003</v>
      </c>
      <c r="C8" s="20">
        <v>689951.45437000028</v>
      </c>
      <c r="D8" s="20">
        <v>413661.50969000004</v>
      </c>
      <c r="E8" s="20">
        <v>585406.72276999999</v>
      </c>
      <c r="F8" s="20">
        <v>2122426.0231000003</v>
      </c>
    </row>
    <row r="9" spans="1:7" s="23" customFormat="1" x14ac:dyDescent="0.45">
      <c r="A9" t="s">
        <v>701</v>
      </c>
      <c r="B9" s="13">
        <v>518401.91219000006</v>
      </c>
      <c r="C9" s="13">
        <v>302853.57921999996</v>
      </c>
      <c r="D9" s="13">
        <v>666382.39208999998</v>
      </c>
      <c r="E9" s="13">
        <v>465656.76525</v>
      </c>
      <c r="F9" s="13">
        <v>1953294.6487499999</v>
      </c>
      <c r="G9"/>
    </row>
    <row r="10" spans="1:7" x14ac:dyDescent="0.45">
      <c r="A10" t="s">
        <v>1435</v>
      </c>
      <c r="B10" s="13">
        <v>2576094.2411900004</v>
      </c>
      <c r="C10" s="13">
        <v>2679932.0589400008</v>
      </c>
      <c r="D10" s="13">
        <v>2778322.2068600003</v>
      </c>
      <c r="E10" s="13">
        <v>2781818.1565099997</v>
      </c>
      <c r="F10" s="13">
        <v>10816166.6635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41"/>
  <sheetViews>
    <sheetView workbookViewId="0">
      <selection activeCell="A20" sqref="A20"/>
    </sheetView>
  </sheetViews>
  <sheetFormatPr defaultRowHeight="14.25" x14ac:dyDescent="0.45"/>
  <cols>
    <col min="1" max="2" width="14.73046875" bestFit="1" customWidth="1"/>
    <col min="3" max="3" width="8.19921875" bestFit="1" customWidth="1"/>
    <col min="4" max="4" width="4.1328125" bestFit="1" customWidth="1"/>
    <col min="5" max="5" width="6.53125" bestFit="1" customWidth="1"/>
    <col min="6" max="7" width="10.19921875" bestFit="1" customWidth="1"/>
    <col min="8" max="8" width="8.59765625" customWidth="1"/>
    <col min="9" max="9" width="6.06640625" customWidth="1"/>
    <col min="11" max="11" width="6.265625" customWidth="1"/>
    <col min="12" max="12" width="7.265625" customWidth="1"/>
    <col min="13" max="13" width="8.06640625" customWidth="1"/>
    <col min="14" max="14" width="7.59765625" customWidth="1"/>
    <col min="15" max="15" width="8.33203125" customWidth="1"/>
    <col min="16" max="16" width="11.265625" bestFit="1" customWidth="1"/>
    <col min="17" max="17" width="7.73046875" customWidth="1"/>
    <col min="18" max="18" width="6.3984375" customWidth="1"/>
    <col min="19" max="19" width="10.19921875" bestFit="1" customWidth="1"/>
  </cols>
  <sheetData>
    <row r="3" spans="1:6" x14ac:dyDescent="0.45">
      <c r="A3" s="14" t="s">
        <v>1445</v>
      </c>
      <c r="B3" s="14" t="s">
        <v>1518</v>
      </c>
    </row>
    <row r="4" spans="1:6" x14ac:dyDescent="0.45">
      <c r="A4" s="14" t="s">
        <v>1513</v>
      </c>
      <c r="B4" t="s">
        <v>640</v>
      </c>
      <c r="C4" t="s">
        <v>642</v>
      </c>
      <c r="D4" t="s">
        <v>641</v>
      </c>
      <c r="E4" t="s">
        <v>643</v>
      </c>
      <c r="F4" t="s">
        <v>1435</v>
      </c>
    </row>
    <row r="5" spans="1:6" x14ac:dyDescent="0.45">
      <c r="A5" s="18">
        <v>0.20100000000000001</v>
      </c>
      <c r="B5" s="13"/>
      <c r="C5" s="13"/>
      <c r="D5" s="13">
        <v>1</v>
      </c>
      <c r="E5" s="13"/>
      <c r="F5" s="13">
        <v>1</v>
      </c>
    </row>
    <row r="6" spans="1:6" x14ac:dyDescent="0.45">
      <c r="A6" s="25" t="s">
        <v>708</v>
      </c>
      <c r="B6" s="13"/>
      <c r="C6" s="13"/>
      <c r="D6" s="13">
        <v>1</v>
      </c>
      <c r="E6" s="13"/>
      <c r="F6" s="13">
        <v>1</v>
      </c>
    </row>
    <row r="7" spans="1:6" x14ac:dyDescent="0.45">
      <c r="A7" s="18">
        <v>0.20300000000000001</v>
      </c>
      <c r="B7" s="13">
        <v>2</v>
      </c>
      <c r="C7" s="13">
        <v>1</v>
      </c>
      <c r="D7" s="13"/>
      <c r="E7" s="13"/>
      <c r="F7" s="13">
        <v>3</v>
      </c>
    </row>
    <row r="8" spans="1:6" x14ac:dyDescent="0.45">
      <c r="A8" s="25" t="s">
        <v>708</v>
      </c>
      <c r="B8" s="13"/>
      <c r="C8" s="13">
        <v>1</v>
      </c>
      <c r="D8" s="13"/>
      <c r="E8" s="13"/>
      <c r="F8" s="13">
        <v>1</v>
      </c>
    </row>
    <row r="9" spans="1:6" x14ac:dyDescent="0.45">
      <c r="A9" s="25" t="s">
        <v>710</v>
      </c>
      <c r="B9" s="13">
        <v>2</v>
      </c>
      <c r="C9" s="13"/>
      <c r="D9" s="13"/>
      <c r="E9" s="13"/>
      <c r="F9" s="13">
        <v>2</v>
      </c>
    </row>
    <row r="10" spans="1:6" x14ac:dyDescent="0.45">
      <c r="A10" s="18">
        <v>0.20399999999999999</v>
      </c>
      <c r="B10" s="13">
        <v>1</v>
      </c>
      <c r="C10" s="13">
        <v>1</v>
      </c>
      <c r="D10" s="13"/>
      <c r="E10" s="13"/>
      <c r="F10" s="13">
        <v>2</v>
      </c>
    </row>
    <row r="11" spans="1:6" x14ac:dyDescent="0.45">
      <c r="A11" s="25" t="s">
        <v>720</v>
      </c>
      <c r="B11" s="13">
        <v>1</v>
      </c>
      <c r="C11" s="13"/>
      <c r="D11" s="13"/>
      <c r="E11" s="13"/>
      <c r="F11" s="13">
        <v>1</v>
      </c>
    </row>
    <row r="12" spans="1:6" x14ac:dyDescent="0.45">
      <c r="A12" s="25" t="s">
        <v>708</v>
      </c>
      <c r="B12" s="13"/>
      <c r="C12" s="13">
        <v>1</v>
      </c>
      <c r="D12" s="13"/>
      <c r="E12" s="13"/>
      <c r="F12" s="13">
        <v>1</v>
      </c>
    </row>
    <row r="13" spans="1:6" x14ac:dyDescent="0.45">
      <c r="A13" s="18">
        <v>0.20499999999999999</v>
      </c>
      <c r="B13" s="13">
        <v>1</v>
      </c>
      <c r="C13" s="13"/>
      <c r="D13" s="13"/>
      <c r="E13" s="13">
        <v>2</v>
      </c>
      <c r="F13" s="13">
        <v>3</v>
      </c>
    </row>
    <row r="14" spans="1:6" x14ac:dyDescent="0.45">
      <c r="A14" s="25" t="s">
        <v>714</v>
      </c>
      <c r="B14" s="13">
        <v>1</v>
      </c>
      <c r="C14" s="13"/>
      <c r="D14" s="13"/>
      <c r="E14" s="13"/>
      <c r="F14" s="13">
        <v>1</v>
      </c>
    </row>
    <row r="15" spans="1:6" x14ac:dyDescent="0.45">
      <c r="A15" s="25" t="s">
        <v>709</v>
      </c>
      <c r="B15" s="13"/>
      <c r="C15" s="13"/>
      <c r="D15" s="13"/>
      <c r="E15" s="13">
        <v>1</v>
      </c>
      <c r="F15" s="13">
        <v>1</v>
      </c>
    </row>
    <row r="16" spans="1:6" x14ac:dyDescent="0.45">
      <c r="A16" s="25" t="s">
        <v>708</v>
      </c>
      <c r="B16" s="13"/>
      <c r="C16" s="13"/>
      <c r="D16" s="13"/>
      <c r="E16" s="13">
        <v>1</v>
      </c>
      <c r="F16" s="13">
        <v>1</v>
      </c>
    </row>
    <row r="17" spans="1:6" x14ac:dyDescent="0.45">
      <c r="A17" s="18">
        <v>0.20699999999999999</v>
      </c>
      <c r="B17" s="13"/>
      <c r="C17" s="13">
        <v>1</v>
      </c>
      <c r="D17" s="13"/>
      <c r="E17" s="13">
        <v>1</v>
      </c>
      <c r="F17" s="13">
        <v>2</v>
      </c>
    </row>
    <row r="18" spans="1:6" x14ac:dyDescent="0.45">
      <c r="A18" s="25" t="s">
        <v>714</v>
      </c>
      <c r="B18" s="13"/>
      <c r="C18" s="13">
        <v>1</v>
      </c>
      <c r="D18" s="13"/>
      <c r="E18" s="13">
        <v>1</v>
      </c>
      <c r="F18" s="13">
        <v>2</v>
      </c>
    </row>
    <row r="19" spans="1:6" x14ac:dyDescent="0.45">
      <c r="A19" s="18">
        <v>0.20799999999999999</v>
      </c>
      <c r="B19" s="13"/>
      <c r="C19" s="13">
        <v>1</v>
      </c>
      <c r="D19" s="13"/>
      <c r="E19" s="13"/>
      <c r="F19" s="13">
        <v>1</v>
      </c>
    </row>
    <row r="20" spans="1:6" x14ac:dyDescent="0.45">
      <c r="A20" s="25" t="s">
        <v>714</v>
      </c>
      <c r="B20" s="13"/>
      <c r="C20" s="13">
        <v>1</v>
      </c>
      <c r="D20" s="13"/>
      <c r="E20" s="13"/>
      <c r="F20" s="13">
        <v>1</v>
      </c>
    </row>
    <row r="21" spans="1:6" x14ac:dyDescent="0.45">
      <c r="A21" s="18">
        <v>0.20899999999999999</v>
      </c>
      <c r="B21" s="13"/>
      <c r="C21" s="13"/>
      <c r="D21" s="13">
        <v>1</v>
      </c>
      <c r="E21" s="13"/>
      <c r="F21" s="13">
        <v>1</v>
      </c>
    </row>
    <row r="22" spans="1:6" x14ac:dyDescent="0.45">
      <c r="A22" s="25" t="s">
        <v>706</v>
      </c>
      <c r="B22" s="13"/>
      <c r="C22" s="13"/>
      <c r="D22" s="13">
        <v>1</v>
      </c>
      <c r="E22" s="13"/>
      <c r="F22" s="13">
        <v>1</v>
      </c>
    </row>
    <row r="23" spans="1:6" x14ac:dyDescent="0.45">
      <c r="A23" s="18">
        <v>0.21</v>
      </c>
      <c r="B23" s="13"/>
      <c r="C23" s="13">
        <v>1</v>
      </c>
      <c r="D23" s="13"/>
      <c r="E23" s="13"/>
      <c r="F23" s="13">
        <v>1</v>
      </c>
    </row>
    <row r="24" spans="1:6" x14ac:dyDescent="0.45">
      <c r="A24" s="25" t="s">
        <v>714</v>
      </c>
      <c r="B24" s="13"/>
      <c r="C24" s="13">
        <v>1</v>
      </c>
      <c r="D24" s="13"/>
      <c r="E24" s="13"/>
      <c r="F24" s="13">
        <v>1</v>
      </c>
    </row>
    <row r="25" spans="1:6" x14ac:dyDescent="0.45">
      <c r="A25" s="18">
        <v>0.21099999999999999</v>
      </c>
      <c r="B25" s="13">
        <v>1</v>
      </c>
      <c r="C25" s="13">
        <v>1</v>
      </c>
      <c r="D25" s="13"/>
      <c r="E25" s="13">
        <v>1</v>
      </c>
      <c r="F25" s="13">
        <v>3</v>
      </c>
    </row>
    <row r="26" spans="1:6" x14ac:dyDescent="0.45">
      <c r="A26" s="25" t="s">
        <v>706</v>
      </c>
      <c r="B26" s="13">
        <v>1</v>
      </c>
      <c r="C26" s="13"/>
      <c r="D26" s="13"/>
      <c r="E26" s="13"/>
      <c r="F26" s="13">
        <v>1</v>
      </c>
    </row>
    <row r="27" spans="1:6" x14ac:dyDescent="0.45">
      <c r="A27" s="25" t="s">
        <v>712</v>
      </c>
      <c r="B27" s="13"/>
      <c r="C27" s="13"/>
      <c r="D27" s="13"/>
      <c r="E27" s="13">
        <v>1</v>
      </c>
      <c r="F27" s="13">
        <v>1</v>
      </c>
    </row>
    <row r="28" spans="1:6" x14ac:dyDescent="0.45">
      <c r="A28" s="25" t="s">
        <v>718</v>
      </c>
      <c r="B28" s="13"/>
      <c r="C28" s="13">
        <v>1</v>
      </c>
      <c r="D28" s="13"/>
      <c r="E28" s="13"/>
      <c r="F28" s="13">
        <v>1</v>
      </c>
    </row>
    <row r="29" spans="1:6" x14ac:dyDescent="0.45">
      <c r="A29" s="18">
        <v>0.21199999999999999</v>
      </c>
      <c r="B29" s="13"/>
      <c r="C29" s="13">
        <v>3</v>
      </c>
      <c r="D29" s="13"/>
      <c r="E29" s="13"/>
      <c r="F29" s="13">
        <v>3</v>
      </c>
    </row>
    <row r="30" spans="1:6" x14ac:dyDescent="0.45">
      <c r="A30" s="25" t="s">
        <v>714</v>
      </c>
      <c r="B30" s="13"/>
      <c r="C30" s="13">
        <v>1</v>
      </c>
      <c r="D30" s="13"/>
      <c r="E30" s="13"/>
      <c r="F30" s="13">
        <v>1</v>
      </c>
    </row>
    <row r="31" spans="1:6" x14ac:dyDescent="0.45">
      <c r="A31" s="25" t="s">
        <v>710</v>
      </c>
      <c r="B31" s="13"/>
      <c r="C31" s="13">
        <v>1</v>
      </c>
      <c r="D31" s="13"/>
      <c r="E31" s="13"/>
      <c r="F31" s="13">
        <v>1</v>
      </c>
    </row>
    <row r="32" spans="1:6" x14ac:dyDescent="0.45">
      <c r="A32" s="25" t="s">
        <v>718</v>
      </c>
      <c r="B32" s="13"/>
      <c r="C32" s="13">
        <v>1</v>
      </c>
      <c r="D32" s="13"/>
      <c r="E32" s="13"/>
      <c r="F32" s="13">
        <v>1</v>
      </c>
    </row>
    <row r="33" spans="1:6" x14ac:dyDescent="0.45">
      <c r="A33" s="18">
        <v>0.214</v>
      </c>
      <c r="B33" s="13"/>
      <c r="C33" s="13"/>
      <c r="D33" s="13">
        <v>1</v>
      </c>
      <c r="E33" s="13"/>
      <c r="F33" s="13">
        <v>1</v>
      </c>
    </row>
    <row r="34" spans="1:6" x14ac:dyDescent="0.45">
      <c r="A34" s="25" t="s">
        <v>713</v>
      </c>
      <c r="B34" s="13"/>
      <c r="C34" s="13"/>
      <c r="D34" s="13">
        <v>1</v>
      </c>
      <c r="E34" s="13"/>
      <c r="F34" s="13">
        <v>1</v>
      </c>
    </row>
    <row r="35" spans="1:6" x14ac:dyDescent="0.45">
      <c r="A35" s="18">
        <v>0.215</v>
      </c>
      <c r="B35" s="13"/>
      <c r="C35" s="13">
        <v>2</v>
      </c>
      <c r="D35" s="13">
        <v>1</v>
      </c>
      <c r="E35" s="13"/>
      <c r="F35" s="13">
        <v>3</v>
      </c>
    </row>
    <row r="36" spans="1:6" x14ac:dyDescent="0.45">
      <c r="A36" s="25" t="s">
        <v>711</v>
      </c>
      <c r="B36" s="13"/>
      <c r="C36" s="13">
        <v>1</v>
      </c>
      <c r="D36" s="13"/>
      <c r="E36" s="13"/>
      <c r="F36" s="13">
        <v>1</v>
      </c>
    </row>
    <row r="37" spans="1:6" x14ac:dyDescent="0.45">
      <c r="A37" s="25" t="s">
        <v>720</v>
      </c>
      <c r="B37" s="13"/>
      <c r="C37" s="13">
        <v>1</v>
      </c>
      <c r="D37" s="13"/>
      <c r="E37" s="13"/>
      <c r="F37" s="13">
        <v>1</v>
      </c>
    </row>
    <row r="38" spans="1:6" x14ac:dyDescent="0.45">
      <c r="A38" s="25" t="s">
        <v>716</v>
      </c>
      <c r="B38" s="13"/>
      <c r="C38" s="13"/>
      <c r="D38" s="13">
        <v>1</v>
      </c>
      <c r="E38" s="13"/>
      <c r="F38" s="13">
        <v>1</v>
      </c>
    </row>
    <row r="39" spans="1:6" x14ac:dyDescent="0.45">
      <c r="A39" s="18">
        <v>0.216</v>
      </c>
      <c r="B39" s="13">
        <v>1</v>
      </c>
      <c r="C39" s="13">
        <v>1</v>
      </c>
      <c r="D39" s="13"/>
      <c r="E39" s="13">
        <v>1</v>
      </c>
      <c r="F39" s="13">
        <v>3</v>
      </c>
    </row>
    <row r="40" spans="1:6" x14ac:dyDescent="0.45">
      <c r="A40" s="25" t="s">
        <v>708</v>
      </c>
      <c r="B40" s="13">
        <v>1</v>
      </c>
      <c r="C40" s="13"/>
      <c r="D40" s="13"/>
      <c r="E40" s="13"/>
      <c r="F40" s="13">
        <v>1</v>
      </c>
    </row>
    <row r="41" spans="1:6" x14ac:dyDescent="0.45">
      <c r="A41" s="25" t="s">
        <v>707</v>
      </c>
      <c r="B41" s="13"/>
      <c r="C41" s="13"/>
      <c r="D41" s="13"/>
      <c r="E41" s="13">
        <v>1</v>
      </c>
      <c r="F41" s="13">
        <v>1</v>
      </c>
    </row>
    <row r="42" spans="1:6" x14ac:dyDescent="0.45">
      <c r="A42" s="25" t="s">
        <v>1443</v>
      </c>
      <c r="B42" s="13"/>
      <c r="C42" s="13">
        <v>1</v>
      </c>
      <c r="D42" s="13"/>
      <c r="E42" s="13"/>
      <c r="F42" s="13">
        <v>1</v>
      </c>
    </row>
    <row r="43" spans="1:6" x14ac:dyDescent="0.45">
      <c r="A43" s="18">
        <v>0.217</v>
      </c>
      <c r="B43" s="13"/>
      <c r="C43" s="13"/>
      <c r="D43" s="13">
        <v>1</v>
      </c>
      <c r="E43" s="13"/>
      <c r="F43" s="13">
        <v>1</v>
      </c>
    </row>
    <row r="44" spans="1:6" x14ac:dyDescent="0.45">
      <c r="A44" s="25" t="s">
        <v>720</v>
      </c>
      <c r="B44" s="13"/>
      <c r="C44" s="13"/>
      <c r="D44" s="13">
        <v>1</v>
      </c>
      <c r="E44" s="13"/>
      <c r="F44" s="13">
        <v>1</v>
      </c>
    </row>
    <row r="45" spans="1:6" x14ac:dyDescent="0.45">
      <c r="A45" s="18">
        <v>0.218</v>
      </c>
      <c r="B45" s="13"/>
      <c r="C45" s="13">
        <v>1</v>
      </c>
      <c r="D45" s="13"/>
      <c r="E45" s="13"/>
      <c r="F45" s="13">
        <v>1</v>
      </c>
    </row>
    <row r="46" spans="1:6" x14ac:dyDescent="0.45">
      <c r="A46" s="25" t="s">
        <v>706</v>
      </c>
      <c r="B46" s="13"/>
      <c r="C46" s="13">
        <v>1</v>
      </c>
      <c r="D46" s="13"/>
      <c r="E46" s="13"/>
      <c r="F46" s="13">
        <v>1</v>
      </c>
    </row>
    <row r="47" spans="1:6" x14ac:dyDescent="0.45">
      <c r="A47" s="18">
        <v>0.22</v>
      </c>
      <c r="B47" s="13"/>
      <c r="C47" s="13"/>
      <c r="D47" s="13">
        <v>1</v>
      </c>
      <c r="E47" s="13">
        <v>1</v>
      </c>
      <c r="F47" s="13">
        <v>2</v>
      </c>
    </row>
    <row r="48" spans="1:6" x14ac:dyDescent="0.45">
      <c r="A48" s="25" t="s">
        <v>707</v>
      </c>
      <c r="B48" s="13"/>
      <c r="C48" s="13"/>
      <c r="D48" s="13">
        <v>1</v>
      </c>
      <c r="E48" s="13"/>
      <c r="F48" s="13">
        <v>1</v>
      </c>
    </row>
    <row r="49" spans="1:6" x14ac:dyDescent="0.45">
      <c r="A49" s="25" t="s">
        <v>719</v>
      </c>
      <c r="B49" s="13"/>
      <c r="C49" s="13"/>
      <c r="D49" s="13"/>
      <c r="E49" s="13">
        <v>1</v>
      </c>
      <c r="F49" s="13">
        <v>1</v>
      </c>
    </row>
    <row r="50" spans="1:6" x14ac:dyDescent="0.45">
      <c r="A50" s="18">
        <v>0.222</v>
      </c>
      <c r="B50" s="13"/>
      <c r="C50" s="13"/>
      <c r="D50" s="13"/>
      <c r="E50" s="13">
        <v>1</v>
      </c>
      <c r="F50" s="13">
        <v>1</v>
      </c>
    </row>
    <row r="51" spans="1:6" x14ac:dyDescent="0.45">
      <c r="A51" s="25" t="s">
        <v>706</v>
      </c>
      <c r="B51" s="13"/>
      <c r="C51" s="13"/>
      <c r="D51" s="13"/>
      <c r="E51" s="13">
        <v>1</v>
      </c>
      <c r="F51" s="13">
        <v>1</v>
      </c>
    </row>
    <row r="52" spans="1:6" x14ac:dyDescent="0.45">
      <c r="A52" s="18">
        <v>0.22500000000000001</v>
      </c>
      <c r="B52" s="13">
        <v>1</v>
      </c>
      <c r="C52" s="13">
        <v>1</v>
      </c>
      <c r="D52" s="13"/>
      <c r="E52" s="13"/>
      <c r="F52" s="13">
        <v>2</v>
      </c>
    </row>
    <row r="53" spans="1:6" x14ac:dyDescent="0.45">
      <c r="A53" s="25" t="s">
        <v>720</v>
      </c>
      <c r="B53" s="13">
        <v>1</v>
      </c>
      <c r="C53" s="13"/>
      <c r="D53" s="13"/>
      <c r="E53" s="13"/>
      <c r="F53" s="13">
        <v>1</v>
      </c>
    </row>
    <row r="54" spans="1:6" x14ac:dyDescent="0.45">
      <c r="A54" s="25" t="s">
        <v>715</v>
      </c>
      <c r="B54" s="13"/>
      <c r="C54" s="13">
        <v>1</v>
      </c>
      <c r="D54" s="13"/>
      <c r="E54" s="13"/>
      <c r="F54" s="13">
        <v>1</v>
      </c>
    </row>
    <row r="55" spans="1:6" x14ac:dyDescent="0.45">
      <c r="A55" s="18">
        <v>0.22600000000000001</v>
      </c>
      <c r="B55" s="13"/>
      <c r="C55" s="13">
        <v>1</v>
      </c>
      <c r="D55" s="13"/>
      <c r="E55" s="13">
        <v>1</v>
      </c>
      <c r="F55" s="13">
        <v>2</v>
      </c>
    </row>
    <row r="56" spans="1:6" x14ac:dyDescent="0.45">
      <c r="A56" s="25" t="s">
        <v>720</v>
      </c>
      <c r="B56" s="13"/>
      <c r="C56" s="13">
        <v>1</v>
      </c>
      <c r="D56" s="13"/>
      <c r="E56" s="13"/>
      <c r="F56" s="13">
        <v>1</v>
      </c>
    </row>
    <row r="57" spans="1:6" x14ac:dyDescent="0.45">
      <c r="A57" s="25" t="s">
        <v>712</v>
      </c>
      <c r="B57" s="13"/>
      <c r="C57" s="13"/>
      <c r="D57" s="13"/>
      <c r="E57" s="13">
        <v>1</v>
      </c>
      <c r="F57" s="13">
        <v>1</v>
      </c>
    </row>
    <row r="58" spans="1:6" x14ac:dyDescent="0.45">
      <c r="A58" s="18">
        <v>0.22900000000000001</v>
      </c>
      <c r="B58" s="13">
        <v>2</v>
      </c>
      <c r="C58" s="13"/>
      <c r="D58" s="13"/>
      <c r="E58" s="13"/>
      <c r="F58" s="13">
        <v>2</v>
      </c>
    </row>
    <row r="59" spans="1:6" x14ac:dyDescent="0.45">
      <c r="A59" s="25" t="s">
        <v>714</v>
      </c>
      <c r="B59" s="13">
        <v>1</v>
      </c>
      <c r="C59" s="13"/>
      <c r="D59" s="13"/>
      <c r="E59" s="13"/>
      <c r="F59" s="13">
        <v>1</v>
      </c>
    </row>
    <row r="60" spans="1:6" x14ac:dyDescent="0.45">
      <c r="A60" s="25" t="s">
        <v>718</v>
      </c>
      <c r="B60" s="13">
        <v>1</v>
      </c>
      <c r="C60" s="13"/>
      <c r="D60" s="13"/>
      <c r="E60" s="13"/>
      <c r="F60" s="13">
        <v>1</v>
      </c>
    </row>
    <row r="61" spans="1:6" x14ac:dyDescent="0.45">
      <c r="A61" s="18">
        <v>0.23</v>
      </c>
      <c r="B61" s="13"/>
      <c r="C61" s="13"/>
      <c r="D61" s="13"/>
      <c r="E61" s="13">
        <v>1</v>
      </c>
      <c r="F61" s="13">
        <v>1</v>
      </c>
    </row>
    <row r="62" spans="1:6" x14ac:dyDescent="0.45">
      <c r="A62" s="25" t="s">
        <v>718</v>
      </c>
      <c r="B62" s="13"/>
      <c r="C62" s="13"/>
      <c r="D62" s="13"/>
      <c r="E62" s="13">
        <v>1</v>
      </c>
      <c r="F62" s="13">
        <v>1</v>
      </c>
    </row>
    <row r="63" spans="1:6" x14ac:dyDescent="0.45">
      <c r="A63" s="18">
        <v>0.23499999999999999</v>
      </c>
      <c r="B63" s="13"/>
      <c r="C63" s="13">
        <v>1</v>
      </c>
      <c r="D63" s="13">
        <v>1</v>
      </c>
      <c r="E63" s="13"/>
      <c r="F63" s="13">
        <v>2</v>
      </c>
    </row>
    <row r="64" spans="1:6" x14ac:dyDescent="0.45">
      <c r="A64" s="25" t="s">
        <v>710</v>
      </c>
      <c r="B64" s="13"/>
      <c r="C64" s="13"/>
      <c r="D64" s="13">
        <v>1</v>
      </c>
      <c r="E64" s="13"/>
      <c r="F64" s="13">
        <v>1</v>
      </c>
    </row>
    <row r="65" spans="1:6" x14ac:dyDescent="0.45">
      <c r="A65" s="25" t="s">
        <v>719</v>
      </c>
      <c r="B65" s="13"/>
      <c r="C65" s="13">
        <v>1</v>
      </c>
      <c r="D65" s="13"/>
      <c r="E65" s="13"/>
      <c r="F65" s="13">
        <v>1</v>
      </c>
    </row>
    <row r="66" spans="1:6" x14ac:dyDescent="0.45">
      <c r="A66" s="18">
        <v>0.23599999999999999</v>
      </c>
      <c r="B66" s="13"/>
      <c r="C66" s="13">
        <v>1</v>
      </c>
      <c r="D66" s="13"/>
      <c r="E66" s="13"/>
      <c r="F66" s="13">
        <v>1</v>
      </c>
    </row>
    <row r="67" spans="1:6" x14ac:dyDescent="0.45">
      <c r="A67" s="25" t="s">
        <v>708</v>
      </c>
      <c r="B67" s="13"/>
      <c r="C67" s="13">
        <v>1</v>
      </c>
      <c r="D67" s="13"/>
      <c r="E67" s="13"/>
      <c r="F67" s="13">
        <v>1</v>
      </c>
    </row>
    <row r="68" spans="1:6" x14ac:dyDescent="0.45">
      <c r="A68" s="18">
        <v>0.23699999999999999</v>
      </c>
      <c r="B68" s="13">
        <v>2</v>
      </c>
      <c r="C68" s="13"/>
      <c r="D68" s="13"/>
      <c r="E68" s="13"/>
      <c r="F68" s="13">
        <v>2</v>
      </c>
    </row>
    <row r="69" spans="1:6" x14ac:dyDescent="0.45">
      <c r="A69" s="25" t="s">
        <v>707</v>
      </c>
      <c r="B69" s="13">
        <v>1</v>
      </c>
      <c r="C69" s="13"/>
      <c r="D69" s="13"/>
      <c r="E69" s="13"/>
      <c r="F69" s="13">
        <v>1</v>
      </c>
    </row>
    <row r="70" spans="1:6" x14ac:dyDescent="0.45">
      <c r="A70" s="25" t="s">
        <v>718</v>
      </c>
      <c r="B70" s="13">
        <v>1</v>
      </c>
      <c r="C70" s="13"/>
      <c r="D70" s="13"/>
      <c r="E70" s="13"/>
      <c r="F70" s="13">
        <v>1</v>
      </c>
    </row>
    <row r="71" spans="1:6" x14ac:dyDescent="0.45">
      <c r="A71" s="18">
        <v>0.23799999999999999</v>
      </c>
      <c r="B71" s="13"/>
      <c r="C71" s="13"/>
      <c r="D71" s="13"/>
      <c r="E71" s="13">
        <v>1</v>
      </c>
      <c r="F71" s="13">
        <v>1</v>
      </c>
    </row>
    <row r="72" spans="1:6" x14ac:dyDescent="0.45">
      <c r="A72" s="25" t="s">
        <v>711</v>
      </c>
      <c r="B72" s="13"/>
      <c r="C72" s="13"/>
      <c r="D72" s="13"/>
      <c r="E72" s="13">
        <v>1</v>
      </c>
      <c r="F72" s="13">
        <v>1</v>
      </c>
    </row>
    <row r="73" spans="1:6" x14ac:dyDescent="0.45">
      <c r="A73" s="18">
        <v>0.23899999999999999</v>
      </c>
      <c r="B73" s="13"/>
      <c r="C73" s="13"/>
      <c r="D73" s="13"/>
      <c r="E73" s="13">
        <v>2</v>
      </c>
      <c r="F73" s="13">
        <v>2</v>
      </c>
    </row>
    <row r="74" spans="1:6" x14ac:dyDescent="0.45">
      <c r="A74" s="25" t="s">
        <v>720</v>
      </c>
      <c r="B74" s="13"/>
      <c r="C74" s="13"/>
      <c r="D74" s="13"/>
      <c r="E74" s="13">
        <v>1</v>
      </c>
      <c r="F74" s="13">
        <v>1</v>
      </c>
    </row>
    <row r="75" spans="1:6" x14ac:dyDescent="0.45">
      <c r="A75" s="25" t="s">
        <v>719</v>
      </c>
      <c r="B75" s="13"/>
      <c r="C75" s="13"/>
      <c r="D75" s="13"/>
      <c r="E75" s="13">
        <v>1</v>
      </c>
      <c r="F75" s="13">
        <v>1</v>
      </c>
    </row>
    <row r="76" spans="1:6" x14ac:dyDescent="0.45">
      <c r="A76" s="18">
        <v>0.24</v>
      </c>
      <c r="B76" s="13">
        <v>1</v>
      </c>
      <c r="C76" s="13"/>
      <c r="D76" s="13"/>
      <c r="E76" s="13"/>
      <c r="F76" s="13">
        <v>1</v>
      </c>
    </row>
    <row r="77" spans="1:6" x14ac:dyDescent="0.45">
      <c r="A77" s="25" t="s">
        <v>708</v>
      </c>
      <c r="B77" s="13">
        <v>1</v>
      </c>
      <c r="C77" s="13"/>
      <c r="D77" s="13"/>
      <c r="E77" s="13"/>
      <c r="F77" s="13">
        <v>1</v>
      </c>
    </row>
    <row r="78" spans="1:6" x14ac:dyDescent="0.45">
      <c r="A78" s="18">
        <v>0.24099999999999999</v>
      </c>
      <c r="B78" s="13"/>
      <c r="C78" s="13">
        <v>1</v>
      </c>
      <c r="D78" s="13">
        <v>2</v>
      </c>
      <c r="E78" s="13"/>
      <c r="F78" s="13">
        <v>3</v>
      </c>
    </row>
    <row r="79" spans="1:6" x14ac:dyDescent="0.45">
      <c r="A79" s="25" t="s">
        <v>711</v>
      </c>
      <c r="B79" s="13"/>
      <c r="C79" s="13"/>
      <c r="D79" s="13">
        <v>1</v>
      </c>
      <c r="E79" s="13"/>
      <c r="F79" s="13">
        <v>1</v>
      </c>
    </row>
    <row r="80" spans="1:6" x14ac:dyDescent="0.45">
      <c r="A80" s="25" t="s">
        <v>708</v>
      </c>
      <c r="B80" s="13"/>
      <c r="C80" s="13">
        <v>1</v>
      </c>
      <c r="D80" s="13"/>
      <c r="E80" s="13"/>
      <c r="F80" s="13">
        <v>1</v>
      </c>
    </row>
    <row r="81" spans="1:6" x14ac:dyDescent="0.45">
      <c r="A81" s="25" t="s">
        <v>719</v>
      </c>
      <c r="B81" s="13"/>
      <c r="C81" s="13"/>
      <c r="D81" s="13">
        <v>1</v>
      </c>
      <c r="E81" s="13"/>
      <c r="F81" s="13">
        <v>1</v>
      </c>
    </row>
    <row r="82" spans="1:6" x14ac:dyDescent="0.45">
      <c r="A82" s="18">
        <v>0.24299999999999999</v>
      </c>
      <c r="B82" s="13">
        <v>1</v>
      </c>
      <c r="C82" s="13"/>
      <c r="D82" s="13">
        <v>1</v>
      </c>
      <c r="E82" s="13">
        <v>1</v>
      </c>
      <c r="F82" s="13">
        <v>3</v>
      </c>
    </row>
    <row r="83" spans="1:6" x14ac:dyDescent="0.45">
      <c r="A83" s="25" t="s">
        <v>711</v>
      </c>
      <c r="B83" s="13"/>
      <c r="C83" s="13"/>
      <c r="D83" s="13"/>
      <c r="E83" s="13">
        <v>1</v>
      </c>
      <c r="F83" s="13">
        <v>1</v>
      </c>
    </row>
    <row r="84" spans="1:6" x14ac:dyDescent="0.45">
      <c r="A84" s="25" t="s">
        <v>718</v>
      </c>
      <c r="B84" s="13">
        <v>1</v>
      </c>
      <c r="C84" s="13"/>
      <c r="D84" s="13"/>
      <c r="E84" s="13"/>
      <c r="F84" s="13">
        <v>1</v>
      </c>
    </row>
    <row r="85" spans="1:6" x14ac:dyDescent="0.45">
      <c r="A85" s="25" t="s">
        <v>713</v>
      </c>
      <c r="B85" s="13"/>
      <c r="C85" s="13"/>
      <c r="D85" s="13">
        <v>1</v>
      </c>
      <c r="E85" s="13"/>
      <c r="F85" s="13">
        <v>1</v>
      </c>
    </row>
    <row r="86" spans="1:6" x14ac:dyDescent="0.45">
      <c r="A86" s="18">
        <v>0.245</v>
      </c>
      <c r="B86" s="13"/>
      <c r="C86" s="13">
        <v>1</v>
      </c>
      <c r="D86" s="13">
        <v>1</v>
      </c>
      <c r="E86" s="13"/>
      <c r="F86" s="13">
        <v>2</v>
      </c>
    </row>
    <row r="87" spans="1:6" x14ac:dyDescent="0.45">
      <c r="A87" s="25" t="s">
        <v>715</v>
      </c>
      <c r="B87" s="13"/>
      <c r="C87" s="13"/>
      <c r="D87" s="13">
        <v>1</v>
      </c>
      <c r="E87" s="13"/>
      <c r="F87" s="13">
        <v>1</v>
      </c>
    </row>
    <row r="88" spans="1:6" x14ac:dyDescent="0.45">
      <c r="A88" s="25" t="s">
        <v>710</v>
      </c>
      <c r="B88" s="13"/>
      <c r="C88" s="13">
        <v>1</v>
      </c>
      <c r="D88" s="13"/>
      <c r="E88" s="13"/>
      <c r="F88" s="13">
        <v>1</v>
      </c>
    </row>
    <row r="89" spans="1:6" x14ac:dyDescent="0.45">
      <c r="A89" s="18">
        <v>0.248</v>
      </c>
      <c r="B89" s="13">
        <v>1</v>
      </c>
      <c r="C89" s="13"/>
      <c r="D89" s="13"/>
      <c r="E89" s="13"/>
      <c r="F89" s="13">
        <v>1</v>
      </c>
    </row>
    <row r="90" spans="1:6" x14ac:dyDescent="0.45">
      <c r="A90" s="25" t="s">
        <v>707</v>
      </c>
      <c r="B90" s="13">
        <v>1</v>
      </c>
      <c r="C90" s="13"/>
      <c r="D90" s="13"/>
      <c r="E90" s="13"/>
      <c r="F90" s="13">
        <v>1</v>
      </c>
    </row>
    <row r="91" spans="1:6" x14ac:dyDescent="0.45">
      <c r="A91" s="18">
        <v>0.25</v>
      </c>
      <c r="B91" s="13">
        <v>1</v>
      </c>
      <c r="C91" s="13"/>
      <c r="D91" s="13">
        <v>1</v>
      </c>
      <c r="E91" s="13"/>
      <c r="F91" s="13">
        <v>2</v>
      </c>
    </row>
    <row r="92" spans="1:6" x14ac:dyDescent="0.45">
      <c r="A92" s="25" t="s">
        <v>712</v>
      </c>
      <c r="B92" s="13">
        <v>1</v>
      </c>
      <c r="C92" s="13"/>
      <c r="D92" s="13"/>
      <c r="E92" s="13"/>
      <c r="F92" s="13">
        <v>1</v>
      </c>
    </row>
    <row r="93" spans="1:6" x14ac:dyDescent="0.45">
      <c r="A93" s="25" t="s">
        <v>715</v>
      </c>
      <c r="B93" s="13"/>
      <c r="C93" s="13"/>
      <c r="D93" s="13">
        <v>1</v>
      </c>
      <c r="E93" s="13"/>
      <c r="F93" s="13">
        <v>1</v>
      </c>
    </row>
    <row r="94" spans="1:6" x14ac:dyDescent="0.45">
      <c r="A94" s="18">
        <v>0.254</v>
      </c>
      <c r="B94" s="13"/>
      <c r="C94" s="13">
        <v>1</v>
      </c>
      <c r="D94" s="13">
        <v>1</v>
      </c>
      <c r="E94" s="13">
        <v>1</v>
      </c>
      <c r="F94" s="13">
        <v>3</v>
      </c>
    </row>
    <row r="95" spans="1:6" x14ac:dyDescent="0.45">
      <c r="A95" s="25" t="s">
        <v>709</v>
      </c>
      <c r="B95" s="13"/>
      <c r="C95" s="13"/>
      <c r="D95" s="13">
        <v>1</v>
      </c>
      <c r="E95" s="13"/>
      <c r="F95" s="13">
        <v>1</v>
      </c>
    </row>
    <row r="96" spans="1:6" x14ac:dyDescent="0.45">
      <c r="A96" s="25" t="s">
        <v>708</v>
      </c>
      <c r="B96" s="13"/>
      <c r="C96" s="13">
        <v>1</v>
      </c>
      <c r="D96" s="13"/>
      <c r="E96" s="13"/>
      <c r="F96" s="13">
        <v>1</v>
      </c>
    </row>
    <row r="97" spans="1:6" x14ac:dyDescent="0.45">
      <c r="A97" s="25" t="s">
        <v>719</v>
      </c>
      <c r="B97" s="13"/>
      <c r="C97" s="13"/>
      <c r="D97" s="13"/>
      <c r="E97" s="13">
        <v>1</v>
      </c>
      <c r="F97" s="13">
        <v>1</v>
      </c>
    </row>
    <row r="98" spans="1:6" x14ac:dyDescent="0.45">
      <c r="A98" s="18">
        <v>0.255</v>
      </c>
      <c r="B98" s="13"/>
      <c r="C98" s="13"/>
      <c r="D98" s="13">
        <v>1</v>
      </c>
      <c r="E98" s="13">
        <v>1</v>
      </c>
      <c r="F98" s="13">
        <v>2</v>
      </c>
    </row>
    <row r="99" spans="1:6" x14ac:dyDescent="0.45">
      <c r="A99" s="25" t="s">
        <v>717</v>
      </c>
      <c r="B99" s="13"/>
      <c r="C99" s="13"/>
      <c r="D99" s="13"/>
      <c r="E99" s="13">
        <v>1</v>
      </c>
      <c r="F99" s="13">
        <v>1</v>
      </c>
    </row>
    <row r="100" spans="1:6" x14ac:dyDescent="0.45">
      <c r="A100" s="25" t="s">
        <v>713</v>
      </c>
      <c r="B100" s="13"/>
      <c r="C100" s="13"/>
      <c r="D100" s="13">
        <v>1</v>
      </c>
      <c r="E100" s="13"/>
      <c r="F100" s="13">
        <v>1</v>
      </c>
    </row>
    <row r="101" spans="1:6" x14ac:dyDescent="0.45">
      <c r="A101" s="18">
        <v>0.25600000000000001</v>
      </c>
      <c r="B101" s="13"/>
      <c r="C101" s="13">
        <v>1</v>
      </c>
      <c r="D101" s="13"/>
      <c r="E101" s="13"/>
      <c r="F101" s="13">
        <v>1</v>
      </c>
    </row>
    <row r="102" spans="1:6" x14ac:dyDescent="0.45">
      <c r="A102" s="25" t="s">
        <v>706</v>
      </c>
      <c r="B102" s="13"/>
      <c r="C102" s="13">
        <v>1</v>
      </c>
      <c r="D102" s="13"/>
      <c r="E102" s="13"/>
      <c r="F102" s="13">
        <v>1</v>
      </c>
    </row>
    <row r="103" spans="1:6" x14ac:dyDescent="0.45">
      <c r="A103" s="18">
        <v>0.25700000000000001</v>
      </c>
      <c r="B103" s="13"/>
      <c r="C103" s="13"/>
      <c r="D103" s="13">
        <v>1</v>
      </c>
      <c r="E103" s="13">
        <v>1</v>
      </c>
      <c r="F103" s="13">
        <v>2</v>
      </c>
    </row>
    <row r="104" spans="1:6" x14ac:dyDescent="0.45">
      <c r="A104" s="25" t="s">
        <v>707</v>
      </c>
      <c r="B104" s="13"/>
      <c r="C104" s="13"/>
      <c r="D104" s="13">
        <v>1</v>
      </c>
      <c r="E104" s="13"/>
      <c r="F104" s="13">
        <v>1</v>
      </c>
    </row>
    <row r="105" spans="1:6" x14ac:dyDescent="0.45">
      <c r="A105" s="25" t="s">
        <v>717</v>
      </c>
      <c r="B105" s="13"/>
      <c r="C105" s="13"/>
      <c r="D105" s="13"/>
      <c r="E105" s="13">
        <v>1</v>
      </c>
      <c r="F105" s="13">
        <v>1</v>
      </c>
    </row>
    <row r="106" spans="1:6" x14ac:dyDescent="0.45">
      <c r="A106" s="18">
        <v>0.25800000000000001</v>
      </c>
      <c r="B106" s="13"/>
      <c r="C106" s="13">
        <v>1</v>
      </c>
      <c r="D106" s="13"/>
      <c r="E106" s="13"/>
      <c r="F106" s="13">
        <v>1</v>
      </c>
    </row>
    <row r="107" spans="1:6" x14ac:dyDescent="0.45">
      <c r="A107" s="25" t="s">
        <v>714</v>
      </c>
      <c r="B107" s="13"/>
      <c r="C107" s="13">
        <v>1</v>
      </c>
      <c r="D107" s="13"/>
      <c r="E107" s="13"/>
      <c r="F107" s="13">
        <v>1</v>
      </c>
    </row>
    <row r="108" spans="1:6" x14ac:dyDescent="0.45">
      <c r="A108" s="18">
        <v>0.25900000000000001</v>
      </c>
      <c r="B108" s="13"/>
      <c r="C108" s="13"/>
      <c r="D108" s="13">
        <v>1</v>
      </c>
      <c r="E108" s="13"/>
      <c r="F108" s="13">
        <v>1</v>
      </c>
    </row>
    <row r="109" spans="1:6" x14ac:dyDescent="0.45">
      <c r="A109" s="25" t="s">
        <v>710</v>
      </c>
      <c r="B109" s="13"/>
      <c r="C109" s="13"/>
      <c r="D109" s="13">
        <v>1</v>
      </c>
      <c r="E109" s="13"/>
      <c r="F109" s="13">
        <v>1</v>
      </c>
    </row>
    <row r="110" spans="1:6" x14ac:dyDescent="0.45">
      <c r="A110" s="18">
        <v>0.26100000000000001</v>
      </c>
      <c r="B110" s="13"/>
      <c r="C110" s="13"/>
      <c r="D110" s="13">
        <v>1</v>
      </c>
      <c r="E110" s="13"/>
      <c r="F110" s="13">
        <v>1</v>
      </c>
    </row>
    <row r="111" spans="1:6" x14ac:dyDescent="0.45">
      <c r="A111" s="25" t="s">
        <v>715</v>
      </c>
      <c r="B111" s="13"/>
      <c r="C111" s="13"/>
      <c r="D111" s="13">
        <v>1</v>
      </c>
      <c r="E111" s="13"/>
      <c r="F111" s="13">
        <v>1</v>
      </c>
    </row>
    <row r="112" spans="1:6" x14ac:dyDescent="0.45">
      <c r="A112" s="18">
        <v>0.26300000000000001</v>
      </c>
      <c r="B112" s="13"/>
      <c r="C112" s="13">
        <v>1</v>
      </c>
      <c r="D112" s="13"/>
      <c r="E112" s="13"/>
      <c r="F112" s="13">
        <v>1</v>
      </c>
    </row>
    <row r="113" spans="1:6" x14ac:dyDescent="0.45">
      <c r="A113" s="25" t="s">
        <v>720</v>
      </c>
      <c r="B113" s="13"/>
      <c r="C113" s="13">
        <v>1</v>
      </c>
      <c r="D113" s="13"/>
      <c r="E113" s="13"/>
      <c r="F113" s="13">
        <v>1</v>
      </c>
    </row>
    <row r="114" spans="1:6" x14ac:dyDescent="0.45">
      <c r="A114" s="18">
        <v>0.26500000000000001</v>
      </c>
      <c r="B114" s="13">
        <v>1</v>
      </c>
      <c r="C114" s="13"/>
      <c r="D114" s="13"/>
      <c r="E114" s="13"/>
      <c r="F114" s="13">
        <v>1</v>
      </c>
    </row>
    <row r="115" spans="1:6" x14ac:dyDescent="0.45">
      <c r="A115" s="25" t="s">
        <v>706</v>
      </c>
      <c r="B115" s="13">
        <v>1</v>
      </c>
      <c r="C115" s="13"/>
      <c r="D115" s="13"/>
      <c r="E115" s="13"/>
      <c r="F115" s="13">
        <v>1</v>
      </c>
    </row>
    <row r="116" spans="1:6" x14ac:dyDescent="0.45">
      <c r="A116" s="18">
        <v>0.26600000000000001</v>
      </c>
      <c r="B116" s="13"/>
      <c r="C116" s="13">
        <v>1</v>
      </c>
      <c r="D116" s="13"/>
      <c r="E116" s="13"/>
      <c r="F116" s="13">
        <v>1</v>
      </c>
    </row>
    <row r="117" spans="1:6" x14ac:dyDescent="0.45">
      <c r="A117" s="25" t="s">
        <v>717</v>
      </c>
      <c r="B117" s="13"/>
      <c r="C117" s="13">
        <v>1</v>
      </c>
      <c r="D117" s="13"/>
      <c r="E117" s="13"/>
      <c r="F117" s="13">
        <v>1</v>
      </c>
    </row>
    <row r="118" spans="1:6" x14ac:dyDescent="0.45">
      <c r="A118" s="18">
        <v>0.27</v>
      </c>
      <c r="B118" s="13"/>
      <c r="C118" s="13"/>
      <c r="D118" s="13">
        <v>1</v>
      </c>
      <c r="E118" s="13"/>
      <c r="F118" s="13">
        <v>1</v>
      </c>
    </row>
    <row r="119" spans="1:6" x14ac:dyDescent="0.45">
      <c r="A119" s="25" t="s">
        <v>710</v>
      </c>
      <c r="B119" s="13"/>
      <c r="C119" s="13"/>
      <c r="D119" s="13">
        <v>1</v>
      </c>
      <c r="E119" s="13"/>
      <c r="F119" s="13">
        <v>1</v>
      </c>
    </row>
    <row r="120" spans="1:6" x14ac:dyDescent="0.45">
      <c r="A120" s="18">
        <v>0.27200000000000002</v>
      </c>
      <c r="B120" s="13"/>
      <c r="C120" s="13"/>
      <c r="D120" s="13">
        <v>1</v>
      </c>
      <c r="E120" s="13"/>
      <c r="F120" s="13">
        <v>1</v>
      </c>
    </row>
    <row r="121" spans="1:6" x14ac:dyDescent="0.45">
      <c r="A121" s="25" t="s">
        <v>717</v>
      </c>
      <c r="B121" s="13"/>
      <c r="C121" s="13"/>
      <c r="D121" s="13">
        <v>1</v>
      </c>
      <c r="E121" s="13"/>
      <c r="F121" s="13">
        <v>1</v>
      </c>
    </row>
    <row r="122" spans="1:6" x14ac:dyDescent="0.45">
      <c r="A122" s="18">
        <v>0.27800000000000002</v>
      </c>
      <c r="B122" s="13">
        <v>1</v>
      </c>
      <c r="C122" s="13"/>
      <c r="D122" s="13"/>
      <c r="E122" s="13"/>
      <c r="F122" s="13">
        <v>1</v>
      </c>
    </row>
    <row r="123" spans="1:6" x14ac:dyDescent="0.45">
      <c r="A123" s="25" t="s">
        <v>718</v>
      </c>
      <c r="B123" s="13">
        <v>1</v>
      </c>
      <c r="C123" s="13"/>
      <c r="D123" s="13"/>
      <c r="E123" s="13"/>
      <c r="F123" s="13">
        <v>1</v>
      </c>
    </row>
    <row r="124" spans="1:6" x14ac:dyDescent="0.45">
      <c r="A124" s="18">
        <v>0.28199999999999997</v>
      </c>
      <c r="B124" s="13"/>
      <c r="C124" s="13">
        <v>1</v>
      </c>
      <c r="D124" s="13"/>
      <c r="E124" s="13"/>
      <c r="F124" s="13">
        <v>1</v>
      </c>
    </row>
    <row r="125" spans="1:6" x14ac:dyDescent="0.45">
      <c r="A125" s="25" t="s">
        <v>709</v>
      </c>
      <c r="B125" s="13"/>
      <c r="C125" s="13">
        <v>1</v>
      </c>
      <c r="D125" s="13"/>
      <c r="E125" s="13"/>
      <c r="F125" s="13">
        <v>1</v>
      </c>
    </row>
    <row r="126" spans="1:6" x14ac:dyDescent="0.45">
      <c r="A126" s="18">
        <v>0.29199999999999998</v>
      </c>
      <c r="B126" s="13"/>
      <c r="C126" s="13">
        <v>1</v>
      </c>
      <c r="D126" s="13"/>
      <c r="E126" s="13">
        <v>1</v>
      </c>
      <c r="F126" s="13">
        <v>2</v>
      </c>
    </row>
    <row r="127" spans="1:6" x14ac:dyDescent="0.45">
      <c r="A127" s="25" t="s">
        <v>720</v>
      </c>
      <c r="B127" s="13"/>
      <c r="C127" s="13">
        <v>1</v>
      </c>
      <c r="D127" s="13"/>
      <c r="E127" s="13"/>
      <c r="F127" s="13">
        <v>1</v>
      </c>
    </row>
    <row r="128" spans="1:6" x14ac:dyDescent="0.45">
      <c r="A128" s="25" t="s">
        <v>716</v>
      </c>
      <c r="B128" s="13"/>
      <c r="C128" s="13"/>
      <c r="D128" s="13"/>
      <c r="E128" s="13">
        <v>1</v>
      </c>
      <c r="F128" s="13">
        <v>1</v>
      </c>
    </row>
    <row r="129" spans="1:6" x14ac:dyDescent="0.45">
      <c r="A129" s="18">
        <v>0.29299999999999998</v>
      </c>
      <c r="B129" s="13">
        <v>1</v>
      </c>
      <c r="C129" s="13"/>
      <c r="D129" s="13"/>
      <c r="E129" s="13"/>
      <c r="F129" s="13">
        <v>1</v>
      </c>
    </row>
    <row r="130" spans="1:6" x14ac:dyDescent="0.45">
      <c r="A130" s="25" t="s">
        <v>707</v>
      </c>
      <c r="B130" s="13">
        <v>1</v>
      </c>
      <c r="C130" s="13"/>
      <c r="D130" s="13"/>
      <c r="E130" s="13"/>
      <c r="F130" s="13">
        <v>1</v>
      </c>
    </row>
    <row r="131" spans="1:6" x14ac:dyDescent="0.45">
      <c r="A131" s="18">
        <v>0.29499999999999998</v>
      </c>
      <c r="B131" s="13"/>
      <c r="C131" s="13"/>
      <c r="D131" s="13">
        <v>1</v>
      </c>
      <c r="E131" s="13"/>
      <c r="F131" s="13">
        <v>1</v>
      </c>
    </row>
    <row r="132" spans="1:6" x14ac:dyDescent="0.45">
      <c r="A132" s="25" t="s">
        <v>713</v>
      </c>
      <c r="B132" s="13"/>
      <c r="C132" s="13"/>
      <c r="D132" s="13">
        <v>1</v>
      </c>
      <c r="E132" s="13"/>
      <c r="F132" s="13">
        <v>1</v>
      </c>
    </row>
    <row r="133" spans="1:6" x14ac:dyDescent="0.45">
      <c r="A133" s="18">
        <v>0.29899999999999999</v>
      </c>
      <c r="B133" s="13">
        <v>1</v>
      </c>
      <c r="C133" s="13"/>
      <c r="D133" s="13"/>
      <c r="E133" s="13"/>
      <c r="F133" s="13">
        <v>1</v>
      </c>
    </row>
    <row r="134" spans="1:6" x14ac:dyDescent="0.45">
      <c r="A134" s="25" t="s">
        <v>1443</v>
      </c>
      <c r="B134" s="13">
        <v>1</v>
      </c>
      <c r="C134" s="13"/>
      <c r="D134" s="13"/>
      <c r="E134" s="13"/>
      <c r="F134" s="13">
        <v>1</v>
      </c>
    </row>
    <row r="135" spans="1:6" x14ac:dyDescent="0.45">
      <c r="A135" s="18">
        <v>0.3</v>
      </c>
      <c r="B135" s="13">
        <v>3</v>
      </c>
      <c r="C135" s="13">
        <v>1</v>
      </c>
      <c r="D135" s="13">
        <v>3</v>
      </c>
      <c r="E135" s="13"/>
      <c r="F135" s="13">
        <v>7</v>
      </c>
    </row>
    <row r="136" spans="1:6" x14ac:dyDescent="0.45">
      <c r="A136" s="25" t="s">
        <v>714</v>
      </c>
      <c r="B136" s="13">
        <v>1</v>
      </c>
      <c r="C136" s="13"/>
      <c r="D136" s="13"/>
      <c r="E136" s="13"/>
      <c r="F136" s="13">
        <v>1</v>
      </c>
    </row>
    <row r="137" spans="1:6" x14ac:dyDescent="0.45">
      <c r="A137" s="25" t="s">
        <v>706</v>
      </c>
      <c r="B137" s="13"/>
      <c r="C137" s="13"/>
      <c r="D137" s="13">
        <v>2</v>
      </c>
      <c r="E137" s="13"/>
      <c r="F137" s="13">
        <v>2</v>
      </c>
    </row>
    <row r="138" spans="1:6" x14ac:dyDescent="0.45">
      <c r="A138" s="25" t="s">
        <v>716</v>
      </c>
      <c r="B138" s="13">
        <v>1</v>
      </c>
      <c r="C138" s="13"/>
      <c r="D138" s="13">
        <v>1</v>
      </c>
      <c r="E138" s="13"/>
      <c r="F138" s="13">
        <v>2</v>
      </c>
    </row>
    <row r="139" spans="1:6" x14ac:dyDescent="0.45">
      <c r="A139" s="25" t="s">
        <v>710</v>
      </c>
      <c r="B139" s="13"/>
      <c r="C139" s="13">
        <v>1</v>
      </c>
      <c r="D139" s="13"/>
      <c r="E139" s="13"/>
      <c r="F139" s="13">
        <v>1</v>
      </c>
    </row>
    <row r="140" spans="1:6" x14ac:dyDescent="0.45">
      <c r="A140" s="25" t="s">
        <v>718</v>
      </c>
      <c r="B140" s="13">
        <v>1</v>
      </c>
      <c r="C140" s="13"/>
      <c r="D140" s="13"/>
      <c r="E140" s="13"/>
      <c r="F140" s="13">
        <v>1</v>
      </c>
    </row>
    <row r="141" spans="1:6" x14ac:dyDescent="0.45">
      <c r="A141" s="18" t="s">
        <v>1435</v>
      </c>
      <c r="B141" s="13">
        <v>22</v>
      </c>
      <c r="C141" s="13">
        <v>27</v>
      </c>
      <c r="D141" s="13">
        <v>23</v>
      </c>
      <c r="E141" s="13">
        <v>17</v>
      </c>
      <c r="F141" s="13">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7" sqref="B7"/>
    </sheetView>
  </sheetViews>
  <sheetFormatPr defaultRowHeight="14.25" x14ac:dyDescent="0.45"/>
  <cols>
    <col min="1" max="1" width="12.06640625" customWidth="1"/>
    <col min="2" max="2" width="19.19921875" bestFit="1" customWidth="1"/>
  </cols>
  <sheetData>
    <row r="3" spans="1:2" x14ac:dyDescent="0.45">
      <c r="A3" s="14" t="s">
        <v>1513</v>
      </c>
      <c r="B3" t="s">
        <v>1438</v>
      </c>
    </row>
    <row r="4" spans="1:2" x14ac:dyDescent="0.45">
      <c r="A4" s="18" t="s">
        <v>1490</v>
      </c>
      <c r="B4" s="13">
        <v>20595.83324</v>
      </c>
    </row>
    <row r="5" spans="1:2" x14ac:dyDescent="0.45">
      <c r="A5" s="25" t="s">
        <v>1529</v>
      </c>
      <c r="B5" s="13"/>
    </row>
    <row r="6" spans="1:2" x14ac:dyDescent="0.45">
      <c r="A6" s="31" t="s">
        <v>1453</v>
      </c>
      <c r="B6" s="13">
        <v>20595.83324</v>
      </c>
    </row>
    <row r="7" spans="1:2" x14ac:dyDescent="0.45">
      <c r="A7" s="18" t="s">
        <v>1507</v>
      </c>
      <c r="B7" s="13">
        <v>27331.829999999998</v>
      </c>
    </row>
    <row r="8" spans="1:2" x14ac:dyDescent="0.45">
      <c r="A8" s="25" t="s">
        <v>1530</v>
      </c>
      <c r="B8" s="13"/>
    </row>
    <row r="9" spans="1:2" x14ac:dyDescent="0.45">
      <c r="A9" s="31" t="s">
        <v>1453</v>
      </c>
      <c r="B9" s="13">
        <v>27331.829999999998</v>
      </c>
    </row>
    <row r="10" spans="1:2" x14ac:dyDescent="0.45">
      <c r="A10" s="18" t="s">
        <v>1506</v>
      </c>
      <c r="B10" s="13">
        <v>19066.045319999997</v>
      </c>
    </row>
    <row r="11" spans="1:2" x14ac:dyDescent="0.45">
      <c r="A11" s="25" t="s">
        <v>1544</v>
      </c>
      <c r="B11" s="13"/>
    </row>
    <row r="12" spans="1:2" x14ac:dyDescent="0.45">
      <c r="A12" s="31" t="s">
        <v>1453</v>
      </c>
      <c r="B12" s="13">
        <v>19066.045319999997</v>
      </c>
    </row>
    <row r="13" spans="1:2" x14ac:dyDescent="0.45">
      <c r="A13" s="18" t="s">
        <v>1497</v>
      </c>
      <c r="B13" s="13">
        <v>12967.958640000001</v>
      </c>
    </row>
    <row r="14" spans="1:2" x14ac:dyDescent="0.45">
      <c r="A14" s="25" t="s">
        <v>1530</v>
      </c>
      <c r="B14" s="13"/>
    </row>
    <row r="15" spans="1:2" x14ac:dyDescent="0.45">
      <c r="A15" s="31" t="s">
        <v>1457</v>
      </c>
      <c r="B15" s="13">
        <v>12967.958640000001</v>
      </c>
    </row>
    <row r="16" spans="1:2" x14ac:dyDescent="0.45">
      <c r="A16" s="18" t="s">
        <v>1435</v>
      </c>
      <c r="B16" s="13">
        <v>79961.667199999996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A41" sqref="A41"/>
    </sheetView>
  </sheetViews>
  <sheetFormatPr defaultRowHeight="14.25" x14ac:dyDescent="0.45"/>
  <cols>
    <col min="1" max="1" width="16.53125" bestFit="1" customWidth="1"/>
    <col min="2" max="2" width="14.73046875" bestFit="1" customWidth="1"/>
    <col min="3" max="3" width="10.73046875" bestFit="1" customWidth="1"/>
    <col min="4" max="5" width="11.73046875" bestFit="1" customWidth="1"/>
    <col min="6" max="6" width="10.73046875" bestFit="1" customWidth="1"/>
    <col min="7" max="7" width="11.73046875" bestFit="1" customWidth="1"/>
  </cols>
  <sheetData>
    <row r="3" spans="1:3" x14ac:dyDescent="0.45">
      <c r="A3" s="14" t="s">
        <v>1517</v>
      </c>
      <c r="B3" s="14" t="s">
        <v>1518</v>
      </c>
    </row>
    <row r="4" spans="1:3" x14ac:dyDescent="0.45">
      <c r="A4" s="14" t="s">
        <v>1513</v>
      </c>
      <c r="B4" t="s">
        <v>640</v>
      </c>
      <c r="C4" t="s">
        <v>1435</v>
      </c>
    </row>
    <row r="5" spans="1:3" x14ac:dyDescent="0.45">
      <c r="A5" s="18" t="s">
        <v>701</v>
      </c>
      <c r="B5" s="13">
        <v>35181.707199999997</v>
      </c>
      <c r="C5" s="13">
        <v>35181.707199999997</v>
      </c>
    </row>
    <row r="6" spans="1:3" x14ac:dyDescent="0.45">
      <c r="A6" s="18" t="s">
        <v>1435</v>
      </c>
      <c r="B6" s="13">
        <v>35181.707199999997</v>
      </c>
      <c r="C6" s="13">
        <v>35181.707199999997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heetViews>
  <sheetFormatPr defaultRowHeight="14.25" x14ac:dyDescent="0.45"/>
  <cols>
    <col min="1" max="1" width="12.06640625" bestFit="1" customWidth="1"/>
    <col min="2" max="2" width="19.19921875" bestFit="1" customWidth="1"/>
  </cols>
  <sheetData>
    <row r="3" spans="1:2" x14ac:dyDescent="0.45">
      <c r="A3" s="14" t="s">
        <v>1513</v>
      </c>
      <c r="B3" t="s">
        <v>1438</v>
      </c>
    </row>
    <row r="4" spans="1:2" x14ac:dyDescent="0.45">
      <c r="A4" s="18" t="s">
        <v>1017</v>
      </c>
      <c r="B4" s="13">
        <v>19066.045319999997</v>
      </c>
    </row>
    <row r="5" spans="1:2" x14ac:dyDescent="0.45">
      <c r="A5" s="18" t="s">
        <v>762</v>
      </c>
      <c r="B5" s="13">
        <v>27331.829999999998</v>
      </c>
    </row>
    <row r="6" spans="1:2" x14ac:dyDescent="0.45">
      <c r="A6" s="18" t="s">
        <v>796</v>
      </c>
      <c r="B6" s="13">
        <v>8671.7354400000004</v>
      </c>
    </row>
    <row r="7" spans="1:2" x14ac:dyDescent="0.45">
      <c r="A7" s="18" t="s">
        <v>1159</v>
      </c>
      <c r="B7" s="13">
        <v>12967.958640000001</v>
      </c>
    </row>
    <row r="8" spans="1:2" x14ac:dyDescent="0.45">
      <c r="A8" s="18" t="s">
        <v>1259</v>
      </c>
      <c r="B8" s="13">
        <v>11924.0978</v>
      </c>
    </row>
    <row r="9" spans="1:2" x14ac:dyDescent="0.45">
      <c r="A9" s="18" t="s">
        <v>1435</v>
      </c>
      <c r="B9" s="13">
        <v>79961.667199999996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51"/>
  <sheetViews>
    <sheetView topLeftCell="A1248" workbookViewId="0">
      <selection activeCell="H1254" sqref="H1254"/>
    </sheetView>
  </sheetViews>
  <sheetFormatPr defaultRowHeight="14.25" x14ac:dyDescent="0.45"/>
  <cols>
    <col min="1" max="1" width="14.3984375" customWidth="1"/>
    <col min="2" max="2" width="19.19921875" bestFit="1" customWidth="1"/>
    <col min="3" max="3" width="16.46484375" bestFit="1" customWidth="1"/>
    <col min="4" max="4" width="14.06640625" style="26" bestFit="1" customWidth="1"/>
  </cols>
  <sheetData>
    <row r="3" spans="1:5" x14ac:dyDescent="0.45">
      <c r="A3" s="14" t="s">
        <v>1513</v>
      </c>
      <c r="B3" t="s">
        <v>1438</v>
      </c>
      <c r="C3" t="s">
        <v>1531</v>
      </c>
      <c r="D3" s="26" t="s">
        <v>1532</v>
      </c>
    </row>
    <row r="4" spans="1:5" x14ac:dyDescent="0.45">
      <c r="A4" s="18" t="s">
        <v>964</v>
      </c>
      <c r="B4" s="13">
        <v>139277.83032000001</v>
      </c>
      <c r="C4">
        <f>SUM($B$4:B4)</f>
        <v>139277.83032000001</v>
      </c>
      <c r="D4" s="26">
        <f>C4/SUM($B$4:$B$633)</f>
        <v>8.0207965308779876E-3</v>
      </c>
      <c r="E4" t="str">
        <f>IF(D4&gt;=0.8,"A",IF(D4&gt;=0.95,"B","C"))</f>
        <v>C</v>
      </c>
    </row>
    <row r="5" spans="1:5" x14ac:dyDescent="0.45">
      <c r="A5" s="18" t="s">
        <v>775</v>
      </c>
      <c r="B5" s="13">
        <v>109244</v>
      </c>
      <c r="C5">
        <f>SUM($B$4:B5)</f>
        <v>248521.83032000001</v>
      </c>
      <c r="D5" s="26">
        <f t="shared" ref="D5:D68" si="0">C5/SUM($B$4:$B$1255)</f>
        <v>7.8326688522271908E-3</v>
      </c>
      <c r="E5" t="str">
        <f t="shared" ref="E5:E68" si="1">IF(D5&gt;=0.8,"A",IF(D5&gt;=0.95,"B","C"))</f>
        <v>C</v>
      </c>
    </row>
    <row r="6" spans="1:5" x14ac:dyDescent="0.45">
      <c r="A6" s="18" t="s">
        <v>1148</v>
      </c>
      <c r="B6" s="13">
        <v>102122.94203999999</v>
      </c>
      <c r="C6">
        <f>SUM($B$4:B6)</f>
        <v>350644.77236</v>
      </c>
      <c r="D6" s="26">
        <f t="shared" si="0"/>
        <v>1.1051280216003786E-2</v>
      </c>
      <c r="E6" t="str">
        <f t="shared" si="1"/>
        <v>C</v>
      </c>
    </row>
    <row r="7" spans="1:5" x14ac:dyDescent="0.45">
      <c r="A7" s="18" t="s">
        <v>903</v>
      </c>
      <c r="B7" s="13">
        <v>92715.25</v>
      </c>
      <c r="C7">
        <f>SUM($B$4:B7)</f>
        <v>443360.02236</v>
      </c>
      <c r="D7" s="26">
        <f t="shared" si="0"/>
        <v>1.3973389110286363E-2</v>
      </c>
      <c r="E7" t="str">
        <f t="shared" si="1"/>
        <v>C</v>
      </c>
    </row>
    <row r="8" spans="1:5" x14ac:dyDescent="0.45">
      <c r="A8" s="18" t="s">
        <v>868</v>
      </c>
      <c r="B8" s="13">
        <v>87404.929919999995</v>
      </c>
      <c r="C8">
        <f>SUM($B$4:B8)</f>
        <v>530764.95227999997</v>
      </c>
      <c r="D8" s="26">
        <f t="shared" si="0"/>
        <v>1.6728132511435335E-2</v>
      </c>
      <c r="E8" t="str">
        <f t="shared" si="1"/>
        <v>C</v>
      </c>
    </row>
    <row r="9" spans="1:5" x14ac:dyDescent="0.45">
      <c r="A9" s="18" t="s">
        <v>893</v>
      </c>
      <c r="B9" s="13">
        <v>85637.740319999997</v>
      </c>
      <c r="C9">
        <f>SUM($B$4:B9)</f>
        <v>616402.69259999995</v>
      </c>
      <c r="D9" s="26">
        <f t="shared" si="0"/>
        <v>1.9427179352977945E-2</v>
      </c>
      <c r="E9" t="str">
        <f t="shared" si="1"/>
        <v>C</v>
      </c>
    </row>
    <row r="10" spans="1:5" x14ac:dyDescent="0.45">
      <c r="A10" s="18" t="s">
        <v>1191</v>
      </c>
      <c r="B10" s="13">
        <v>84136.119600000005</v>
      </c>
      <c r="C10">
        <f>SUM($B$4:B10)</f>
        <v>700538.81219999993</v>
      </c>
      <c r="D10" s="26">
        <f t="shared" si="0"/>
        <v>2.2078899576065111E-2</v>
      </c>
      <c r="E10" t="str">
        <f t="shared" si="1"/>
        <v>C</v>
      </c>
    </row>
    <row r="11" spans="1:5" x14ac:dyDescent="0.45">
      <c r="A11" s="18" t="s">
        <v>1089</v>
      </c>
      <c r="B11" s="13">
        <v>82514.711519999997</v>
      </c>
      <c r="C11">
        <f>SUM($B$4:B11)</f>
        <v>783053.52371999994</v>
      </c>
      <c r="D11" s="26">
        <f t="shared" si="0"/>
        <v>2.4679517839422575E-2</v>
      </c>
      <c r="E11" t="str">
        <f t="shared" si="1"/>
        <v>C</v>
      </c>
    </row>
    <row r="12" spans="1:5" x14ac:dyDescent="0.45">
      <c r="A12" s="18" t="s">
        <v>1338</v>
      </c>
      <c r="B12" s="13">
        <v>82141.339799999987</v>
      </c>
      <c r="C12">
        <f>SUM($B$4:B12)</f>
        <v>865194.8635199999</v>
      </c>
      <c r="D12" s="26">
        <f t="shared" si="0"/>
        <v>2.7268368536776753E-2</v>
      </c>
      <c r="E12" t="str">
        <f t="shared" si="1"/>
        <v>C</v>
      </c>
    </row>
    <row r="13" spans="1:5" x14ac:dyDescent="0.45">
      <c r="A13" s="18" t="s">
        <v>1003</v>
      </c>
      <c r="B13" s="13">
        <v>79548.755999999994</v>
      </c>
      <c r="C13">
        <f>SUM($B$4:B13)</f>
        <v>944743.61951999995</v>
      </c>
      <c r="D13" s="26">
        <f t="shared" si="0"/>
        <v>2.9775508704513072E-2</v>
      </c>
      <c r="E13" t="str">
        <f t="shared" si="1"/>
        <v>C</v>
      </c>
    </row>
    <row r="14" spans="1:5" x14ac:dyDescent="0.45">
      <c r="A14" s="18" t="s">
        <v>1073</v>
      </c>
      <c r="B14" s="13">
        <v>79082.507010000001</v>
      </c>
      <c r="C14">
        <f>SUM($B$4:B14)</f>
        <v>1023826.12653</v>
      </c>
      <c r="D14" s="26">
        <f t="shared" si="0"/>
        <v>3.2267954090963363E-2</v>
      </c>
      <c r="E14" t="str">
        <f t="shared" si="1"/>
        <v>C</v>
      </c>
    </row>
    <row r="15" spans="1:5" x14ac:dyDescent="0.45">
      <c r="A15" s="18" t="s">
        <v>791</v>
      </c>
      <c r="B15" s="13">
        <v>72665.817450000002</v>
      </c>
      <c r="C15">
        <f>SUM($B$4:B15)</f>
        <v>1096491.94398</v>
      </c>
      <c r="D15" s="26">
        <f t="shared" si="0"/>
        <v>3.4558164509216657E-2</v>
      </c>
      <c r="E15" t="str">
        <f t="shared" si="1"/>
        <v>C</v>
      </c>
    </row>
    <row r="16" spans="1:5" x14ac:dyDescent="0.45">
      <c r="A16" s="25" t="s">
        <v>726</v>
      </c>
      <c r="B16" s="13">
        <v>72665.817450000002</v>
      </c>
      <c r="C16">
        <f>SUM($B$4:B16)</f>
        <v>1169157.76143</v>
      </c>
      <c r="D16" s="26">
        <f t="shared" si="0"/>
        <v>3.6848374927469951E-2</v>
      </c>
      <c r="E16" t="str">
        <f t="shared" si="1"/>
        <v>C</v>
      </c>
    </row>
    <row r="17" spans="1:5" x14ac:dyDescent="0.45">
      <c r="A17" s="18" t="s">
        <v>1313</v>
      </c>
      <c r="B17" s="13">
        <v>68665.574250000005</v>
      </c>
      <c r="C17">
        <f>SUM($B$4:B17)</f>
        <v>1237823.33568</v>
      </c>
      <c r="D17" s="26">
        <f t="shared" si="0"/>
        <v>3.9012509578964134E-2</v>
      </c>
      <c r="E17" t="str">
        <f t="shared" si="1"/>
        <v>C</v>
      </c>
    </row>
    <row r="18" spans="1:5" x14ac:dyDescent="0.45">
      <c r="A18" s="25" t="s">
        <v>724</v>
      </c>
      <c r="B18" s="13">
        <v>68665.574250000005</v>
      </c>
      <c r="C18">
        <f>SUM($B$4:B18)</f>
        <v>1306488.9099300001</v>
      </c>
      <c r="D18" s="26">
        <f t="shared" si="0"/>
        <v>4.1176644230458317E-2</v>
      </c>
      <c r="E18" t="str">
        <f t="shared" si="1"/>
        <v>C</v>
      </c>
    </row>
    <row r="19" spans="1:5" x14ac:dyDescent="0.45">
      <c r="A19" s="18" t="s">
        <v>950</v>
      </c>
      <c r="B19" s="13">
        <v>66988.771199999988</v>
      </c>
      <c r="C19">
        <f>SUM($B$4:B19)</f>
        <v>1373477.6811300002</v>
      </c>
      <c r="D19" s="26">
        <f t="shared" si="0"/>
        <v>4.3287931037543241E-2</v>
      </c>
      <c r="E19" t="str">
        <f t="shared" si="1"/>
        <v>C</v>
      </c>
    </row>
    <row r="20" spans="1:5" x14ac:dyDescent="0.45">
      <c r="A20" s="25" t="s">
        <v>723</v>
      </c>
      <c r="B20" s="13">
        <v>66988.771199999988</v>
      </c>
      <c r="C20">
        <f>SUM($B$4:B20)</f>
        <v>1440466.4523300002</v>
      </c>
      <c r="D20" s="26">
        <f t="shared" si="0"/>
        <v>4.5399217844628165E-2</v>
      </c>
      <c r="E20" t="str">
        <f t="shared" si="1"/>
        <v>C</v>
      </c>
    </row>
    <row r="21" spans="1:5" x14ac:dyDescent="0.45">
      <c r="A21" s="18" t="s">
        <v>1264</v>
      </c>
      <c r="B21" s="13">
        <v>66260.314239999992</v>
      </c>
      <c r="C21">
        <f>SUM($B$4:B21)</f>
        <v>1506726.7665700002</v>
      </c>
      <c r="D21" s="26">
        <f t="shared" si="0"/>
        <v>4.7487545855162162E-2</v>
      </c>
      <c r="E21" t="str">
        <f t="shared" si="1"/>
        <v>C</v>
      </c>
    </row>
    <row r="22" spans="1:5" x14ac:dyDescent="0.45">
      <c r="A22" s="25" t="s">
        <v>722</v>
      </c>
      <c r="B22" s="13">
        <v>66260.314239999992</v>
      </c>
      <c r="C22">
        <f>SUM($B$4:B22)</f>
        <v>1572987.0808100002</v>
      </c>
      <c r="D22" s="26">
        <f t="shared" si="0"/>
        <v>4.9575873865696167E-2</v>
      </c>
      <c r="E22" t="str">
        <f t="shared" si="1"/>
        <v>C</v>
      </c>
    </row>
    <row r="23" spans="1:5" x14ac:dyDescent="0.45">
      <c r="A23" s="18" t="s">
        <v>845</v>
      </c>
      <c r="B23" s="13">
        <v>65119.329599999997</v>
      </c>
      <c r="C23">
        <f>SUM($B$4:B23)</f>
        <v>1638106.4104100002</v>
      </c>
      <c r="D23" s="26">
        <f t="shared" si="0"/>
        <v>5.1628241434287944E-2</v>
      </c>
      <c r="E23" t="str">
        <f t="shared" si="1"/>
        <v>C</v>
      </c>
    </row>
    <row r="24" spans="1:5" x14ac:dyDescent="0.45">
      <c r="A24" s="25" t="s">
        <v>725</v>
      </c>
      <c r="B24" s="13">
        <v>65119.329599999997</v>
      </c>
      <c r="C24">
        <f>SUM($B$4:B24)</f>
        <v>1703225.7400100003</v>
      </c>
      <c r="D24" s="26">
        <f t="shared" si="0"/>
        <v>5.3680609002879721E-2</v>
      </c>
      <c r="E24" t="str">
        <f t="shared" si="1"/>
        <v>C</v>
      </c>
    </row>
    <row r="25" spans="1:5" x14ac:dyDescent="0.45">
      <c r="A25" s="18" t="s">
        <v>854</v>
      </c>
      <c r="B25" s="13">
        <v>65111.38614000001</v>
      </c>
      <c r="C25">
        <f>SUM($B$4:B25)</f>
        <v>1768337.1261500004</v>
      </c>
      <c r="D25" s="26">
        <f t="shared" si="0"/>
        <v>5.5732726217240479E-2</v>
      </c>
      <c r="E25" t="str">
        <f t="shared" si="1"/>
        <v>C</v>
      </c>
    </row>
    <row r="26" spans="1:5" x14ac:dyDescent="0.45">
      <c r="A26" s="25" t="s">
        <v>721</v>
      </c>
      <c r="B26" s="13">
        <v>65111.38614000001</v>
      </c>
      <c r="C26">
        <f>SUM($B$4:B26)</f>
        <v>1833448.5122900004</v>
      </c>
      <c r="D26" s="26">
        <f t="shared" si="0"/>
        <v>5.7784843431601236E-2</v>
      </c>
      <c r="E26" t="str">
        <f t="shared" si="1"/>
        <v>C</v>
      </c>
    </row>
    <row r="27" spans="1:5" x14ac:dyDescent="0.45">
      <c r="A27" s="18" t="s">
        <v>1114</v>
      </c>
      <c r="B27" s="13">
        <v>65066.934229999999</v>
      </c>
      <c r="C27">
        <f>SUM($B$4:B27)</f>
        <v>1898515.4465200005</v>
      </c>
      <c r="D27" s="26">
        <f t="shared" si="0"/>
        <v>5.9835559653983017E-2</v>
      </c>
      <c r="E27" t="str">
        <f t="shared" si="1"/>
        <v>C</v>
      </c>
    </row>
    <row r="28" spans="1:5" x14ac:dyDescent="0.45">
      <c r="A28" s="25" t="s">
        <v>725</v>
      </c>
      <c r="B28" s="13">
        <v>65066.934229999999</v>
      </c>
      <c r="C28">
        <f>SUM($B$4:B28)</f>
        <v>1963582.3807500005</v>
      </c>
      <c r="D28" s="26">
        <f t="shared" si="0"/>
        <v>6.1886275876364798E-2</v>
      </c>
      <c r="E28" t="str">
        <f t="shared" si="1"/>
        <v>C</v>
      </c>
    </row>
    <row r="29" spans="1:5" x14ac:dyDescent="0.45">
      <c r="A29" s="18" t="s">
        <v>1247</v>
      </c>
      <c r="B29" s="13">
        <v>64192.976999999999</v>
      </c>
      <c r="C29">
        <f>SUM($B$4:B29)</f>
        <v>2027775.3577500004</v>
      </c>
      <c r="D29" s="26">
        <f t="shared" si="0"/>
        <v>6.3909447566482411E-2</v>
      </c>
      <c r="E29" t="str">
        <f t="shared" si="1"/>
        <v>C</v>
      </c>
    </row>
    <row r="30" spans="1:5" x14ac:dyDescent="0.45">
      <c r="A30" s="25" t="s">
        <v>725</v>
      </c>
      <c r="B30" s="13">
        <v>64192.976999999999</v>
      </c>
      <c r="C30">
        <f>SUM($B$4:B30)</f>
        <v>2091968.3347500004</v>
      </c>
      <c r="D30" s="26">
        <f t="shared" si="0"/>
        <v>6.5932619256600017E-2</v>
      </c>
      <c r="E30" t="str">
        <f t="shared" si="1"/>
        <v>C</v>
      </c>
    </row>
    <row r="31" spans="1:5" x14ac:dyDescent="0.45">
      <c r="A31" s="18" t="s">
        <v>737</v>
      </c>
      <c r="B31" s="13">
        <v>60928.502359999999</v>
      </c>
      <c r="C31">
        <f>SUM($B$4:B31)</f>
        <v>2152896.8371100002</v>
      </c>
      <c r="D31" s="26">
        <f t="shared" si="0"/>
        <v>6.7852904416392745E-2</v>
      </c>
      <c r="E31" t="str">
        <f t="shared" si="1"/>
        <v>C</v>
      </c>
    </row>
    <row r="32" spans="1:5" x14ac:dyDescent="0.45">
      <c r="A32" s="25" t="s">
        <v>721</v>
      </c>
      <c r="B32" s="13">
        <v>60928.502359999999</v>
      </c>
      <c r="C32">
        <f>SUM($B$4:B32)</f>
        <v>2213825.33947</v>
      </c>
      <c r="D32" s="26">
        <f t="shared" si="0"/>
        <v>6.9773189576185474E-2</v>
      </c>
      <c r="E32" t="str">
        <f t="shared" si="1"/>
        <v>C</v>
      </c>
    </row>
    <row r="33" spans="1:5" x14ac:dyDescent="0.45">
      <c r="A33" s="18" t="s">
        <v>808</v>
      </c>
      <c r="B33" s="13">
        <v>60292.805299999993</v>
      </c>
      <c r="C33">
        <f>SUM($B$4:B33)</f>
        <v>2274118.1447700001</v>
      </c>
      <c r="D33" s="26">
        <f t="shared" si="0"/>
        <v>7.1673439455556751E-2</v>
      </c>
      <c r="E33" t="str">
        <f t="shared" si="1"/>
        <v>C</v>
      </c>
    </row>
    <row r="34" spans="1:5" x14ac:dyDescent="0.45">
      <c r="A34" s="25" t="s">
        <v>723</v>
      </c>
      <c r="B34" s="13">
        <v>60292.805299999993</v>
      </c>
      <c r="C34">
        <f>SUM($B$4:B34)</f>
        <v>2334410.9500700003</v>
      </c>
      <c r="D34" s="26">
        <f t="shared" si="0"/>
        <v>7.3573689334928027E-2</v>
      </c>
      <c r="E34" t="str">
        <f t="shared" si="1"/>
        <v>C</v>
      </c>
    </row>
    <row r="35" spans="1:5" x14ac:dyDescent="0.45">
      <c r="A35" s="18" t="s">
        <v>1254</v>
      </c>
      <c r="B35" s="13">
        <v>58526.83122</v>
      </c>
      <c r="C35">
        <f>SUM($B$4:B35)</f>
        <v>2392937.7812900003</v>
      </c>
      <c r="D35" s="26">
        <f t="shared" si="0"/>
        <v>7.5418280964267725E-2</v>
      </c>
      <c r="E35" t="str">
        <f t="shared" si="1"/>
        <v>C</v>
      </c>
    </row>
    <row r="36" spans="1:5" x14ac:dyDescent="0.45">
      <c r="A36" s="25" t="s">
        <v>725</v>
      </c>
      <c r="B36" s="13">
        <v>58526.83122</v>
      </c>
      <c r="C36">
        <f>SUM($B$4:B36)</f>
        <v>2451464.6125100004</v>
      </c>
      <c r="D36" s="26">
        <f t="shared" si="0"/>
        <v>7.7262872593607423E-2</v>
      </c>
      <c r="E36" t="str">
        <f t="shared" si="1"/>
        <v>C</v>
      </c>
    </row>
    <row r="37" spans="1:5" x14ac:dyDescent="0.45">
      <c r="A37" s="18" t="s">
        <v>1150</v>
      </c>
      <c r="B37" s="13">
        <v>58091.634960000003</v>
      </c>
      <c r="C37">
        <f>SUM($B$4:B37)</f>
        <v>2509556.2474700003</v>
      </c>
      <c r="D37" s="26">
        <f t="shared" si="0"/>
        <v>7.9093748131342928E-2</v>
      </c>
      <c r="E37" t="str">
        <f t="shared" si="1"/>
        <v>C</v>
      </c>
    </row>
    <row r="38" spans="1:5" x14ac:dyDescent="0.45">
      <c r="A38" s="25" t="s">
        <v>722</v>
      </c>
      <c r="B38" s="13">
        <v>58091.634960000003</v>
      </c>
      <c r="C38">
        <f>SUM($B$4:B38)</f>
        <v>2567647.8824300002</v>
      </c>
      <c r="D38" s="26">
        <f t="shared" si="0"/>
        <v>8.0924623669078447E-2</v>
      </c>
      <c r="E38" t="str">
        <f t="shared" si="1"/>
        <v>C</v>
      </c>
    </row>
    <row r="39" spans="1:5" x14ac:dyDescent="0.45">
      <c r="A39" s="18" t="s">
        <v>1157</v>
      </c>
      <c r="B39" s="13">
        <v>58057.65</v>
      </c>
      <c r="C39">
        <f>SUM($B$4:B39)</f>
        <v>2625705.5324300001</v>
      </c>
      <c r="D39" s="26">
        <f t="shared" si="0"/>
        <v>8.2754428101964553E-2</v>
      </c>
      <c r="E39" t="str">
        <f t="shared" si="1"/>
        <v>C</v>
      </c>
    </row>
    <row r="40" spans="1:5" x14ac:dyDescent="0.45">
      <c r="A40" s="25" t="s">
        <v>725</v>
      </c>
      <c r="B40" s="13">
        <v>58057.65</v>
      </c>
      <c r="C40">
        <f>SUM($B$4:B40)</f>
        <v>2683763.18243</v>
      </c>
      <c r="D40" s="26">
        <f t="shared" si="0"/>
        <v>8.4584232534850673E-2</v>
      </c>
      <c r="E40" t="str">
        <f t="shared" si="1"/>
        <v>C</v>
      </c>
    </row>
    <row r="41" spans="1:5" x14ac:dyDescent="0.45">
      <c r="A41" s="18" t="s">
        <v>1122</v>
      </c>
      <c r="B41" s="13">
        <v>56176.777799999996</v>
      </c>
      <c r="C41">
        <f>SUM($B$4:B41)</f>
        <v>2739939.9602299999</v>
      </c>
      <c r="D41" s="26">
        <f t="shared" si="0"/>
        <v>8.6354757470732485E-2</v>
      </c>
      <c r="E41" t="str">
        <f t="shared" si="1"/>
        <v>C</v>
      </c>
    </row>
    <row r="42" spans="1:5" x14ac:dyDescent="0.45">
      <c r="A42" s="25" t="s">
        <v>726</v>
      </c>
      <c r="B42" s="13">
        <v>56176.777799999996</v>
      </c>
      <c r="C42">
        <f>SUM($B$4:B42)</f>
        <v>2796116.7380299997</v>
      </c>
      <c r="D42" s="26">
        <f t="shared" si="0"/>
        <v>8.8125282406614283E-2</v>
      </c>
      <c r="E42" t="str">
        <f t="shared" si="1"/>
        <v>C</v>
      </c>
    </row>
    <row r="43" spans="1:5" x14ac:dyDescent="0.45">
      <c r="A43" s="18" t="s">
        <v>926</v>
      </c>
      <c r="B43" s="13">
        <v>55880.483749999999</v>
      </c>
      <c r="C43">
        <f>SUM($B$4:B43)</f>
        <v>2851997.2217799998</v>
      </c>
      <c r="D43" s="26">
        <f t="shared" si="0"/>
        <v>8.9886469035380195E-2</v>
      </c>
      <c r="E43" t="str">
        <f t="shared" si="1"/>
        <v>C</v>
      </c>
    </row>
    <row r="44" spans="1:5" x14ac:dyDescent="0.45">
      <c r="A44" s="25" t="s">
        <v>722</v>
      </c>
      <c r="B44" s="13">
        <v>55880.483749999999</v>
      </c>
      <c r="C44">
        <f>SUM($B$4:B44)</f>
        <v>2907877.7055299999</v>
      </c>
      <c r="D44" s="26">
        <f t="shared" si="0"/>
        <v>9.1647655664146094E-2</v>
      </c>
      <c r="E44" t="str">
        <f t="shared" si="1"/>
        <v>C</v>
      </c>
    </row>
    <row r="45" spans="1:5" x14ac:dyDescent="0.45">
      <c r="A45" s="18" t="s">
        <v>1046</v>
      </c>
      <c r="B45" s="13">
        <v>53034.364139999991</v>
      </c>
      <c r="C45">
        <f>SUM($B$4:B45)</f>
        <v>2960912.0696700001</v>
      </c>
      <c r="D45" s="26">
        <f t="shared" si="0"/>
        <v>9.3319141068716707E-2</v>
      </c>
      <c r="E45" t="str">
        <f t="shared" si="1"/>
        <v>C</v>
      </c>
    </row>
    <row r="46" spans="1:5" x14ac:dyDescent="0.45">
      <c r="A46" s="25" t="s">
        <v>727</v>
      </c>
      <c r="B46" s="13">
        <v>53034.364139999991</v>
      </c>
      <c r="C46">
        <f>SUM($B$4:B46)</f>
        <v>3013946.4338100003</v>
      </c>
      <c r="D46" s="26">
        <f t="shared" si="0"/>
        <v>9.4990626473287321E-2</v>
      </c>
      <c r="E46" t="str">
        <f t="shared" si="1"/>
        <v>C</v>
      </c>
    </row>
    <row r="47" spans="1:5" x14ac:dyDescent="0.45">
      <c r="A47" s="18" t="s">
        <v>828</v>
      </c>
      <c r="B47" s="13">
        <v>52780.07</v>
      </c>
      <c r="C47">
        <f>SUM($B$4:B47)</f>
        <v>3066726.5038100001</v>
      </c>
      <c r="D47" s="26">
        <f t="shared" si="0"/>
        <v>9.6654097282974583E-2</v>
      </c>
      <c r="E47" t="str">
        <f t="shared" si="1"/>
        <v>C</v>
      </c>
    </row>
    <row r="48" spans="1:5" x14ac:dyDescent="0.45">
      <c r="A48" s="25" t="s">
        <v>724</v>
      </c>
      <c r="B48" s="13">
        <v>52780.07</v>
      </c>
      <c r="C48">
        <f>SUM($B$4:B48)</f>
        <v>3119506.57381</v>
      </c>
      <c r="D48" s="26">
        <f t="shared" si="0"/>
        <v>9.8317568092661831E-2</v>
      </c>
      <c r="E48" t="str">
        <f t="shared" si="1"/>
        <v>C</v>
      </c>
    </row>
    <row r="49" spans="1:5" x14ac:dyDescent="0.45">
      <c r="A49" s="18" t="s">
        <v>1118</v>
      </c>
      <c r="B49" s="13">
        <v>52361.645000000004</v>
      </c>
      <c r="C49">
        <f>SUM($B$4:B49)</f>
        <v>3171868.21881</v>
      </c>
      <c r="D49" s="26">
        <f t="shared" si="0"/>
        <v>9.996785139097325E-2</v>
      </c>
      <c r="E49" t="str">
        <f t="shared" si="1"/>
        <v>C</v>
      </c>
    </row>
    <row r="50" spans="1:5" x14ac:dyDescent="0.45">
      <c r="A50" s="25" t="s">
        <v>721</v>
      </c>
      <c r="B50" s="13">
        <v>52361.645000000004</v>
      </c>
      <c r="C50">
        <f>SUM($B$4:B50)</f>
        <v>3224229.86381</v>
      </c>
      <c r="D50" s="26">
        <f t="shared" si="0"/>
        <v>0.10161813468928466</v>
      </c>
      <c r="E50" t="str">
        <f t="shared" si="1"/>
        <v>C</v>
      </c>
    </row>
    <row r="51" spans="1:5" x14ac:dyDescent="0.45">
      <c r="A51" s="18" t="s">
        <v>1317</v>
      </c>
      <c r="B51" s="13">
        <v>51768.181920000003</v>
      </c>
      <c r="C51">
        <f>SUM($B$4:B51)</f>
        <v>3275998.0457299999</v>
      </c>
      <c r="D51" s="26">
        <f t="shared" si="0"/>
        <v>0.10324971379659731</v>
      </c>
      <c r="E51" t="str">
        <f t="shared" si="1"/>
        <v>C</v>
      </c>
    </row>
    <row r="52" spans="1:5" x14ac:dyDescent="0.45">
      <c r="A52" s="25" t="s">
        <v>723</v>
      </c>
      <c r="B52" s="13">
        <v>51768.181920000003</v>
      </c>
      <c r="C52">
        <f>SUM($B$4:B52)</f>
        <v>3327766.2276499998</v>
      </c>
      <c r="D52" s="26">
        <f t="shared" si="0"/>
        <v>0.10488129290390998</v>
      </c>
      <c r="E52" t="str">
        <f t="shared" si="1"/>
        <v>C</v>
      </c>
    </row>
    <row r="53" spans="1:5" x14ac:dyDescent="0.45">
      <c r="A53" s="18" t="s">
        <v>1282</v>
      </c>
      <c r="B53" s="13">
        <v>50545.319219999998</v>
      </c>
      <c r="C53">
        <f>SUM($B$4:B53)</f>
        <v>3378311.5468699997</v>
      </c>
      <c r="D53" s="26">
        <f t="shared" si="0"/>
        <v>0.10647433101637921</v>
      </c>
      <c r="E53" t="str">
        <f t="shared" si="1"/>
        <v>C</v>
      </c>
    </row>
    <row r="54" spans="1:5" x14ac:dyDescent="0.45">
      <c r="A54" s="25" t="s">
        <v>722</v>
      </c>
      <c r="B54" s="13">
        <v>50545.319219999998</v>
      </c>
      <c r="C54">
        <f>SUM($B$4:B54)</f>
        <v>3428856.8660899997</v>
      </c>
      <c r="D54" s="26">
        <f t="shared" si="0"/>
        <v>0.10806736912884846</v>
      </c>
      <c r="E54" t="str">
        <f t="shared" si="1"/>
        <v>C</v>
      </c>
    </row>
    <row r="55" spans="1:5" x14ac:dyDescent="0.45">
      <c r="A55" s="18" t="s">
        <v>1238</v>
      </c>
      <c r="B55" s="13">
        <v>50296.415399999998</v>
      </c>
      <c r="C55">
        <f>SUM($B$4:B55)</f>
        <v>3479153.2814899995</v>
      </c>
      <c r="D55" s="26">
        <f t="shared" si="0"/>
        <v>0.10965256253328699</v>
      </c>
      <c r="E55" t="str">
        <f t="shared" si="1"/>
        <v>C</v>
      </c>
    </row>
    <row r="56" spans="1:5" x14ac:dyDescent="0.45">
      <c r="A56" s="25" t="s">
        <v>721</v>
      </c>
      <c r="B56" s="13">
        <v>50296.415399999998</v>
      </c>
      <c r="C56">
        <f>SUM($B$4:B56)</f>
        <v>3529449.6968899993</v>
      </c>
      <c r="D56" s="26">
        <f t="shared" si="0"/>
        <v>0.11123775593772554</v>
      </c>
      <c r="E56" t="str">
        <f t="shared" si="1"/>
        <v>C</v>
      </c>
    </row>
    <row r="57" spans="1:5" x14ac:dyDescent="0.45">
      <c r="A57" s="18" t="s">
        <v>1349</v>
      </c>
      <c r="B57" s="13">
        <v>50090.397499999999</v>
      </c>
      <c r="C57">
        <f>SUM($B$4:B57)</f>
        <v>3579540.0943899993</v>
      </c>
      <c r="D57" s="26">
        <f t="shared" si="0"/>
        <v>0.11281645627076568</v>
      </c>
      <c r="E57" t="str">
        <f t="shared" si="1"/>
        <v>C</v>
      </c>
    </row>
    <row r="58" spans="1:5" x14ac:dyDescent="0.45">
      <c r="A58" s="25" t="s">
        <v>723</v>
      </c>
      <c r="B58" s="13">
        <v>50090.397499999999</v>
      </c>
      <c r="C58">
        <f>SUM($B$4:B58)</f>
        <v>3629630.4918899992</v>
      </c>
      <c r="D58" s="26">
        <f t="shared" si="0"/>
        <v>0.11439515660380582</v>
      </c>
      <c r="E58" t="str">
        <f t="shared" si="1"/>
        <v>C</v>
      </c>
    </row>
    <row r="59" spans="1:5" x14ac:dyDescent="0.45">
      <c r="A59" s="18" t="s">
        <v>1084</v>
      </c>
      <c r="B59" s="13">
        <v>49336.511399999996</v>
      </c>
      <c r="C59">
        <f>SUM($B$4:B59)</f>
        <v>3678967.0032899994</v>
      </c>
      <c r="D59" s="26">
        <f t="shared" si="0"/>
        <v>0.11595009668944237</v>
      </c>
      <c r="E59" t="str">
        <f t="shared" si="1"/>
        <v>C</v>
      </c>
    </row>
    <row r="60" spans="1:5" x14ac:dyDescent="0.45">
      <c r="A60" s="25" t="s">
        <v>723</v>
      </c>
      <c r="B60" s="13">
        <v>49336.511399999996</v>
      </c>
      <c r="C60">
        <f>SUM($B$4:B60)</f>
        <v>3728303.5146899996</v>
      </c>
      <c r="D60" s="26">
        <f t="shared" si="0"/>
        <v>0.11750503677507892</v>
      </c>
      <c r="E60" t="str">
        <f t="shared" si="1"/>
        <v>C</v>
      </c>
    </row>
    <row r="61" spans="1:5" x14ac:dyDescent="0.45">
      <c r="A61" s="18" t="s">
        <v>930</v>
      </c>
      <c r="B61" s="13">
        <v>47962.717579999997</v>
      </c>
      <c r="C61">
        <f>SUM($B$4:B61)</f>
        <v>3776266.2322699996</v>
      </c>
      <c r="D61" s="26">
        <f t="shared" si="0"/>
        <v>0.11901667896592111</v>
      </c>
      <c r="E61" t="str">
        <f t="shared" si="1"/>
        <v>C</v>
      </c>
    </row>
    <row r="62" spans="1:5" x14ac:dyDescent="0.45">
      <c r="A62" s="25" t="s">
        <v>723</v>
      </c>
      <c r="B62" s="13">
        <v>47962.717579999997</v>
      </c>
      <c r="C62">
        <f>SUM($B$4:B62)</f>
        <v>3824228.9498499995</v>
      </c>
      <c r="D62" s="26">
        <f t="shared" si="0"/>
        <v>0.12052832115676329</v>
      </c>
      <c r="E62" t="str">
        <f t="shared" si="1"/>
        <v>C</v>
      </c>
    </row>
    <row r="63" spans="1:5" x14ac:dyDescent="0.45">
      <c r="A63" s="18" t="s">
        <v>1109</v>
      </c>
      <c r="B63" s="13">
        <v>47693.373</v>
      </c>
      <c r="C63">
        <f>SUM($B$4:B63)</f>
        <v>3871922.3228499996</v>
      </c>
      <c r="D63" s="26">
        <f t="shared" si="0"/>
        <v>0.12203147440762156</v>
      </c>
      <c r="E63" t="str">
        <f t="shared" si="1"/>
        <v>C</v>
      </c>
    </row>
    <row r="64" spans="1:5" x14ac:dyDescent="0.45">
      <c r="A64" s="25" t="s">
        <v>723</v>
      </c>
      <c r="B64" s="13">
        <v>47693.373</v>
      </c>
      <c r="C64">
        <f>SUM($B$4:B64)</f>
        <v>3919615.6958499998</v>
      </c>
      <c r="D64" s="26">
        <f t="shared" si="0"/>
        <v>0.12353462765847982</v>
      </c>
      <c r="E64" t="str">
        <f t="shared" si="1"/>
        <v>C</v>
      </c>
    </row>
    <row r="65" spans="1:5" x14ac:dyDescent="0.45">
      <c r="A65" s="18" t="s">
        <v>1281</v>
      </c>
      <c r="B65" s="13">
        <v>46450.26</v>
      </c>
      <c r="C65">
        <f>SUM($B$4:B65)</f>
        <v>3966065.9558499996</v>
      </c>
      <c r="D65" s="26">
        <f t="shared" si="0"/>
        <v>0.1249986016852741</v>
      </c>
      <c r="E65" t="str">
        <f t="shared" si="1"/>
        <v>C</v>
      </c>
    </row>
    <row r="66" spans="1:5" x14ac:dyDescent="0.45">
      <c r="A66" s="25" t="s">
        <v>727</v>
      </c>
      <c r="B66" s="13">
        <v>46450.26</v>
      </c>
      <c r="C66">
        <f>SUM($B$4:B66)</f>
        <v>4012516.2158499993</v>
      </c>
      <c r="D66" s="26">
        <f t="shared" si="0"/>
        <v>0.12646257571206837</v>
      </c>
      <c r="E66" t="str">
        <f t="shared" si="1"/>
        <v>C</v>
      </c>
    </row>
    <row r="67" spans="1:5" x14ac:dyDescent="0.45">
      <c r="A67" s="18" t="s">
        <v>1174</v>
      </c>
      <c r="B67" s="13">
        <v>45547.183360000003</v>
      </c>
      <c r="C67">
        <f>SUM($B$4:B67)</f>
        <v>4058063.3992099995</v>
      </c>
      <c r="D67" s="26">
        <f t="shared" si="0"/>
        <v>0.12789808744941228</v>
      </c>
      <c r="E67" t="str">
        <f t="shared" si="1"/>
        <v>C</v>
      </c>
    </row>
    <row r="68" spans="1:5" x14ac:dyDescent="0.45">
      <c r="A68" s="25" t="s">
        <v>726</v>
      </c>
      <c r="B68" s="13">
        <v>45547.183360000003</v>
      </c>
      <c r="C68">
        <f>SUM($B$4:B68)</f>
        <v>4103610.5825699996</v>
      </c>
      <c r="D68" s="26">
        <f t="shared" si="0"/>
        <v>0.12933359918675622</v>
      </c>
      <c r="E68" t="str">
        <f t="shared" si="1"/>
        <v>C</v>
      </c>
    </row>
    <row r="69" spans="1:5" x14ac:dyDescent="0.45">
      <c r="A69" s="18" t="s">
        <v>1292</v>
      </c>
      <c r="B69" s="13">
        <v>44173.627960000005</v>
      </c>
      <c r="C69">
        <f>SUM($B$4:B69)</f>
        <v>4147784.2105299998</v>
      </c>
      <c r="D69" s="26">
        <f t="shared" ref="D69:D132" si="2">C69/SUM($B$4:$B$1255)</f>
        <v>0.13072582054359497</v>
      </c>
      <c r="E69" t="str">
        <f t="shared" ref="E69:E132" si="3">IF(D69&gt;=0.8,"A",IF(D69&gt;=0.95,"B","C"))</f>
        <v>C</v>
      </c>
    </row>
    <row r="70" spans="1:5" x14ac:dyDescent="0.45">
      <c r="A70" s="25" t="s">
        <v>725</v>
      </c>
      <c r="B70" s="13">
        <v>44173.627960000005</v>
      </c>
      <c r="C70">
        <f>SUM($B$4:B70)</f>
        <v>4191957.83849</v>
      </c>
      <c r="D70" s="26">
        <f t="shared" si="2"/>
        <v>0.13211804190043375</v>
      </c>
      <c r="E70" t="str">
        <f t="shared" si="3"/>
        <v>C</v>
      </c>
    </row>
    <row r="71" spans="1:5" x14ac:dyDescent="0.45">
      <c r="A71" s="18" t="s">
        <v>1083</v>
      </c>
      <c r="B71" s="13">
        <v>43907.94</v>
      </c>
      <c r="C71">
        <f>SUM($B$4:B71)</f>
        <v>4235865.7784900004</v>
      </c>
      <c r="D71" s="26">
        <f t="shared" si="2"/>
        <v>0.13350188956307421</v>
      </c>
      <c r="E71" t="str">
        <f t="shared" si="3"/>
        <v>C</v>
      </c>
    </row>
    <row r="72" spans="1:5" x14ac:dyDescent="0.45">
      <c r="A72" s="25" t="s">
        <v>722</v>
      </c>
      <c r="B72" s="13">
        <v>43907.94</v>
      </c>
      <c r="C72">
        <f>SUM($B$4:B72)</f>
        <v>4279773.7184900008</v>
      </c>
      <c r="D72" s="26">
        <f t="shared" si="2"/>
        <v>0.1348857372257147</v>
      </c>
      <c r="E72" t="str">
        <f t="shared" si="3"/>
        <v>C</v>
      </c>
    </row>
    <row r="73" spans="1:5" x14ac:dyDescent="0.45">
      <c r="A73" s="18" t="s">
        <v>1103</v>
      </c>
      <c r="B73" s="13">
        <v>43553.493060000001</v>
      </c>
      <c r="C73">
        <f>SUM($B$4:B73)</f>
        <v>4323327.2115500011</v>
      </c>
      <c r="D73" s="26">
        <f t="shared" si="2"/>
        <v>0.13625841377512485</v>
      </c>
      <c r="E73" t="str">
        <f t="shared" si="3"/>
        <v>C</v>
      </c>
    </row>
    <row r="74" spans="1:5" x14ac:dyDescent="0.45">
      <c r="A74" s="25" t="s">
        <v>723</v>
      </c>
      <c r="B74" s="13">
        <v>43553.493060000001</v>
      </c>
      <c r="C74">
        <f>SUM($B$4:B74)</f>
        <v>4366880.7046100013</v>
      </c>
      <c r="D74" s="26">
        <f t="shared" si="2"/>
        <v>0.13763109032453502</v>
      </c>
      <c r="E74" t="str">
        <f t="shared" si="3"/>
        <v>C</v>
      </c>
    </row>
    <row r="75" spans="1:5" x14ac:dyDescent="0.45">
      <c r="A75" s="18" t="s">
        <v>823</v>
      </c>
      <c r="B75" s="13">
        <v>43209.006119999991</v>
      </c>
      <c r="C75">
        <f>SUM($B$4:B75)</f>
        <v>4410089.7107300013</v>
      </c>
      <c r="D75" s="26">
        <f t="shared" si="2"/>
        <v>0.13899290967028843</v>
      </c>
      <c r="E75" t="str">
        <f t="shared" si="3"/>
        <v>C</v>
      </c>
    </row>
    <row r="76" spans="1:5" x14ac:dyDescent="0.45">
      <c r="A76" s="25" t="s">
        <v>722</v>
      </c>
      <c r="B76" s="13">
        <v>43209.006119999991</v>
      </c>
      <c r="C76">
        <f>SUM($B$4:B76)</f>
        <v>4453298.7168500014</v>
      </c>
      <c r="D76" s="26">
        <f t="shared" si="2"/>
        <v>0.14035472901604182</v>
      </c>
      <c r="E76" t="str">
        <f t="shared" si="3"/>
        <v>C</v>
      </c>
    </row>
    <row r="77" spans="1:5" x14ac:dyDescent="0.45">
      <c r="A77" s="18" t="s">
        <v>1033</v>
      </c>
      <c r="B77" s="13">
        <v>43084.872000000003</v>
      </c>
      <c r="C77">
        <f>SUM($B$4:B77)</f>
        <v>4496383.5888500018</v>
      </c>
      <c r="D77" s="26">
        <f t="shared" si="2"/>
        <v>0.14171263602357539</v>
      </c>
      <c r="E77" t="str">
        <f t="shared" si="3"/>
        <v>C</v>
      </c>
    </row>
    <row r="78" spans="1:5" x14ac:dyDescent="0.45">
      <c r="A78" s="25" t="s">
        <v>727</v>
      </c>
      <c r="B78" s="13">
        <v>43084.872000000003</v>
      </c>
      <c r="C78">
        <f>SUM($B$4:B78)</f>
        <v>4539468.4608500022</v>
      </c>
      <c r="D78" s="26">
        <f t="shared" si="2"/>
        <v>0.14307054303110897</v>
      </c>
      <c r="E78" t="str">
        <f t="shared" si="3"/>
        <v>C</v>
      </c>
    </row>
    <row r="79" spans="1:5" x14ac:dyDescent="0.45">
      <c r="A79" s="18" t="s">
        <v>877</v>
      </c>
      <c r="B79" s="13">
        <v>42495.805439999996</v>
      </c>
      <c r="C79">
        <f>SUM($B$4:B79)</f>
        <v>4581964.2662900025</v>
      </c>
      <c r="D79" s="26">
        <f t="shared" si="2"/>
        <v>0.14440988441287655</v>
      </c>
      <c r="E79" t="str">
        <f t="shared" si="3"/>
        <v>C</v>
      </c>
    </row>
    <row r="80" spans="1:5" x14ac:dyDescent="0.45">
      <c r="A80" s="25" t="s">
        <v>724</v>
      </c>
      <c r="B80" s="13">
        <v>42495.805439999996</v>
      </c>
      <c r="C80">
        <f>SUM($B$4:B80)</f>
        <v>4624460.0717300028</v>
      </c>
      <c r="D80" s="26">
        <f t="shared" si="2"/>
        <v>0.14574922579464414</v>
      </c>
      <c r="E80" t="str">
        <f t="shared" si="3"/>
        <v>C</v>
      </c>
    </row>
    <row r="81" spans="1:5" x14ac:dyDescent="0.45">
      <c r="A81" s="18" t="s">
        <v>1260</v>
      </c>
      <c r="B81" s="13">
        <v>42433.254400000005</v>
      </c>
      <c r="C81">
        <f>SUM($B$4:B81)</f>
        <v>4666893.3261300027</v>
      </c>
      <c r="D81" s="26">
        <f t="shared" si="2"/>
        <v>0.14708659575369182</v>
      </c>
      <c r="E81" t="str">
        <f t="shared" si="3"/>
        <v>C</v>
      </c>
    </row>
    <row r="82" spans="1:5" x14ac:dyDescent="0.45">
      <c r="A82" s="25" t="s">
        <v>725</v>
      </c>
      <c r="B82" s="13">
        <v>42433.254400000005</v>
      </c>
      <c r="C82">
        <f>SUM($B$4:B82)</f>
        <v>4709326.5805300027</v>
      </c>
      <c r="D82" s="26">
        <f t="shared" si="2"/>
        <v>0.1484239657127395</v>
      </c>
      <c r="E82" t="str">
        <f t="shared" si="3"/>
        <v>C</v>
      </c>
    </row>
    <row r="83" spans="1:5" x14ac:dyDescent="0.45">
      <c r="A83" s="18" t="s">
        <v>1204</v>
      </c>
      <c r="B83" s="13">
        <v>41914.215840000004</v>
      </c>
      <c r="C83">
        <f>SUM($B$4:B83)</f>
        <v>4751240.7963700024</v>
      </c>
      <c r="D83" s="26">
        <f t="shared" si="2"/>
        <v>0.1497449771202797</v>
      </c>
      <c r="E83" t="str">
        <f t="shared" si="3"/>
        <v>C</v>
      </c>
    </row>
    <row r="84" spans="1:5" x14ac:dyDescent="0.45">
      <c r="A84" s="25" t="s">
        <v>725</v>
      </c>
      <c r="B84" s="13">
        <v>41914.215840000004</v>
      </c>
      <c r="C84">
        <f>SUM($B$4:B84)</f>
        <v>4793155.0122100022</v>
      </c>
      <c r="D84" s="26">
        <f t="shared" si="2"/>
        <v>0.15106598852781991</v>
      </c>
      <c r="E84" t="str">
        <f t="shared" si="3"/>
        <v>C</v>
      </c>
    </row>
    <row r="85" spans="1:5" x14ac:dyDescent="0.45">
      <c r="A85" s="18" t="s">
        <v>1344</v>
      </c>
      <c r="B85" s="13">
        <v>41419.524249999995</v>
      </c>
      <c r="C85">
        <f>SUM($B$4:B85)</f>
        <v>4834574.536460002</v>
      </c>
      <c r="D85" s="26">
        <f t="shared" si="2"/>
        <v>0.1523714087279259</v>
      </c>
      <c r="E85" t="str">
        <f t="shared" si="3"/>
        <v>C</v>
      </c>
    </row>
    <row r="86" spans="1:5" x14ac:dyDescent="0.45">
      <c r="A86" s="25" t="s">
        <v>721</v>
      </c>
      <c r="B86" s="13">
        <v>41419.524249999995</v>
      </c>
      <c r="C86">
        <f>SUM($B$4:B86)</f>
        <v>4875994.0607100017</v>
      </c>
      <c r="D86" s="26">
        <f t="shared" si="2"/>
        <v>0.15367682892803189</v>
      </c>
      <c r="E86" t="str">
        <f t="shared" si="3"/>
        <v>C</v>
      </c>
    </row>
    <row r="87" spans="1:5" x14ac:dyDescent="0.45">
      <c r="A87" s="18" t="s">
        <v>909</v>
      </c>
      <c r="B87" s="13">
        <v>41352.246200000009</v>
      </c>
      <c r="C87">
        <f>SUM($B$4:B87)</f>
        <v>4917346.3069100017</v>
      </c>
      <c r="D87" s="26">
        <f t="shared" si="2"/>
        <v>0.15498012872412351</v>
      </c>
      <c r="E87" t="str">
        <f t="shared" si="3"/>
        <v>C</v>
      </c>
    </row>
    <row r="88" spans="1:5" x14ac:dyDescent="0.45">
      <c r="A88" s="25" t="s">
        <v>724</v>
      </c>
      <c r="B88" s="13">
        <v>41352.246200000009</v>
      </c>
      <c r="C88">
        <f>SUM($B$4:B88)</f>
        <v>4958698.5531100016</v>
      </c>
      <c r="D88" s="26">
        <f t="shared" si="2"/>
        <v>0.15628342852021512</v>
      </c>
      <c r="E88" t="str">
        <f t="shared" si="3"/>
        <v>C</v>
      </c>
    </row>
    <row r="89" spans="1:5" x14ac:dyDescent="0.45">
      <c r="A89" s="18" t="s">
        <v>1155</v>
      </c>
      <c r="B89" s="13">
        <v>41138.261999999995</v>
      </c>
      <c r="C89">
        <f>SUM($B$4:B89)</f>
        <v>4999836.8151100017</v>
      </c>
      <c r="D89" s="26">
        <f t="shared" si="2"/>
        <v>0.15757998417082844</v>
      </c>
      <c r="E89" t="str">
        <f t="shared" si="3"/>
        <v>C</v>
      </c>
    </row>
    <row r="90" spans="1:5" x14ac:dyDescent="0.45">
      <c r="A90" s="25" t="s">
        <v>724</v>
      </c>
      <c r="B90" s="13">
        <v>41138.261999999995</v>
      </c>
      <c r="C90">
        <f>SUM($B$4:B90)</f>
        <v>5040975.0771100018</v>
      </c>
      <c r="D90" s="26">
        <f t="shared" si="2"/>
        <v>0.15887653982144179</v>
      </c>
      <c r="E90" t="str">
        <f t="shared" si="3"/>
        <v>C</v>
      </c>
    </row>
    <row r="91" spans="1:5" x14ac:dyDescent="0.45">
      <c r="A91" s="18" t="s">
        <v>768</v>
      </c>
      <c r="B91" s="13">
        <v>41106.800970000004</v>
      </c>
      <c r="C91">
        <f>SUM($B$4:B91)</f>
        <v>5082081.878080002</v>
      </c>
      <c r="D91" s="26">
        <f t="shared" si="2"/>
        <v>0.16017210391397177</v>
      </c>
      <c r="E91" t="str">
        <f t="shared" si="3"/>
        <v>C</v>
      </c>
    </row>
    <row r="92" spans="1:5" x14ac:dyDescent="0.45">
      <c r="A92" s="25" t="s">
        <v>726</v>
      </c>
      <c r="B92" s="13">
        <v>41106.800970000004</v>
      </c>
      <c r="C92">
        <f>SUM($B$4:B92)</f>
        <v>5123188.6790500022</v>
      </c>
      <c r="D92" s="26">
        <f t="shared" si="2"/>
        <v>0.16146766800650175</v>
      </c>
      <c r="E92" t="str">
        <f t="shared" si="3"/>
        <v>C</v>
      </c>
    </row>
    <row r="93" spans="1:5" x14ac:dyDescent="0.45">
      <c r="A93" s="18" t="s">
        <v>1308</v>
      </c>
      <c r="B93" s="13">
        <v>40563.321749999996</v>
      </c>
      <c r="C93">
        <f>SUM($B$4:B93)</f>
        <v>5163752.0008000024</v>
      </c>
      <c r="D93" s="26">
        <f t="shared" si="2"/>
        <v>0.16274610325062094</v>
      </c>
      <c r="E93" t="str">
        <f t="shared" si="3"/>
        <v>C</v>
      </c>
    </row>
    <row r="94" spans="1:5" x14ac:dyDescent="0.45">
      <c r="A94" s="25" t="s">
        <v>725</v>
      </c>
      <c r="B94" s="13">
        <v>40563.321749999996</v>
      </c>
      <c r="C94">
        <f>SUM($B$4:B94)</f>
        <v>5204315.3225500025</v>
      </c>
      <c r="D94" s="26">
        <f t="shared" si="2"/>
        <v>0.16402453849474014</v>
      </c>
      <c r="E94" t="str">
        <f t="shared" si="3"/>
        <v>C</v>
      </c>
    </row>
    <row r="95" spans="1:5" x14ac:dyDescent="0.45">
      <c r="A95" s="18" t="s">
        <v>1206</v>
      </c>
      <c r="B95" s="13">
        <v>40488.792960000006</v>
      </c>
      <c r="C95">
        <f>SUM($B$4:B95)</f>
        <v>5244804.1155100027</v>
      </c>
      <c r="D95" s="26">
        <f t="shared" si="2"/>
        <v>0.16530062481308777</v>
      </c>
      <c r="E95" t="str">
        <f t="shared" si="3"/>
        <v>C</v>
      </c>
    </row>
    <row r="96" spans="1:5" x14ac:dyDescent="0.45">
      <c r="A96" s="25" t="s">
        <v>723</v>
      </c>
      <c r="B96" s="13">
        <v>40488.792960000006</v>
      </c>
      <c r="C96">
        <f>SUM($B$4:B96)</f>
        <v>5285292.9084700029</v>
      </c>
      <c r="D96" s="26">
        <f t="shared" si="2"/>
        <v>0.16657671113143543</v>
      </c>
      <c r="E96" t="str">
        <f t="shared" si="3"/>
        <v>C</v>
      </c>
    </row>
    <row r="97" spans="1:5" x14ac:dyDescent="0.45">
      <c r="A97" s="18" t="s">
        <v>1354</v>
      </c>
      <c r="B97" s="13">
        <v>40476.013200000001</v>
      </c>
      <c r="C97">
        <f>SUM($B$4:B97)</f>
        <v>5325768.9216700029</v>
      </c>
      <c r="D97" s="26">
        <f t="shared" si="2"/>
        <v>0.16785239466976185</v>
      </c>
      <c r="E97" t="str">
        <f t="shared" si="3"/>
        <v>C</v>
      </c>
    </row>
    <row r="98" spans="1:5" x14ac:dyDescent="0.45">
      <c r="A98" s="25" t="s">
        <v>721</v>
      </c>
      <c r="B98" s="13">
        <v>40476.013200000001</v>
      </c>
      <c r="C98">
        <f>SUM($B$4:B98)</f>
        <v>5366244.9348700028</v>
      </c>
      <c r="D98" s="26">
        <f t="shared" si="2"/>
        <v>0.16912807820808828</v>
      </c>
      <c r="E98" t="str">
        <f t="shared" si="3"/>
        <v>C</v>
      </c>
    </row>
    <row r="99" spans="1:5" x14ac:dyDescent="0.45">
      <c r="A99" s="18" t="s">
        <v>1040</v>
      </c>
      <c r="B99" s="13">
        <v>40325.31</v>
      </c>
      <c r="C99">
        <f>SUM($B$4:B99)</f>
        <v>5406570.2448700024</v>
      </c>
      <c r="D99" s="26">
        <f t="shared" si="2"/>
        <v>0.17039901202982419</v>
      </c>
      <c r="E99" t="str">
        <f t="shared" si="3"/>
        <v>C</v>
      </c>
    </row>
    <row r="100" spans="1:5" x14ac:dyDescent="0.45">
      <c r="A100" s="25" t="s">
        <v>722</v>
      </c>
      <c r="B100" s="13">
        <v>40325.31</v>
      </c>
      <c r="C100">
        <f>SUM($B$4:B100)</f>
        <v>5446895.554870002</v>
      </c>
      <c r="D100" s="26">
        <f t="shared" si="2"/>
        <v>0.17166994585156012</v>
      </c>
      <c r="E100" t="str">
        <f t="shared" si="3"/>
        <v>C</v>
      </c>
    </row>
    <row r="101" spans="1:5" x14ac:dyDescent="0.45">
      <c r="A101" s="18" t="s">
        <v>991</v>
      </c>
      <c r="B101" s="13">
        <v>40139.874619999995</v>
      </c>
      <c r="C101">
        <f>SUM($B$4:B101)</f>
        <v>5487035.4294900019</v>
      </c>
      <c r="D101" s="26">
        <f t="shared" si="2"/>
        <v>0.1729350353017044</v>
      </c>
      <c r="E101" t="str">
        <f t="shared" si="3"/>
        <v>C</v>
      </c>
    </row>
    <row r="102" spans="1:5" x14ac:dyDescent="0.45">
      <c r="A102" s="25" t="s">
        <v>725</v>
      </c>
      <c r="B102" s="13">
        <v>40139.874619999995</v>
      </c>
      <c r="C102">
        <f>SUM($B$4:B102)</f>
        <v>5527175.3041100018</v>
      </c>
      <c r="D102" s="26">
        <f t="shared" si="2"/>
        <v>0.17420012475184865</v>
      </c>
      <c r="E102" t="str">
        <f t="shared" si="3"/>
        <v>C</v>
      </c>
    </row>
    <row r="103" spans="1:5" x14ac:dyDescent="0.45">
      <c r="A103" s="18" t="s">
        <v>1328</v>
      </c>
      <c r="B103" s="13">
        <v>39810.328000000001</v>
      </c>
      <c r="C103">
        <f>SUM($B$4:B103)</f>
        <v>5566985.6321100015</v>
      </c>
      <c r="D103" s="26">
        <f t="shared" si="2"/>
        <v>0.17545482787278191</v>
      </c>
      <c r="E103" t="str">
        <f t="shared" si="3"/>
        <v>C</v>
      </c>
    </row>
    <row r="104" spans="1:5" x14ac:dyDescent="0.45">
      <c r="A104" s="25" t="s">
        <v>722</v>
      </c>
      <c r="B104" s="13">
        <v>39810.328000000001</v>
      </c>
      <c r="C104">
        <f>SUM($B$4:B104)</f>
        <v>5606795.9601100013</v>
      </c>
      <c r="D104" s="26">
        <f t="shared" si="2"/>
        <v>0.17670953099371514</v>
      </c>
      <c r="E104" t="str">
        <f t="shared" si="3"/>
        <v>C</v>
      </c>
    </row>
    <row r="105" spans="1:5" x14ac:dyDescent="0.45">
      <c r="A105" s="18" t="s">
        <v>1029</v>
      </c>
      <c r="B105" s="13">
        <v>39686.4182</v>
      </c>
      <c r="C105">
        <f>SUM($B$4:B105)</f>
        <v>5646482.3783100015</v>
      </c>
      <c r="D105" s="26">
        <f t="shared" si="2"/>
        <v>0.17796032884632773</v>
      </c>
      <c r="E105" t="str">
        <f t="shared" si="3"/>
        <v>C</v>
      </c>
    </row>
    <row r="106" spans="1:5" x14ac:dyDescent="0.45">
      <c r="A106" s="25" t="s">
        <v>723</v>
      </c>
      <c r="B106" s="13">
        <v>39686.4182</v>
      </c>
      <c r="C106">
        <f>SUM($B$4:B106)</f>
        <v>5686168.7965100016</v>
      </c>
      <c r="D106" s="26">
        <f t="shared" si="2"/>
        <v>0.17921112669894032</v>
      </c>
      <c r="E106" t="str">
        <f t="shared" si="3"/>
        <v>C</v>
      </c>
    </row>
    <row r="107" spans="1:5" x14ac:dyDescent="0.45">
      <c r="A107" s="18" t="s">
        <v>1049</v>
      </c>
      <c r="B107" s="13">
        <v>39546.774539999999</v>
      </c>
      <c r="C107">
        <f>SUM($B$4:B107)</f>
        <v>5725715.5710500013</v>
      </c>
      <c r="D107" s="26">
        <f t="shared" si="2"/>
        <v>0.18045752339876608</v>
      </c>
      <c r="E107" t="str">
        <f t="shared" si="3"/>
        <v>C</v>
      </c>
    </row>
    <row r="108" spans="1:5" x14ac:dyDescent="0.45">
      <c r="A108" s="25" t="s">
        <v>723</v>
      </c>
      <c r="B108" s="13">
        <v>39546.774539999999</v>
      </c>
      <c r="C108">
        <f>SUM($B$4:B108)</f>
        <v>5765262.345590001</v>
      </c>
      <c r="D108" s="26">
        <f t="shared" si="2"/>
        <v>0.18170392009859185</v>
      </c>
      <c r="E108" t="str">
        <f t="shared" si="3"/>
        <v>C</v>
      </c>
    </row>
    <row r="109" spans="1:5" x14ac:dyDescent="0.45">
      <c r="A109" s="18" t="s">
        <v>848</v>
      </c>
      <c r="B109" s="13">
        <v>39516.804389999998</v>
      </c>
      <c r="C109">
        <f>SUM($B$4:B109)</f>
        <v>5804779.1499800012</v>
      </c>
      <c r="D109" s="26">
        <f t="shared" si="2"/>
        <v>0.18294937222843718</v>
      </c>
      <c r="E109" t="str">
        <f t="shared" si="3"/>
        <v>C</v>
      </c>
    </row>
    <row r="110" spans="1:5" x14ac:dyDescent="0.45">
      <c r="A110" s="25" t="s">
        <v>723</v>
      </c>
      <c r="B110" s="13">
        <v>39516.804389999998</v>
      </c>
      <c r="C110">
        <f>SUM($B$4:B110)</f>
        <v>5844295.9543700013</v>
      </c>
      <c r="D110" s="26">
        <f t="shared" si="2"/>
        <v>0.18419482435828255</v>
      </c>
      <c r="E110" t="str">
        <f t="shared" si="3"/>
        <v>C</v>
      </c>
    </row>
    <row r="111" spans="1:5" x14ac:dyDescent="0.45">
      <c r="A111" s="18" t="s">
        <v>747</v>
      </c>
      <c r="B111" s="13">
        <v>39263.702919999996</v>
      </c>
      <c r="C111">
        <f>SUM($B$4:B111)</f>
        <v>5883559.6572900014</v>
      </c>
      <c r="D111" s="26">
        <f t="shared" si="2"/>
        <v>0.1854322994826553</v>
      </c>
      <c r="E111" t="str">
        <f t="shared" si="3"/>
        <v>C</v>
      </c>
    </row>
    <row r="112" spans="1:5" x14ac:dyDescent="0.45">
      <c r="A112" s="25" t="s">
        <v>725</v>
      </c>
      <c r="B112" s="13">
        <v>39263.702919999996</v>
      </c>
      <c r="C112">
        <f>SUM($B$4:B112)</f>
        <v>5922823.3602100015</v>
      </c>
      <c r="D112" s="26">
        <f t="shared" si="2"/>
        <v>0.18666977460702805</v>
      </c>
      <c r="E112" t="str">
        <f t="shared" si="3"/>
        <v>C</v>
      </c>
    </row>
    <row r="113" spans="1:5" x14ac:dyDescent="0.45">
      <c r="A113" s="18" t="s">
        <v>993</v>
      </c>
      <c r="B113" s="13">
        <v>38818.760160000005</v>
      </c>
      <c r="C113">
        <f>SUM($B$4:B113)</f>
        <v>5961642.1203700015</v>
      </c>
      <c r="D113" s="26">
        <f t="shared" si="2"/>
        <v>0.18789322645910803</v>
      </c>
      <c r="E113" t="str">
        <f t="shared" si="3"/>
        <v>C</v>
      </c>
    </row>
    <row r="114" spans="1:5" x14ac:dyDescent="0.45">
      <c r="A114" s="25" t="s">
        <v>726</v>
      </c>
      <c r="B114" s="13">
        <v>38818.760160000005</v>
      </c>
      <c r="C114">
        <f>SUM($B$4:B114)</f>
        <v>6000460.8805300016</v>
      </c>
      <c r="D114" s="26">
        <f t="shared" si="2"/>
        <v>0.189116678311188</v>
      </c>
      <c r="E114" t="str">
        <f t="shared" si="3"/>
        <v>C</v>
      </c>
    </row>
    <row r="115" spans="1:5" x14ac:dyDescent="0.45">
      <c r="A115" s="18" t="s">
        <v>1064</v>
      </c>
      <c r="B115" s="13">
        <v>38535.955099999999</v>
      </c>
      <c r="C115">
        <f>SUM($B$4:B115)</f>
        <v>6038996.8356300015</v>
      </c>
      <c r="D115" s="26">
        <f t="shared" si="2"/>
        <v>0.19033121698899327</v>
      </c>
      <c r="E115" t="str">
        <f t="shared" si="3"/>
        <v>C</v>
      </c>
    </row>
    <row r="116" spans="1:5" x14ac:dyDescent="0.45">
      <c r="A116" s="25" t="s">
        <v>722</v>
      </c>
      <c r="B116" s="13">
        <v>38535.955099999999</v>
      </c>
      <c r="C116">
        <f>SUM($B$4:B116)</f>
        <v>6077532.7907300014</v>
      </c>
      <c r="D116" s="26">
        <f t="shared" si="2"/>
        <v>0.19154575566679852</v>
      </c>
      <c r="E116" t="str">
        <f t="shared" si="3"/>
        <v>C</v>
      </c>
    </row>
    <row r="117" spans="1:5" x14ac:dyDescent="0.45">
      <c r="A117" s="18" t="s">
        <v>1102</v>
      </c>
      <c r="B117" s="13">
        <v>38422.022320000004</v>
      </c>
      <c r="C117">
        <f>SUM($B$4:B117)</f>
        <v>6115954.8130500019</v>
      </c>
      <c r="D117" s="26">
        <f t="shared" si="2"/>
        <v>0.19275670352227642</v>
      </c>
      <c r="E117" t="str">
        <f t="shared" si="3"/>
        <v>C</v>
      </c>
    </row>
    <row r="118" spans="1:5" x14ac:dyDescent="0.45">
      <c r="A118" s="25" t="s">
        <v>724</v>
      </c>
      <c r="B118" s="13">
        <v>38422.022320000004</v>
      </c>
      <c r="C118">
        <f>SUM($B$4:B118)</f>
        <v>6154376.8353700023</v>
      </c>
      <c r="D118" s="26">
        <f t="shared" si="2"/>
        <v>0.19396765137775432</v>
      </c>
      <c r="E118" t="str">
        <f t="shared" si="3"/>
        <v>C</v>
      </c>
    </row>
    <row r="119" spans="1:5" x14ac:dyDescent="0.45">
      <c r="A119" s="18" t="s">
        <v>746</v>
      </c>
      <c r="B119" s="13">
        <v>38096.18406</v>
      </c>
      <c r="C119">
        <f>SUM($B$4:B119)</f>
        <v>6192473.0194300022</v>
      </c>
      <c r="D119" s="26">
        <f t="shared" si="2"/>
        <v>0.19516832978049767</v>
      </c>
      <c r="E119" t="str">
        <f t="shared" si="3"/>
        <v>C</v>
      </c>
    </row>
    <row r="120" spans="1:5" x14ac:dyDescent="0.45">
      <c r="A120" s="25" t="s">
        <v>727</v>
      </c>
      <c r="B120" s="13">
        <v>38096.18406</v>
      </c>
      <c r="C120">
        <f>SUM($B$4:B120)</f>
        <v>6230569.2034900021</v>
      </c>
      <c r="D120" s="26">
        <f t="shared" si="2"/>
        <v>0.19636900818324105</v>
      </c>
      <c r="E120" t="str">
        <f t="shared" si="3"/>
        <v>C</v>
      </c>
    </row>
    <row r="121" spans="1:5" x14ac:dyDescent="0.45">
      <c r="A121" s="18" t="s">
        <v>1108</v>
      </c>
      <c r="B121" s="13">
        <v>37562.28</v>
      </c>
      <c r="C121">
        <f>SUM($B$4:B121)</f>
        <v>6268131.4834900023</v>
      </c>
      <c r="D121" s="26">
        <f t="shared" si="2"/>
        <v>0.19755285951813506</v>
      </c>
      <c r="E121" t="str">
        <f t="shared" si="3"/>
        <v>C</v>
      </c>
    </row>
    <row r="122" spans="1:5" x14ac:dyDescent="0.45">
      <c r="A122" s="25" t="s">
        <v>722</v>
      </c>
      <c r="B122" s="13">
        <v>37562.28</v>
      </c>
      <c r="C122">
        <f>SUM($B$4:B122)</f>
        <v>6305693.7634900026</v>
      </c>
      <c r="D122" s="26">
        <f t="shared" si="2"/>
        <v>0.19873671085302907</v>
      </c>
      <c r="E122" t="str">
        <f t="shared" si="3"/>
        <v>C</v>
      </c>
    </row>
    <row r="123" spans="1:5" x14ac:dyDescent="0.45">
      <c r="A123" s="18" t="s">
        <v>963</v>
      </c>
      <c r="B123" s="13">
        <v>37038.581760000001</v>
      </c>
      <c r="C123">
        <f>SUM($B$4:B123)</f>
        <v>6342732.345250003</v>
      </c>
      <c r="D123" s="26">
        <f t="shared" si="2"/>
        <v>0.1999040567771625</v>
      </c>
      <c r="E123" t="str">
        <f t="shared" si="3"/>
        <v>C</v>
      </c>
    </row>
    <row r="124" spans="1:5" x14ac:dyDescent="0.45">
      <c r="A124" s="25" t="s">
        <v>724</v>
      </c>
      <c r="B124" s="13">
        <v>37038.581760000001</v>
      </c>
      <c r="C124">
        <f>SUM($B$4:B124)</f>
        <v>6379770.9270100035</v>
      </c>
      <c r="D124" s="26">
        <f t="shared" si="2"/>
        <v>0.20107140270129589</v>
      </c>
      <c r="E124" t="str">
        <f t="shared" si="3"/>
        <v>C</v>
      </c>
    </row>
    <row r="125" spans="1:5" x14ac:dyDescent="0.45">
      <c r="A125" s="18" t="s">
        <v>1197</v>
      </c>
      <c r="B125" s="13">
        <v>36549.429260000004</v>
      </c>
      <c r="C125">
        <f>SUM($B$4:B125)</f>
        <v>6416320.3562700031</v>
      </c>
      <c r="D125" s="26">
        <f t="shared" si="2"/>
        <v>0.20222333199363557</v>
      </c>
      <c r="E125" t="str">
        <f t="shared" si="3"/>
        <v>C</v>
      </c>
    </row>
    <row r="126" spans="1:5" x14ac:dyDescent="0.45">
      <c r="A126" s="25" t="s">
        <v>722</v>
      </c>
      <c r="B126" s="13">
        <v>36549.429260000004</v>
      </c>
      <c r="C126">
        <f>SUM($B$4:B126)</f>
        <v>6452869.7855300028</v>
      </c>
      <c r="D126" s="26">
        <f t="shared" si="2"/>
        <v>0.20337526128597527</v>
      </c>
      <c r="E126" t="str">
        <f t="shared" si="3"/>
        <v>C</v>
      </c>
    </row>
    <row r="127" spans="1:5" x14ac:dyDescent="0.45">
      <c r="A127" s="18" t="s">
        <v>1208</v>
      </c>
      <c r="B127" s="13">
        <v>36161.097000000002</v>
      </c>
      <c r="C127">
        <f>SUM($B$4:B127)</f>
        <v>6489030.8825300029</v>
      </c>
      <c r="D127" s="26">
        <f t="shared" si="2"/>
        <v>0.20451495150059168</v>
      </c>
      <c r="E127" t="str">
        <f t="shared" si="3"/>
        <v>C</v>
      </c>
    </row>
    <row r="128" spans="1:5" x14ac:dyDescent="0.45">
      <c r="A128" s="25" t="s">
        <v>725</v>
      </c>
      <c r="B128" s="13">
        <v>36161.097000000002</v>
      </c>
      <c r="C128">
        <f>SUM($B$4:B128)</f>
        <v>6525191.9795300029</v>
      </c>
      <c r="D128" s="26">
        <f t="shared" si="2"/>
        <v>0.20565464171520811</v>
      </c>
      <c r="E128" t="str">
        <f t="shared" si="3"/>
        <v>C</v>
      </c>
    </row>
    <row r="129" spans="1:5" x14ac:dyDescent="0.45">
      <c r="A129" s="18" t="s">
        <v>776</v>
      </c>
      <c r="B129" s="13">
        <v>35621.302319999995</v>
      </c>
      <c r="C129">
        <f>SUM($B$4:B129)</f>
        <v>6560813.2818500027</v>
      </c>
      <c r="D129" s="26">
        <f t="shared" si="2"/>
        <v>0.2067773192071547</v>
      </c>
      <c r="E129" t="str">
        <f t="shared" si="3"/>
        <v>C</v>
      </c>
    </row>
    <row r="130" spans="1:5" x14ac:dyDescent="0.45">
      <c r="A130" s="25" t="s">
        <v>723</v>
      </c>
      <c r="B130" s="13">
        <v>35621.302319999995</v>
      </c>
      <c r="C130">
        <f>SUM($B$4:B130)</f>
        <v>6596434.5841700025</v>
      </c>
      <c r="D130" s="26">
        <f t="shared" si="2"/>
        <v>0.20789999669910125</v>
      </c>
      <c r="E130" t="str">
        <f t="shared" si="3"/>
        <v>C</v>
      </c>
    </row>
    <row r="131" spans="1:5" x14ac:dyDescent="0.45">
      <c r="A131" s="18" t="s">
        <v>866</v>
      </c>
      <c r="B131" s="13">
        <v>35567.737920000007</v>
      </c>
      <c r="C131">
        <f>SUM($B$4:B131)</f>
        <v>6632002.3220900027</v>
      </c>
      <c r="D131" s="26">
        <f t="shared" si="2"/>
        <v>0.2090209860004896</v>
      </c>
      <c r="E131" t="str">
        <f t="shared" si="3"/>
        <v>C</v>
      </c>
    </row>
    <row r="132" spans="1:5" x14ac:dyDescent="0.45">
      <c r="A132" s="25" t="s">
        <v>722</v>
      </c>
      <c r="B132" s="13">
        <v>35567.737920000007</v>
      </c>
      <c r="C132">
        <f>SUM($B$4:B132)</f>
        <v>6667570.0600100029</v>
      </c>
      <c r="D132" s="26">
        <f t="shared" si="2"/>
        <v>0.21014197530187792</v>
      </c>
      <c r="E132" t="str">
        <f t="shared" si="3"/>
        <v>C</v>
      </c>
    </row>
    <row r="133" spans="1:5" x14ac:dyDescent="0.45">
      <c r="A133" s="18" t="s">
        <v>804</v>
      </c>
      <c r="B133" s="13">
        <v>35396.277799999996</v>
      </c>
      <c r="C133">
        <f>SUM($B$4:B133)</f>
        <v>6702966.3378100032</v>
      </c>
      <c r="D133" s="26">
        <f t="shared" ref="D133:D196" si="4">C133/SUM($B$4:$B$1255)</f>
        <v>0.21125756069029974</v>
      </c>
      <c r="E133" t="str">
        <f t="shared" ref="E133:E196" si="5">IF(D133&gt;=0.8,"A",IF(D133&gt;=0.95,"B","C"))</f>
        <v>C</v>
      </c>
    </row>
    <row r="134" spans="1:5" x14ac:dyDescent="0.45">
      <c r="A134" s="25" t="s">
        <v>727</v>
      </c>
      <c r="B134" s="13">
        <v>35396.277799999996</v>
      </c>
      <c r="C134">
        <f>SUM($B$4:B134)</f>
        <v>6738362.6156100035</v>
      </c>
      <c r="D134" s="26">
        <f t="shared" si="4"/>
        <v>0.2123731460787216</v>
      </c>
      <c r="E134" t="str">
        <f t="shared" si="5"/>
        <v>C</v>
      </c>
    </row>
    <row r="135" spans="1:5" x14ac:dyDescent="0.45">
      <c r="A135" s="18" t="s">
        <v>745</v>
      </c>
      <c r="B135" s="13">
        <v>35367.211040000002</v>
      </c>
      <c r="C135">
        <f>SUM($B$4:B135)</f>
        <v>6773729.8266500039</v>
      </c>
      <c r="D135" s="26">
        <f t="shared" si="4"/>
        <v>0.21348781536932862</v>
      </c>
      <c r="E135" t="str">
        <f t="shared" si="5"/>
        <v>C</v>
      </c>
    </row>
    <row r="136" spans="1:5" x14ac:dyDescent="0.45">
      <c r="A136" s="25" t="s">
        <v>724</v>
      </c>
      <c r="B136" s="13">
        <v>35367.211040000002</v>
      </c>
      <c r="C136">
        <f>SUM($B$4:B136)</f>
        <v>6809097.0376900043</v>
      </c>
      <c r="D136" s="26">
        <f t="shared" si="4"/>
        <v>0.21460248465993567</v>
      </c>
      <c r="E136" t="str">
        <f t="shared" si="5"/>
        <v>C</v>
      </c>
    </row>
    <row r="137" spans="1:5" x14ac:dyDescent="0.45">
      <c r="A137" s="18" t="s">
        <v>1087</v>
      </c>
      <c r="B137" s="13">
        <v>35167.7448</v>
      </c>
      <c r="C137">
        <f>SUM($B$4:B137)</f>
        <v>6844264.7824900048</v>
      </c>
      <c r="D137" s="26">
        <f t="shared" si="4"/>
        <v>0.21571086736797929</v>
      </c>
      <c r="E137" t="str">
        <f t="shared" si="5"/>
        <v>C</v>
      </c>
    </row>
    <row r="138" spans="1:5" x14ac:dyDescent="0.45">
      <c r="A138" s="25" t="s">
        <v>727</v>
      </c>
      <c r="B138" s="13">
        <v>35167.7448</v>
      </c>
      <c r="C138">
        <f>SUM($B$4:B138)</f>
        <v>6879432.5272900052</v>
      </c>
      <c r="D138" s="26">
        <f t="shared" si="4"/>
        <v>0.2168192500760229</v>
      </c>
      <c r="E138" t="str">
        <f t="shared" si="5"/>
        <v>C</v>
      </c>
    </row>
    <row r="139" spans="1:5" x14ac:dyDescent="0.45">
      <c r="A139" s="18" t="s">
        <v>1005</v>
      </c>
      <c r="B139" s="13">
        <v>34840.344000000005</v>
      </c>
      <c r="C139">
        <f>SUM($B$4:B139)</f>
        <v>6914272.8712900048</v>
      </c>
      <c r="D139" s="26">
        <f t="shared" si="4"/>
        <v>0.21791731408471904</v>
      </c>
      <c r="E139" t="str">
        <f t="shared" si="5"/>
        <v>C</v>
      </c>
    </row>
    <row r="140" spans="1:5" x14ac:dyDescent="0.45">
      <c r="A140" s="25" t="s">
        <v>724</v>
      </c>
      <c r="B140" s="13">
        <v>34840.344000000005</v>
      </c>
      <c r="C140">
        <f>SUM($B$4:B140)</f>
        <v>6949113.2152900044</v>
      </c>
      <c r="D140" s="26">
        <f t="shared" si="4"/>
        <v>0.21901537809341515</v>
      </c>
      <c r="E140" t="str">
        <f t="shared" si="5"/>
        <v>C</v>
      </c>
    </row>
    <row r="141" spans="1:5" x14ac:dyDescent="0.45">
      <c r="A141" s="18" t="s">
        <v>1080</v>
      </c>
      <c r="B141" s="13">
        <v>34816.968000000001</v>
      </c>
      <c r="C141">
        <f>SUM($B$4:B141)</f>
        <v>6983930.1832900047</v>
      </c>
      <c r="D141" s="26">
        <f t="shared" si="4"/>
        <v>0.22011270536012428</v>
      </c>
      <c r="E141" t="str">
        <f t="shared" si="5"/>
        <v>C</v>
      </c>
    </row>
    <row r="142" spans="1:5" x14ac:dyDescent="0.45">
      <c r="A142" s="25" t="s">
        <v>723</v>
      </c>
      <c r="B142" s="13">
        <v>34816.968000000001</v>
      </c>
      <c r="C142">
        <f>SUM($B$4:B142)</f>
        <v>7018747.1512900051</v>
      </c>
      <c r="D142" s="26">
        <f t="shared" si="4"/>
        <v>0.22121003262683339</v>
      </c>
      <c r="E142" t="str">
        <f t="shared" si="5"/>
        <v>C</v>
      </c>
    </row>
    <row r="143" spans="1:5" x14ac:dyDescent="0.45">
      <c r="A143" s="18" t="s">
        <v>1232</v>
      </c>
      <c r="B143" s="13">
        <v>34800.431400000001</v>
      </c>
      <c r="C143">
        <f>SUM($B$4:B143)</f>
        <v>7053547.5826900052</v>
      </c>
      <c r="D143" s="26">
        <f t="shared" si="4"/>
        <v>0.22230683870909937</v>
      </c>
      <c r="E143" t="str">
        <f t="shared" si="5"/>
        <v>C</v>
      </c>
    </row>
    <row r="144" spans="1:5" x14ac:dyDescent="0.45">
      <c r="A144" s="25" t="s">
        <v>724</v>
      </c>
      <c r="B144" s="13">
        <v>34800.431400000001</v>
      </c>
      <c r="C144">
        <f>SUM($B$4:B144)</f>
        <v>7088348.0140900053</v>
      </c>
      <c r="D144" s="26">
        <f t="shared" si="4"/>
        <v>0.22340364479136535</v>
      </c>
      <c r="E144" t="str">
        <f t="shared" si="5"/>
        <v>C</v>
      </c>
    </row>
    <row r="145" spans="1:5" x14ac:dyDescent="0.45">
      <c r="A145" s="18" t="s">
        <v>999</v>
      </c>
      <c r="B145" s="13">
        <v>34632.106319999999</v>
      </c>
      <c r="C145">
        <f>SUM($B$4:B145)</f>
        <v>7122980.1204100056</v>
      </c>
      <c r="D145" s="26">
        <f t="shared" si="4"/>
        <v>0.22449514576780033</v>
      </c>
      <c r="E145" t="str">
        <f t="shared" si="5"/>
        <v>C</v>
      </c>
    </row>
    <row r="146" spans="1:5" x14ac:dyDescent="0.45">
      <c r="A146" s="25" t="s">
        <v>726</v>
      </c>
      <c r="B146" s="13">
        <v>34632.106319999999</v>
      </c>
      <c r="C146">
        <f>SUM($B$4:B146)</f>
        <v>7157612.2267300058</v>
      </c>
      <c r="D146" s="26">
        <f t="shared" si="4"/>
        <v>0.22558664674423531</v>
      </c>
      <c r="E146" t="str">
        <f t="shared" si="5"/>
        <v>C</v>
      </c>
    </row>
    <row r="147" spans="1:5" x14ac:dyDescent="0.45">
      <c r="A147" s="18" t="s">
        <v>777</v>
      </c>
      <c r="B147" s="13">
        <v>34444.462359999998</v>
      </c>
      <c r="C147">
        <f>SUM($B$4:B147)</f>
        <v>7192056.6890900061</v>
      </c>
      <c r="D147" s="26">
        <f t="shared" si="4"/>
        <v>0.22667223374120654</v>
      </c>
      <c r="E147" t="str">
        <f t="shared" si="5"/>
        <v>C</v>
      </c>
    </row>
    <row r="148" spans="1:5" x14ac:dyDescent="0.45">
      <c r="A148" s="25" t="s">
        <v>722</v>
      </c>
      <c r="B148" s="13">
        <v>34444.462359999998</v>
      </c>
      <c r="C148">
        <f>SUM($B$4:B148)</f>
        <v>7226501.1514500063</v>
      </c>
      <c r="D148" s="26">
        <f t="shared" si="4"/>
        <v>0.2277578207381778</v>
      </c>
      <c r="E148" t="str">
        <f t="shared" si="5"/>
        <v>C</v>
      </c>
    </row>
    <row r="149" spans="1:5" x14ac:dyDescent="0.45">
      <c r="A149" s="18" t="s">
        <v>1294</v>
      </c>
      <c r="B149" s="13">
        <v>34307.159999999996</v>
      </c>
      <c r="C149">
        <f>SUM($B$4:B149)</f>
        <v>7260808.3114500064</v>
      </c>
      <c r="D149" s="26">
        <f t="shared" si="4"/>
        <v>0.22883908037317394</v>
      </c>
      <c r="E149" t="str">
        <f t="shared" si="5"/>
        <v>C</v>
      </c>
    </row>
    <row r="150" spans="1:5" x14ac:dyDescent="0.45">
      <c r="A150" s="25" t="s">
        <v>723</v>
      </c>
      <c r="B150" s="13">
        <v>34307.159999999996</v>
      </c>
      <c r="C150">
        <f>SUM($B$4:B150)</f>
        <v>7295115.4714500066</v>
      </c>
      <c r="D150" s="26">
        <f t="shared" si="4"/>
        <v>0.22992034000817008</v>
      </c>
      <c r="E150" t="str">
        <f t="shared" si="5"/>
        <v>C</v>
      </c>
    </row>
    <row r="151" spans="1:5" x14ac:dyDescent="0.45">
      <c r="A151" s="18" t="s">
        <v>825</v>
      </c>
      <c r="B151" s="13">
        <v>34139.159999999996</v>
      </c>
      <c r="C151">
        <f>SUM($B$4:B151)</f>
        <v>7329254.6314500067</v>
      </c>
      <c r="D151" s="26">
        <f t="shared" si="4"/>
        <v>0.23099630478288982</v>
      </c>
      <c r="E151" t="str">
        <f t="shared" si="5"/>
        <v>C</v>
      </c>
    </row>
    <row r="152" spans="1:5" x14ac:dyDescent="0.45">
      <c r="A152" s="25" t="s">
        <v>727</v>
      </c>
      <c r="B152" s="13">
        <v>34139.159999999996</v>
      </c>
      <c r="C152">
        <f>SUM($B$4:B152)</f>
        <v>7363393.7914500069</v>
      </c>
      <c r="D152" s="26">
        <f t="shared" si="4"/>
        <v>0.2320722695576096</v>
      </c>
      <c r="E152" t="str">
        <f t="shared" si="5"/>
        <v>C</v>
      </c>
    </row>
    <row r="153" spans="1:5" x14ac:dyDescent="0.45">
      <c r="A153" s="18" t="s">
        <v>969</v>
      </c>
      <c r="B153" s="13">
        <v>34082.864639999993</v>
      </c>
      <c r="C153">
        <f>SUM($B$4:B153)</f>
        <v>7397476.6560900072</v>
      </c>
      <c r="D153" s="26">
        <f t="shared" si="4"/>
        <v>0.23314646007003526</v>
      </c>
      <c r="E153" t="str">
        <f t="shared" si="5"/>
        <v>C</v>
      </c>
    </row>
    <row r="154" spans="1:5" x14ac:dyDescent="0.45">
      <c r="A154" s="25" t="s">
        <v>725</v>
      </c>
      <c r="B154" s="13">
        <v>34082.864639999993</v>
      </c>
      <c r="C154">
        <f>SUM($B$4:B154)</f>
        <v>7431559.5207300074</v>
      </c>
      <c r="D154" s="26">
        <f t="shared" si="4"/>
        <v>0.23422065058246092</v>
      </c>
      <c r="E154" t="str">
        <f t="shared" si="5"/>
        <v>C</v>
      </c>
    </row>
    <row r="155" spans="1:5" x14ac:dyDescent="0.45">
      <c r="A155" s="18" t="s">
        <v>1325</v>
      </c>
      <c r="B155" s="13">
        <v>33938.142760000002</v>
      </c>
      <c r="C155">
        <f>SUM($B$4:B155)</f>
        <v>7465497.6634900076</v>
      </c>
      <c r="D155" s="26">
        <f t="shared" si="4"/>
        <v>0.23529027989171078</v>
      </c>
      <c r="E155" t="str">
        <f t="shared" si="5"/>
        <v>C</v>
      </c>
    </row>
    <row r="156" spans="1:5" x14ac:dyDescent="0.45">
      <c r="A156" s="25" t="s">
        <v>725</v>
      </c>
      <c r="B156" s="13">
        <v>33938.142760000002</v>
      </c>
      <c r="C156">
        <f>SUM($B$4:B156)</f>
        <v>7499435.8062500078</v>
      </c>
      <c r="D156" s="26">
        <f t="shared" si="4"/>
        <v>0.23635990920096064</v>
      </c>
      <c r="E156" t="str">
        <f t="shared" si="5"/>
        <v>C</v>
      </c>
    </row>
    <row r="157" spans="1:5" x14ac:dyDescent="0.45">
      <c r="A157" s="18" t="s">
        <v>788</v>
      </c>
      <c r="B157" s="13">
        <v>33687.501800000005</v>
      </c>
      <c r="C157">
        <f>SUM($B$4:B157)</f>
        <v>7533123.3080500076</v>
      </c>
      <c r="D157" s="26">
        <f t="shared" si="4"/>
        <v>0.2374216390526942</v>
      </c>
      <c r="E157" t="str">
        <f t="shared" si="5"/>
        <v>C</v>
      </c>
    </row>
    <row r="158" spans="1:5" x14ac:dyDescent="0.45">
      <c r="A158" s="25" t="s">
        <v>721</v>
      </c>
      <c r="B158" s="13">
        <v>33687.501800000005</v>
      </c>
      <c r="C158">
        <f>SUM($B$4:B158)</f>
        <v>7566810.8098500073</v>
      </c>
      <c r="D158" s="26">
        <f t="shared" si="4"/>
        <v>0.23848336890442776</v>
      </c>
      <c r="E158" t="str">
        <f t="shared" si="5"/>
        <v>C</v>
      </c>
    </row>
    <row r="159" spans="1:5" x14ac:dyDescent="0.45">
      <c r="A159" s="18" t="s">
        <v>1280</v>
      </c>
      <c r="B159" s="13">
        <v>33551.927499999998</v>
      </c>
      <c r="C159">
        <f>SUM($B$4:B159)</f>
        <v>7600362.7373500075</v>
      </c>
      <c r="D159" s="26">
        <f t="shared" si="4"/>
        <v>0.23954082585749725</v>
      </c>
      <c r="E159" t="str">
        <f t="shared" si="5"/>
        <v>C</v>
      </c>
    </row>
    <row r="160" spans="1:5" x14ac:dyDescent="0.45">
      <c r="A160" s="25" t="s">
        <v>724</v>
      </c>
      <c r="B160" s="13">
        <v>33551.927499999998</v>
      </c>
      <c r="C160">
        <f>SUM($B$4:B160)</f>
        <v>7633914.6648500077</v>
      </c>
      <c r="D160" s="26">
        <f t="shared" si="4"/>
        <v>0.24059828281056672</v>
      </c>
      <c r="E160" t="str">
        <f t="shared" si="5"/>
        <v>C</v>
      </c>
    </row>
    <row r="161" spans="1:5" x14ac:dyDescent="0.45">
      <c r="A161" s="18" t="s">
        <v>1255</v>
      </c>
      <c r="B161" s="13">
        <v>33421.1</v>
      </c>
      <c r="C161">
        <f>SUM($B$4:B161)</f>
        <v>7667335.7648500074</v>
      </c>
      <c r="D161" s="26">
        <f t="shared" si="4"/>
        <v>0.24165161646998851</v>
      </c>
      <c r="E161" t="str">
        <f t="shared" si="5"/>
        <v>C</v>
      </c>
    </row>
    <row r="162" spans="1:5" x14ac:dyDescent="0.45">
      <c r="A162" s="25" t="s">
        <v>722</v>
      </c>
      <c r="B162" s="13">
        <v>33421.1</v>
      </c>
      <c r="C162">
        <f>SUM($B$4:B162)</f>
        <v>7700756.864850007</v>
      </c>
      <c r="D162" s="26">
        <f t="shared" si="4"/>
        <v>0.24270495012941029</v>
      </c>
      <c r="E162" t="str">
        <f t="shared" si="5"/>
        <v>C</v>
      </c>
    </row>
    <row r="163" spans="1:5" x14ac:dyDescent="0.45">
      <c r="A163" s="18" t="s">
        <v>1240</v>
      </c>
      <c r="B163" s="13">
        <v>33308.550000000003</v>
      </c>
      <c r="C163">
        <f>SUM($B$4:B163)</f>
        <v>7734065.4148500068</v>
      </c>
      <c r="D163" s="26">
        <f t="shared" si="4"/>
        <v>0.24375473654761717</v>
      </c>
      <c r="E163" t="str">
        <f t="shared" si="5"/>
        <v>C</v>
      </c>
    </row>
    <row r="164" spans="1:5" x14ac:dyDescent="0.45">
      <c r="A164" s="25" t="s">
        <v>721</v>
      </c>
      <c r="B164" s="13">
        <v>33308.550000000003</v>
      </c>
      <c r="C164">
        <f>SUM($B$4:B164)</f>
        <v>7767373.9648500066</v>
      </c>
      <c r="D164" s="26">
        <f t="shared" si="4"/>
        <v>0.24480452296582406</v>
      </c>
      <c r="E164" t="str">
        <f t="shared" si="5"/>
        <v>C</v>
      </c>
    </row>
    <row r="165" spans="1:5" x14ac:dyDescent="0.45">
      <c r="A165" s="18" t="s">
        <v>1106</v>
      </c>
      <c r="B165" s="13">
        <v>33200.038079999998</v>
      </c>
      <c r="C165">
        <f>SUM($B$4:B165)</f>
        <v>7800574.0029300069</v>
      </c>
      <c r="D165" s="26">
        <f t="shared" si="4"/>
        <v>0.24585088941108618</v>
      </c>
      <c r="E165" t="str">
        <f t="shared" si="5"/>
        <v>C</v>
      </c>
    </row>
    <row r="166" spans="1:5" x14ac:dyDescent="0.45">
      <c r="A166" s="25" t="s">
        <v>723</v>
      </c>
      <c r="B166" s="13">
        <v>33200.038079999998</v>
      </c>
      <c r="C166">
        <f>SUM($B$4:B166)</f>
        <v>7833774.0410100073</v>
      </c>
      <c r="D166" s="26">
        <f t="shared" si="4"/>
        <v>0.24689725585634831</v>
      </c>
      <c r="E166" t="str">
        <f t="shared" si="5"/>
        <v>C</v>
      </c>
    </row>
    <row r="167" spans="1:5" x14ac:dyDescent="0.45">
      <c r="A167" s="18" t="s">
        <v>1287</v>
      </c>
      <c r="B167" s="13">
        <v>33071.3145</v>
      </c>
      <c r="C167">
        <f>SUM($B$4:B167)</f>
        <v>7866845.3555100076</v>
      </c>
      <c r="D167" s="26">
        <f t="shared" si="4"/>
        <v>0.24793956531726297</v>
      </c>
      <c r="E167" t="str">
        <f t="shared" si="5"/>
        <v>C</v>
      </c>
    </row>
    <row r="168" spans="1:5" x14ac:dyDescent="0.45">
      <c r="A168" s="25" t="s">
        <v>724</v>
      </c>
      <c r="B168" s="13">
        <v>33071.3145</v>
      </c>
      <c r="C168">
        <f>SUM($B$4:B168)</f>
        <v>7899916.6700100079</v>
      </c>
      <c r="D168" s="26">
        <f t="shared" si="4"/>
        <v>0.24898187477817763</v>
      </c>
      <c r="E168" t="str">
        <f t="shared" si="5"/>
        <v>C</v>
      </c>
    </row>
    <row r="169" spans="1:5" x14ac:dyDescent="0.45">
      <c r="A169" s="18" t="s">
        <v>805</v>
      </c>
      <c r="B169" s="13">
        <v>33062.236480000007</v>
      </c>
      <c r="C169">
        <f>SUM($B$4:B169)</f>
        <v>7932978.9064900083</v>
      </c>
      <c r="D169" s="26">
        <f t="shared" si="4"/>
        <v>0.25002389812690484</v>
      </c>
      <c r="E169" t="str">
        <f t="shared" si="5"/>
        <v>C</v>
      </c>
    </row>
    <row r="170" spans="1:5" x14ac:dyDescent="0.45">
      <c r="A170" s="25" t="s">
        <v>727</v>
      </c>
      <c r="B170" s="13">
        <v>33062.236480000007</v>
      </c>
      <c r="C170">
        <f>SUM($B$4:B170)</f>
        <v>7966041.1429700088</v>
      </c>
      <c r="D170" s="26">
        <f t="shared" si="4"/>
        <v>0.25106592147563211</v>
      </c>
      <c r="E170" t="str">
        <f t="shared" si="5"/>
        <v>C</v>
      </c>
    </row>
    <row r="171" spans="1:5" x14ac:dyDescent="0.45">
      <c r="A171" s="18" t="s">
        <v>1353</v>
      </c>
      <c r="B171" s="13">
        <v>33017.42</v>
      </c>
      <c r="C171">
        <f>SUM($B$4:B171)</f>
        <v>7999058.5629700087</v>
      </c>
      <c r="D171" s="26">
        <f t="shared" si="4"/>
        <v>0.25210653234221836</v>
      </c>
      <c r="E171" t="str">
        <f t="shared" si="5"/>
        <v>C</v>
      </c>
    </row>
    <row r="172" spans="1:5" x14ac:dyDescent="0.45">
      <c r="A172" s="25" t="s">
        <v>724</v>
      </c>
      <c r="B172" s="13">
        <v>33017.42</v>
      </c>
      <c r="C172">
        <f>SUM($B$4:B172)</f>
        <v>8032075.9829700086</v>
      </c>
      <c r="D172" s="26">
        <f t="shared" si="4"/>
        <v>0.25314714320880466</v>
      </c>
      <c r="E172" t="str">
        <f t="shared" si="5"/>
        <v>C</v>
      </c>
    </row>
    <row r="173" spans="1:5" x14ac:dyDescent="0.45">
      <c r="A173" s="18" t="s">
        <v>1350</v>
      </c>
      <c r="B173" s="13">
        <v>32704.386400000003</v>
      </c>
      <c r="C173">
        <f>SUM($B$4:B173)</f>
        <v>8064780.3693700088</v>
      </c>
      <c r="D173" s="26">
        <f t="shared" si="4"/>
        <v>0.25417788818745157</v>
      </c>
      <c r="E173" t="str">
        <f t="shared" si="5"/>
        <v>C</v>
      </c>
    </row>
    <row r="174" spans="1:5" x14ac:dyDescent="0.45">
      <c r="A174" s="25" t="s">
        <v>723</v>
      </c>
      <c r="B174" s="13">
        <v>32704.386400000003</v>
      </c>
      <c r="C174">
        <f>SUM($B$4:B174)</f>
        <v>8097484.755770009</v>
      </c>
      <c r="D174" s="26">
        <f t="shared" si="4"/>
        <v>0.25520863316609849</v>
      </c>
      <c r="E174" t="str">
        <f t="shared" si="5"/>
        <v>C</v>
      </c>
    </row>
    <row r="175" spans="1:5" x14ac:dyDescent="0.45">
      <c r="A175" s="18" t="s">
        <v>773</v>
      </c>
      <c r="B175" s="13">
        <v>32506.559399999998</v>
      </c>
      <c r="C175">
        <f>SUM($B$4:B175)</f>
        <v>8129991.3151700087</v>
      </c>
      <c r="D175" s="26">
        <f t="shared" si="4"/>
        <v>0.25623314322615082</v>
      </c>
      <c r="E175" t="str">
        <f t="shared" si="5"/>
        <v>C</v>
      </c>
    </row>
    <row r="176" spans="1:5" x14ac:dyDescent="0.45">
      <c r="A176" s="25" t="s">
        <v>723</v>
      </c>
      <c r="B176" s="13">
        <v>32506.559399999998</v>
      </c>
      <c r="C176">
        <f>SUM($B$4:B176)</f>
        <v>8162497.8745700084</v>
      </c>
      <c r="D176" s="26">
        <f t="shared" si="4"/>
        <v>0.25725765328620309</v>
      </c>
      <c r="E176" t="str">
        <f t="shared" si="5"/>
        <v>C</v>
      </c>
    </row>
    <row r="177" spans="1:5" x14ac:dyDescent="0.45">
      <c r="A177" s="18" t="s">
        <v>1231</v>
      </c>
      <c r="B177" s="13">
        <v>32335.21802</v>
      </c>
      <c r="C177">
        <f>SUM($B$4:B177)</f>
        <v>8194833.0925900079</v>
      </c>
      <c r="D177" s="26">
        <f t="shared" si="4"/>
        <v>0.25827676317562048</v>
      </c>
      <c r="E177" t="str">
        <f t="shared" si="5"/>
        <v>C</v>
      </c>
    </row>
    <row r="178" spans="1:5" x14ac:dyDescent="0.45">
      <c r="A178" s="25" t="s">
        <v>721</v>
      </c>
      <c r="B178" s="13">
        <v>32335.21802</v>
      </c>
      <c r="C178">
        <f>SUM($B$4:B178)</f>
        <v>8227168.3106100075</v>
      </c>
      <c r="D178" s="26">
        <f t="shared" si="4"/>
        <v>0.25929587306503793</v>
      </c>
      <c r="E178" t="str">
        <f t="shared" si="5"/>
        <v>C</v>
      </c>
    </row>
    <row r="179" spans="1:5" x14ac:dyDescent="0.45">
      <c r="A179" s="18" t="s">
        <v>1099</v>
      </c>
      <c r="B179" s="13">
        <v>32280.32474</v>
      </c>
      <c r="C179">
        <f>SUM($B$4:B179)</f>
        <v>8259448.6353500076</v>
      </c>
      <c r="D179" s="26">
        <f t="shared" si="4"/>
        <v>0.26031325288155227</v>
      </c>
      <c r="E179" t="str">
        <f t="shared" si="5"/>
        <v>C</v>
      </c>
    </row>
    <row r="180" spans="1:5" x14ac:dyDescent="0.45">
      <c r="A180" s="25" t="s">
        <v>726</v>
      </c>
      <c r="B180" s="13">
        <v>32280.32474</v>
      </c>
      <c r="C180">
        <f>SUM($B$4:B180)</f>
        <v>8291728.9600900076</v>
      </c>
      <c r="D180" s="26">
        <f t="shared" si="4"/>
        <v>0.26133063269806667</v>
      </c>
      <c r="E180" t="str">
        <f t="shared" si="5"/>
        <v>C</v>
      </c>
    </row>
    <row r="181" spans="1:5" x14ac:dyDescent="0.45">
      <c r="A181" s="18" t="s">
        <v>870</v>
      </c>
      <c r="B181" s="13">
        <v>32086.37586</v>
      </c>
      <c r="C181">
        <f>SUM($B$4:B181)</f>
        <v>8323815.3359500077</v>
      </c>
      <c r="D181" s="26">
        <f t="shared" si="4"/>
        <v>0.26234189982279316</v>
      </c>
      <c r="E181" t="str">
        <f t="shared" si="5"/>
        <v>C</v>
      </c>
    </row>
    <row r="182" spans="1:5" x14ac:dyDescent="0.45">
      <c r="A182" s="25" t="s">
        <v>727</v>
      </c>
      <c r="B182" s="13">
        <v>32086.37586</v>
      </c>
      <c r="C182">
        <f>SUM($B$4:B182)</f>
        <v>8355901.7118100077</v>
      </c>
      <c r="D182" s="26">
        <f t="shared" si="4"/>
        <v>0.2633531669475197</v>
      </c>
      <c r="E182" t="str">
        <f t="shared" si="5"/>
        <v>C</v>
      </c>
    </row>
    <row r="183" spans="1:5" x14ac:dyDescent="0.45">
      <c r="A183" s="18" t="s">
        <v>1273</v>
      </c>
      <c r="B183" s="13">
        <v>31822.023930000003</v>
      </c>
      <c r="C183">
        <f>SUM($B$4:B183)</f>
        <v>8387723.7357400078</v>
      </c>
      <c r="D183" s="26">
        <f t="shared" si="4"/>
        <v>0.26435610248573937</v>
      </c>
      <c r="E183" t="str">
        <f t="shared" si="5"/>
        <v>C</v>
      </c>
    </row>
    <row r="184" spans="1:5" x14ac:dyDescent="0.45">
      <c r="A184" s="25" t="s">
        <v>722</v>
      </c>
      <c r="B184" s="13">
        <v>31822.023930000003</v>
      </c>
      <c r="C184">
        <f>SUM($B$4:B184)</f>
        <v>8419545.759670008</v>
      </c>
      <c r="D184" s="26">
        <f t="shared" si="4"/>
        <v>0.2653590380239591</v>
      </c>
      <c r="E184" t="str">
        <f t="shared" si="5"/>
        <v>C</v>
      </c>
    </row>
    <row r="185" spans="1:5" x14ac:dyDescent="0.45">
      <c r="A185" s="18" t="s">
        <v>783</v>
      </c>
      <c r="B185" s="13">
        <v>31680.795320000001</v>
      </c>
      <c r="C185">
        <f>SUM($B$4:B185)</f>
        <v>8451226.5549900085</v>
      </c>
      <c r="D185" s="26">
        <f t="shared" si="4"/>
        <v>0.26635752245648259</v>
      </c>
      <c r="E185" t="str">
        <f t="shared" si="5"/>
        <v>C</v>
      </c>
    </row>
    <row r="186" spans="1:5" x14ac:dyDescent="0.45">
      <c r="A186" s="25" t="s">
        <v>726</v>
      </c>
      <c r="B186" s="13">
        <v>31680.795320000001</v>
      </c>
      <c r="C186">
        <f>SUM($B$4:B186)</f>
        <v>8482907.350310009</v>
      </c>
      <c r="D186" s="26">
        <f t="shared" si="4"/>
        <v>0.26735600688900601</v>
      </c>
      <c r="E186" t="str">
        <f t="shared" si="5"/>
        <v>C</v>
      </c>
    </row>
    <row r="187" spans="1:5" x14ac:dyDescent="0.45">
      <c r="A187" s="18" t="s">
        <v>901</v>
      </c>
      <c r="B187" s="13">
        <v>31556.187599999997</v>
      </c>
      <c r="C187">
        <f>SUM($B$4:B187)</f>
        <v>8514463.5379100088</v>
      </c>
      <c r="D187" s="26">
        <f t="shared" si="4"/>
        <v>0.26835056405684637</v>
      </c>
      <c r="E187" t="str">
        <f t="shared" si="5"/>
        <v>C</v>
      </c>
    </row>
    <row r="188" spans="1:5" x14ac:dyDescent="0.45">
      <c r="A188" s="25" t="s">
        <v>725</v>
      </c>
      <c r="B188" s="13">
        <v>31556.187599999997</v>
      </c>
      <c r="C188">
        <f>SUM($B$4:B188)</f>
        <v>8546019.7255100086</v>
      </c>
      <c r="D188" s="26">
        <f t="shared" si="4"/>
        <v>0.26934512122468668</v>
      </c>
      <c r="E188" t="str">
        <f t="shared" si="5"/>
        <v>C</v>
      </c>
    </row>
    <row r="189" spans="1:5" x14ac:dyDescent="0.45">
      <c r="A189" s="18" t="s">
        <v>1140</v>
      </c>
      <c r="B189" s="13">
        <v>31513.423040000001</v>
      </c>
      <c r="C189">
        <f>SUM($B$4:B189)</f>
        <v>8577533.1485500094</v>
      </c>
      <c r="D189" s="26">
        <f t="shared" si="4"/>
        <v>0.27033833058080098</v>
      </c>
      <c r="E189" t="str">
        <f t="shared" si="5"/>
        <v>C</v>
      </c>
    </row>
    <row r="190" spans="1:5" x14ac:dyDescent="0.45">
      <c r="A190" s="25" t="s">
        <v>723</v>
      </c>
      <c r="B190" s="13">
        <v>31513.423040000001</v>
      </c>
      <c r="C190">
        <f>SUM($B$4:B190)</f>
        <v>8609046.5715900101</v>
      </c>
      <c r="D190" s="26">
        <f t="shared" si="4"/>
        <v>0.27133153993691528</v>
      </c>
      <c r="E190" t="str">
        <f t="shared" si="5"/>
        <v>C</v>
      </c>
    </row>
    <row r="191" spans="1:5" x14ac:dyDescent="0.45">
      <c r="A191" s="18" t="s">
        <v>1168</v>
      </c>
      <c r="B191" s="13">
        <v>31513.085009999999</v>
      </c>
      <c r="C191">
        <f>SUM($B$4:B191)</f>
        <v>8640559.6566000096</v>
      </c>
      <c r="D191" s="26">
        <f t="shared" si="4"/>
        <v>0.27232473863932943</v>
      </c>
      <c r="E191" t="str">
        <f t="shared" si="5"/>
        <v>C</v>
      </c>
    </row>
    <row r="192" spans="1:5" x14ac:dyDescent="0.45">
      <c r="A192" s="25" t="s">
        <v>727</v>
      </c>
      <c r="B192" s="13">
        <v>31513.085009999999</v>
      </c>
      <c r="C192">
        <f>SUM($B$4:B192)</f>
        <v>8672072.7416100092</v>
      </c>
      <c r="D192" s="26">
        <f t="shared" si="4"/>
        <v>0.27331793734174353</v>
      </c>
      <c r="E192" t="str">
        <f t="shared" si="5"/>
        <v>C</v>
      </c>
    </row>
    <row r="193" spans="1:5" x14ac:dyDescent="0.45">
      <c r="A193" s="18" t="s">
        <v>770</v>
      </c>
      <c r="B193" s="13">
        <v>31404.1</v>
      </c>
      <c r="C193">
        <f>SUM($B$4:B193)</f>
        <v>8703476.8416100089</v>
      </c>
      <c r="D193" s="26">
        <f t="shared" si="4"/>
        <v>0.27430770116082337</v>
      </c>
      <c r="E193" t="str">
        <f t="shared" si="5"/>
        <v>C</v>
      </c>
    </row>
    <row r="194" spans="1:5" x14ac:dyDescent="0.45">
      <c r="A194" s="25" t="s">
        <v>722</v>
      </c>
      <c r="B194" s="13">
        <v>31404.1</v>
      </c>
      <c r="C194">
        <f>SUM($B$4:B194)</f>
        <v>8734880.9416100085</v>
      </c>
      <c r="D194" s="26">
        <f t="shared" si="4"/>
        <v>0.27529746497990315</v>
      </c>
      <c r="E194" t="str">
        <f t="shared" si="5"/>
        <v>C</v>
      </c>
    </row>
    <row r="195" spans="1:5" x14ac:dyDescent="0.45">
      <c r="A195" s="18" t="s">
        <v>922</v>
      </c>
      <c r="B195" s="13">
        <v>31191.64716</v>
      </c>
      <c r="C195">
        <f>SUM($B$4:B195)</f>
        <v>8766072.5887700077</v>
      </c>
      <c r="D195" s="26">
        <f t="shared" si="4"/>
        <v>0.27628053291741678</v>
      </c>
      <c r="E195" t="str">
        <f t="shared" si="5"/>
        <v>C</v>
      </c>
    </row>
    <row r="196" spans="1:5" x14ac:dyDescent="0.45">
      <c r="A196" s="25" t="s">
        <v>726</v>
      </c>
      <c r="B196" s="13">
        <v>31191.64716</v>
      </c>
      <c r="C196">
        <f>SUM($B$4:B196)</f>
        <v>8797264.235930007</v>
      </c>
      <c r="D196" s="26">
        <f t="shared" si="4"/>
        <v>0.27726360085493035</v>
      </c>
      <c r="E196" t="str">
        <f t="shared" si="5"/>
        <v>C</v>
      </c>
    </row>
    <row r="197" spans="1:5" x14ac:dyDescent="0.45">
      <c r="A197" s="18" t="s">
        <v>1101</v>
      </c>
      <c r="B197" s="13">
        <v>31005.24768</v>
      </c>
      <c r="C197">
        <f>SUM($B$4:B197)</f>
        <v>8828269.483610006</v>
      </c>
      <c r="D197" s="26">
        <f t="shared" ref="D197:D260" si="6">C197/SUM($B$4:$B$1255)</f>
        <v>0.27824079403528806</v>
      </c>
      <c r="E197" t="str">
        <f t="shared" ref="E197:E260" si="7">IF(D197&gt;=0.8,"A",IF(D197&gt;=0.95,"B","C"))</f>
        <v>C</v>
      </c>
    </row>
    <row r="198" spans="1:5" x14ac:dyDescent="0.45">
      <c r="A198" s="25" t="s">
        <v>724</v>
      </c>
      <c r="B198" s="13">
        <v>31005.24768</v>
      </c>
      <c r="C198">
        <f>SUM($B$4:B198)</f>
        <v>8859274.7312900051</v>
      </c>
      <c r="D198" s="26">
        <f t="shared" si="6"/>
        <v>0.27921798721564578</v>
      </c>
      <c r="E198" t="str">
        <f t="shared" si="7"/>
        <v>C</v>
      </c>
    </row>
    <row r="199" spans="1:5" x14ac:dyDescent="0.45">
      <c r="A199" s="18" t="s">
        <v>1037</v>
      </c>
      <c r="B199" s="13">
        <v>30799.273800000003</v>
      </c>
      <c r="C199">
        <f>SUM($B$4:B199)</f>
        <v>8890074.0050900057</v>
      </c>
      <c r="D199" s="26">
        <f t="shared" si="6"/>
        <v>0.28018868871198455</v>
      </c>
      <c r="E199" t="str">
        <f t="shared" si="7"/>
        <v>C</v>
      </c>
    </row>
    <row r="200" spans="1:5" x14ac:dyDescent="0.45">
      <c r="A200" s="25" t="s">
        <v>726</v>
      </c>
      <c r="B200" s="13">
        <v>30799.273800000003</v>
      </c>
      <c r="C200">
        <f>SUM($B$4:B200)</f>
        <v>8920873.2788900062</v>
      </c>
      <c r="D200" s="26">
        <f t="shared" si="6"/>
        <v>0.28115939020832337</v>
      </c>
      <c r="E200" t="str">
        <f t="shared" si="7"/>
        <v>C</v>
      </c>
    </row>
    <row r="201" spans="1:5" x14ac:dyDescent="0.45">
      <c r="A201" s="18" t="s">
        <v>1222</v>
      </c>
      <c r="B201" s="13">
        <v>30692.47896</v>
      </c>
      <c r="C201">
        <f>SUM($B$4:B201)</f>
        <v>8951565.7578500062</v>
      </c>
      <c r="D201" s="26">
        <f t="shared" si="6"/>
        <v>0.28212672584897142</v>
      </c>
      <c r="E201" t="str">
        <f t="shared" si="7"/>
        <v>C</v>
      </c>
    </row>
    <row r="202" spans="1:5" x14ac:dyDescent="0.45">
      <c r="A202" s="25" t="s">
        <v>723</v>
      </c>
      <c r="B202" s="13">
        <v>30692.47896</v>
      </c>
      <c r="C202">
        <f>SUM($B$4:B202)</f>
        <v>8982258.2368100062</v>
      </c>
      <c r="D202" s="26">
        <f t="shared" si="6"/>
        <v>0.28309406148961952</v>
      </c>
      <c r="E202" t="str">
        <f t="shared" si="7"/>
        <v>C</v>
      </c>
    </row>
    <row r="203" spans="1:5" x14ac:dyDescent="0.45">
      <c r="A203" s="18" t="s">
        <v>1267</v>
      </c>
      <c r="B203" s="13">
        <v>30652.403519999996</v>
      </c>
      <c r="C203">
        <f>SUM($B$4:B203)</f>
        <v>9012910.6403300054</v>
      </c>
      <c r="D203" s="26">
        <f t="shared" si="6"/>
        <v>0.28406013407160496</v>
      </c>
      <c r="E203" t="str">
        <f t="shared" si="7"/>
        <v>C</v>
      </c>
    </row>
    <row r="204" spans="1:5" x14ac:dyDescent="0.45">
      <c r="A204" s="25" t="s">
        <v>726</v>
      </c>
      <c r="B204" s="13">
        <v>30652.403519999996</v>
      </c>
      <c r="C204">
        <f>SUM($B$4:B204)</f>
        <v>9043563.0438500047</v>
      </c>
      <c r="D204" s="26">
        <f t="shared" si="6"/>
        <v>0.28502620665359046</v>
      </c>
      <c r="E204" t="str">
        <f t="shared" si="7"/>
        <v>C</v>
      </c>
    </row>
    <row r="205" spans="1:5" x14ac:dyDescent="0.45">
      <c r="A205" s="18" t="s">
        <v>953</v>
      </c>
      <c r="B205" s="13">
        <v>30479.418970000002</v>
      </c>
      <c r="C205">
        <f>SUM($B$4:B205)</f>
        <v>9074042.4628200047</v>
      </c>
      <c r="D205" s="26">
        <f t="shared" si="6"/>
        <v>0.28598682727711033</v>
      </c>
      <c r="E205" t="str">
        <f t="shared" si="7"/>
        <v>C</v>
      </c>
    </row>
    <row r="206" spans="1:5" x14ac:dyDescent="0.45">
      <c r="A206" s="25" t="s">
        <v>723</v>
      </c>
      <c r="B206" s="13">
        <v>30479.418970000002</v>
      </c>
      <c r="C206">
        <f>SUM($B$4:B206)</f>
        <v>9104521.8817900047</v>
      </c>
      <c r="D206" s="26">
        <f t="shared" si="6"/>
        <v>0.2869474479006302</v>
      </c>
      <c r="E206" t="str">
        <f t="shared" si="7"/>
        <v>C</v>
      </c>
    </row>
    <row r="207" spans="1:5" x14ac:dyDescent="0.45">
      <c r="A207" s="18" t="s">
        <v>1152</v>
      </c>
      <c r="B207" s="13">
        <v>30435.614999999998</v>
      </c>
      <c r="C207">
        <f>SUM($B$4:B207)</f>
        <v>9134957.4967900049</v>
      </c>
      <c r="D207" s="26">
        <f t="shared" si="6"/>
        <v>0.28790668795331259</v>
      </c>
      <c r="E207" t="str">
        <f t="shared" si="7"/>
        <v>C</v>
      </c>
    </row>
    <row r="208" spans="1:5" x14ac:dyDescent="0.45">
      <c r="A208" s="25" t="s">
        <v>725</v>
      </c>
      <c r="B208" s="13">
        <v>30435.614999999998</v>
      </c>
      <c r="C208">
        <f>SUM($B$4:B208)</f>
        <v>9165393.1117900051</v>
      </c>
      <c r="D208" s="26">
        <f t="shared" si="6"/>
        <v>0.28886592800599498</v>
      </c>
      <c r="E208" t="str">
        <f t="shared" si="7"/>
        <v>C</v>
      </c>
    </row>
    <row r="209" spans="1:5" x14ac:dyDescent="0.45">
      <c r="A209" s="18" t="s">
        <v>1347</v>
      </c>
      <c r="B209" s="13">
        <v>30229.994880000002</v>
      </c>
      <c r="C209">
        <f>SUM($B$4:B209)</f>
        <v>9195623.1066700052</v>
      </c>
      <c r="D209" s="26">
        <f t="shared" si="6"/>
        <v>0.28981868752412138</v>
      </c>
      <c r="E209" t="str">
        <f t="shared" si="7"/>
        <v>C</v>
      </c>
    </row>
    <row r="210" spans="1:5" x14ac:dyDescent="0.45">
      <c r="A210" s="25" t="s">
        <v>723</v>
      </c>
      <c r="B210" s="13">
        <v>30229.994880000002</v>
      </c>
      <c r="C210">
        <f>SUM($B$4:B210)</f>
        <v>9225853.1015500054</v>
      </c>
      <c r="D210" s="26">
        <f t="shared" si="6"/>
        <v>0.29077144704224772</v>
      </c>
      <c r="E210" t="str">
        <f t="shared" si="7"/>
        <v>C</v>
      </c>
    </row>
    <row r="211" spans="1:5" x14ac:dyDescent="0.45">
      <c r="A211" s="18" t="s">
        <v>839</v>
      </c>
      <c r="B211" s="13">
        <v>30151.675319999998</v>
      </c>
      <c r="C211">
        <f>SUM($B$4:B211)</f>
        <v>9256004.7768700048</v>
      </c>
      <c r="D211" s="26">
        <f t="shared" si="6"/>
        <v>0.29172173816080793</v>
      </c>
      <c r="E211" t="str">
        <f t="shared" si="7"/>
        <v>C</v>
      </c>
    </row>
    <row r="212" spans="1:5" x14ac:dyDescent="0.45">
      <c r="A212" s="25" t="s">
        <v>725</v>
      </c>
      <c r="B212" s="13">
        <v>30151.675319999998</v>
      </c>
      <c r="C212">
        <f>SUM($B$4:B212)</f>
        <v>9286156.4521900043</v>
      </c>
      <c r="D212" s="26">
        <f t="shared" si="6"/>
        <v>0.2926720292793682</v>
      </c>
      <c r="E212" t="str">
        <f t="shared" si="7"/>
        <v>C</v>
      </c>
    </row>
    <row r="213" spans="1:5" x14ac:dyDescent="0.45">
      <c r="A213" s="18" t="s">
        <v>1275</v>
      </c>
      <c r="B213" s="13">
        <v>29673.454499999993</v>
      </c>
      <c r="C213">
        <f>SUM($B$4:B213)</f>
        <v>9315829.9066900052</v>
      </c>
      <c r="D213" s="26">
        <f t="shared" si="6"/>
        <v>0.29360724830017154</v>
      </c>
      <c r="E213" t="str">
        <f t="shared" si="7"/>
        <v>C</v>
      </c>
    </row>
    <row r="214" spans="1:5" x14ac:dyDescent="0.45">
      <c r="A214" s="25" t="s">
        <v>723</v>
      </c>
      <c r="B214" s="13">
        <v>29673.454499999993</v>
      </c>
      <c r="C214">
        <f>SUM($B$4:B214)</f>
        <v>9345503.3611900061</v>
      </c>
      <c r="D214" s="26">
        <f t="shared" si="6"/>
        <v>0.29454246732097494</v>
      </c>
      <c r="E214" t="str">
        <f t="shared" si="7"/>
        <v>C</v>
      </c>
    </row>
    <row r="215" spans="1:5" x14ac:dyDescent="0.45">
      <c r="A215" s="18" t="s">
        <v>784</v>
      </c>
      <c r="B215" s="13">
        <v>29659.68995</v>
      </c>
      <c r="C215">
        <f>SUM($B$4:B215)</f>
        <v>9375163.0511400066</v>
      </c>
      <c r="D215" s="26">
        <f t="shared" si="6"/>
        <v>0.29547725252410562</v>
      </c>
      <c r="E215" t="str">
        <f t="shared" si="7"/>
        <v>C</v>
      </c>
    </row>
    <row r="216" spans="1:5" x14ac:dyDescent="0.45">
      <c r="A216" s="25" t="s">
        <v>725</v>
      </c>
      <c r="B216" s="13">
        <v>29659.68995</v>
      </c>
      <c r="C216">
        <f>SUM($B$4:B216)</f>
        <v>9404822.7410900071</v>
      </c>
      <c r="D216" s="26">
        <f t="shared" si="6"/>
        <v>0.29641203772723629</v>
      </c>
      <c r="E216" t="str">
        <f t="shared" si="7"/>
        <v>C</v>
      </c>
    </row>
    <row r="217" spans="1:5" x14ac:dyDescent="0.45">
      <c r="A217" s="18" t="s">
        <v>881</v>
      </c>
      <c r="B217" s="13">
        <v>29654.83008</v>
      </c>
      <c r="C217">
        <f>SUM($B$4:B217)</f>
        <v>9434477.5711700078</v>
      </c>
      <c r="D217" s="26">
        <f t="shared" si="6"/>
        <v>0.29734666976172047</v>
      </c>
      <c r="E217" t="str">
        <f t="shared" si="7"/>
        <v>C</v>
      </c>
    </row>
    <row r="218" spans="1:5" x14ac:dyDescent="0.45">
      <c r="A218" s="25" t="s">
        <v>722</v>
      </c>
      <c r="B218" s="13">
        <v>29654.83008</v>
      </c>
      <c r="C218">
        <f>SUM($B$4:B218)</f>
        <v>9464132.4012500085</v>
      </c>
      <c r="D218" s="26">
        <f t="shared" si="6"/>
        <v>0.2982813017962046</v>
      </c>
      <c r="E218" t="str">
        <f t="shared" si="7"/>
        <v>C</v>
      </c>
    </row>
    <row r="219" spans="1:5" x14ac:dyDescent="0.45">
      <c r="A219" s="18" t="s">
        <v>1149</v>
      </c>
      <c r="B219" s="13">
        <v>29627.320319999999</v>
      </c>
      <c r="C219">
        <f>SUM($B$4:B219)</f>
        <v>9493759.7215700094</v>
      </c>
      <c r="D219" s="26">
        <f t="shared" si="6"/>
        <v>0.29921506680488263</v>
      </c>
      <c r="E219" t="str">
        <f t="shared" si="7"/>
        <v>C</v>
      </c>
    </row>
    <row r="220" spans="1:5" x14ac:dyDescent="0.45">
      <c r="A220" s="25" t="s">
        <v>724</v>
      </c>
      <c r="B220" s="13">
        <v>29627.320319999999</v>
      </c>
      <c r="C220">
        <f>SUM($B$4:B220)</f>
        <v>9523387.0418900102</v>
      </c>
      <c r="D220" s="26">
        <f t="shared" si="6"/>
        <v>0.30014883181356061</v>
      </c>
      <c r="E220" t="str">
        <f t="shared" si="7"/>
        <v>C</v>
      </c>
    </row>
    <row r="221" spans="1:5" x14ac:dyDescent="0.45">
      <c r="A221" s="18" t="s">
        <v>1000</v>
      </c>
      <c r="B221" s="13">
        <v>29536.716</v>
      </c>
      <c r="C221">
        <f>SUM($B$4:B221)</f>
        <v>9552923.7578900103</v>
      </c>
      <c r="D221" s="26">
        <f t="shared" si="6"/>
        <v>0.30107974124357889</v>
      </c>
      <c r="E221" t="str">
        <f t="shared" si="7"/>
        <v>C</v>
      </c>
    </row>
    <row r="222" spans="1:5" x14ac:dyDescent="0.45">
      <c r="A222" s="25" t="s">
        <v>726</v>
      </c>
      <c r="B222" s="13">
        <v>29536.716</v>
      </c>
      <c r="C222">
        <f>SUM($B$4:B222)</f>
        <v>9582460.4738900103</v>
      </c>
      <c r="D222" s="26">
        <f t="shared" si="6"/>
        <v>0.30201065067359711</v>
      </c>
      <c r="E222" t="str">
        <f t="shared" si="7"/>
        <v>C</v>
      </c>
    </row>
    <row r="223" spans="1:5" x14ac:dyDescent="0.45">
      <c r="A223" s="18" t="s">
        <v>887</v>
      </c>
      <c r="B223" s="13">
        <v>29263.754519999995</v>
      </c>
      <c r="C223">
        <f>SUM($B$4:B223)</f>
        <v>9611724.2284100112</v>
      </c>
      <c r="D223" s="26">
        <f t="shared" si="6"/>
        <v>0.30293295716970209</v>
      </c>
      <c r="E223" t="str">
        <f t="shared" si="7"/>
        <v>C</v>
      </c>
    </row>
    <row r="224" spans="1:5" x14ac:dyDescent="0.45">
      <c r="A224" s="25" t="s">
        <v>724</v>
      </c>
      <c r="B224" s="13">
        <v>29263.754519999995</v>
      </c>
      <c r="C224">
        <f>SUM($B$4:B224)</f>
        <v>9640987.982930012</v>
      </c>
      <c r="D224" s="26">
        <f t="shared" si="6"/>
        <v>0.30385526366580706</v>
      </c>
      <c r="E224" t="str">
        <f t="shared" si="7"/>
        <v>C</v>
      </c>
    </row>
    <row r="225" spans="1:5" x14ac:dyDescent="0.45">
      <c r="A225" s="18" t="s">
        <v>1332</v>
      </c>
      <c r="B225" s="13">
        <v>29175.036029999999</v>
      </c>
      <c r="C225">
        <f>SUM($B$4:B225)</f>
        <v>9670163.0189600121</v>
      </c>
      <c r="D225" s="26">
        <f t="shared" si="6"/>
        <v>0.30477477401900438</v>
      </c>
      <c r="E225" t="str">
        <f t="shared" si="7"/>
        <v>C</v>
      </c>
    </row>
    <row r="226" spans="1:5" x14ac:dyDescent="0.45">
      <c r="A226" s="25" t="s">
        <v>724</v>
      </c>
      <c r="B226" s="13">
        <v>29175.036029999999</v>
      </c>
      <c r="C226">
        <f>SUM($B$4:B226)</f>
        <v>9699338.0549900122</v>
      </c>
      <c r="D226" s="26">
        <f t="shared" si="6"/>
        <v>0.3056942843722017</v>
      </c>
      <c r="E226" t="str">
        <f t="shared" si="7"/>
        <v>C</v>
      </c>
    </row>
    <row r="227" spans="1:5" x14ac:dyDescent="0.45">
      <c r="A227" s="18" t="s">
        <v>1213</v>
      </c>
      <c r="B227" s="13">
        <v>28856.475000000002</v>
      </c>
      <c r="C227">
        <f>SUM($B$4:B227)</f>
        <v>9728194.5299900118</v>
      </c>
      <c r="D227" s="26">
        <f t="shared" si="6"/>
        <v>0.30660375462930761</v>
      </c>
      <c r="E227" t="str">
        <f t="shared" si="7"/>
        <v>C</v>
      </c>
    </row>
    <row r="228" spans="1:5" x14ac:dyDescent="0.45">
      <c r="A228" s="25" t="s">
        <v>722</v>
      </c>
      <c r="B228" s="13">
        <v>28856.475000000002</v>
      </c>
      <c r="C228">
        <f>SUM($B$4:B228)</f>
        <v>9757051.0049900115</v>
      </c>
      <c r="D228" s="26">
        <f t="shared" si="6"/>
        <v>0.30751322488641358</v>
      </c>
      <c r="E228" t="str">
        <f t="shared" si="7"/>
        <v>C</v>
      </c>
    </row>
    <row r="229" spans="1:5" x14ac:dyDescent="0.45">
      <c r="A229" s="18" t="s">
        <v>934</v>
      </c>
      <c r="B229" s="13">
        <v>28386.015839999996</v>
      </c>
      <c r="C229">
        <f>SUM($B$4:B229)</f>
        <v>9785437.020830011</v>
      </c>
      <c r="D229" s="26">
        <f t="shared" si="6"/>
        <v>0.30840786767019845</v>
      </c>
      <c r="E229" t="str">
        <f t="shared" si="7"/>
        <v>C</v>
      </c>
    </row>
    <row r="230" spans="1:5" x14ac:dyDescent="0.45">
      <c r="A230" s="25" t="s">
        <v>727</v>
      </c>
      <c r="B230" s="13">
        <v>28386.015839999996</v>
      </c>
      <c r="C230">
        <f>SUM($B$4:B230)</f>
        <v>9813823.0366700105</v>
      </c>
      <c r="D230" s="26">
        <f t="shared" si="6"/>
        <v>0.30930251045398327</v>
      </c>
      <c r="E230" t="str">
        <f t="shared" si="7"/>
        <v>C</v>
      </c>
    </row>
    <row r="231" spans="1:5" x14ac:dyDescent="0.45">
      <c r="A231" s="18" t="s">
        <v>1063</v>
      </c>
      <c r="B231" s="13">
        <v>28247.74656</v>
      </c>
      <c r="C231">
        <f>SUM($B$4:B231)</f>
        <v>9842070.7832300104</v>
      </c>
      <c r="D231" s="26">
        <f t="shared" si="6"/>
        <v>0.31019279540135081</v>
      </c>
      <c r="E231" t="str">
        <f t="shared" si="7"/>
        <v>C</v>
      </c>
    </row>
    <row r="232" spans="1:5" x14ac:dyDescent="0.45">
      <c r="A232" s="25" t="s">
        <v>724</v>
      </c>
      <c r="B232" s="13">
        <v>28247.74656</v>
      </c>
      <c r="C232">
        <f>SUM($B$4:B232)</f>
        <v>9870318.5297900103</v>
      </c>
      <c r="D232" s="26">
        <f t="shared" si="6"/>
        <v>0.31108308034871829</v>
      </c>
      <c r="E232" t="str">
        <f t="shared" si="7"/>
        <v>C</v>
      </c>
    </row>
    <row r="233" spans="1:5" x14ac:dyDescent="0.45">
      <c r="A233" s="18" t="s">
        <v>946</v>
      </c>
      <c r="B233" s="13">
        <v>28211.92124</v>
      </c>
      <c r="C233">
        <f>SUM($B$4:B233)</f>
        <v>9898530.4510300104</v>
      </c>
      <c r="D233" s="26">
        <f t="shared" si="6"/>
        <v>0.31197223618856346</v>
      </c>
      <c r="E233" t="str">
        <f t="shared" si="7"/>
        <v>C</v>
      </c>
    </row>
    <row r="234" spans="1:5" x14ac:dyDescent="0.45">
      <c r="A234" s="25" t="s">
        <v>722</v>
      </c>
      <c r="B234" s="13">
        <v>28211.92124</v>
      </c>
      <c r="C234">
        <f>SUM($B$4:B234)</f>
        <v>9926742.3722700104</v>
      </c>
      <c r="D234" s="26">
        <f t="shared" si="6"/>
        <v>0.31286139202840862</v>
      </c>
      <c r="E234" t="str">
        <f t="shared" si="7"/>
        <v>C</v>
      </c>
    </row>
    <row r="235" spans="1:5" x14ac:dyDescent="0.45">
      <c r="A235" s="18" t="s">
        <v>915</v>
      </c>
      <c r="B235" s="13">
        <v>28072.190160000002</v>
      </c>
      <c r="C235">
        <f>SUM($B$4:B235)</f>
        <v>9954814.5624300111</v>
      </c>
      <c r="D235" s="26">
        <f t="shared" si="6"/>
        <v>0.31374614396024864</v>
      </c>
      <c r="E235" t="str">
        <f t="shared" si="7"/>
        <v>C</v>
      </c>
    </row>
    <row r="236" spans="1:5" x14ac:dyDescent="0.45">
      <c r="A236" s="25" t="s">
        <v>726</v>
      </c>
      <c r="B236" s="13">
        <v>28072.190160000002</v>
      </c>
      <c r="C236">
        <f>SUM($B$4:B236)</f>
        <v>9982886.7525900118</v>
      </c>
      <c r="D236" s="26">
        <f t="shared" si="6"/>
        <v>0.31463089589208865</v>
      </c>
      <c r="E236" t="str">
        <f t="shared" si="7"/>
        <v>C</v>
      </c>
    </row>
    <row r="237" spans="1:5" x14ac:dyDescent="0.45">
      <c r="A237" s="18" t="s">
        <v>1056</v>
      </c>
      <c r="B237" s="13">
        <v>27756.432000000001</v>
      </c>
      <c r="C237">
        <f>SUM($B$4:B237)</f>
        <v>10010643.184590012</v>
      </c>
      <c r="D237" s="26">
        <f t="shared" si="6"/>
        <v>0.3155056960659624</v>
      </c>
      <c r="E237" t="str">
        <f t="shared" si="7"/>
        <v>C</v>
      </c>
    </row>
    <row r="238" spans="1:5" x14ac:dyDescent="0.45">
      <c r="A238" s="25" t="s">
        <v>725</v>
      </c>
      <c r="B238" s="13">
        <v>27756.432000000001</v>
      </c>
      <c r="C238">
        <f>SUM($B$4:B238)</f>
        <v>10038399.616590012</v>
      </c>
      <c r="D238" s="26">
        <f t="shared" si="6"/>
        <v>0.31638049623983616</v>
      </c>
      <c r="E238" t="str">
        <f t="shared" si="7"/>
        <v>C</v>
      </c>
    </row>
    <row r="239" spans="1:5" x14ac:dyDescent="0.45">
      <c r="A239" s="18" t="s">
        <v>789</v>
      </c>
      <c r="B239" s="13">
        <v>27701.570400000001</v>
      </c>
      <c r="C239">
        <f>SUM($B$4:B239)</f>
        <v>10066101.186990011</v>
      </c>
      <c r="D239" s="26">
        <f t="shared" si="6"/>
        <v>0.31725356733926624</v>
      </c>
      <c r="E239" t="str">
        <f t="shared" si="7"/>
        <v>C</v>
      </c>
    </row>
    <row r="240" spans="1:5" x14ac:dyDescent="0.45">
      <c r="A240" s="25" t="s">
        <v>721</v>
      </c>
      <c r="B240" s="13">
        <v>27701.570400000001</v>
      </c>
      <c r="C240">
        <f>SUM($B$4:B240)</f>
        <v>10093802.757390011</v>
      </c>
      <c r="D240" s="26">
        <f t="shared" si="6"/>
        <v>0.31812663843869632</v>
      </c>
      <c r="E240" t="str">
        <f t="shared" si="7"/>
        <v>C</v>
      </c>
    </row>
    <row r="241" spans="1:5" x14ac:dyDescent="0.45">
      <c r="A241" s="18" t="s">
        <v>838</v>
      </c>
      <c r="B241" s="13">
        <v>27676.35</v>
      </c>
      <c r="C241">
        <f>SUM($B$4:B241)</f>
        <v>10121479.107390011</v>
      </c>
      <c r="D241" s="26">
        <f t="shared" si="6"/>
        <v>0.31899891466613761</v>
      </c>
      <c r="E241" t="str">
        <f t="shared" si="7"/>
        <v>C</v>
      </c>
    </row>
    <row r="242" spans="1:5" x14ac:dyDescent="0.45">
      <c r="A242" s="25" t="s">
        <v>721</v>
      </c>
      <c r="B242" s="13">
        <v>27676.35</v>
      </c>
      <c r="C242">
        <f>SUM($B$4:B242)</f>
        <v>10149155.45739001</v>
      </c>
      <c r="D242" s="26">
        <f t="shared" si="6"/>
        <v>0.31987119089357891</v>
      </c>
      <c r="E242" t="str">
        <f t="shared" si="7"/>
        <v>C</v>
      </c>
    </row>
    <row r="243" spans="1:5" x14ac:dyDescent="0.45">
      <c r="A243" s="18" t="s">
        <v>1067</v>
      </c>
      <c r="B243" s="13">
        <v>27465.647999999997</v>
      </c>
      <c r="C243">
        <f>SUM($B$4:B243)</f>
        <v>10176621.10539001</v>
      </c>
      <c r="D243" s="26">
        <f t="shared" si="6"/>
        <v>0.32073682642072288</v>
      </c>
      <c r="E243" t="str">
        <f t="shared" si="7"/>
        <v>C</v>
      </c>
    </row>
    <row r="244" spans="1:5" x14ac:dyDescent="0.45">
      <c r="A244" s="25" t="s">
        <v>727</v>
      </c>
      <c r="B244" s="13">
        <v>27465.647999999997</v>
      </c>
      <c r="C244">
        <f>SUM($B$4:B244)</f>
        <v>10204086.75339001</v>
      </c>
      <c r="D244" s="26">
        <f t="shared" si="6"/>
        <v>0.32160246194786685</v>
      </c>
      <c r="E244" t="str">
        <f t="shared" si="7"/>
        <v>C</v>
      </c>
    </row>
    <row r="245" spans="1:5" x14ac:dyDescent="0.45">
      <c r="A245" s="18" t="s">
        <v>863</v>
      </c>
      <c r="B245" s="13">
        <v>27370.540859999997</v>
      </c>
      <c r="C245">
        <f>SUM($B$4:B245)</f>
        <v>10231457.29425001</v>
      </c>
      <c r="D245" s="26">
        <f t="shared" si="6"/>
        <v>0.32246509998085848</v>
      </c>
      <c r="E245" t="str">
        <f t="shared" si="7"/>
        <v>C</v>
      </c>
    </row>
    <row r="246" spans="1:5" x14ac:dyDescent="0.45">
      <c r="A246" s="25" t="s">
        <v>726</v>
      </c>
      <c r="B246" s="13">
        <v>27370.540859999997</v>
      </c>
      <c r="C246">
        <f>SUM($B$4:B246)</f>
        <v>10258827.835110009</v>
      </c>
      <c r="D246" s="26">
        <f t="shared" si="6"/>
        <v>0.32332773801385012</v>
      </c>
      <c r="E246" t="str">
        <f t="shared" si="7"/>
        <v>C</v>
      </c>
    </row>
    <row r="247" spans="1:5" x14ac:dyDescent="0.45">
      <c r="A247" s="18" t="s">
        <v>762</v>
      </c>
      <c r="B247" s="13">
        <v>27331.829999999998</v>
      </c>
      <c r="C247">
        <f>SUM($B$4:B247)</f>
        <v>10286159.665110009</v>
      </c>
      <c r="D247" s="26">
        <f t="shared" si="6"/>
        <v>0.32418915599568182</v>
      </c>
      <c r="E247" t="str">
        <f t="shared" si="7"/>
        <v>C</v>
      </c>
    </row>
    <row r="248" spans="1:5" x14ac:dyDescent="0.45">
      <c r="A248" s="25" t="s">
        <v>721</v>
      </c>
      <c r="B248" s="13">
        <v>27331.829999999998</v>
      </c>
      <c r="C248">
        <f>SUM($B$4:B248)</f>
        <v>10313491.495110009</v>
      </c>
      <c r="D248" s="26">
        <f t="shared" si="6"/>
        <v>0.32505057397751347</v>
      </c>
      <c r="E248" t="str">
        <f t="shared" si="7"/>
        <v>C</v>
      </c>
    </row>
    <row r="249" spans="1:5" x14ac:dyDescent="0.45">
      <c r="A249" s="18" t="s">
        <v>1161</v>
      </c>
      <c r="B249" s="13">
        <v>27249</v>
      </c>
      <c r="C249">
        <f>SUM($B$4:B249)</f>
        <v>10340740.495110009</v>
      </c>
      <c r="D249" s="26">
        <f t="shared" si="6"/>
        <v>0.32590938140412673</v>
      </c>
      <c r="E249" t="str">
        <f t="shared" si="7"/>
        <v>C</v>
      </c>
    </row>
    <row r="250" spans="1:5" x14ac:dyDescent="0.45">
      <c r="A250" s="25" t="s">
        <v>724</v>
      </c>
      <c r="B250" s="13">
        <v>27249</v>
      </c>
      <c r="C250">
        <f>SUM($B$4:B250)</f>
        <v>10367989.495110009</v>
      </c>
      <c r="D250" s="26">
        <f t="shared" si="6"/>
        <v>0.32676818883074005</v>
      </c>
      <c r="E250" t="str">
        <f t="shared" si="7"/>
        <v>C</v>
      </c>
    </row>
    <row r="251" spans="1:5" x14ac:dyDescent="0.45">
      <c r="A251" s="18" t="s">
        <v>1201</v>
      </c>
      <c r="B251" s="13">
        <v>27194.152039999997</v>
      </c>
      <c r="C251">
        <f>SUM($B$4:B251)</f>
        <v>10395183.647150008</v>
      </c>
      <c r="D251" s="26">
        <f t="shared" si="6"/>
        <v>0.32762526761280181</v>
      </c>
      <c r="E251" t="str">
        <f t="shared" si="7"/>
        <v>C</v>
      </c>
    </row>
    <row r="252" spans="1:5" x14ac:dyDescent="0.45">
      <c r="A252" s="25" t="s">
        <v>722</v>
      </c>
      <c r="B252" s="13">
        <v>27194.152039999997</v>
      </c>
      <c r="C252">
        <f>SUM($B$4:B252)</f>
        <v>10422377.799190007</v>
      </c>
      <c r="D252" s="26">
        <f t="shared" si="6"/>
        <v>0.32848234639486362</v>
      </c>
      <c r="E252" t="str">
        <f t="shared" si="7"/>
        <v>C</v>
      </c>
    </row>
    <row r="253" spans="1:5" x14ac:dyDescent="0.45">
      <c r="A253" s="18" t="s">
        <v>1075</v>
      </c>
      <c r="B253" s="13">
        <v>27158.894079999998</v>
      </c>
      <c r="C253">
        <f>SUM($B$4:B253)</f>
        <v>10449536.693270007</v>
      </c>
      <c r="D253" s="26">
        <f t="shared" si="6"/>
        <v>0.32933831395090263</v>
      </c>
      <c r="E253" t="str">
        <f t="shared" si="7"/>
        <v>C</v>
      </c>
    </row>
    <row r="254" spans="1:5" x14ac:dyDescent="0.45">
      <c r="A254" s="25" t="s">
        <v>721</v>
      </c>
      <c r="B254" s="13">
        <v>27158.894079999998</v>
      </c>
      <c r="C254">
        <f>SUM($B$4:B254)</f>
        <v>10476695.587350007</v>
      </c>
      <c r="D254" s="26">
        <f t="shared" si="6"/>
        <v>0.33019428150694163</v>
      </c>
      <c r="E254" t="str">
        <f t="shared" si="7"/>
        <v>C</v>
      </c>
    </row>
    <row r="255" spans="1:5" x14ac:dyDescent="0.45">
      <c r="A255" s="18" t="s">
        <v>1015</v>
      </c>
      <c r="B255" s="13">
        <v>26765.040239999998</v>
      </c>
      <c r="C255">
        <f>SUM($B$4:B255)</f>
        <v>10503460.627590006</v>
      </c>
      <c r="D255" s="26">
        <f t="shared" si="6"/>
        <v>0.33103783596147995</v>
      </c>
      <c r="E255" t="str">
        <f t="shared" si="7"/>
        <v>C</v>
      </c>
    </row>
    <row r="256" spans="1:5" x14ac:dyDescent="0.45">
      <c r="A256" s="25" t="s">
        <v>727</v>
      </c>
      <c r="B256" s="13">
        <v>26765.040239999998</v>
      </c>
      <c r="C256">
        <f>SUM($B$4:B256)</f>
        <v>10530225.667830005</v>
      </c>
      <c r="D256" s="26">
        <f t="shared" si="6"/>
        <v>0.33188139041601822</v>
      </c>
      <c r="E256" t="str">
        <f t="shared" si="7"/>
        <v>C</v>
      </c>
    </row>
    <row r="257" spans="1:5" x14ac:dyDescent="0.45">
      <c r="A257" s="18" t="s">
        <v>1079</v>
      </c>
      <c r="B257" s="13">
        <v>26552.60298</v>
      </c>
      <c r="C257">
        <f>SUM($B$4:B257)</f>
        <v>10556778.270810006</v>
      </c>
      <c r="D257" s="26">
        <f t="shared" si="6"/>
        <v>0.33271824948002565</v>
      </c>
      <c r="E257" t="str">
        <f t="shared" si="7"/>
        <v>C</v>
      </c>
    </row>
    <row r="258" spans="1:5" x14ac:dyDescent="0.45">
      <c r="A258" s="25" t="s">
        <v>727</v>
      </c>
      <c r="B258" s="13">
        <v>26552.60298</v>
      </c>
      <c r="C258">
        <f>SUM($B$4:B258)</f>
        <v>10583330.873790007</v>
      </c>
      <c r="D258" s="26">
        <f t="shared" si="6"/>
        <v>0.33355510854403309</v>
      </c>
      <c r="E258" t="str">
        <f t="shared" si="7"/>
        <v>C</v>
      </c>
    </row>
    <row r="259" spans="1:5" x14ac:dyDescent="0.45">
      <c r="A259" s="18" t="s">
        <v>912</v>
      </c>
      <c r="B259" s="13">
        <v>26408.63841</v>
      </c>
      <c r="C259">
        <f>SUM($B$4:B259)</f>
        <v>10609739.512200007</v>
      </c>
      <c r="D259" s="26">
        <f t="shared" si="6"/>
        <v>0.33438743027302326</v>
      </c>
      <c r="E259" t="str">
        <f t="shared" si="7"/>
        <v>C</v>
      </c>
    </row>
    <row r="260" spans="1:5" x14ac:dyDescent="0.45">
      <c r="A260" s="25" t="s">
        <v>726</v>
      </c>
      <c r="B260" s="13">
        <v>26408.63841</v>
      </c>
      <c r="C260">
        <f>SUM($B$4:B260)</f>
        <v>10636148.150610007</v>
      </c>
      <c r="D260" s="26">
        <f t="shared" si="6"/>
        <v>0.33521975200201337</v>
      </c>
      <c r="E260" t="str">
        <f t="shared" si="7"/>
        <v>C</v>
      </c>
    </row>
    <row r="261" spans="1:5" x14ac:dyDescent="0.45">
      <c r="A261" s="18" t="s">
        <v>792</v>
      </c>
      <c r="B261" s="13">
        <v>26304.275999999998</v>
      </c>
      <c r="C261">
        <f>SUM($B$4:B261)</f>
        <v>10662452.426610008</v>
      </c>
      <c r="D261" s="26">
        <f t="shared" ref="D261:D324" si="8">C261/SUM($B$4:$B$1255)</f>
        <v>0.33604878453827108</v>
      </c>
      <c r="E261" t="str">
        <f t="shared" ref="E261:E324" si="9">IF(D261&gt;=0.8,"A",IF(D261&gt;=0.95,"B","C"))</f>
        <v>C</v>
      </c>
    </row>
    <row r="262" spans="1:5" x14ac:dyDescent="0.45">
      <c r="A262" s="25" t="s">
        <v>725</v>
      </c>
      <c r="B262" s="13">
        <v>26304.275999999998</v>
      </c>
      <c r="C262">
        <f>SUM($B$4:B262)</f>
        <v>10688756.702610008</v>
      </c>
      <c r="D262" s="26">
        <f t="shared" si="8"/>
        <v>0.33687781707452874</v>
      </c>
      <c r="E262" t="str">
        <f t="shared" si="9"/>
        <v>C</v>
      </c>
    </row>
    <row r="263" spans="1:5" x14ac:dyDescent="0.45">
      <c r="A263" s="18" t="s">
        <v>759</v>
      </c>
      <c r="B263" s="13">
        <v>26150.364320000001</v>
      </c>
      <c r="C263">
        <f>SUM($B$4:B263)</f>
        <v>10714907.066930009</v>
      </c>
      <c r="D263" s="26">
        <f t="shared" si="8"/>
        <v>0.33770199877245011</v>
      </c>
      <c r="E263" t="str">
        <f t="shared" si="9"/>
        <v>C</v>
      </c>
    </row>
    <row r="264" spans="1:5" x14ac:dyDescent="0.45">
      <c r="A264" s="25" t="s">
        <v>724</v>
      </c>
      <c r="B264" s="13">
        <v>26150.364320000001</v>
      </c>
      <c r="C264">
        <f>SUM($B$4:B264)</f>
        <v>10741057.43125001</v>
      </c>
      <c r="D264" s="26">
        <f t="shared" si="8"/>
        <v>0.33852618047037147</v>
      </c>
      <c r="E264" t="str">
        <f t="shared" si="9"/>
        <v>C</v>
      </c>
    </row>
    <row r="265" spans="1:5" x14ac:dyDescent="0.45">
      <c r="A265" s="18" t="s">
        <v>932</v>
      </c>
      <c r="B265" s="13">
        <v>26131.70736</v>
      </c>
      <c r="C265">
        <f>SUM($B$4:B265)</f>
        <v>10767189.138610009</v>
      </c>
      <c r="D265" s="26">
        <f t="shared" si="8"/>
        <v>0.3393497741564096</v>
      </c>
      <c r="E265" t="str">
        <f t="shared" si="9"/>
        <v>C</v>
      </c>
    </row>
    <row r="266" spans="1:5" x14ac:dyDescent="0.45">
      <c r="A266" s="25" t="s">
        <v>726</v>
      </c>
      <c r="B266" s="13">
        <v>26131.70736</v>
      </c>
      <c r="C266">
        <f>SUM($B$4:B266)</f>
        <v>10793320.845970009</v>
      </c>
      <c r="D266" s="26">
        <f t="shared" si="8"/>
        <v>0.34017336784244767</v>
      </c>
      <c r="E266" t="str">
        <f t="shared" si="9"/>
        <v>C</v>
      </c>
    </row>
    <row r="267" spans="1:5" x14ac:dyDescent="0.45">
      <c r="A267" s="18" t="s">
        <v>1066</v>
      </c>
      <c r="B267" s="13">
        <v>26106.613960000002</v>
      </c>
      <c r="C267">
        <f>SUM($B$4:B267)</f>
        <v>10819427.459930008</v>
      </c>
      <c r="D267" s="26">
        <f t="shared" si="8"/>
        <v>0.34099617065915921</v>
      </c>
      <c r="E267" t="str">
        <f t="shared" si="9"/>
        <v>C</v>
      </c>
    </row>
    <row r="268" spans="1:5" x14ac:dyDescent="0.45">
      <c r="A268" s="25" t="s">
        <v>726</v>
      </c>
      <c r="B268" s="13">
        <v>26106.613960000002</v>
      </c>
      <c r="C268">
        <f>SUM($B$4:B268)</f>
        <v>10845534.073890008</v>
      </c>
      <c r="D268" s="26">
        <f t="shared" si="8"/>
        <v>0.34181897347587081</v>
      </c>
      <c r="E268" t="str">
        <f t="shared" si="9"/>
        <v>C</v>
      </c>
    </row>
    <row r="269" spans="1:5" x14ac:dyDescent="0.45">
      <c r="A269" s="18" t="s">
        <v>1051</v>
      </c>
      <c r="B269" s="13">
        <v>26015.449459999996</v>
      </c>
      <c r="C269">
        <f>SUM($B$4:B269)</f>
        <v>10871549.523350008</v>
      </c>
      <c r="D269" s="26">
        <f t="shared" si="8"/>
        <v>0.34263890305871531</v>
      </c>
      <c r="E269" t="str">
        <f t="shared" si="9"/>
        <v>C</v>
      </c>
    </row>
    <row r="270" spans="1:5" x14ac:dyDescent="0.45">
      <c r="A270" s="25" t="s">
        <v>721</v>
      </c>
      <c r="B270" s="13">
        <v>26015.449459999996</v>
      </c>
      <c r="C270">
        <f>SUM($B$4:B270)</f>
        <v>10897564.972810008</v>
      </c>
      <c r="D270" s="26">
        <f t="shared" si="8"/>
        <v>0.3434588326415598</v>
      </c>
      <c r="E270" t="str">
        <f t="shared" si="9"/>
        <v>C</v>
      </c>
    </row>
    <row r="271" spans="1:5" x14ac:dyDescent="0.45">
      <c r="A271" s="18" t="s">
        <v>744</v>
      </c>
      <c r="B271" s="13">
        <v>25948.414799999995</v>
      </c>
      <c r="C271">
        <f>SUM($B$4:B271)</f>
        <v>10923513.387610007</v>
      </c>
      <c r="D271" s="26">
        <f t="shared" si="8"/>
        <v>0.34427664949131875</v>
      </c>
      <c r="E271" t="str">
        <f t="shared" si="9"/>
        <v>C</v>
      </c>
    </row>
    <row r="272" spans="1:5" x14ac:dyDescent="0.45">
      <c r="A272" s="25" t="s">
        <v>722</v>
      </c>
      <c r="B272" s="13">
        <v>25948.414799999995</v>
      </c>
      <c r="C272">
        <f>SUM($B$4:B272)</f>
        <v>10949461.802410007</v>
      </c>
      <c r="D272" s="26">
        <f t="shared" si="8"/>
        <v>0.34509446634107771</v>
      </c>
      <c r="E272" t="str">
        <f t="shared" si="9"/>
        <v>C</v>
      </c>
    </row>
    <row r="273" spans="1:5" x14ac:dyDescent="0.45">
      <c r="A273" s="18" t="s">
        <v>872</v>
      </c>
      <c r="B273" s="13">
        <v>25672.127039999999</v>
      </c>
      <c r="C273">
        <f>SUM($B$4:B273)</f>
        <v>10975133.929450007</v>
      </c>
      <c r="D273" s="26">
        <f t="shared" si="8"/>
        <v>0.34590357542247191</v>
      </c>
      <c r="E273" t="str">
        <f t="shared" si="9"/>
        <v>C</v>
      </c>
    </row>
    <row r="274" spans="1:5" x14ac:dyDescent="0.45">
      <c r="A274" s="25" t="s">
        <v>723</v>
      </c>
      <c r="B274" s="13">
        <v>25672.127039999999</v>
      </c>
      <c r="C274">
        <f>SUM($B$4:B274)</f>
        <v>11000806.056490008</v>
      </c>
      <c r="D274" s="26">
        <f t="shared" si="8"/>
        <v>0.34671268450386616</v>
      </c>
      <c r="E274" t="str">
        <f t="shared" si="9"/>
        <v>C</v>
      </c>
    </row>
    <row r="275" spans="1:5" x14ac:dyDescent="0.45">
      <c r="A275" s="18" t="s">
        <v>1027</v>
      </c>
      <c r="B275" s="13">
        <v>25577.274079999999</v>
      </c>
      <c r="C275">
        <f>SUM($B$4:B275)</f>
        <v>11026383.330570009</v>
      </c>
      <c r="D275" s="26">
        <f t="shared" si="8"/>
        <v>0.34751880410210567</v>
      </c>
      <c r="E275" t="str">
        <f t="shared" si="9"/>
        <v>C</v>
      </c>
    </row>
    <row r="276" spans="1:5" x14ac:dyDescent="0.45">
      <c r="A276" s="25" t="s">
        <v>721</v>
      </c>
      <c r="B276" s="13">
        <v>25577.274079999999</v>
      </c>
      <c r="C276">
        <f>SUM($B$4:B276)</f>
        <v>11051960.604650009</v>
      </c>
      <c r="D276" s="26">
        <f t="shared" si="8"/>
        <v>0.34832492370034518</v>
      </c>
      <c r="E276" t="str">
        <f t="shared" si="9"/>
        <v>C</v>
      </c>
    </row>
    <row r="277" spans="1:5" x14ac:dyDescent="0.45">
      <c r="A277" s="18" t="s">
        <v>931</v>
      </c>
      <c r="B277" s="13">
        <v>25553.782800000001</v>
      </c>
      <c r="C277">
        <f>SUM($B$4:B277)</f>
        <v>11077514.38745001</v>
      </c>
      <c r="D277" s="26">
        <f t="shared" si="8"/>
        <v>0.34913030292331493</v>
      </c>
      <c r="E277" t="str">
        <f t="shared" si="9"/>
        <v>C</v>
      </c>
    </row>
    <row r="278" spans="1:5" x14ac:dyDescent="0.45">
      <c r="A278" s="25" t="s">
        <v>726</v>
      </c>
      <c r="B278" s="13">
        <v>25553.782800000001</v>
      </c>
      <c r="C278">
        <f>SUM($B$4:B278)</f>
        <v>11103068.17025001</v>
      </c>
      <c r="D278" s="26">
        <f t="shared" si="8"/>
        <v>0.34993568214628462</v>
      </c>
      <c r="E278" t="str">
        <f t="shared" si="9"/>
        <v>C</v>
      </c>
    </row>
    <row r="279" spans="1:5" x14ac:dyDescent="0.45">
      <c r="A279" s="18" t="s">
        <v>827</v>
      </c>
      <c r="B279" s="13">
        <v>25502.910479999999</v>
      </c>
      <c r="C279">
        <f>SUM($B$4:B279)</f>
        <v>11128571.08073001</v>
      </c>
      <c r="D279" s="26">
        <f t="shared" si="8"/>
        <v>0.35073945802505002</v>
      </c>
      <c r="E279" t="str">
        <f t="shared" si="9"/>
        <v>C</v>
      </c>
    </row>
    <row r="280" spans="1:5" x14ac:dyDescent="0.45">
      <c r="A280" s="25" t="s">
        <v>725</v>
      </c>
      <c r="B280" s="13">
        <v>25502.910479999999</v>
      </c>
      <c r="C280">
        <f>SUM($B$4:B280)</f>
        <v>11154073.99121001</v>
      </c>
      <c r="D280" s="26">
        <f t="shared" si="8"/>
        <v>0.35154323390381537</v>
      </c>
      <c r="E280" t="str">
        <f t="shared" si="9"/>
        <v>C</v>
      </c>
    </row>
    <row r="281" spans="1:5" x14ac:dyDescent="0.45">
      <c r="A281" s="18" t="s">
        <v>980</v>
      </c>
      <c r="B281" s="13">
        <v>25483.91488</v>
      </c>
      <c r="C281">
        <f>SUM($B$4:B281)</f>
        <v>11179557.90609001</v>
      </c>
      <c r="D281" s="26">
        <f t="shared" si="8"/>
        <v>0.35234641109777204</v>
      </c>
      <c r="E281" t="str">
        <f t="shared" si="9"/>
        <v>C</v>
      </c>
    </row>
    <row r="282" spans="1:5" x14ac:dyDescent="0.45">
      <c r="A282" s="25" t="s">
        <v>722</v>
      </c>
      <c r="B282" s="13">
        <v>25483.91488</v>
      </c>
      <c r="C282">
        <f>SUM($B$4:B282)</f>
        <v>11205041.82097001</v>
      </c>
      <c r="D282" s="26">
        <f t="shared" si="8"/>
        <v>0.35314958829172866</v>
      </c>
      <c r="E282" t="str">
        <f t="shared" si="9"/>
        <v>C</v>
      </c>
    </row>
    <row r="283" spans="1:5" x14ac:dyDescent="0.45">
      <c r="A283" s="18" t="s">
        <v>929</v>
      </c>
      <c r="B283" s="13">
        <v>25299.040000000001</v>
      </c>
      <c r="C283">
        <f>SUM($B$4:B283)</f>
        <v>11230340.860970009</v>
      </c>
      <c r="D283" s="26">
        <f t="shared" si="8"/>
        <v>0.35394693877938638</v>
      </c>
      <c r="E283" t="str">
        <f t="shared" si="9"/>
        <v>C</v>
      </c>
    </row>
    <row r="284" spans="1:5" x14ac:dyDescent="0.45">
      <c r="A284" s="25" t="s">
        <v>724</v>
      </c>
      <c r="B284" s="13">
        <v>25299.040000000001</v>
      </c>
      <c r="C284">
        <f>SUM($B$4:B284)</f>
        <v>11255639.900970008</v>
      </c>
      <c r="D284" s="26">
        <f t="shared" si="8"/>
        <v>0.3547442892670441</v>
      </c>
      <c r="E284" t="str">
        <f t="shared" si="9"/>
        <v>C</v>
      </c>
    </row>
    <row r="285" spans="1:5" x14ac:dyDescent="0.45">
      <c r="A285" s="18" t="s">
        <v>1194</v>
      </c>
      <c r="B285" s="13">
        <v>25269.09</v>
      </c>
      <c r="C285">
        <f>SUM($B$4:B285)</f>
        <v>11280908.990970008</v>
      </c>
      <c r="D285" s="26">
        <f t="shared" si="8"/>
        <v>0.35554069581978948</v>
      </c>
      <c r="E285" t="str">
        <f t="shared" si="9"/>
        <v>C</v>
      </c>
    </row>
    <row r="286" spans="1:5" x14ac:dyDescent="0.45">
      <c r="A286" s="25" t="s">
        <v>721</v>
      </c>
      <c r="B286" s="13">
        <v>25269.09</v>
      </c>
      <c r="C286">
        <f>SUM($B$4:B286)</f>
        <v>11306178.080970008</v>
      </c>
      <c r="D286" s="26">
        <f t="shared" si="8"/>
        <v>0.35633710237253485</v>
      </c>
      <c r="E286" t="str">
        <f t="shared" si="9"/>
        <v>C</v>
      </c>
    </row>
    <row r="287" spans="1:5" x14ac:dyDescent="0.45">
      <c r="A287" s="18" t="s">
        <v>1223</v>
      </c>
      <c r="B287" s="13">
        <v>25249.613219999999</v>
      </c>
      <c r="C287">
        <f>SUM($B$4:B287)</f>
        <v>11331427.694190009</v>
      </c>
      <c r="D287" s="26">
        <f t="shared" si="8"/>
        <v>0.35713289507510926</v>
      </c>
      <c r="E287" t="str">
        <f t="shared" si="9"/>
        <v>C</v>
      </c>
    </row>
    <row r="288" spans="1:5" x14ac:dyDescent="0.45">
      <c r="A288" s="25" t="s">
        <v>723</v>
      </c>
      <c r="B288" s="13">
        <v>25249.613219999999</v>
      </c>
      <c r="C288">
        <f>SUM($B$4:B288)</f>
        <v>11356677.307410009</v>
      </c>
      <c r="D288" s="26">
        <f t="shared" si="8"/>
        <v>0.35792868777768361</v>
      </c>
      <c r="E288" t="str">
        <f t="shared" si="9"/>
        <v>C</v>
      </c>
    </row>
    <row r="289" spans="1:5" x14ac:dyDescent="0.45">
      <c r="A289" s="18" t="s">
        <v>1343</v>
      </c>
      <c r="B289" s="13">
        <v>25174.028880000002</v>
      </c>
      <c r="C289">
        <f>SUM($B$4:B289)</f>
        <v>11381851.336290009</v>
      </c>
      <c r="D289" s="26">
        <f t="shared" si="8"/>
        <v>0.35872209828669022</v>
      </c>
      <c r="E289" t="str">
        <f t="shared" si="9"/>
        <v>C</v>
      </c>
    </row>
    <row r="290" spans="1:5" x14ac:dyDescent="0.45">
      <c r="A290" s="25" t="s">
        <v>722</v>
      </c>
      <c r="B290" s="13">
        <v>25174.028880000002</v>
      </c>
      <c r="C290">
        <f>SUM($B$4:B290)</f>
        <v>11407025.365170009</v>
      </c>
      <c r="D290" s="26">
        <f t="shared" si="8"/>
        <v>0.35951550879569683</v>
      </c>
      <c r="E290" t="str">
        <f t="shared" si="9"/>
        <v>C</v>
      </c>
    </row>
    <row r="291" spans="1:5" x14ac:dyDescent="0.45">
      <c r="A291" s="18" t="s">
        <v>1312</v>
      </c>
      <c r="B291" s="13">
        <v>25131.155999999999</v>
      </c>
      <c r="C291">
        <f>SUM($B$4:B291)</f>
        <v>11432156.521170009</v>
      </c>
      <c r="D291" s="26">
        <f t="shared" si="8"/>
        <v>0.36030756807905318</v>
      </c>
      <c r="E291" t="str">
        <f t="shared" si="9"/>
        <v>C</v>
      </c>
    </row>
    <row r="292" spans="1:5" x14ac:dyDescent="0.45">
      <c r="A292" s="25" t="s">
        <v>721</v>
      </c>
      <c r="B292" s="13">
        <v>25131.155999999999</v>
      </c>
      <c r="C292">
        <f>SUM($B$4:B292)</f>
        <v>11457287.677170008</v>
      </c>
      <c r="D292" s="26">
        <f t="shared" si="8"/>
        <v>0.36109962736240947</v>
      </c>
      <c r="E292" t="str">
        <f t="shared" si="9"/>
        <v>C</v>
      </c>
    </row>
    <row r="293" spans="1:5" x14ac:dyDescent="0.45">
      <c r="A293" s="18" t="s">
        <v>1293</v>
      </c>
      <c r="B293" s="13">
        <v>25079.480689999997</v>
      </c>
      <c r="C293">
        <f>SUM($B$4:B293)</f>
        <v>11482367.157860009</v>
      </c>
      <c r="D293" s="26">
        <f t="shared" si="8"/>
        <v>0.36189005799370516</v>
      </c>
      <c r="E293" t="str">
        <f t="shared" si="9"/>
        <v>C</v>
      </c>
    </row>
    <row r="294" spans="1:5" x14ac:dyDescent="0.45">
      <c r="A294" s="25" t="s">
        <v>726</v>
      </c>
      <c r="B294" s="13">
        <v>25079.480689999997</v>
      </c>
      <c r="C294">
        <f>SUM($B$4:B294)</f>
        <v>11507446.63855001</v>
      </c>
      <c r="D294" s="26">
        <f t="shared" si="8"/>
        <v>0.36268048862500085</v>
      </c>
      <c r="E294" t="str">
        <f t="shared" si="9"/>
        <v>C</v>
      </c>
    </row>
    <row r="295" spans="1:5" x14ac:dyDescent="0.45">
      <c r="A295" s="18" t="s">
        <v>752</v>
      </c>
      <c r="B295" s="13">
        <v>24894.430559999997</v>
      </c>
      <c r="C295">
        <f>SUM($B$4:B295)</f>
        <v>11532341.06911001</v>
      </c>
      <c r="D295" s="26">
        <f t="shared" si="8"/>
        <v>0.36346508702663899</v>
      </c>
      <c r="E295" t="str">
        <f t="shared" si="9"/>
        <v>C</v>
      </c>
    </row>
    <row r="296" spans="1:5" x14ac:dyDescent="0.45">
      <c r="A296" s="25" t="s">
        <v>721</v>
      </c>
      <c r="B296" s="13">
        <v>24894.430559999997</v>
      </c>
      <c r="C296">
        <f>SUM($B$4:B296)</f>
        <v>11557235.49967001</v>
      </c>
      <c r="D296" s="26">
        <f t="shared" si="8"/>
        <v>0.36424968542827707</v>
      </c>
      <c r="E296" t="str">
        <f t="shared" si="9"/>
        <v>C</v>
      </c>
    </row>
    <row r="297" spans="1:5" x14ac:dyDescent="0.45">
      <c r="A297" s="18" t="s">
        <v>843</v>
      </c>
      <c r="B297" s="13">
        <v>24523.006720000001</v>
      </c>
      <c r="C297">
        <f>SUM($B$4:B297)</f>
        <v>11581758.506390011</v>
      </c>
      <c r="D297" s="26">
        <f t="shared" si="8"/>
        <v>0.36502257765529544</v>
      </c>
      <c r="E297" t="str">
        <f t="shared" si="9"/>
        <v>C</v>
      </c>
    </row>
    <row r="298" spans="1:5" x14ac:dyDescent="0.45">
      <c r="A298" s="25" t="s">
        <v>726</v>
      </c>
      <c r="B298" s="13">
        <v>24523.006720000001</v>
      </c>
      <c r="C298">
        <f>SUM($B$4:B298)</f>
        <v>11606281.513110012</v>
      </c>
      <c r="D298" s="26">
        <f t="shared" si="8"/>
        <v>0.36579546988231382</v>
      </c>
      <c r="E298" t="str">
        <f t="shared" si="9"/>
        <v>C</v>
      </c>
    </row>
    <row r="299" spans="1:5" x14ac:dyDescent="0.45">
      <c r="A299" s="18" t="s">
        <v>919</v>
      </c>
      <c r="B299" s="13">
        <v>24374.594880000001</v>
      </c>
      <c r="C299">
        <f>SUM($B$4:B299)</f>
        <v>11630656.107990012</v>
      </c>
      <c r="D299" s="26">
        <f t="shared" si="8"/>
        <v>0.3665636846095931</v>
      </c>
      <c r="E299" t="str">
        <f t="shared" si="9"/>
        <v>C</v>
      </c>
    </row>
    <row r="300" spans="1:5" x14ac:dyDescent="0.45">
      <c r="A300" s="25" t="s">
        <v>725</v>
      </c>
      <c r="B300" s="13">
        <v>24374.594880000001</v>
      </c>
      <c r="C300">
        <f>SUM($B$4:B300)</f>
        <v>11655030.702870011</v>
      </c>
      <c r="D300" s="26">
        <f t="shared" si="8"/>
        <v>0.36733189933687244</v>
      </c>
      <c r="E300" t="str">
        <f t="shared" si="9"/>
        <v>C</v>
      </c>
    </row>
    <row r="301" spans="1:5" x14ac:dyDescent="0.45">
      <c r="A301" s="18" t="s">
        <v>1185</v>
      </c>
      <c r="B301" s="13">
        <v>24321.57</v>
      </c>
      <c r="C301">
        <f>SUM($B$4:B301)</f>
        <v>11679352.272870012</v>
      </c>
      <c r="D301" s="26">
        <f t="shared" si="8"/>
        <v>0.36809844287765903</v>
      </c>
      <c r="E301" t="str">
        <f t="shared" si="9"/>
        <v>C</v>
      </c>
    </row>
    <row r="302" spans="1:5" x14ac:dyDescent="0.45">
      <c r="A302" s="25" t="s">
        <v>721</v>
      </c>
      <c r="B302" s="13">
        <v>24321.57</v>
      </c>
      <c r="C302">
        <f>SUM($B$4:B302)</f>
        <v>11703673.842870012</v>
      </c>
      <c r="D302" s="26">
        <f t="shared" si="8"/>
        <v>0.36886498641844567</v>
      </c>
      <c r="E302" t="str">
        <f t="shared" si="9"/>
        <v>C</v>
      </c>
    </row>
    <row r="303" spans="1:5" x14ac:dyDescent="0.45">
      <c r="A303" s="18" t="s">
        <v>1164</v>
      </c>
      <c r="B303" s="13">
        <v>24278.849280000002</v>
      </c>
      <c r="C303">
        <f>SUM($B$4:B303)</f>
        <v>11727952.692150012</v>
      </c>
      <c r="D303" s="26">
        <f t="shared" si="8"/>
        <v>0.36963018352921262</v>
      </c>
      <c r="E303" t="str">
        <f t="shared" si="9"/>
        <v>C</v>
      </c>
    </row>
    <row r="304" spans="1:5" x14ac:dyDescent="0.45">
      <c r="A304" s="25" t="s">
        <v>727</v>
      </c>
      <c r="B304" s="13">
        <v>24278.849280000002</v>
      </c>
      <c r="C304">
        <f>SUM($B$4:B304)</f>
        <v>11752231.541430011</v>
      </c>
      <c r="D304" s="26">
        <f t="shared" si="8"/>
        <v>0.37039538063997951</v>
      </c>
      <c r="E304" t="str">
        <f t="shared" si="9"/>
        <v>C</v>
      </c>
    </row>
    <row r="305" spans="1:5" x14ac:dyDescent="0.45">
      <c r="A305" s="18" t="s">
        <v>940</v>
      </c>
      <c r="B305" s="13">
        <v>24223.05</v>
      </c>
      <c r="C305">
        <f>SUM($B$4:B305)</f>
        <v>11776454.591430012</v>
      </c>
      <c r="D305" s="26">
        <f t="shared" si="8"/>
        <v>0.37115881912341836</v>
      </c>
      <c r="E305" t="str">
        <f t="shared" si="9"/>
        <v>C</v>
      </c>
    </row>
    <row r="306" spans="1:5" x14ac:dyDescent="0.45">
      <c r="A306" s="25" t="s">
        <v>724</v>
      </c>
      <c r="B306" s="13">
        <v>24223.05</v>
      </c>
      <c r="C306">
        <f>SUM($B$4:B306)</f>
        <v>11800677.641430013</v>
      </c>
      <c r="D306" s="26">
        <f t="shared" si="8"/>
        <v>0.37192225760685721</v>
      </c>
      <c r="E306" t="str">
        <f t="shared" si="9"/>
        <v>C</v>
      </c>
    </row>
    <row r="307" spans="1:5" x14ac:dyDescent="0.45">
      <c r="A307" s="18" t="s">
        <v>982</v>
      </c>
      <c r="B307" s="13">
        <v>24161.205600000001</v>
      </c>
      <c r="C307">
        <f>SUM($B$4:B307)</f>
        <v>11824838.847030014</v>
      </c>
      <c r="D307" s="26">
        <f t="shared" si="8"/>
        <v>0.37268374693876705</v>
      </c>
      <c r="E307" t="str">
        <f t="shared" si="9"/>
        <v>C</v>
      </c>
    </row>
    <row r="308" spans="1:5" x14ac:dyDescent="0.45">
      <c r="A308" s="25" t="s">
        <v>725</v>
      </c>
      <c r="B308" s="13">
        <v>24161.205600000001</v>
      </c>
      <c r="C308">
        <f>SUM($B$4:B308)</f>
        <v>11849000.052630015</v>
      </c>
      <c r="D308" s="26">
        <f t="shared" si="8"/>
        <v>0.37344523627067688</v>
      </c>
      <c r="E308" t="str">
        <f t="shared" si="9"/>
        <v>C</v>
      </c>
    </row>
    <row r="309" spans="1:5" x14ac:dyDescent="0.45">
      <c r="A309" s="18" t="s">
        <v>885</v>
      </c>
      <c r="B309" s="13">
        <v>24147.922500000001</v>
      </c>
      <c r="C309">
        <f>SUM($B$4:B309)</f>
        <v>11873147.975130014</v>
      </c>
      <c r="D309" s="26">
        <f t="shared" si="8"/>
        <v>0.37420630695878582</v>
      </c>
      <c r="E309" t="str">
        <f t="shared" si="9"/>
        <v>C</v>
      </c>
    </row>
    <row r="310" spans="1:5" x14ac:dyDescent="0.45">
      <c r="A310" s="25" t="s">
        <v>721</v>
      </c>
      <c r="B310" s="13">
        <v>24147.922500000001</v>
      </c>
      <c r="C310">
        <f>SUM($B$4:B310)</f>
        <v>11897295.897630014</v>
      </c>
      <c r="D310" s="26">
        <f t="shared" si="8"/>
        <v>0.37496737764689481</v>
      </c>
      <c r="E310" t="str">
        <f t="shared" si="9"/>
        <v>C</v>
      </c>
    </row>
    <row r="311" spans="1:5" x14ac:dyDescent="0.45">
      <c r="A311" s="18" t="s">
        <v>748</v>
      </c>
      <c r="B311" s="13">
        <v>23782.310720000001</v>
      </c>
      <c r="C311">
        <f>SUM($B$4:B311)</f>
        <v>11921078.208350014</v>
      </c>
      <c r="D311" s="26">
        <f t="shared" si="8"/>
        <v>0.37571692533922701</v>
      </c>
      <c r="E311" t="str">
        <f t="shared" si="9"/>
        <v>C</v>
      </c>
    </row>
    <row r="312" spans="1:5" x14ac:dyDescent="0.45">
      <c r="A312" s="25" t="s">
        <v>725</v>
      </c>
      <c r="B312" s="13">
        <v>23782.310720000001</v>
      </c>
      <c r="C312">
        <f>SUM($B$4:B312)</f>
        <v>11944860.519070014</v>
      </c>
      <c r="D312" s="26">
        <f t="shared" si="8"/>
        <v>0.37646647303155922</v>
      </c>
      <c r="E312" t="str">
        <f t="shared" si="9"/>
        <v>C</v>
      </c>
    </row>
    <row r="313" spans="1:5" x14ac:dyDescent="0.45">
      <c r="A313" s="18" t="s">
        <v>1178</v>
      </c>
      <c r="B313" s="13">
        <v>23694.405119999999</v>
      </c>
      <c r="C313">
        <f>SUM($B$4:B313)</f>
        <v>11968554.924190015</v>
      </c>
      <c r="D313" s="26">
        <f t="shared" si="8"/>
        <v>0.37721325020085866</v>
      </c>
      <c r="E313" t="str">
        <f t="shared" si="9"/>
        <v>C</v>
      </c>
    </row>
    <row r="314" spans="1:5" x14ac:dyDescent="0.45">
      <c r="A314" s="25" t="s">
        <v>721</v>
      </c>
      <c r="B314" s="13">
        <v>23694.405119999999</v>
      </c>
      <c r="C314">
        <f>SUM($B$4:B314)</f>
        <v>11992249.329310015</v>
      </c>
      <c r="D314" s="26">
        <f t="shared" si="8"/>
        <v>0.37796002737015805</v>
      </c>
      <c r="E314" t="str">
        <f t="shared" si="9"/>
        <v>C</v>
      </c>
    </row>
    <row r="315" spans="1:5" x14ac:dyDescent="0.45">
      <c r="A315" s="18" t="s">
        <v>835</v>
      </c>
      <c r="B315" s="13">
        <v>23687.524440000001</v>
      </c>
      <c r="C315">
        <f>SUM($B$4:B315)</f>
        <v>12015936.853750015</v>
      </c>
      <c r="D315" s="26">
        <f t="shared" si="8"/>
        <v>0.37870658768089077</v>
      </c>
      <c r="E315" t="str">
        <f t="shared" si="9"/>
        <v>C</v>
      </c>
    </row>
    <row r="316" spans="1:5" x14ac:dyDescent="0.45">
      <c r="A316" s="25" t="s">
        <v>724</v>
      </c>
      <c r="B316" s="13">
        <v>23687.524440000001</v>
      </c>
      <c r="C316">
        <f>SUM($B$4:B316)</f>
        <v>12039624.378190015</v>
      </c>
      <c r="D316" s="26">
        <f t="shared" si="8"/>
        <v>0.37945314799162344</v>
      </c>
      <c r="E316" t="str">
        <f t="shared" si="9"/>
        <v>C</v>
      </c>
    </row>
    <row r="317" spans="1:5" x14ac:dyDescent="0.45">
      <c r="A317" s="18" t="s">
        <v>1135</v>
      </c>
      <c r="B317" s="13">
        <v>23668.560000000001</v>
      </c>
      <c r="C317">
        <f>SUM($B$4:B317)</f>
        <v>12063292.938190015</v>
      </c>
      <c r="D317" s="26">
        <f t="shared" si="8"/>
        <v>0.38019911059961797</v>
      </c>
      <c r="E317" t="str">
        <f t="shared" si="9"/>
        <v>C</v>
      </c>
    </row>
    <row r="318" spans="1:5" x14ac:dyDescent="0.45">
      <c r="A318" s="25" t="s">
        <v>727</v>
      </c>
      <c r="B318" s="13">
        <v>23668.560000000001</v>
      </c>
      <c r="C318">
        <f>SUM($B$4:B318)</f>
        <v>12086961.498190016</v>
      </c>
      <c r="D318" s="26">
        <f t="shared" si="8"/>
        <v>0.38094507320761245</v>
      </c>
      <c r="E318" t="str">
        <f t="shared" si="9"/>
        <v>C</v>
      </c>
    </row>
    <row r="319" spans="1:5" x14ac:dyDescent="0.45">
      <c r="A319" s="18" t="s">
        <v>1019</v>
      </c>
      <c r="B319" s="13">
        <v>23375.594060000003</v>
      </c>
      <c r="C319">
        <f>SUM($B$4:B319)</f>
        <v>12110337.092250016</v>
      </c>
      <c r="D319" s="26">
        <f t="shared" si="8"/>
        <v>0.38168180240061861</v>
      </c>
      <c r="E319" t="str">
        <f t="shared" si="9"/>
        <v>C</v>
      </c>
    </row>
    <row r="320" spans="1:5" x14ac:dyDescent="0.45">
      <c r="A320" s="25" t="s">
        <v>727</v>
      </c>
      <c r="B320" s="13">
        <v>23375.594060000003</v>
      </c>
      <c r="C320">
        <f>SUM($B$4:B320)</f>
        <v>12133712.686310016</v>
      </c>
      <c r="D320" s="26">
        <f t="shared" si="8"/>
        <v>0.38241853159362482</v>
      </c>
      <c r="E320" t="str">
        <f t="shared" si="9"/>
        <v>C</v>
      </c>
    </row>
    <row r="321" spans="1:5" x14ac:dyDescent="0.45">
      <c r="A321" s="18" t="s">
        <v>1082</v>
      </c>
      <c r="B321" s="13">
        <v>23195.01828</v>
      </c>
      <c r="C321">
        <f>SUM($B$4:B321)</f>
        <v>12156907.704590015</v>
      </c>
      <c r="D321" s="26">
        <f t="shared" si="8"/>
        <v>0.38314956957517621</v>
      </c>
      <c r="E321" t="str">
        <f t="shared" si="9"/>
        <v>C</v>
      </c>
    </row>
    <row r="322" spans="1:5" x14ac:dyDescent="0.45">
      <c r="A322" s="25" t="s">
        <v>727</v>
      </c>
      <c r="B322" s="13">
        <v>23195.01828</v>
      </c>
      <c r="C322">
        <f>SUM($B$4:B322)</f>
        <v>12180102.722870015</v>
      </c>
      <c r="D322" s="26">
        <f t="shared" si="8"/>
        <v>0.38388060755672759</v>
      </c>
      <c r="E322" t="str">
        <f t="shared" si="9"/>
        <v>C</v>
      </c>
    </row>
    <row r="323" spans="1:5" x14ac:dyDescent="0.45">
      <c r="A323" s="18" t="s">
        <v>1180</v>
      </c>
      <c r="B323" s="13">
        <v>23132.398349999996</v>
      </c>
      <c r="C323">
        <f>SUM($B$4:B323)</f>
        <v>12203235.121220015</v>
      </c>
      <c r="D323" s="26">
        <f t="shared" si="8"/>
        <v>0.38460967194435125</v>
      </c>
      <c r="E323" t="str">
        <f t="shared" si="9"/>
        <v>C</v>
      </c>
    </row>
    <row r="324" spans="1:5" x14ac:dyDescent="0.45">
      <c r="A324" s="25" t="s">
        <v>726</v>
      </c>
      <c r="B324" s="13">
        <v>23132.398349999996</v>
      </c>
      <c r="C324">
        <f>SUM($B$4:B324)</f>
        <v>12226367.519570015</v>
      </c>
      <c r="D324" s="26">
        <f t="shared" si="8"/>
        <v>0.38533873633197491</v>
      </c>
      <c r="E324" t="str">
        <f t="shared" si="9"/>
        <v>C</v>
      </c>
    </row>
    <row r="325" spans="1:5" x14ac:dyDescent="0.45">
      <c r="A325" s="18" t="s">
        <v>849</v>
      </c>
      <c r="B325" s="13">
        <v>22983.34563</v>
      </c>
      <c r="C325">
        <f>SUM($B$4:B325)</f>
        <v>12249350.865200015</v>
      </c>
      <c r="D325" s="26">
        <f t="shared" ref="D325:D388" si="10">C325/SUM($B$4:$B$1255)</f>
        <v>0.3860631030212282</v>
      </c>
      <c r="E325" t="str">
        <f t="shared" ref="E325:E388" si="11">IF(D325&gt;=0.8,"A",IF(D325&gt;=0.95,"B","C"))</f>
        <v>C</v>
      </c>
    </row>
    <row r="326" spans="1:5" x14ac:dyDescent="0.45">
      <c r="A326" s="25" t="s">
        <v>726</v>
      </c>
      <c r="B326" s="13">
        <v>22983.34563</v>
      </c>
      <c r="C326">
        <f>SUM($B$4:B326)</f>
        <v>12272334.210830014</v>
      </c>
      <c r="D326" s="26">
        <f t="shared" si="10"/>
        <v>0.3867874697104815</v>
      </c>
      <c r="E326" t="str">
        <f t="shared" si="11"/>
        <v>C</v>
      </c>
    </row>
    <row r="327" spans="1:5" x14ac:dyDescent="0.45">
      <c r="A327" s="18" t="s">
        <v>987</v>
      </c>
      <c r="B327" s="13">
        <v>22882.675440000003</v>
      </c>
      <c r="C327">
        <f>SUM($B$4:B327)</f>
        <v>12295216.886270015</v>
      </c>
      <c r="D327" s="26">
        <f t="shared" si="10"/>
        <v>0.38750866357479408</v>
      </c>
      <c r="E327" t="str">
        <f t="shared" si="11"/>
        <v>C</v>
      </c>
    </row>
    <row r="328" spans="1:5" x14ac:dyDescent="0.45">
      <c r="A328" s="25" t="s">
        <v>721</v>
      </c>
      <c r="B328" s="13">
        <v>22882.675440000003</v>
      </c>
      <c r="C328">
        <f>SUM($B$4:B328)</f>
        <v>12318099.561710015</v>
      </c>
      <c r="D328" s="26">
        <f t="shared" si="10"/>
        <v>0.38822985743910665</v>
      </c>
      <c r="E328" t="str">
        <f t="shared" si="11"/>
        <v>C</v>
      </c>
    </row>
    <row r="329" spans="1:5" x14ac:dyDescent="0.45">
      <c r="A329" s="18" t="s">
        <v>1310</v>
      </c>
      <c r="B329" s="13">
        <v>22676.312610000001</v>
      </c>
      <c r="C329">
        <f>SUM($B$4:B329)</f>
        <v>12340775.874320015</v>
      </c>
      <c r="D329" s="26">
        <f t="shared" si="10"/>
        <v>0.38894454736085321</v>
      </c>
      <c r="E329" t="str">
        <f t="shared" si="11"/>
        <v>C</v>
      </c>
    </row>
    <row r="330" spans="1:5" x14ac:dyDescent="0.45">
      <c r="A330" s="25" t="s">
        <v>724</v>
      </c>
      <c r="B330" s="13">
        <v>22676.312610000001</v>
      </c>
      <c r="C330">
        <f>SUM($B$4:B330)</f>
        <v>12363452.186930016</v>
      </c>
      <c r="D330" s="26">
        <f t="shared" si="10"/>
        <v>0.38965923728259982</v>
      </c>
      <c r="E330" t="str">
        <f t="shared" si="11"/>
        <v>C</v>
      </c>
    </row>
    <row r="331" spans="1:5" x14ac:dyDescent="0.45">
      <c r="A331" s="18" t="s">
        <v>1205</v>
      </c>
      <c r="B331" s="13">
        <v>22620.859800000002</v>
      </c>
      <c r="C331">
        <f>SUM($B$4:B331)</f>
        <v>12386073.046730015</v>
      </c>
      <c r="D331" s="26">
        <f t="shared" si="10"/>
        <v>0.39037217949672204</v>
      </c>
      <c r="E331" t="str">
        <f t="shared" si="11"/>
        <v>C</v>
      </c>
    </row>
    <row r="332" spans="1:5" x14ac:dyDescent="0.45">
      <c r="A332" s="25" t="s">
        <v>727</v>
      </c>
      <c r="B332" s="13">
        <v>22620.859800000002</v>
      </c>
      <c r="C332">
        <f>SUM($B$4:B332)</f>
        <v>12408693.906530015</v>
      </c>
      <c r="D332" s="26">
        <f t="shared" si="10"/>
        <v>0.39108512171084431</v>
      </c>
      <c r="E332" t="str">
        <f t="shared" si="11"/>
        <v>C</v>
      </c>
    </row>
    <row r="333" spans="1:5" x14ac:dyDescent="0.45">
      <c r="A333" s="18" t="s">
        <v>1248</v>
      </c>
      <c r="B333" s="13">
        <v>22526.66</v>
      </c>
      <c r="C333">
        <f>SUM($B$4:B333)</f>
        <v>12431220.566530015</v>
      </c>
      <c r="D333" s="26">
        <f t="shared" si="10"/>
        <v>0.39179509502747217</v>
      </c>
      <c r="E333" t="str">
        <f t="shared" si="11"/>
        <v>C</v>
      </c>
    </row>
    <row r="334" spans="1:5" x14ac:dyDescent="0.45">
      <c r="A334" s="25" t="s">
        <v>727</v>
      </c>
      <c r="B334" s="13">
        <v>22526.66</v>
      </c>
      <c r="C334">
        <f>SUM($B$4:B334)</f>
        <v>12453747.226530015</v>
      </c>
      <c r="D334" s="26">
        <f t="shared" si="10"/>
        <v>0.39250506834409998</v>
      </c>
      <c r="E334" t="str">
        <f t="shared" si="11"/>
        <v>C</v>
      </c>
    </row>
    <row r="335" spans="1:5" x14ac:dyDescent="0.45">
      <c r="A335" s="18" t="s">
        <v>1132</v>
      </c>
      <c r="B335" s="13">
        <v>22457.143800000002</v>
      </c>
      <c r="C335">
        <f>SUM($B$4:B335)</f>
        <v>12476204.370330015</v>
      </c>
      <c r="D335" s="26">
        <f t="shared" si="10"/>
        <v>0.39321285071688294</v>
      </c>
      <c r="E335" t="str">
        <f t="shared" si="11"/>
        <v>C</v>
      </c>
    </row>
    <row r="336" spans="1:5" x14ac:dyDescent="0.45">
      <c r="A336" s="25" t="s">
        <v>722</v>
      </c>
      <c r="B336" s="13">
        <v>22457.143800000002</v>
      </c>
      <c r="C336">
        <f>SUM($B$4:B336)</f>
        <v>12498661.514130015</v>
      </c>
      <c r="D336" s="26">
        <f t="shared" si="10"/>
        <v>0.39392063308966585</v>
      </c>
      <c r="E336" t="str">
        <f t="shared" si="11"/>
        <v>C</v>
      </c>
    </row>
    <row r="337" spans="1:5" x14ac:dyDescent="0.45">
      <c r="A337" s="18" t="s">
        <v>1047</v>
      </c>
      <c r="B337" s="13">
        <v>22380.204000000002</v>
      </c>
      <c r="C337">
        <f>SUM($B$4:B337)</f>
        <v>12521041.718130015</v>
      </c>
      <c r="D337" s="26">
        <f t="shared" si="10"/>
        <v>0.3946259905488137</v>
      </c>
      <c r="E337" t="str">
        <f t="shared" si="11"/>
        <v>C</v>
      </c>
    </row>
    <row r="338" spans="1:5" x14ac:dyDescent="0.45">
      <c r="A338" s="25" t="s">
        <v>724</v>
      </c>
      <c r="B338" s="13">
        <v>22380.204000000002</v>
      </c>
      <c r="C338">
        <f>SUM($B$4:B338)</f>
        <v>12543421.922130015</v>
      </c>
      <c r="D338" s="26">
        <f t="shared" si="10"/>
        <v>0.39533134800796155</v>
      </c>
      <c r="E338" t="str">
        <f t="shared" si="11"/>
        <v>C</v>
      </c>
    </row>
    <row r="339" spans="1:5" x14ac:dyDescent="0.45">
      <c r="A339" s="18" t="s">
        <v>1242</v>
      </c>
      <c r="B339" s="13">
        <v>22201.762229999997</v>
      </c>
      <c r="C339">
        <f>SUM($B$4:B339)</f>
        <v>12565623.684360014</v>
      </c>
      <c r="D339" s="26">
        <f t="shared" si="10"/>
        <v>0.39603108151330213</v>
      </c>
      <c r="E339" t="str">
        <f t="shared" si="11"/>
        <v>C</v>
      </c>
    </row>
    <row r="340" spans="1:5" x14ac:dyDescent="0.45">
      <c r="A340" s="25" t="s">
        <v>722</v>
      </c>
      <c r="B340" s="13">
        <v>22201.762229999997</v>
      </c>
      <c r="C340">
        <f>SUM($B$4:B340)</f>
        <v>12587825.446590014</v>
      </c>
      <c r="D340" s="26">
        <f t="shared" si="10"/>
        <v>0.39673081501864271</v>
      </c>
      <c r="E340" t="str">
        <f t="shared" si="11"/>
        <v>C</v>
      </c>
    </row>
    <row r="341" spans="1:5" x14ac:dyDescent="0.45">
      <c r="A341" s="18" t="s">
        <v>1111</v>
      </c>
      <c r="B341" s="13">
        <v>22064.910300000003</v>
      </c>
      <c r="C341">
        <f>SUM($B$4:B341)</f>
        <v>12609890.356890013</v>
      </c>
      <c r="D341" s="26">
        <f t="shared" si="10"/>
        <v>0.39742623535822197</v>
      </c>
      <c r="E341" t="str">
        <f t="shared" si="11"/>
        <v>C</v>
      </c>
    </row>
    <row r="342" spans="1:5" x14ac:dyDescent="0.45">
      <c r="A342" s="25" t="s">
        <v>725</v>
      </c>
      <c r="B342" s="13">
        <v>22064.910300000003</v>
      </c>
      <c r="C342">
        <f>SUM($B$4:B342)</f>
        <v>12631955.267190013</v>
      </c>
      <c r="D342" s="26">
        <f t="shared" si="10"/>
        <v>0.39812165569780128</v>
      </c>
      <c r="E342" t="str">
        <f t="shared" si="11"/>
        <v>C</v>
      </c>
    </row>
    <row r="343" spans="1:5" x14ac:dyDescent="0.45">
      <c r="A343" s="18" t="s">
        <v>888</v>
      </c>
      <c r="B343" s="13">
        <v>22044.871499999997</v>
      </c>
      <c r="C343">
        <f>SUM($B$4:B343)</f>
        <v>12654000.138690013</v>
      </c>
      <c r="D343" s="26">
        <f t="shared" si="10"/>
        <v>0.39881644447401088</v>
      </c>
      <c r="E343" t="str">
        <f t="shared" si="11"/>
        <v>C</v>
      </c>
    </row>
    <row r="344" spans="1:5" x14ac:dyDescent="0.45">
      <c r="A344" s="25" t="s">
        <v>726</v>
      </c>
      <c r="B344" s="13">
        <v>22044.871499999997</v>
      </c>
      <c r="C344">
        <f>SUM($B$4:B344)</f>
        <v>12676045.010190014</v>
      </c>
      <c r="D344" s="26">
        <f t="shared" si="10"/>
        <v>0.39951123325022048</v>
      </c>
      <c r="E344" t="str">
        <f t="shared" si="11"/>
        <v>C</v>
      </c>
    </row>
    <row r="345" spans="1:5" x14ac:dyDescent="0.45">
      <c r="A345" s="18" t="s">
        <v>1210</v>
      </c>
      <c r="B345" s="13">
        <v>21908.731650000002</v>
      </c>
      <c r="C345">
        <f>SUM($B$4:B345)</f>
        <v>12697953.741840014</v>
      </c>
      <c r="D345" s="26">
        <f t="shared" si="10"/>
        <v>0.40020173130331221</v>
      </c>
      <c r="E345" t="str">
        <f t="shared" si="11"/>
        <v>C</v>
      </c>
    </row>
    <row r="346" spans="1:5" x14ac:dyDescent="0.45">
      <c r="A346" s="25" t="s">
        <v>723</v>
      </c>
      <c r="B346" s="13">
        <v>21908.731650000002</v>
      </c>
      <c r="C346">
        <f>SUM($B$4:B346)</f>
        <v>12719862.473490015</v>
      </c>
      <c r="D346" s="26">
        <f t="shared" si="10"/>
        <v>0.40089222935640401</v>
      </c>
      <c r="E346" t="str">
        <f t="shared" si="11"/>
        <v>C</v>
      </c>
    </row>
    <row r="347" spans="1:5" x14ac:dyDescent="0.45">
      <c r="A347" s="18" t="s">
        <v>806</v>
      </c>
      <c r="B347" s="13">
        <v>21787.936199999996</v>
      </c>
      <c r="C347">
        <f>SUM($B$4:B347)</f>
        <v>12741650.409690015</v>
      </c>
      <c r="D347" s="26">
        <f t="shared" si="10"/>
        <v>0.40157892029622333</v>
      </c>
      <c r="E347" t="str">
        <f t="shared" si="11"/>
        <v>C</v>
      </c>
    </row>
    <row r="348" spans="1:5" x14ac:dyDescent="0.45">
      <c r="A348" s="25" t="s">
        <v>721</v>
      </c>
      <c r="B348" s="13">
        <v>21787.936199999996</v>
      </c>
      <c r="C348">
        <f>SUM($B$4:B348)</f>
        <v>12763438.345890015</v>
      </c>
      <c r="D348" s="26">
        <f t="shared" si="10"/>
        <v>0.4022656112360426</v>
      </c>
      <c r="E348" t="str">
        <f t="shared" si="11"/>
        <v>C</v>
      </c>
    </row>
    <row r="349" spans="1:5" x14ac:dyDescent="0.45">
      <c r="A349" s="18" t="s">
        <v>923</v>
      </c>
      <c r="B349" s="13">
        <v>21679.749799999998</v>
      </c>
      <c r="C349">
        <f>SUM($B$4:B349)</f>
        <v>12785118.095690016</v>
      </c>
      <c r="D349" s="26">
        <f t="shared" si="10"/>
        <v>0.40294889246233928</v>
      </c>
      <c r="E349" t="str">
        <f t="shared" si="11"/>
        <v>C</v>
      </c>
    </row>
    <row r="350" spans="1:5" x14ac:dyDescent="0.45">
      <c r="A350" s="25" t="s">
        <v>724</v>
      </c>
      <c r="B350" s="13">
        <v>21679.749799999998</v>
      </c>
      <c r="C350">
        <f>SUM($B$4:B350)</f>
        <v>12806797.845490016</v>
      </c>
      <c r="D350" s="26">
        <f t="shared" si="10"/>
        <v>0.40363217368863596</v>
      </c>
      <c r="E350" t="str">
        <f t="shared" si="11"/>
        <v>C</v>
      </c>
    </row>
    <row r="351" spans="1:5" x14ac:dyDescent="0.45">
      <c r="A351" s="18" t="s">
        <v>1170</v>
      </c>
      <c r="B351" s="13">
        <v>21664.440000000002</v>
      </c>
      <c r="C351">
        <f>SUM($B$4:B351)</f>
        <v>12828462.285490016</v>
      </c>
      <c r="D351" s="26">
        <f t="shared" si="10"/>
        <v>0.40431497239557629</v>
      </c>
      <c r="E351" t="str">
        <f t="shared" si="11"/>
        <v>C</v>
      </c>
    </row>
    <row r="352" spans="1:5" x14ac:dyDescent="0.45">
      <c r="A352" s="25" t="s">
        <v>722</v>
      </c>
      <c r="B352" s="13">
        <v>21664.440000000002</v>
      </c>
      <c r="C352">
        <f>SUM($B$4:B352)</f>
        <v>12850126.725490015</v>
      </c>
      <c r="D352" s="26">
        <f t="shared" si="10"/>
        <v>0.40499777110251661</v>
      </c>
      <c r="E352" t="str">
        <f t="shared" si="11"/>
        <v>C</v>
      </c>
    </row>
    <row r="353" spans="1:5" x14ac:dyDescent="0.45">
      <c r="A353" s="18" t="s">
        <v>741</v>
      </c>
      <c r="B353" s="13">
        <v>21585.15</v>
      </c>
      <c r="C353">
        <f>SUM($B$4:B353)</f>
        <v>12871711.875490015</v>
      </c>
      <c r="D353" s="26">
        <f t="shared" si="10"/>
        <v>0.40567807082450869</v>
      </c>
      <c r="E353" t="str">
        <f t="shared" si="11"/>
        <v>C</v>
      </c>
    </row>
    <row r="354" spans="1:5" x14ac:dyDescent="0.45">
      <c r="A354" s="25" t="s">
        <v>722</v>
      </c>
      <c r="B354" s="13">
        <v>21585.15</v>
      </c>
      <c r="C354">
        <f>SUM($B$4:B354)</f>
        <v>12893297.025490016</v>
      </c>
      <c r="D354" s="26">
        <f t="shared" si="10"/>
        <v>0.40635837054650076</v>
      </c>
      <c r="E354" t="str">
        <f t="shared" si="11"/>
        <v>C</v>
      </c>
    </row>
    <row r="355" spans="1:5" x14ac:dyDescent="0.45">
      <c r="A355" s="18" t="s">
        <v>1092</v>
      </c>
      <c r="B355" s="13">
        <v>21584.693520000001</v>
      </c>
      <c r="C355">
        <f>SUM($B$4:B355)</f>
        <v>12914881.719010016</v>
      </c>
      <c r="D355" s="26">
        <f t="shared" si="10"/>
        <v>0.40703865588160104</v>
      </c>
      <c r="E355" t="str">
        <f t="shared" si="11"/>
        <v>C</v>
      </c>
    </row>
    <row r="356" spans="1:5" x14ac:dyDescent="0.45">
      <c r="A356" s="25" t="s">
        <v>721</v>
      </c>
      <c r="B356" s="13">
        <v>21584.693520000001</v>
      </c>
      <c r="C356">
        <f>SUM($B$4:B356)</f>
        <v>12936466.412530016</v>
      </c>
      <c r="D356" s="26">
        <f t="shared" si="10"/>
        <v>0.40771894121670127</v>
      </c>
      <c r="E356" t="str">
        <f t="shared" si="11"/>
        <v>C</v>
      </c>
    </row>
    <row r="357" spans="1:5" x14ac:dyDescent="0.45">
      <c r="A357" s="18" t="s">
        <v>952</v>
      </c>
      <c r="B357" s="13">
        <v>21573.6495</v>
      </c>
      <c r="C357">
        <f>SUM($B$4:B357)</f>
        <v>12958040.062030016</v>
      </c>
      <c r="D357" s="26">
        <f t="shared" si="10"/>
        <v>0.40839887847714207</v>
      </c>
      <c r="E357" t="str">
        <f t="shared" si="11"/>
        <v>C</v>
      </c>
    </row>
    <row r="358" spans="1:5" x14ac:dyDescent="0.45">
      <c r="A358" s="25" t="s">
        <v>724</v>
      </c>
      <c r="B358" s="13">
        <v>21573.6495</v>
      </c>
      <c r="C358">
        <f>SUM($B$4:B358)</f>
        <v>12979613.711530015</v>
      </c>
      <c r="D358" s="26">
        <f t="shared" si="10"/>
        <v>0.40907881573758287</v>
      </c>
      <c r="E358" t="str">
        <f t="shared" si="11"/>
        <v>C</v>
      </c>
    </row>
    <row r="359" spans="1:5" x14ac:dyDescent="0.45">
      <c r="A359" s="18" t="s">
        <v>879</v>
      </c>
      <c r="B359" s="13">
        <v>21572.590500000002</v>
      </c>
      <c r="C359">
        <f>SUM($B$4:B359)</f>
        <v>13001186.302030016</v>
      </c>
      <c r="D359" s="26">
        <f t="shared" si="10"/>
        <v>0.40975871962149374</v>
      </c>
      <c r="E359" t="str">
        <f t="shared" si="11"/>
        <v>C</v>
      </c>
    </row>
    <row r="360" spans="1:5" x14ac:dyDescent="0.45">
      <c r="A360" s="25" t="s">
        <v>725</v>
      </c>
      <c r="B360" s="13">
        <v>21572.590500000002</v>
      </c>
      <c r="C360">
        <f>SUM($B$4:B360)</f>
        <v>13022758.892530017</v>
      </c>
      <c r="D360" s="26">
        <f t="shared" si="10"/>
        <v>0.41043862350540466</v>
      </c>
      <c r="E360" t="str">
        <f t="shared" si="11"/>
        <v>C</v>
      </c>
    </row>
    <row r="361" spans="1:5" x14ac:dyDescent="0.45">
      <c r="A361" s="18" t="s">
        <v>1133</v>
      </c>
      <c r="B361" s="13">
        <v>21541.017959999997</v>
      </c>
      <c r="C361">
        <f>SUM($B$4:B361)</f>
        <v>13044299.910490017</v>
      </c>
      <c r="D361" s="26">
        <f t="shared" si="10"/>
        <v>0.41111753231676867</v>
      </c>
      <c r="E361" t="str">
        <f t="shared" si="11"/>
        <v>C</v>
      </c>
    </row>
    <row r="362" spans="1:5" x14ac:dyDescent="0.45">
      <c r="A362" s="25" t="s">
        <v>724</v>
      </c>
      <c r="B362" s="13">
        <v>21541.017959999997</v>
      </c>
      <c r="C362">
        <f>SUM($B$4:B362)</f>
        <v>13065840.928450018</v>
      </c>
      <c r="D362" s="26">
        <f t="shared" si="10"/>
        <v>0.41179644112813268</v>
      </c>
      <c r="E362" t="str">
        <f t="shared" si="11"/>
        <v>C</v>
      </c>
    </row>
    <row r="363" spans="1:5" x14ac:dyDescent="0.45">
      <c r="A363" s="18" t="s">
        <v>812</v>
      </c>
      <c r="B363" s="13">
        <v>21062.61248</v>
      </c>
      <c r="C363">
        <f>SUM($B$4:B363)</f>
        <v>13086903.540930018</v>
      </c>
      <c r="D363" s="26">
        <f t="shared" si="10"/>
        <v>0.41246027202180591</v>
      </c>
      <c r="E363" t="str">
        <f t="shared" si="11"/>
        <v>C</v>
      </c>
    </row>
    <row r="364" spans="1:5" x14ac:dyDescent="0.45">
      <c r="A364" s="25" t="s">
        <v>723</v>
      </c>
      <c r="B364" s="13">
        <v>21062.61248</v>
      </c>
      <c r="C364">
        <f>SUM($B$4:B364)</f>
        <v>13107966.153410017</v>
      </c>
      <c r="D364" s="26">
        <f t="shared" si="10"/>
        <v>0.41312410291547913</v>
      </c>
      <c r="E364" t="str">
        <f t="shared" si="11"/>
        <v>C</v>
      </c>
    </row>
    <row r="365" spans="1:5" x14ac:dyDescent="0.45">
      <c r="A365" s="18" t="s">
        <v>1182</v>
      </c>
      <c r="B365" s="13">
        <v>20797.98</v>
      </c>
      <c r="C365">
        <f>SUM($B$4:B365)</f>
        <v>13128764.133410018</v>
      </c>
      <c r="D365" s="26">
        <f t="shared" si="10"/>
        <v>0.41377959338054404</v>
      </c>
      <c r="E365" t="str">
        <f t="shared" si="11"/>
        <v>C</v>
      </c>
    </row>
    <row r="366" spans="1:5" x14ac:dyDescent="0.45">
      <c r="A366" s="25" t="s">
        <v>724</v>
      </c>
      <c r="B366" s="13">
        <v>20797.98</v>
      </c>
      <c r="C366">
        <f>SUM($B$4:B366)</f>
        <v>13149562.113410018</v>
      </c>
      <c r="D366" s="26">
        <f t="shared" si="10"/>
        <v>0.41443508384560901</v>
      </c>
      <c r="E366" t="str">
        <f t="shared" si="11"/>
        <v>C</v>
      </c>
    </row>
    <row r="367" spans="1:5" x14ac:dyDescent="0.45">
      <c r="A367" s="18" t="s">
        <v>1166</v>
      </c>
      <c r="B367" s="13">
        <v>20672.289000000001</v>
      </c>
      <c r="C367">
        <f>SUM($B$4:B367)</f>
        <v>13170234.402410019</v>
      </c>
      <c r="D367" s="26">
        <f t="shared" si="10"/>
        <v>0.41508661290422755</v>
      </c>
      <c r="E367" t="str">
        <f t="shared" si="11"/>
        <v>C</v>
      </c>
    </row>
    <row r="368" spans="1:5" x14ac:dyDescent="0.45">
      <c r="A368" s="25" t="s">
        <v>722</v>
      </c>
      <c r="B368" s="13">
        <v>20672.289000000001</v>
      </c>
      <c r="C368">
        <f>SUM($B$4:B368)</f>
        <v>13190906.69141002</v>
      </c>
      <c r="D368" s="26">
        <f t="shared" si="10"/>
        <v>0.41573814196284609</v>
      </c>
      <c r="E368" t="str">
        <f t="shared" si="11"/>
        <v>C</v>
      </c>
    </row>
    <row r="369" spans="1:5" x14ac:dyDescent="0.45">
      <c r="A369" s="18" t="s">
        <v>1022</v>
      </c>
      <c r="B369" s="13">
        <v>20455.985130000001</v>
      </c>
      <c r="C369">
        <f>SUM($B$4:B369)</f>
        <v>13211362.676540021</v>
      </c>
      <c r="D369" s="26">
        <f t="shared" si="10"/>
        <v>0.41638285376688788</v>
      </c>
      <c r="E369" t="str">
        <f t="shared" si="11"/>
        <v>C</v>
      </c>
    </row>
    <row r="370" spans="1:5" x14ac:dyDescent="0.45">
      <c r="A370" s="25" t="s">
        <v>725</v>
      </c>
      <c r="B370" s="13">
        <v>20455.985130000001</v>
      </c>
      <c r="C370">
        <f>SUM($B$4:B370)</f>
        <v>13231818.661670022</v>
      </c>
      <c r="D370" s="26">
        <f t="shared" si="10"/>
        <v>0.41702756557092968</v>
      </c>
      <c r="E370" t="str">
        <f t="shared" si="11"/>
        <v>C</v>
      </c>
    </row>
    <row r="371" spans="1:5" x14ac:dyDescent="0.45">
      <c r="A371" s="18" t="s">
        <v>1263</v>
      </c>
      <c r="B371" s="13">
        <v>20430.771599999996</v>
      </c>
      <c r="C371">
        <f>SUM($B$4:B371)</f>
        <v>13252249.433270022</v>
      </c>
      <c r="D371" s="26">
        <f t="shared" si="10"/>
        <v>0.41767148271950466</v>
      </c>
      <c r="E371" t="str">
        <f t="shared" si="11"/>
        <v>C</v>
      </c>
    </row>
    <row r="372" spans="1:5" x14ac:dyDescent="0.45">
      <c r="A372" s="25" t="s">
        <v>727</v>
      </c>
      <c r="B372" s="13">
        <v>20430.771599999996</v>
      </c>
      <c r="C372">
        <f>SUM($B$4:B372)</f>
        <v>13272680.204870023</v>
      </c>
      <c r="D372" s="26">
        <f t="shared" si="10"/>
        <v>0.41831539986807964</v>
      </c>
      <c r="E372" t="str">
        <f t="shared" si="11"/>
        <v>C</v>
      </c>
    </row>
    <row r="373" spans="1:5" x14ac:dyDescent="0.45">
      <c r="A373" s="18" t="s">
        <v>1226</v>
      </c>
      <c r="B373" s="13">
        <v>20332.775539999999</v>
      </c>
      <c r="C373">
        <f>SUM($B$4:B373)</f>
        <v>13293012.980410023</v>
      </c>
      <c r="D373" s="26">
        <f t="shared" si="10"/>
        <v>0.41895622847233716</v>
      </c>
      <c r="E373" t="str">
        <f t="shared" si="11"/>
        <v>C</v>
      </c>
    </row>
    <row r="374" spans="1:5" x14ac:dyDescent="0.45">
      <c r="A374" s="25" t="s">
        <v>726</v>
      </c>
      <c r="B374" s="13">
        <v>20332.775539999999</v>
      </c>
      <c r="C374">
        <f>SUM($B$4:B374)</f>
        <v>13313345.755950022</v>
      </c>
      <c r="D374" s="26">
        <f t="shared" si="10"/>
        <v>0.41959705707659467</v>
      </c>
      <c r="E374" t="str">
        <f t="shared" si="11"/>
        <v>C</v>
      </c>
    </row>
    <row r="375" spans="1:5" x14ac:dyDescent="0.45">
      <c r="A375" s="18" t="s">
        <v>751</v>
      </c>
      <c r="B375" s="13">
        <v>20225.2248</v>
      </c>
      <c r="C375">
        <f>SUM($B$4:B375)</f>
        <v>13333570.980750022</v>
      </c>
      <c r="D375" s="26">
        <f t="shared" si="10"/>
        <v>0.42023449600144192</v>
      </c>
      <c r="E375" t="str">
        <f t="shared" si="11"/>
        <v>C</v>
      </c>
    </row>
    <row r="376" spans="1:5" x14ac:dyDescent="0.45">
      <c r="A376" s="25" t="s">
        <v>725</v>
      </c>
      <c r="B376" s="13">
        <v>20225.2248</v>
      </c>
      <c r="C376">
        <f>SUM($B$4:B376)</f>
        <v>13353796.205550022</v>
      </c>
      <c r="D376" s="26">
        <f t="shared" si="10"/>
        <v>0.42087193492628916</v>
      </c>
      <c r="E376" t="str">
        <f t="shared" si="11"/>
        <v>C</v>
      </c>
    </row>
    <row r="377" spans="1:5" x14ac:dyDescent="0.45">
      <c r="A377" s="18" t="s">
        <v>800</v>
      </c>
      <c r="B377" s="13">
        <v>20171.63305</v>
      </c>
      <c r="C377">
        <f>SUM($B$4:B377)</f>
        <v>13373967.838600023</v>
      </c>
      <c r="D377" s="26">
        <f t="shared" si="10"/>
        <v>0.42150768479858752</v>
      </c>
      <c r="E377" t="str">
        <f t="shared" si="11"/>
        <v>C</v>
      </c>
    </row>
    <row r="378" spans="1:5" x14ac:dyDescent="0.45">
      <c r="A378" s="25" t="s">
        <v>725</v>
      </c>
      <c r="B378" s="13">
        <v>20171.63305</v>
      </c>
      <c r="C378">
        <f>SUM($B$4:B378)</f>
        <v>13394139.471650023</v>
      </c>
      <c r="D378" s="26">
        <f t="shared" si="10"/>
        <v>0.42214343467088589</v>
      </c>
      <c r="E378" t="str">
        <f t="shared" si="11"/>
        <v>C</v>
      </c>
    </row>
    <row r="379" spans="1:5" x14ac:dyDescent="0.45">
      <c r="A379" s="18" t="s">
        <v>1278</v>
      </c>
      <c r="B379" s="13">
        <v>20163.409200000002</v>
      </c>
      <c r="C379">
        <f>SUM($B$4:B379)</f>
        <v>13414302.880850023</v>
      </c>
      <c r="D379" s="26">
        <f t="shared" si="10"/>
        <v>0.42277892535189443</v>
      </c>
      <c r="E379" t="str">
        <f t="shared" si="11"/>
        <v>C</v>
      </c>
    </row>
    <row r="380" spans="1:5" x14ac:dyDescent="0.45">
      <c r="A380" s="25" t="s">
        <v>727</v>
      </c>
      <c r="B380" s="13">
        <v>20163.409200000002</v>
      </c>
      <c r="C380">
        <f>SUM($B$4:B380)</f>
        <v>13434466.290050022</v>
      </c>
      <c r="D380" s="26">
        <f t="shared" si="10"/>
        <v>0.42341441603290297</v>
      </c>
      <c r="E380" t="str">
        <f t="shared" si="11"/>
        <v>C</v>
      </c>
    </row>
    <row r="381" spans="1:5" x14ac:dyDescent="0.45">
      <c r="A381" s="18" t="s">
        <v>757</v>
      </c>
      <c r="B381" s="13">
        <v>20084.133720000002</v>
      </c>
      <c r="C381">
        <f>SUM($B$4:B381)</f>
        <v>13454550.423770022</v>
      </c>
      <c r="D381" s="26">
        <f t="shared" si="10"/>
        <v>0.42404740818659042</v>
      </c>
      <c r="E381" t="str">
        <f t="shared" si="11"/>
        <v>C</v>
      </c>
    </row>
    <row r="382" spans="1:5" x14ac:dyDescent="0.45">
      <c r="A382" s="25" t="s">
        <v>723</v>
      </c>
      <c r="B382" s="13">
        <v>20084.133720000002</v>
      </c>
      <c r="C382">
        <f>SUM($B$4:B382)</f>
        <v>13474634.557490021</v>
      </c>
      <c r="D382" s="26">
        <f t="shared" si="10"/>
        <v>0.42468040034027787</v>
      </c>
      <c r="E382" t="str">
        <f t="shared" si="11"/>
        <v>C</v>
      </c>
    </row>
    <row r="383" spans="1:5" x14ac:dyDescent="0.45">
      <c r="A383" s="18" t="s">
        <v>821</v>
      </c>
      <c r="B383" s="13">
        <v>20079.343620000003</v>
      </c>
      <c r="C383">
        <f>SUM($B$4:B383)</f>
        <v>13494713.901110021</v>
      </c>
      <c r="D383" s="26">
        <f t="shared" si="10"/>
        <v>0.42531324152426175</v>
      </c>
      <c r="E383" t="str">
        <f t="shared" si="11"/>
        <v>C</v>
      </c>
    </row>
    <row r="384" spans="1:5" x14ac:dyDescent="0.45">
      <c r="A384" s="25" t="s">
        <v>727</v>
      </c>
      <c r="B384" s="13">
        <v>20079.343620000003</v>
      </c>
      <c r="C384">
        <f>SUM($B$4:B384)</f>
        <v>13514793.244730022</v>
      </c>
      <c r="D384" s="26">
        <f t="shared" si="10"/>
        <v>0.42594608270824558</v>
      </c>
      <c r="E384" t="str">
        <f t="shared" si="11"/>
        <v>C</v>
      </c>
    </row>
    <row r="385" spans="1:5" x14ac:dyDescent="0.45">
      <c r="A385" s="18" t="s">
        <v>1069</v>
      </c>
      <c r="B385" s="13">
        <v>20053.439999999999</v>
      </c>
      <c r="C385">
        <f>SUM($B$4:B385)</f>
        <v>13534846.684730021</v>
      </c>
      <c r="D385" s="26">
        <f t="shared" si="10"/>
        <v>0.4265781074871785</v>
      </c>
      <c r="E385" t="str">
        <f t="shared" si="11"/>
        <v>C</v>
      </c>
    </row>
    <row r="386" spans="1:5" x14ac:dyDescent="0.45">
      <c r="A386" s="25" t="s">
        <v>722</v>
      </c>
      <c r="B386" s="13">
        <v>20053.439999999999</v>
      </c>
      <c r="C386">
        <f>SUM($B$4:B386)</f>
        <v>13554900.124730021</v>
      </c>
      <c r="D386" s="26">
        <f t="shared" si="10"/>
        <v>0.42721013226611143</v>
      </c>
      <c r="E386" t="str">
        <f t="shared" si="11"/>
        <v>C</v>
      </c>
    </row>
    <row r="387" spans="1:5" x14ac:dyDescent="0.45">
      <c r="A387" s="18" t="s">
        <v>1153</v>
      </c>
      <c r="B387" s="13">
        <v>20038.536</v>
      </c>
      <c r="C387">
        <f>SUM($B$4:B387)</f>
        <v>13574938.660730021</v>
      </c>
      <c r="D387" s="26">
        <f t="shared" si="10"/>
        <v>0.42784168731529704</v>
      </c>
      <c r="E387" t="str">
        <f t="shared" si="11"/>
        <v>C</v>
      </c>
    </row>
    <row r="388" spans="1:5" x14ac:dyDescent="0.45">
      <c r="A388" s="25" t="s">
        <v>724</v>
      </c>
      <c r="B388" s="13">
        <v>20038.536</v>
      </c>
      <c r="C388">
        <f>SUM($B$4:B388)</f>
        <v>13594977.196730021</v>
      </c>
      <c r="D388" s="26">
        <f t="shared" si="10"/>
        <v>0.42847324236448259</v>
      </c>
      <c r="E388" t="str">
        <f t="shared" si="11"/>
        <v>C</v>
      </c>
    </row>
    <row r="389" spans="1:5" x14ac:dyDescent="0.45">
      <c r="A389" s="18" t="s">
        <v>1014</v>
      </c>
      <c r="B389" s="13">
        <v>20028.787380000002</v>
      </c>
      <c r="C389">
        <f>SUM($B$4:B389)</f>
        <v>13615005.984110022</v>
      </c>
      <c r="D389" s="26">
        <f t="shared" ref="D389:D452" si="12">C389/SUM($B$4:$B$1255)</f>
        <v>0.42910449016616348</v>
      </c>
      <c r="E389" t="str">
        <f t="shared" ref="E389:E452" si="13">IF(D389&gt;=0.8,"A",IF(D389&gt;=0.95,"B","C"))</f>
        <v>C</v>
      </c>
    </row>
    <row r="390" spans="1:5" x14ac:dyDescent="0.45">
      <c r="A390" s="25" t="s">
        <v>723</v>
      </c>
      <c r="B390" s="13">
        <v>20028.787380000002</v>
      </c>
      <c r="C390">
        <f>SUM($B$4:B390)</f>
        <v>13635034.771490023</v>
      </c>
      <c r="D390" s="26">
        <f t="shared" si="12"/>
        <v>0.42973573796784437</v>
      </c>
      <c r="E390" t="str">
        <f t="shared" si="13"/>
        <v>C</v>
      </c>
    </row>
    <row r="391" spans="1:5" x14ac:dyDescent="0.45">
      <c r="A391" s="18" t="s">
        <v>749</v>
      </c>
      <c r="B391" s="13">
        <v>19903.585040000002</v>
      </c>
      <c r="C391">
        <f>SUM($B$4:B391)</f>
        <v>13654938.356530022</v>
      </c>
      <c r="D391" s="26">
        <f t="shared" si="12"/>
        <v>0.43036303976418844</v>
      </c>
      <c r="E391" t="str">
        <f t="shared" si="13"/>
        <v>C</v>
      </c>
    </row>
    <row r="392" spans="1:5" x14ac:dyDescent="0.45">
      <c r="A392" s="25" t="s">
        <v>723</v>
      </c>
      <c r="B392" s="13">
        <v>19903.585040000002</v>
      </c>
      <c r="C392">
        <f>SUM($B$4:B392)</f>
        <v>13674841.941570021</v>
      </c>
      <c r="D392" s="26">
        <f t="shared" si="12"/>
        <v>0.43099034156053256</v>
      </c>
      <c r="E392" t="str">
        <f t="shared" si="13"/>
        <v>C</v>
      </c>
    </row>
    <row r="393" spans="1:5" x14ac:dyDescent="0.45">
      <c r="A393" s="18" t="s">
        <v>1120</v>
      </c>
      <c r="B393" s="13">
        <v>19800.88896</v>
      </c>
      <c r="C393">
        <f>SUM($B$4:B393)</f>
        <v>13694642.830530021</v>
      </c>
      <c r="D393" s="26">
        <f t="shared" si="12"/>
        <v>0.4316144066819092</v>
      </c>
      <c r="E393" t="str">
        <f t="shared" si="13"/>
        <v>C</v>
      </c>
    </row>
    <row r="394" spans="1:5" x14ac:dyDescent="0.45">
      <c r="A394" s="25" t="s">
        <v>721</v>
      </c>
      <c r="B394" s="13">
        <v>19800.88896</v>
      </c>
      <c r="C394">
        <f>SUM($B$4:B394)</f>
        <v>13714443.719490021</v>
      </c>
      <c r="D394" s="26">
        <f t="shared" si="12"/>
        <v>0.4322384718032859</v>
      </c>
      <c r="E394" t="str">
        <f t="shared" si="13"/>
        <v>C</v>
      </c>
    </row>
    <row r="395" spans="1:5" x14ac:dyDescent="0.45">
      <c r="A395" s="18" t="s">
        <v>1113</v>
      </c>
      <c r="B395" s="13">
        <v>19773.362699999998</v>
      </c>
      <c r="C395">
        <f>SUM($B$4:B395)</f>
        <v>13734217.082190022</v>
      </c>
      <c r="D395" s="26">
        <f t="shared" si="12"/>
        <v>0.43286166937882548</v>
      </c>
      <c r="E395" t="str">
        <f t="shared" si="13"/>
        <v>C</v>
      </c>
    </row>
    <row r="396" spans="1:5" x14ac:dyDescent="0.45">
      <c r="A396" s="25" t="s">
        <v>725</v>
      </c>
      <c r="B396" s="13">
        <v>19773.362699999998</v>
      </c>
      <c r="C396">
        <f>SUM($B$4:B396)</f>
        <v>13753990.444890022</v>
      </c>
      <c r="D396" s="26">
        <f t="shared" si="12"/>
        <v>0.43348486695436506</v>
      </c>
      <c r="E396" t="str">
        <f t="shared" si="13"/>
        <v>C</v>
      </c>
    </row>
    <row r="397" spans="1:5" x14ac:dyDescent="0.45">
      <c r="A397" s="18" t="s">
        <v>1177</v>
      </c>
      <c r="B397" s="13">
        <v>19628.476999999999</v>
      </c>
      <c r="C397">
        <f>SUM($B$4:B397)</f>
        <v>13773618.921890022</v>
      </c>
      <c r="D397" s="26">
        <f t="shared" si="12"/>
        <v>0.43410349816360971</v>
      </c>
      <c r="E397" t="str">
        <f t="shared" si="13"/>
        <v>C</v>
      </c>
    </row>
    <row r="398" spans="1:5" x14ac:dyDescent="0.45">
      <c r="A398" s="25" t="s">
        <v>727</v>
      </c>
      <c r="B398" s="13">
        <v>19628.476999999999</v>
      </c>
      <c r="C398">
        <f>SUM($B$4:B398)</f>
        <v>13793247.398890022</v>
      </c>
      <c r="D398" s="26">
        <f t="shared" si="12"/>
        <v>0.43472212937285437</v>
      </c>
      <c r="E398" t="str">
        <f t="shared" si="13"/>
        <v>C</v>
      </c>
    </row>
    <row r="399" spans="1:5" x14ac:dyDescent="0.45">
      <c r="A399" s="18" t="s">
        <v>1266</v>
      </c>
      <c r="B399" s="13">
        <v>19581.87</v>
      </c>
      <c r="C399">
        <f>SUM($B$4:B399)</f>
        <v>13812829.268890021</v>
      </c>
      <c r="D399" s="26">
        <f t="shared" si="12"/>
        <v>0.43533929166809365</v>
      </c>
      <c r="E399" t="str">
        <f t="shared" si="13"/>
        <v>C</v>
      </c>
    </row>
    <row r="400" spans="1:5" x14ac:dyDescent="0.45">
      <c r="A400" s="25" t="s">
        <v>725</v>
      </c>
      <c r="B400" s="13">
        <v>19581.87</v>
      </c>
      <c r="C400">
        <f>SUM($B$4:B400)</f>
        <v>13832411.138890021</v>
      </c>
      <c r="D400" s="26">
        <f t="shared" si="12"/>
        <v>0.43595645396333293</v>
      </c>
      <c r="E400" t="str">
        <f t="shared" si="13"/>
        <v>C</v>
      </c>
    </row>
    <row r="401" spans="1:5" x14ac:dyDescent="0.45">
      <c r="A401" s="18" t="s">
        <v>1093</v>
      </c>
      <c r="B401" s="13">
        <v>19547.329920000004</v>
      </c>
      <c r="C401">
        <f>SUM($B$4:B401)</f>
        <v>13851958.46881002</v>
      </c>
      <c r="D401" s="26">
        <f t="shared" si="12"/>
        <v>0.43657252765799165</v>
      </c>
      <c r="E401" t="str">
        <f t="shared" si="13"/>
        <v>C</v>
      </c>
    </row>
    <row r="402" spans="1:5" x14ac:dyDescent="0.45">
      <c r="A402" s="25" t="s">
        <v>724</v>
      </c>
      <c r="B402" s="13">
        <v>19547.329920000004</v>
      </c>
      <c r="C402">
        <f>SUM($B$4:B402)</f>
        <v>13871505.798730019</v>
      </c>
      <c r="D402" s="26">
        <f t="shared" si="12"/>
        <v>0.43718860135265036</v>
      </c>
      <c r="E402" t="str">
        <f t="shared" si="13"/>
        <v>C</v>
      </c>
    </row>
    <row r="403" spans="1:5" x14ac:dyDescent="0.45">
      <c r="A403" s="18" t="s">
        <v>917</v>
      </c>
      <c r="B403" s="13">
        <v>19542.975350000001</v>
      </c>
      <c r="C403">
        <f>SUM($B$4:B403)</f>
        <v>13891048.774080019</v>
      </c>
      <c r="D403" s="26">
        <f t="shared" si="12"/>
        <v>0.43780453780421552</v>
      </c>
      <c r="E403" t="str">
        <f t="shared" si="13"/>
        <v>C</v>
      </c>
    </row>
    <row r="404" spans="1:5" x14ac:dyDescent="0.45">
      <c r="A404" s="25" t="s">
        <v>725</v>
      </c>
      <c r="B404" s="13">
        <v>19542.975350000001</v>
      </c>
      <c r="C404">
        <f>SUM($B$4:B404)</f>
        <v>13910591.749430019</v>
      </c>
      <c r="D404" s="26">
        <f t="shared" si="12"/>
        <v>0.43842047425578073</v>
      </c>
      <c r="E404" t="str">
        <f t="shared" si="13"/>
        <v>C</v>
      </c>
    </row>
    <row r="405" spans="1:5" x14ac:dyDescent="0.45">
      <c r="A405" s="18" t="s">
        <v>819</v>
      </c>
      <c r="B405" s="13">
        <v>19510.808000000001</v>
      </c>
      <c r="C405">
        <f>SUM($B$4:B405)</f>
        <v>13930102.55743002</v>
      </c>
      <c r="D405" s="26">
        <f t="shared" si="12"/>
        <v>0.43903539688815718</v>
      </c>
      <c r="E405" t="str">
        <f t="shared" si="13"/>
        <v>C</v>
      </c>
    </row>
    <row r="406" spans="1:5" x14ac:dyDescent="0.45">
      <c r="A406" s="25" t="s">
        <v>724</v>
      </c>
      <c r="B406" s="13">
        <v>19510.808000000001</v>
      </c>
      <c r="C406">
        <f>SUM($B$4:B406)</f>
        <v>13949613.36543002</v>
      </c>
      <c r="D406" s="26">
        <f t="shared" si="12"/>
        <v>0.43965031952053363</v>
      </c>
      <c r="E406" t="str">
        <f t="shared" si="13"/>
        <v>C</v>
      </c>
    </row>
    <row r="407" spans="1:5" x14ac:dyDescent="0.45">
      <c r="A407" s="18" t="s">
        <v>1200</v>
      </c>
      <c r="B407" s="13">
        <v>19233.355499999998</v>
      </c>
      <c r="C407">
        <f>SUM($B$4:B407)</f>
        <v>13968846.720930019</v>
      </c>
      <c r="D407" s="26">
        <f t="shared" si="12"/>
        <v>0.44025649767540509</v>
      </c>
      <c r="E407" t="str">
        <f t="shared" si="13"/>
        <v>C</v>
      </c>
    </row>
    <row r="408" spans="1:5" x14ac:dyDescent="0.45">
      <c r="A408" s="25" t="s">
        <v>724</v>
      </c>
      <c r="B408" s="13">
        <v>19233.355499999998</v>
      </c>
      <c r="C408">
        <f>SUM($B$4:B408)</f>
        <v>13988080.076430019</v>
      </c>
      <c r="D408" s="26">
        <f t="shared" si="12"/>
        <v>0.44086267583027655</v>
      </c>
      <c r="E408" t="str">
        <f t="shared" si="13"/>
        <v>C</v>
      </c>
    </row>
    <row r="409" spans="1:5" x14ac:dyDescent="0.45">
      <c r="A409" s="18" t="s">
        <v>1298</v>
      </c>
      <c r="B409" s="13">
        <v>19139.594240000002</v>
      </c>
      <c r="C409">
        <f>SUM($B$4:B409)</f>
        <v>14007219.670670019</v>
      </c>
      <c r="D409" s="26">
        <f t="shared" si="12"/>
        <v>0.44146589890913002</v>
      </c>
      <c r="E409" t="str">
        <f t="shared" si="13"/>
        <v>C</v>
      </c>
    </row>
    <row r="410" spans="1:5" x14ac:dyDescent="0.45">
      <c r="A410" s="25" t="s">
        <v>725</v>
      </c>
      <c r="B410" s="13">
        <v>19139.594240000002</v>
      </c>
      <c r="C410">
        <f>SUM($B$4:B410)</f>
        <v>14026359.26491002</v>
      </c>
      <c r="D410" s="26">
        <f t="shared" si="12"/>
        <v>0.44206912198798343</v>
      </c>
      <c r="E410" t="str">
        <f t="shared" si="13"/>
        <v>C</v>
      </c>
    </row>
    <row r="411" spans="1:5" x14ac:dyDescent="0.45">
      <c r="A411" s="18" t="s">
        <v>983</v>
      </c>
      <c r="B411" s="13">
        <v>19073.059649999999</v>
      </c>
      <c r="C411">
        <f>SUM($B$4:B411)</f>
        <v>14045432.32456002</v>
      </c>
      <c r="D411" s="26">
        <f t="shared" si="12"/>
        <v>0.4426702480944702</v>
      </c>
      <c r="E411" t="str">
        <f t="shared" si="13"/>
        <v>C</v>
      </c>
    </row>
    <row r="412" spans="1:5" x14ac:dyDescent="0.45">
      <c r="A412" s="25" t="s">
        <v>721</v>
      </c>
      <c r="B412" s="13">
        <v>19073.059649999999</v>
      </c>
      <c r="C412">
        <f>SUM($B$4:B412)</f>
        <v>14064505.38421002</v>
      </c>
      <c r="D412" s="26">
        <f t="shared" si="12"/>
        <v>0.44327137420095697</v>
      </c>
      <c r="E412" t="str">
        <f t="shared" si="13"/>
        <v>C</v>
      </c>
    </row>
    <row r="413" spans="1:5" x14ac:dyDescent="0.45">
      <c r="A413" s="18" t="s">
        <v>1017</v>
      </c>
      <c r="B413" s="13">
        <v>19066.045319999997</v>
      </c>
      <c r="C413">
        <f>SUM($B$4:B413)</f>
        <v>14083571.429530021</v>
      </c>
      <c r="D413" s="26">
        <f t="shared" si="12"/>
        <v>0.44387227923662659</v>
      </c>
      <c r="E413" t="str">
        <f t="shared" si="13"/>
        <v>C</v>
      </c>
    </row>
    <row r="414" spans="1:5" x14ac:dyDescent="0.45">
      <c r="A414" s="25" t="s">
        <v>727</v>
      </c>
      <c r="B414" s="13">
        <v>19066.045319999997</v>
      </c>
      <c r="C414">
        <f>SUM($B$4:B414)</f>
        <v>14102637.474850021</v>
      </c>
      <c r="D414" s="26">
        <f t="shared" si="12"/>
        <v>0.44447318427229621</v>
      </c>
      <c r="E414" t="str">
        <f t="shared" si="13"/>
        <v>C</v>
      </c>
    </row>
    <row r="415" spans="1:5" x14ac:dyDescent="0.45">
      <c r="A415" s="18" t="s">
        <v>764</v>
      </c>
      <c r="B415" s="13">
        <v>18957.37689</v>
      </c>
      <c r="C415">
        <f>SUM($B$4:B415)</f>
        <v>14121594.851740021</v>
      </c>
      <c r="D415" s="26">
        <f t="shared" si="12"/>
        <v>0.44507066440229143</v>
      </c>
      <c r="E415" t="str">
        <f t="shared" si="13"/>
        <v>C</v>
      </c>
    </row>
    <row r="416" spans="1:5" x14ac:dyDescent="0.45">
      <c r="A416" s="25" t="s">
        <v>721</v>
      </c>
      <c r="B416" s="13">
        <v>18957.37689</v>
      </c>
      <c r="C416">
        <f>SUM($B$4:B416)</f>
        <v>14140552.228630021</v>
      </c>
      <c r="D416" s="26">
        <f t="shared" si="12"/>
        <v>0.44566814453228659</v>
      </c>
      <c r="E416" t="str">
        <f t="shared" si="13"/>
        <v>C</v>
      </c>
    </row>
    <row r="417" spans="1:5" x14ac:dyDescent="0.45">
      <c r="A417" s="18" t="s">
        <v>1277</v>
      </c>
      <c r="B417" s="13">
        <v>18830.12472</v>
      </c>
      <c r="C417">
        <f>SUM($B$4:B417)</f>
        <v>14159382.353350021</v>
      </c>
      <c r="D417" s="26">
        <f t="shared" si="12"/>
        <v>0.44626161405240072</v>
      </c>
      <c r="E417" t="str">
        <f t="shared" si="13"/>
        <v>C</v>
      </c>
    </row>
    <row r="418" spans="1:5" x14ac:dyDescent="0.45">
      <c r="A418" s="25" t="s">
        <v>723</v>
      </c>
      <c r="B418" s="13">
        <v>18830.12472</v>
      </c>
      <c r="C418">
        <f>SUM($B$4:B418)</f>
        <v>14178212.478070021</v>
      </c>
      <c r="D418" s="26">
        <f t="shared" si="12"/>
        <v>0.44685508357251486</v>
      </c>
      <c r="E418" t="str">
        <f t="shared" si="13"/>
        <v>C</v>
      </c>
    </row>
    <row r="419" spans="1:5" x14ac:dyDescent="0.45">
      <c r="A419" s="18" t="s">
        <v>1123</v>
      </c>
      <c r="B419" s="13">
        <v>18641.222160000001</v>
      </c>
      <c r="C419">
        <f>SUM($B$4:B419)</f>
        <v>14196853.700230021</v>
      </c>
      <c r="D419" s="26">
        <f t="shared" si="12"/>
        <v>0.44744259944583703</v>
      </c>
      <c r="E419" t="str">
        <f t="shared" si="13"/>
        <v>C</v>
      </c>
    </row>
    <row r="420" spans="1:5" x14ac:dyDescent="0.45">
      <c r="A420" s="25" t="s">
        <v>725</v>
      </c>
      <c r="B420" s="13">
        <v>18641.222160000001</v>
      </c>
      <c r="C420">
        <f>SUM($B$4:B420)</f>
        <v>14215494.922390021</v>
      </c>
      <c r="D420" s="26">
        <f t="shared" si="12"/>
        <v>0.44803011531915921</v>
      </c>
      <c r="E420" t="str">
        <f t="shared" si="13"/>
        <v>C</v>
      </c>
    </row>
    <row r="421" spans="1:5" x14ac:dyDescent="0.45">
      <c r="A421" s="18" t="s">
        <v>1094</v>
      </c>
      <c r="B421" s="13">
        <v>18554.370299999999</v>
      </c>
      <c r="C421">
        <f>SUM($B$4:B421)</f>
        <v>14234049.292690022</v>
      </c>
      <c r="D421" s="26">
        <f t="shared" si="12"/>
        <v>0.44861489388019898</v>
      </c>
      <c r="E421" t="str">
        <f t="shared" si="13"/>
        <v>C</v>
      </c>
    </row>
    <row r="422" spans="1:5" x14ac:dyDescent="0.45">
      <c r="A422" s="25" t="s">
        <v>721</v>
      </c>
      <c r="B422" s="13">
        <v>18554.370299999999</v>
      </c>
      <c r="C422">
        <f>SUM($B$4:B422)</f>
        <v>14252603.662990022</v>
      </c>
      <c r="D422" s="26">
        <f t="shared" si="12"/>
        <v>0.44919967244123876</v>
      </c>
      <c r="E422" t="str">
        <f t="shared" si="13"/>
        <v>C</v>
      </c>
    </row>
    <row r="423" spans="1:5" x14ac:dyDescent="0.45">
      <c r="A423" s="18" t="s">
        <v>1339</v>
      </c>
      <c r="B423" s="13">
        <v>18500.693520000001</v>
      </c>
      <c r="C423">
        <f>SUM($B$4:B423)</f>
        <v>14271104.356510023</v>
      </c>
      <c r="D423" s="26">
        <f t="shared" si="12"/>
        <v>0.44978275926983696</v>
      </c>
      <c r="E423" t="str">
        <f t="shared" si="13"/>
        <v>C</v>
      </c>
    </row>
    <row r="424" spans="1:5" x14ac:dyDescent="0.45">
      <c r="A424" s="25" t="s">
        <v>723</v>
      </c>
      <c r="B424" s="13">
        <v>18500.693520000001</v>
      </c>
      <c r="C424">
        <f>SUM($B$4:B424)</f>
        <v>14289605.050030023</v>
      </c>
      <c r="D424" s="26">
        <f t="shared" si="12"/>
        <v>0.45036584609843516</v>
      </c>
      <c r="E424" t="str">
        <f t="shared" si="13"/>
        <v>C</v>
      </c>
    </row>
    <row r="425" spans="1:5" x14ac:dyDescent="0.45">
      <c r="A425" s="18" t="s">
        <v>1141</v>
      </c>
      <c r="B425" s="13">
        <v>18411.4084</v>
      </c>
      <c r="C425">
        <f>SUM($B$4:B425)</f>
        <v>14308016.458430022</v>
      </c>
      <c r="D425" s="26">
        <f t="shared" si="12"/>
        <v>0.45094611892563358</v>
      </c>
      <c r="E425" t="str">
        <f t="shared" si="13"/>
        <v>C</v>
      </c>
    </row>
    <row r="426" spans="1:5" x14ac:dyDescent="0.45">
      <c r="A426" s="25" t="s">
        <v>722</v>
      </c>
      <c r="B426" s="13">
        <v>18411.4084</v>
      </c>
      <c r="C426">
        <f>SUM($B$4:B426)</f>
        <v>14326427.866830021</v>
      </c>
      <c r="D426" s="26">
        <f t="shared" si="12"/>
        <v>0.45152639175283193</v>
      </c>
      <c r="E426" t="str">
        <f t="shared" si="13"/>
        <v>C</v>
      </c>
    </row>
    <row r="427" spans="1:5" x14ac:dyDescent="0.45">
      <c r="A427" s="18" t="s">
        <v>809</v>
      </c>
      <c r="B427" s="13">
        <v>18258.868320000001</v>
      </c>
      <c r="C427">
        <f>SUM($B$4:B427)</f>
        <v>14344686.735150021</v>
      </c>
      <c r="D427" s="26">
        <f t="shared" si="12"/>
        <v>0.45210185697044614</v>
      </c>
      <c r="E427" t="str">
        <f t="shared" si="13"/>
        <v>C</v>
      </c>
    </row>
    <row r="428" spans="1:5" x14ac:dyDescent="0.45">
      <c r="A428" s="25" t="s">
        <v>722</v>
      </c>
      <c r="B428" s="13">
        <v>18258.868320000001</v>
      </c>
      <c r="C428">
        <f>SUM($B$4:B428)</f>
        <v>14362945.60347002</v>
      </c>
      <c r="D428" s="26">
        <f t="shared" si="12"/>
        <v>0.45267732218806034</v>
      </c>
      <c r="E428" t="str">
        <f t="shared" si="13"/>
        <v>C</v>
      </c>
    </row>
    <row r="429" spans="1:5" x14ac:dyDescent="0.45">
      <c r="A429" s="18" t="s">
        <v>937</v>
      </c>
      <c r="B429" s="13">
        <v>18061.204320000004</v>
      </c>
      <c r="C429">
        <f>SUM($B$4:B429)</f>
        <v>14381006.80779002</v>
      </c>
      <c r="D429" s="26">
        <f t="shared" si="12"/>
        <v>0.45324655762435512</v>
      </c>
      <c r="E429" t="str">
        <f t="shared" si="13"/>
        <v>C</v>
      </c>
    </row>
    <row r="430" spans="1:5" x14ac:dyDescent="0.45">
      <c r="A430" s="25" t="s">
        <v>721</v>
      </c>
      <c r="B430" s="13">
        <v>18061.204320000004</v>
      </c>
      <c r="C430">
        <f>SUM($B$4:B430)</f>
        <v>14399068.012110021</v>
      </c>
      <c r="D430" s="26">
        <f t="shared" si="12"/>
        <v>0.4538157930606499</v>
      </c>
      <c r="E430" t="str">
        <f t="shared" si="13"/>
        <v>C</v>
      </c>
    </row>
    <row r="431" spans="1:5" x14ac:dyDescent="0.45">
      <c r="A431" s="18" t="s">
        <v>1336</v>
      </c>
      <c r="B431" s="13">
        <v>18003.847679999999</v>
      </c>
      <c r="C431">
        <f>SUM($B$4:B431)</f>
        <v>14417071.859790022</v>
      </c>
      <c r="D431" s="26">
        <f t="shared" si="12"/>
        <v>0.45438322078626181</v>
      </c>
      <c r="E431" t="str">
        <f t="shared" si="13"/>
        <v>C</v>
      </c>
    </row>
    <row r="432" spans="1:5" x14ac:dyDescent="0.45">
      <c r="A432" s="25" t="s">
        <v>722</v>
      </c>
      <c r="B432" s="13">
        <v>18003.847679999999</v>
      </c>
      <c r="C432">
        <f>SUM($B$4:B432)</f>
        <v>14435075.707470022</v>
      </c>
      <c r="D432" s="26">
        <f t="shared" si="12"/>
        <v>0.45495064851187367</v>
      </c>
      <c r="E432" t="str">
        <f t="shared" si="13"/>
        <v>C</v>
      </c>
    </row>
    <row r="433" spans="1:5" x14ac:dyDescent="0.45">
      <c r="A433" s="18" t="s">
        <v>988</v>
      </c>
      <c r="B433" s="13">
        <v>17964.4038</v>
      </c>
      <c r="C433">
        <f>SUM($B$4:B433)</f>
        <v>14453040.111270022</v>
      </c>
      <c r="D433" s="26">
        <f t="shared" si="12"/>
        <v>0.45551683308371554</v>
      </c>
      <c r="E433" t="str">
        <f t="shared" si="13"/>
        <v>C</v>
      </c>
    </row>
    <row r="434" spans="1:5" x14ac:dyDescent="0.45">
      <c r="A434" s="25" t="s">
        <v>727</v>
      </c>
      <c r="B434" s="13">
        <v>17964.4038</v>
      </c>
      <c r="C434">
        <f>SUM($B$4:B434)</f>
        <v>14471004.515070021</v>
      </c>
      <c r="D434" s="26">
        <f t="shared" si="12"/>
        <v>0.45608301765555742</v>
      </c>
      <c r="E434" t="str">
        <f t="shared" si="13"/>
        <v>C</v>
      </c>
    </row>
    <row r="435" spans="1:5" x14ac:dyDescent="0.45">
      <c r="A435" s="18" t="s">
        <v>729</v>
      </c>
      <c r="B435" s="13">
        <v>17960.432489999999</v>
      </c>
      <c r="C435">
        <f>SUM($B$4:B435)</f>
        <v>14488964.947560022</v>
      </c>
      <c r="D435" s="26">
        <f t="shared" si="12"/>
        <v>0.45664907706352098</v>
      </c>
      <c r="E435" t="str">
        <f t="shared" si="13"/>
        <v>C</v>
      </c>
    </row>
    <row r="436" spans="1:5" x14ac:dyDescent="0.45">
      <c r="A436" s="25" t="s">
        <v>722</v>
      </c>
      <c r="B436" s="13">
        <v>17960.432489999999</v>
      </c>
      <c r="C436">
        <f>SUM($B$4:B436)</f>
        <v>14506925.380050022</v>
      </c>
      <c r="D436" s="26">
        <f t="shared" si="12"/>
        <v>0.45721513647148454</v>
      </c>
      <c r="E436" t="str">
        <f t="shared" si="13"/>
        <v>C</v>
      </c>
    </row>
    <row r="437" spans="1:5" x14ac:dyDescent="0.45">
      <c r="A437" s="18" t="s">
        <v>772</v>
      </c>
      <c r="B437" s="13">
        <v>17930.494560000003</v>
      </c>
      <c r="C437">
        <f>SUM($B$4:B437)</f>
        <v>14524855.874610022</v>
      </c>
      <c r="D437" s="26">
        <f t="shared" si="12"/>
        <v>0.45778025232494618</v>
      </c>
      <c r="E437" t="str">
        <f t="shared" si="13"/>
        <v>C</v>
      </c>
    </row>
    <row r="438" spans="1:5" x14ac:dyDescent="0.45">
      <c r="A438" s="25" t="s">
        <v>721</v>
      </c>
      <c r="B438" s="13">
        <v>17930.494560000003</v>
      </c>
      <c r="C438">
        <f>SUM($B$4:B438)</f>
        <v>14542786.369170021</v>
      </c>
      <c r="D438" s="26">
        <f t="shared" si="12"/>
        <v>0.45834536817840782</v>
      </c>
      <c r="E438" t="str">
        <f t="shared" si="13"/>
        <v>C</v>
      </c>
    </row>
    <row r="439" spans="1:5" x14ac:dyDescent="0.45">
      <c r="A439" s="18" t="s">
        <v>936</v>
      </c>
      <c r="B439" s="13">
        <v>17847.907199999998</v>
      </c>
      <c r="C439">
        <f>SUM($B$4:B439)</f>
        <v>14560634.276370021</v>
      </c>
      <c r="D439" s="26">
        <f t="shared" si="12"/>
        <v>0.4589078811239421</v>
      </c>
      <c r="E439" t="str">
        <f t="shared" si="13"/>
        <v>C</v>
      </c>
    </row>
    <row r="440" spans="1:5" x14ac:dyDescent="0.45">
      <c r="A440" s="25" t="s">
        <v>727</v>
      </c>
      <c r="B440" s="13">
        <v>17847.907199999998</v>
      </c>
      <c r="C440">
        <f>SUM($B$4:B440)</f>
        <v>14578482.18357002</v>
      </c>
      <c r="D440" s="26">
        <f t="shared" si="12"/>
        <v>0.45947039406947637</v>
      </c>
      <c r="E440" t="str">
        <f t="shared" si="13"/>
        <v>C</v>
      </c>
    </row>
    <row r="441" spans="1:5" x14ac:dyDescent="0.45">
      <c r="A441" s="18" t="s">
        <v>1126</v>
      </c>
      <c r="B441" s="13">
        <v>17731.623</v>
      </c>
      <c r="C441">
        <f>SUM($B$4:B441)</f>
        <v>14596213.80657002</v>
      </c>
      <c r="D441" s="26">
        <f t="shared" si="12"/>
        <v>0.46002924208291934</v>
      </c>
      <c r="E441" t="str">
        <f t="shared" si="13"/>
        <v>C</v>
      </c>
    </row>
    <row r="442" spans="1:5" x14ac:dyDescent="0.45">
      <c r="A442" s="25" t="s">
        <v>723</v>
      </c>
      <c r="B442" s="13">
        <v>17731.623</v>
      </c>
      <c r="C442">
        <f>SUM($B$4:B442)</f>
        <v>14613945.429570019</v>
      </c>
      <c r="D442" s="26">
        <f t="shared" si="12"/>
        <v>0.46058809009636226</v>
      </c>
      <c r="E442" t="str">
        <f t="shared" si="13"/>
        <v>C</v>
      </c>
    </row>
    <row r="443" spans="1:5" x14ac:dyDescent="0.45">
      <c r="A443" s="18" t="s">
        <v>979</v>
      </c>
      <c r="B443" s="13">
        <v>17689.623</v>
      </c>
      <c r="C443">
        <f>SUM($B$4:B443)</f>
        <v>14631635.052570019</v>
      </c>
      <c r="D443" s="26">
        <f t="shared" si="12"/>
        <v>0.46114561439473611</v>
      </c>
      <c r="E443" t="str">
        <f t="shared" si="13"/>
        <v>C</v>
      </c>
    </row>
    <row r="444" spans="1:5" x14ac:dyDescent="0.45">
      <c r="A444" s="25" t="s">
        <v>726</v>
      </c>
      <c r="B444" s="13">
        <v>17689.623</v>
      </c>
      <c r="C444">
        <f>SUM($B$4:B444)</f>
        <v>14649324.675570019</v>
      </c>
      <c r="D444" s="26">
        <f t="shared" si="12"/>
        <v>0.46170313869310992</v>
      </c>
      <c r="E444" t="str">
        <f t="shared" si="13"/>
        <v>C</v>
      </c>
    </row>
    <row r="445" spans="1:5" x14ac:dyDescent="0.45">
      <c r="A445" s="18" t="s">
        <v>994</v>
      </c>
      <c r="B445" s="13">
        <v>17594.028880000002</v>
      </c>
      <c r="C445">
        <f>SUM($B$4:B445)</f>
        <v>14666918.704450019</v>
      </c>
      <c r="D445" s="26">
        <f t="shared" si="12"/>
        <v>0.46225765014917042</v>
      </c>
      <c r="E445" t="str">
        <f t="shared" si="13"/>
        <v>C</v>
      </c>
    </row>
    <row r="446" spans="1:5" x14ac:dyDescent="0.45">
      <c r="A446" s="25" t="s">
        <v>721</v>
      </c>
      <c r="B446" s="13">
        <v>17594.028880000002</v>
      </c>
      <c r="C446">
        <f>SUM($B$4:B446)</f>
        <v>14684512.733330019</v>
      </c>
      <c r="D446" s="26">
        <f t="shared" si="12"/>
        <v>0.46281216160523092</v>
      </c>
      <c r="E446" t="str">
        <f t="shared" si="13"/>
        <v>C</v>
      </c>
    </row>
    <row r="447" spans="1:5" x14ac:dyDescent="0.45">
      <c r="A447" s="18" t="s">
        <v>1291</v>
      </c>
      <c r="B447" s="13">
        <v>17540.201120000002</v>
      </c>
      <c r="C447">
        <f>SUM($B$4:B447)</f>
        <v>14702052.934450019</v>
      </c>
      <c r="D447" s="26">
        <f t="shared" si="12"/>
        <v>0.46336497657040931</v>
      </c>
      <c r="E447" t="str">
        <f t="shared" si="13"/>
        <v>C</v>
      </c>
    </row>
    <row r="448" spans="1:5" x14ac:dyDescent="0.45">
      <c r="A448" s="25" t="s">
        <v>721</v>
      </c>
      <c r="B448" s="13">
        <v>17540.201120000002</v>
      </c>
      <c r="C448">
        <f>SUM($B$4:B448)</f>
        <v>14719593.135570019</v>
      </c>
      <c r="D448" s="26">
        <f t="shared" si="12"/>
        <v>0.46391779153558776</v>
      </c>
      <c r="E448" t="str">
        <f t="shared" si="13"/>
        <v>C</v>
      </c>
    </row>
    <row r="449" spans="1:5" x14ac:dyDescent="0.45">
      <c r="A449" s="18" t="s">
        <v>978</v>
      </c>
      <c r="B449" s="13">
        <v>17453.3436</v>
      </c>
      <c r="C449">
        <f>SUM($B$4:B449)</f>
        <v>14737046.479170019</v>
      </c>
      <c r="D449" s="26">
        <f t="shared" si="12"/>
        <v>0.46446786901009735</v>
      </c>
      <c r="E449" t="str">
        <f t="shared" si="13"/>
        <v>C</v>
      </c>
    </row>
    <row r="450" spans="1:5" x14ac:dyDescent="0.45">
      <c r="A450" s="25" t="s">
        <v>725</v>
      </c>
      <c r="B450" s="13">
        <v>17453.3436</v>
      </c>
      <c r="C450">
        <f>SUM($B$4:B450)</f>
        <v>14754499.822770018</v>
      </c>
      <c r="D450" s="26">
        <f t="shared" si="12"/>
        <v>0.46501794648460698</v>
      </c>
      <c r="E450" t="str">
        <f t="shared" si="13"/>
        <v>C</v>
      </c>
    </row>
    <row r="451" spans="1:5" x14ac:dyDescent="0.45">
      <c r="A451" s="18" t="s">
        <v>1007</v>
      </c>
      <c r="B451" s="13">
        <v>17441.021520000002</v>
      </c>
      <c r="C451">
        <f>SUM($B$4:B451)</f>
        <v>14771940.844290018</v>
      </c>
      <c r="D451" s="26">
        <f t="shared" si="12"/>
        <v>0.46556763560380759</v>
      </c>
      <c r="E451" t="str">
        <f t="shared" si="13"/>
        <v>C</v>
      </c>
    </row>
    <row r="452" spans="1:5" x14ac:dyDescent="0.45">
      <c r="A452" s="25" t="s">
        <v>726</v>
      </c>
      <c r="B452" s="13">
        <v>17441.021520000002</v>
      </c>
      <c r="C452">
        <f>SUM($B$4:B452)</f>
        <v>14789381.865810018</v>
      </c>
      <c r="D452" s="26">
        <f t="shared" si="12"/>
        <v>0.46611732472300821</v>
      </c>
      <c r="E452" t="str">
        <f t="shared" si="13"/>
        <v>C</v>
      </c>
    </row>
    <row r="453" spans="1:5" x14ac:dyDescent="0.45">
      <c r="A453" s="18" t="s">
        <v>1127</v>
      </c>
      <c r="B453" s="13">
        <v>17427.164800000002</v>
      </c>
      <c r="C453">
        <f>SUM($B$4:B453)</f>
        <v>14806809.030610017</v>
      </c>
      <c r="D453" s="26">
        <f t="shared" ref="D453:D516" si="14">C453/SUM($B$4:$B$1255)</f>
        <v>0.4666665771196119</v>
      </c>
      <c r="E453" t="str">
        <f t="shared" ref="E453:E516" si="15">IF(D453&gt;=0.8,"A",IF(D453&gt;=0.95,"B","C"))</f>
        <v>C</v>
      </c>
    </row>
    <row r="454" spans="1:5" x14ac:dyDescent="0.45">
      <c r="A454" s="25" t="s">
        <v>722</v>
      </c>
      <c r="B454" s="13">
        <v>17427.164800000002</v>
      </c>
      <c r="C454">
        <f>SUM($B$4:B454)</f>
        <v>14824236.195410017</v>
      </c>
      <c r="D454" s="26">
        <f t="shared" si="14"/>
        <v>0.46721582951621554</v>
      </c>
      <c r="E454" t="str">
        <f t="shared" si="15"/>
        <v>C</v>
      </c>
    </row>
    <row r="455" spans="1:5" x14ac:dyDescent="0.45">
      <c r="A455" s="18" t="s">
        <v>962</v>
      </c>
      <c r="B455" s="13">
        <v>17359.804799999998</v>
      </c>
      <c r="C455">
        <f>SUM($B$4:B455)</f>
        <v>14841596.000210017</v>
      </c>
      <c r="D455" s="26">
        <f t="shared" si="14"/>
        <v>0.46776295892598457</v>
      </c>
      <c r="E455" t="str">
        <f t="shared" si="15"/>
        <v>C</v>
      </c>
    </row>
    <row r="456" spans="1:5" x14ac:dyDescent="0.45">
      <c r="A456" s="25" t="s">
        <v>722</v>
      </c>
      <c r="B456" s="13">
        <v>17359.804799999998</v>
      </c>
      <c r="C456">
        <f>SUM($B$4:B456)</f>
        <v>14858955.805010017</v>
      </c>
      <c r="D456" s="26">
        <f t="shared" si="14"/>
        <v>0.4683100883357536</v>
      </c>
      <c r="E456" t="str">
        <f t="shared" si="15"/>
        <v>C</v>
      </c>
    </row>
    <row r="457" spans="1:5" x14ac:dyDescent="0.45">
      <c r="A457" s="18" t="s">
        <v>1128</v>
      </c>
      <c r="B457" s="13">
        <v>16946.091840000001</v>
      </c>
      <c r="C457">
        <f>SUM($B$4:B457)</f>
        <v>14875901.896850018</v>
      </c>
      <c r="D457" s="26">
        <f t="shared" si="14"/>
        <v>0.46884417874363143</v>
      </c>
      <c r="E457" t="str">
        <f t="shared" si="15"/>
        <v>C</v>
      </c>
    </row>
    <row r="458" spans="1:5" x14ac:dyDescent="0.45">
      <c r="A458" s="25" t="s">
        <v>721</v>
      </c>
      <c r="B458" s="13">
        <v>16946.091840000001</v>
      </c>
      <c r="C458">
        <f>SUM($B$4:B458)</f>
        <v>14892847.988690019</v>
      </c>
      <c r="D458" s="26">
        <f t="shared" si="14"/>
        <v>0.46937826915150932</v>
      </c>
      <c r="E458" t="str">
        <f t="shared" si="15"/>
        <v>C</v>
      </c>
    </row>
    <row r="459" spans="1:5" x14ac:dyDescent="0.45">
      <c r="A459" s="18" t="s">
        <v>1098</v>
      </c>
      <c r="B459" s="13">
        <v>16873.45</v>
      </c>
      <c r="C459">
        <f>SUM($B$4:B459)</f>
        <v>14909721.438690018</v>
      </c>
      <c r="D459" s="26">
        <f t="shared" si="14"/>
        <v>0.46991007010466673</v>
      </c>
      <c r="E459" t="str">
        <f t="shared" si="15"/>
        <v>C</v>
      </c>
    </row>
    <row r="460" spans="1:5" x14ac:dyDescent="0.45">
      <c r="A460" s="25" t="s">
        <v>724</v>
      </c>
      <c r="B460" s="13">
        <v>16873.45</v>
      </c>
      <c r="C460">
        <f>SUM($B$4:B460)</f>
        <v>14926594.888690017</v>
      </c>
      <c r="D460" s="26">
        <f t="shared" si="14"/>
        <v>0.4704418710578242</v>
      </c>
      <c r="E460" t="str">
        <f t="shared" si="15"/>
        <v>C</v>
      </c>
    </row>
    <row r="461" spans="1:5" x14ac:dyDescent="0.45">
      <c r="A461" s="18" t="s">
        <v>955</v>
      </c>
      <c r="B461" s="13">
        <v>16609.090809999998</v>
      </c>
      <c r="C461">
        <f>SUM($B$4:B461)</f>
        <v>14943203.979500018</v>
      </c>
      <c r="D461" s="26">
        <f t="shared" si="14"/>
        <v>0.47096534019566128</v>
      </c>
      <c r="E461" t="str">
        <f t="shared" si="15"/>
        <v>C</v>
      </c>
    </row>
    <row r="462" spans="1:5" x14ac:dyDescent="0.45">
      <c r="A462" s="25" t="s">
        <v>722</v>
      </c>
      <c r="B462" s="13">
        <v>16609.090809999998</v>
      </c>
      <c r="C462">
        <f>SUM($B$4:B462)</f>
        <v>14959813.070310019</v>
      </c>
      <c r="D462" s="26">
        <f t="shared" si="14"/>
        <v>0.47148880933349835</v>
      </c>
      <c r="E462" t="str">
        <f t="shared" si="15"/>
        <v>C</v>
      </c>
    </row>
    <row r="463" spans="1:5" x14ac:dyDescent="0.45">
      <c r="A463" s="18" t="s">
        <v>1225</v>
      </c>
      <c r="B463" s="13">
        <v>16574.544740000001</v>
      </c>
      <c r="C463">
        <f>SUM($B$4:B463)</f>
        <v>14976387.61505002</v>
      </c>
      <c r="D463" s="26">
        <f t="shared" si="14"/>
        <v>0.47201118968196792</v>
      </c>
      <c r="E463" t="str">
        <f t="shared" si="15"/>
        <v>C</v>
      </c>
    </row>
    <row r="464" spans="1:5" x14ac:dyDescent="0.45">
      <c r="A464" s="25" t="s">
        <v>726</v>
      </c>
      <c r="B464" s="13">
        <v>16574.544740000001</v>
      </c>
      <c r="C464">
        <f>SUM($B$4:B464)</f>
        <v>14992962.15979002</v>
      </c>
      <c r="D464" s="26">
        <f t="shared" si="14"/>
        <v>0.47253357003043744</v>
      </c>
      <c r="E464" t="str">
        <f t="shared" si="15"/>
        <v>C</v>
      </c>
    </row>
    <row r="465" spans="1:5" x14ac:dyDescent="0.45">
      <c r="A465" s="18" t="s">
        <v>1078</v>
      </c>
      <c r="B465" s="13">
        <v>16487.22781</v>
      </c>
      <c r="C465">
        <f>SUM($B$4:B465)</f>
        <v>15009449.38760002</v>
      </c>
      <c r="D465" s="26">
        <f t="shared" si="14"/>
        <v>0.47305319840900151</v>
      </c>
      <c r="E465" t="str">
        <f t="shared" si="15"/>
        <v>C</v>
      </c>
    </row>
    <row r="466" spans="1:5" x14ac:dyDescent="0.45">
      <c r="A466" s="25" t="s">
        <v>726</v>
      </c>
      <c r="B466" s="13">
        <v>16487.22781</v>
      </c>
      <c r="C466">
        <f>SUM($B$4:B466)</f>
        <v>15025936.615410019</v>
      </c>
      <c r="D466" s="26">
        <f t="shared" si="14"/>
        <v>0.47357282678756557</v>
      </c>
      <c r="E466" t="str">
        <f t="shared" si="15"/>
        <v>C</v>
      </c>
    </row>
    <row r="467" spans="1:5" x14ac:dyDescent="0.45">
      <c r="A467" s="18" t="s">
        <v>1044</v>
      </c>
      <c r="B467" s="13">
        <v>16306.59375</v>
      </c>
      <c r="C467">
        <f>SUM($B$4:B467)</f>
        <v>15042243.209160019</v>
      </c>
      <c r="D467" s="26">
        <f t="shared" si="14"/>
        <v>0.47408676211786266</v>
      </c>
      <c r="E467" t="str">
        <f t="shared" si="15"/>
        <v>C</v>
      </c>
    </row>
    <row r="468" spans="1:5" x14ac:dyDescent="0.45">
      <c r="A468" s="25" t="s">
        <v>723</v>
      </c>
      <c r="B468" s="13">
        <v>16306.59375</v>
      </c>
      <c r="C468">
        <f>SUM($B$4:B468)</f>
        <v>15058549.802910019</v>
      </c>
      <c r="D468" s="26">
        <f t="shared" si="14"/>
        <v>0.47460069744815975</v>
      </c>
      <c r="E468" t="str">
        <f t="shared" si="15"/>
        <v>C</v>
      </c>
    </row>
    <row r="469" spans="1:5" x14ac:dyDescent="0.45">
      <c r="A469" s="18" t="s">
        <v>1195</v>
      </c>
      <c r="B469" s="13">
        <v>16252.219979999998</v>
      </c>
      <c r="C469">
        <f>SUM($B$4:B469)</f>
        <v>15074802.022890018</v>
      </c>
      <c r="D469" s="26">
        <f t="shared" si="14"/>
        <v>0.47511291907896369</v>
      </c>
      <c r="E469" t="str">
        <f t="shared" si="15"/>
        <v>C</v>
      </c>
    </row>
    <row r="470" spans="1:5" x14ac:dyDescent="0.45">
      <c r="A470" s="25" t="s">
        <v>722</v>
      </c>
      <c r="B470" s="13">
        <v>16252.219979999998</v>
      </c>
      <c r="C470">
        <f>SUM($B$4:B470)</f>
        <v>15091054.242870018</v>
      </c>
      <c r="D470" s="26">
        <f t="shared" si="14"/>
        <v>0.47562514070976764</v>
      </c>
      <c r="E470" t="str">
        <f t="shared" si="15"/>
        <v>C</v>
      </c>
    </row>
    <row r="471" spans="1:5" x14ac:dyDescent="0.45">
      <c r="A471" s="18" t="s">
        <v>1062</v>
      </c>
      <c r="B471" s="13">
        <v>16219.34496</v>
      </c>
      <c r="C471">
        <f>SUM($B$4:B471)</f>
        <v>15107273.587830018</v>
      </c>
      <c r="D471" s="26">
        <f t="shared" si="14"/>
        <v>0.47613632621772939</v>
      </c>
      <c r="E471" t="str">
        <f t="shared" si="15"/>
        <v>C</v>
      </c>
    </row>
    <row r="472" spans="1:5" x14ac:dyDescent="0.45">
      <c r="A472" s="25" t="s">
        <v>722</v>
      </c>
      <c r="B472" s="13">
        <v>16219.34496</v>
      </c>
      <c r="C472">
        <f>SUM($B$4:B472)</f>
        <v>15123492.932790019</v>
      </c>
      <c r="D472" s="26">
        <f t="shared" si="14"/>
        <v>0.4766475117256912</v>
      </c>
      <c r="E472" t="str">
        <f t="shared" si="15"/>
        <v>C</v>
      </c>
    </row>
    <row r="473" spans="1:5" x14ac:dyDescent="0.45">
      <c r="A473" s="18" t="s">
        <v>1116</v>
      </c>
      <c r="B473" s="13">
        <v>16142.527829999999</v>
      </c>
      <c r="C473">
        <f>SUM($B$4:B473)</f>
        <v>15139635.460620018</v>
      </c>
      <c r="D473" s="26">
        <f t="shared" si="14"/>
        <v>0.47715627618621137</v>
      </c>
      <c r="E473" t="str">
        <f t="shared" si="15"/>
        <v>C</v>
      </c>
    </row>
    <row r="474" spans="1:5" x14ac:dyDescent="0.45">
      <c r="A474" s="25" t="s">
        <v>726</v>
      </c>
      <c r="B474" s="13">
        <v>16142.527829999999</v>
      </c>
      <c r="C474">
        <f>SUM($B$4:B474)</f>
        <v>15155777.988450017</v>
      </c>
      <c r="D474" s="26">
        <f t="shared" si="14"/>
        <v>0.47766504064673154</v>
      </c>
      <c r="E474" t="str">
        <f t="shared" si="15"/>
        <v>C</v>
      </c>
    </row>
    <row r="475" spans="1:5" x14ac:dyDescent="0.45">
      <c r="A475" s="18" t="s">
        <v>1139</v>
      </c>
      <c r="B475" s="13">
        <v>16134.22069</v>
      </c>
      <c r="C475">
        <f>SUM($B$4:B475)</f>
        <v>15171912.209140018</v>
      </c>
      <c r="D475" s="26">
        <f t="shared" si="14"/>
        <v>0.478173543290909</v>
      </c>
      <c r="E475" t="str">
        <f t="shared" si="15"/>
        <v>C</v>
      </c>
    </row>
    <row r="476" spans="1:5" x14ac:dyDescent="0.45">
      <c r="A476" s="25" t="s">
        <v>724</v>
      </c>
      <c r="B476" s="13">
        <v>16134.22069</v>
      </c>
      <c r="C476">
        <f>SUM($B$4:B476)</f>
        <v>15188046.429830018</v>
      </c>
      <c r="D476" s="26">
        <f t="shared" si="14"/>
        <v>0.4786820459350864</v>
      </c>
      <c r="E476" t="str">
        <f t="shared" si="15"/>
        <v>C</v>
      </c>
    </row>
    <row r="477" spans="1:5" x14ac:dyDescent="0.45">
      <c r="A477" s="18" t="s">
        <v>1249</v>
      </c>
      <c r="B477" s="13">
        <v>16121.273400000002</v>
      </c>
      <c r="C477">
        <f>SUM($B$4:B477)</f>
        <v>15204167.703230018</v>
      </c>
      <c r="D477" s="26">
        <f t="shared" si="14"/>
        <v>0.47919014051919523</v>
      </c>
      <c r="E477" t="str">
        <f t="shared" si="15"/>
        <v>C</v>
      </c>
    </row>
    <row r="478" spans="1:5" x14ac:dyDescent="0.45">
      <c r="A478" s="25" t="s">
        <v>726</v>
      </c>
      <c r="B478" s="13">
        <v>16121.273400000002</v>
      </c>
      <c r="C478">
        <f>SUM($B$4:B478)</f>
        <v>15220288.976630017</v>
      </c>
      <c r="D478" s="26">
        <f t="shared" si="14"/>
        <v>0.47969823510330412</v>
      </c>
      <c r="E478" t="str">
        <f t="shared" si="15"/>
        <v>C</v>
      </c>
    </row>
    <row r="479" spans="1:5" x14ac:dyDescent="0.45">
      <c r="A479" s="18" t="s">
        <v>857</v>
      </c>
      <c r="B479" s="13">
        <v>16071.44868</v>
      </c>
      <c r="C479">
        <f>SUM($B$4:B479)</f>
        <v>15236360.425310018</v>
      </c>
      <c r="D479" s="26">
        <f t="shared" si="14"/>
        <v>0.48020475936044449</v>
      </c>
      <c r="E479" t="str">
        <f t="shared" si="15"/>
        <v>C</v>
      </c>
    </row>
    <row r="480" spans="1:5" x14ac:dyDescent="0.45">
      <c r="A480" s="25" t="s">
        <v>723</v>
      </c>
      <c r="B480" s="13">
        <v>16071.44868</v>
      </c>
      <c r="C480">
        <f>SUM($B$4:B480)</f>
        <v>15252431.873990018</v>
      </c>
      <c r="D480" s="26">
        <f t="shared" si="14"/>
        <v>0.48071128361758486</v>
      </c>
      <c r="E480" t="str">
        <f t="shared" si="15"/>
        <v>C</v>
      </c>
    </row>
    <row r="481" spans="1:5" x14ac:dyDescent="0.45">
      <c r="A481" s="18" t="s">
        <v>850</v>
      </c>
      <c r="B481" s="13">
        <v>16061.972879999999</v>
      </c>
      <c r="C481">
        <f>SUM($B$4:B481)</f>
        <v>15268493.846870018</v>
      </c>
      <c r="D481" s="26">
        <f t="shared" si="14"/>
        <v>0.48121750922569545</v>
      </c>
      <c r="E481" t="str">
        <f t="shared" si="15"/>
        <v>C</v>
      </c>
    </row>
    <row r="482" spans="1:5" x14ac:dyDescent="0.45">
      <c r="A482" s="25" t="s">
        <v>724</v>
      </c>
      <c r="B482" s="13">
        <v>16061.972879999999</v>
      </c>
      <c r="C482">
        <f>SUM($B$4:B482)</f>
        <v>15284555.819750018</v>
      </c>
      <c r="D482" s="26">
        <f t="shared" si="14"/>
        <v>0.48172373483380604</v>
      </c>
      <c r="E482" t="str">
        <f t="shared" si="15"/>
        <v>C</v>
      </c>
    </row>
    <row r="483" spans="1:5" x14ac:dyDescent="0.45">
      <c r="A483" s="18" t="s">
        <v>794</v>
      </c>
      <c r="B483" s="13">
        <v>16013.681599999998</v>
      </c>
      <c r="C483">
        <f>SUM($B$4:B483)</f>
        <v>15300569.501350019</v>
      </c>
      <c r="D483" s="26">
        <f t="shared" si="14"/>
        <v>0.4822284384444156</v>
      </c>
      <c r="E483" t="str">
        <f t="shared" si="15"/>
        <v>C</v>
      </c>
    </row>
    <row r="484" spans="1:5" x14ac:dyDescent="0.45">
      <c r="A484" s="25" t="s">
        <v>727</v>
      </c>
      <c r="B484" s="13">
        <v>16013.681599999998</v>
      </c>
      <c r="C484">
        <f>SUM($B$4:B484)</f>
        <v>15316583.18295002</v>
      </c>
      <c r="D484" s="26">
        <f t="shared" si="14"/>
        <v>0.48273314205502521</v>
      </c>
      <c r="E484" t="str">
        <f t="shared" si="15"/>
        <v>C</v>
      </c>
    </row>
    <row r="485" spans="1:5" x14ac:dyDescent="0.45">
      <c r="A485" s="18" t="s">
        <v>738</v>
      </c>
      <c r="B485" s="13">
        <v>16006.14344</v>
      </c>
      <c r="C485">
        <f>SUM($B$4:B485)</f>
        <v>15332589.326390021</v>
      </c>
      <c r="D485" s="26">
        <f t="shared" si="14"/>
        <v>0.48323760808525423</v>
      </c>
      <c r="E485" t="str">
        <f t="shared" si="15"/>
        <v>C</v>
      </c>
    </row>
    <row r="486" spans="1:5" x14ac:dyDescent="0.45">
      <c r="A486" s="25" t="s">
        <v>727</v>
      </c>
      <c r="B486" s="13">
        <v>16006.14344</v>
      </c>
      <c r="C486">
        <f>SUM($B$4:B486)</f>
        <v>15348595.469830021</v>
      </c>
      <c r="D486" s="26">
        <f t="shared" si="14"/>
        <v>0.4837420741154832</v>
      </c>
      <c r="E486" t="str">
        <f t="shared" si="15"/>
        <v>C</v>
      </c>
    </row>
    <row r="487" spans="1:5" x14ac:dyDescent="0.45">
      <c r="A487" s="18" t="s">
        <v>1279</v>
      </c>
      <c r="B487" s="13">
        <v>15860.782080000001</v>
      </c>
      <c r="C487">
        <f>SUM($B$4:B487)</f>
        <v>15364456.251910022</v>
      </c>
      <c r="D487" s="26">
        <f t="shared" si="14"/>
        <v>0.48424195878802895</v>
      </c>
      <c r="E487" t="str">
        <f t="shared" si="15"/>
        <v>C</v>
      </c>
    </row>
    <row r="488" spans="1:5" x14ac:dyDescent="0.45">
      <c r="A488" s="25" t="s">
        <v>727</v>
      </c>
      <c r="B488" s="13">
        <v>15860.782080000001</v>
      </c>
      <c r="C488">
        <f>SUM($B$4:B488)</f>
        <v>15380317.033990022</v>
      </c>
      <c r="D488" s="26">
        <f t="shared" si="14"/>
        <v>0.4847418434605747</v>
      </c>
      <c r="E488" t="str">
        <f t="shared" si="15"/>
        <v>C</v>
      </c>
    </row>
    <row r="489" spans="1:5" x14ac:dyDescent="0.45">
      <c r="A489" s="18" t="s">
        <v>935</v>
      </c>
      <c r="B489" s="13">
        <v>15825.399369999997</v>
      </c>
      <c r="C489">
        <f>SUM($B$4:B489)</f>
        <v>15396142.433360022</v>
      </c>
      <c r="D489" s="26">
        <f t="shared" si="14"/>
        <v>0.48524061297534871</v>
      </c>
      <c r="E489" t="str">
        <f t="shared" si="15"/>
        <v>C</v>
      </c>
    </row>
    <row r="490" spans="1:5" x14ac:dyDescent="0.45">
      <c r="A490" s="25" t="s">
        <v>722</v>
      </c>
      <c r="B490" s="13">
        <v>15825.399369999997</v>
      </c>
      <c r="C490">
        <f>SUM($B$4:B490)</f>
        <v>15411967.832730021</v>
      </c>
      <c r="D490" s="26">
        <f t="shared" si="14"/>
        <v>0.48573938249012272</v>
      </c>
      <c r="E490" t="str">
        <f t="shared" si="15"/>
        <v>C</v>
      </c>
    </row>
    <row r="491" spans="1:5" x14ac:dyDescent="0.45">
      <c r="A491" s="18" t="s">
        <v>904</v>
      </c>
      <c r="B491" s="13">
        <v>15656.47056</v>
      </c>
      <c r="C491">
        <f>SUM($B$4:B491)</f>
        <v>15427624.303290021</v>
      </c>
      <c r="D491" s="26">
        <f t="shared" si="14"/>
        <v>0.48623282787129191</v>
      </c>
      <c r="E491" t="str">
        <f t="shared" si="15"/>
        <v>C</v>
      </c>
    </row>
    <row r="492" spans="1:5" x14ac:dyDescent="0.45">
      <c r="A492" s="25" t="s">
        <v>722</v>
      </c>
      <c r="B492" s="13">
        <v>15656.47056</v>
      </c>
      <c r="C492">
        <f>SUM($B$4:B492)</f>
        <v>15443280.77385002</v>
      </c>
      <c r="D492" s="26">
        <f t="shared" si="14"/>
        <v>0.48672627325246109</v>
      </c>
      <c r="E492" t="str">
        <f t="shared" si="15"/>
        <v>C</v>
      </c>
    </row>
    <row r="493" spans="1:5" x14ac:dyDescent="0.45">
      <c r="A493" s="18" t="s">
        <v>1272</v>
      </c>
      <c r="B493" s="13">
        <v>15530.929919999999</v>
      </c>
      <c r="C493">
        <f>SUM($B$4:B493)</f>
        <v>15458811.703770019</v>
      </c>
      <c r="D493" s="26">
        <f t="shared" si="14"/>
        <v>0.48721576196608379</v>
      </c>
      <c r="E493" t="str">
        <f t="shared" si="15"/>
        <v>C</v>
      </c>
    </row>
    <row r="494" spans="1:5" x14ac:dyDescent="0.45">
      <c r="A494" s="25" t="s">
        <v>727</v>
      </c>
      <c r="B494" s="13">
        <v>15530.929919999999</v>
      </c>
      <c r="C494">
        <f>SUM($B$4:B494)</f>
        <v>15474342.633690018</v>
      </c>
      <c r="D494" s="26">
        <f t="shared" si="14"/>
        <v>0.48770525067970655</v>
      </c>
      <c r="E494" t="str">
        <f t="shared" si="15"/>
        <v>C</v>
      </c>
    </row>
    <row r="495" spans="1:5" x14ac:dyDescent="0.45">
      <c r="A495" s="18" t="s">
        <v>1011</v>
      </c>
      <c r="B495" s="13">
        <v>15505.479600000001</v>
      </c>
      <c r="C495">
        <f>SUM($B$4:B495)</f>
        <v>15489848.113290017</v>
      </c>
      <c r="D495" s="26">
        <f t="shared" si="14"/>
        <v>0.48819393727494598</v>
      </c>
      <c r="E495" t="str">
        <f t="shared" si="15"/>
        <v>C</v>
      </c>
    </row>
    <row r="496" spans="1:5" x14ac:dyDescent="0.45">
      <c r="A496" s="25" t="s">
        <v>725</v>
      </c>
      <c r="B496" s="13">
        <v>15505.479600000001</v>
      </c>
      <c r="C496">
        <f>SUM($B$4:B496)</f>
        <v>15505353.592890017</v>
      </c>
      <c r="D496" s="26">
        <f t="shared" si="14"/>
        <v>0.48868262387018541</v>
      </c>
      <c r="E496" t="str">
        <f t="shared" si="15"/>
        <v>C</v>
      </c>
    </row>
    <row r="497" spans="1:5" x14ac:dyDescent="0.45">
      <c r="A497" s="18" t="s">
        <v>951</v>
      </c>
      <c r="B497" s="13">
        <v>15490.527</v>
      </c>
      <c r="C497">
        <f>SUM($B$4:B497)</f>
        <v>15520844.119890017</v>
      </c>
      <c r="D497" s="26">
        <f t="shared" si="14"/>
        <v>0.4891708392039501</v>
      </c>
      <c r="E497" t="str">
        <f t="shared" si="15"/>
        <v>C</v>
      </c>
    </row>
    <row r="498" spans="1:5" x14ac:dyDescent="0.45">
      <c r="A498" s="25" t="s">
        <v>725</v>
      </c>
      <c r="B498" s="13">
        <v>15490.527</v>
      </c>
      <c r="C498">
        <f>SUM($B$4:B498)</f>
        <v>15536334.646890018</v>
      </c>
      <c r="D498" s="26">
        <f t="shared" si="14"/>
        <v>0.4896590545377148</v>
      </c>
      <c r="E498" t="str">
        <f t="shared" si="15"/>
        <v>C</v>
      </c>
    </row>
    <row r="499" spans="1:5" x14ac:dyDescent="0.45">
      <c r="A499" s="18" t="s">
        <v>1198</v>
      </c>
      <c r="B499" s="13">
        <v>15374.563199999999</v>
      </c>
      <c r="C499">
        <f>SUM($B$4:B499)</f>
        <v>15551709.210090019</v>
      </c>
      <c r="D499" s="26">
        <f t="shared" si="14"/>
        <v>0.49014361503744308</v>
      </c>
      <c r="E499" t="str">
        <f t="shared" si="15"/>
        <v>C</v>
      </c>
    </row>
    <row r="500" spans="1:5" x14ac:dyDescent="0.45">
      <c r="A500" s="25" t="s">
        <v>721</v>
      </c>
      <c r="B500" s="13">
        <v>15374.563199999999</v>
      </c>
      <c r="C500">
        <f>SUM($B$4:B500)</f>
        <v>15567083.773290019</v>
      </c>
      <c r="D500" s="26">
        <f t="shared" si="14"/>
        <v>0.49062817553717136</v>
      </c>
      <c r="E500" t="str">
        <f t="shared" si="15"/>
        <v>C</v>
      </c>
    </row>
    <row r="501" spans="1:5" x14ac:dyDescent="0.45">
      <c r="A501" s="18" t="s">
        <v>1151</v>
      </c>
      <c r="B501" s="13">
        <v>15366.983199999999</v>
      </c>
      <c r="C501">
        <f>SUM($B$4:B501)</f>
        <v>15582450.75649002</v>
      </c>
      <c r="D501" s="26">
        <f t="shared" si="14"/>
        <v>0.49111249713784666</v>
      </c>
      <c r="E501" t="str">
        <f t="shared" si="15"/>
        <v>C</v>
      </c>
    </row>
    <row r="502" spans="1:5" x14ac:dyDescent="0.45">
      <c r="A502" s="25" t="s">
        <v>725</v>
      </c>
      <c r="B502" s="13">
        <v>15366.983199999999</v>
      </c>
      <c r="C502">
        <f>SUM($B$4:B502)</f>
        <v>15597817.739690021</v>
      </c>
      <c r="D502" s="26">
        <f t="shared" si="14"/>
        <v>0.49159681873852201</v>
      </c>
      <c r="E502" t="str">
        <f t="shared" si="15"/>
        <v>C</v>
      </c>
    </row>
    <row r="503" spans="1:5" x14ac:dyDescent="0.45">
      <c r="A503" s="18" t="s">
        <v>1104</v>
      </c>
      <c r="B503" s="13">
        <v>15348.702599999999</v>
      </c>
      <c r="C503">
        <f>SUM($B$4:B503)</f>
        <v>15613166.442290021</v>
      </c>
      <c r="D503" s="26">
        <f t="shared" si="14"/>
        <v>0.49208056418906176</v>
      </c>
      <c r="E503" t="str">
        <f t="shared" si="15"/>
        <v>C</v>
      </c>
    </row>
    <row r="504" spans="1:5" x14ac:dyDescent="0.45">
      <c r="A504" s="25" t="s">
        <v>721</v>
      </c>
      <c r="B504" s="13">
        <v>15348.702599999999</v>
      </c>
      <c r="C504">
        <f>SUM($B$4:B504)</f>
        <v>15628515.144890022</v>
      </c>
      <c r="D504" s="26">
        <f t="shared" si="14"/>
        <v>0.49256430963960157</v>
      </c>
      <c r="E504" t="str">
        <f t="shared" si="15"/>
        <v>C</v>
      </c>
    </row>
    <row r="505" spans="1:5" x14ac:dyDescent="0.45">
      <c r="A505" s="18" t="s">
        <v>1233</v>
      </c>
      <c r="B505" s="13">
        <v>15323.926799999999</v>
      </c>
      <c r="C505">
        <f>SUM($B$4:B505)</f>
        <v>15643839.071690021</v>
      </c>
      <c r="D505" s="26">
        <f t="shared" si="14"/>
        <v>0.49304727423062206</v>
      </c>
      <c r="E505" t="str">
        <f t="shared" si="15"/>
        <v>C</v>
      </c>
    </row>
    <row r="506" spans="1:5" x14ac:dyDescent="0.45">
      <c r="A506" s="25" t="s">
        <v>723</v>
      </c>
      <c r="B506" s="13">
        <v>15323.926799999999</v>
      </c>
      <c r="C506">
        <f>SUM($B$4:B506)</f>
        <v>15659162.998490021</v>
      </c>
      <c r="D506" s="26">
        <f t="shared" si="14"/>
        <v>0.4935302388216426</v>
      </c>
      <c r="E506" t="str">
        <f t="shared" si="15"/>
        <v>C</v>
      </c>
    </row>
    <row r="507" spans="1:5" x14ac:dyDescent="0.45">
      <c r="A507" s="18" t="s">
        <v>1110</v>
      </c>
      <c r="B507" s="13">
        <v>15257.51748</v>
      </c>
      <c r="C507">
        <f>SUM($B$4:B507)</f>
        <v>15674420.515970021</v>
      </c>
      <c r="D507" s="26">
        <f t="shared" si="14"/>
        <v>0.49401111038843426</v>
      </c>
      <c r="E507" t="str">
        <f t="shared" si="15"/>
        <v>C</v>
      </c>
    </row>
    <row r="508" spans="1:5" x14ac:dyDescent="0.45">
      <c r="A508" s="25" t="s">
        <v>726</v>
      </c>
      <c r="B508" s="13">
        <v>15257.51748</v>
      </c>
      <c r="C508">
        <f>SUM($B$4:B508)</f>
        <v>15689678.033450022</v>
      </c>
      <c r="D508" s="26">
        <f t="shared" si="14"/>
        <v>0.49449198195522592</v>
      </c>
      <c r="E508" t="str">
        <f t="shared" si="15"/>
        <v>C</v>
      </c>
    </row>
    <row r="509" spans="1:5" x14ac:dyDescent="0.45">
      <c r="A509" s="18" t="s">
        <v>942</v>
      </c>
      <c r="B509" s="13">
        <v>15253.069799999999</v>
      </c>
      <c r="C509">
        <f>SUM($B$4:B509)</f>
        <v>15704931.103250023</v>
      </c>
      <c r="D509" s="26">
        <f t="shared" si="14"/>
        <v>0.49497271334437387</v>
      </c>
      <c r="E509" t="str">
        <f t="shared" si="15"/>
        <v>C</v>
      </c>
    </row>
    <row r="510" spans="1:5" x14ac:dyDescent="0.45">
      <c r="A510" s="25" t="s">
        <v>723</v>
      </c>
      <c r="B510" s="13">
        <v>15253.069799999999</v>
      </c>
      <c r="C510">
        <f>SUM($B$4:B510)</f>
        <v>15720184.173050024</v>
      </c>
      <c r="D510" s="26">
        <f t="shared" si="14"/>
        <v>0.49545344473352176</v>
      </c>
      <c r="E510" t="str">
        <f t="shared" si="15"/>
        <v>C</v>
      </c>
    </row>
    <row r="511" spans="1:5" x14ac:dyDescent="0.45">
      <c r="A511" s="18" t="s">
        <v>1261</v>
      </c>
      <c r="B511" s="13">
        <v>15155.326800000001</v>
      </c>
      <c r="C511">
        <f>SUM($B$4:B511)</f>
        <v>15735339.499850024</v>
      </c>
      <c r="D511" s="26">
        <f t="shared" si="14"/>
        <v>0.49593109555405063</v>
      </c>
      <c r="E511" t="str">
        <f t="shared" si="15"/>
        <v>C</v>
      </c>
    </row>
    <row r="512" spans="1:5" x14ac:dyDescent="0.45">
      <c r="A512" s="25" t="s">
        <v>725</v>
      </c>
      <c r="B512" s="13">
        <v>15155.326800000001</v>
      </c>
      <c r="C512">
        <f>SUM($B$4:B512)</f>
        <v>15750494.826650023</v>
      </c>
      <c r="D512" s="26">
        <f t="shared" si="14"/>
        <v>0.49640874637457949</v>
      </c>
      <c r="E512" t="str">
        <f t="shared" si="15"/>
        <v>C</v>
      </c>
    </row>
    <row r="513" spans="1:5" x14ac:dyDescent="0.45">
      <c r="A513" s="18" t="s">
        <v>766</v>
      </c>
      <c r="B513" s="13">
        <v>14968.239</v>
      </c>
      <c r="C513">
        <f>SUM($B$4:B513)</f>
        <v>15765463.065650024</v>
      </c>
      <c r="D513" s="26">
        <f t="shared" si="14"/>
        <v>0.49688050074415352</v>
      </c>
      <c r="E513" t="str">
        <f t="shared" si="15"/>
        <v>C</v>
      </c>
    </row>
    <row r="514" spans="1:5" x14ac:dyDescent="0.45">
      <c r="A514" s="25" t="s">
        <v>722</v>
      </c>
      <c r="B514" s="13">
        <v>14968.239</v>
      </c>
      <c r="C514">
        <f>SUM($B$4:B514)</f>
        <v>15780431.304650024</v>
      </c>
      <c r="D514" s="26">
        <f t="shared" si="14"/>
        <v>0.49735225511372749</v>
      </c>
      <c r="E514" t="str">
        <f t="shared" si="15"/>
        <v>C</v>
      </c>
    </row>
    <row r="515" spans="1:5" x14ac:dyDescent="0.45">
      <c r="A515" s="18" t="s">
        <v>927</v>
      </c>
      <c r="B515" s="13">
        <v>14963.769179999999</v>
      </c>
      <c r="C515">
        <f>SUM($B$4:B515)</f>
        <v>15795395.073830023</v>
      </c>
      <c r="D515" s="26">
        <f t="shared" si="14"/>
        <v>0.49782386860787081</v>
      </c>
      <c r="E515" t="str">
        <f t="shared" si="15"/>
        <v>C</v>
      </c>
    </row>
    <row r="516" spans="1:5" x14ac:dyDescent="0.45">
      <c r="A516" s="25" t="s">
        <v>724</v>
      </c>
      <c r="B516" s="13">
        <v>14963.769179999999</v>
      </c>
      <c r="C516">
        <f>SUM($B$4:B516)</f>
        <v>15810358.843010023</v>
      </c>
      <c r="D516" s="26">
        <f t="shared" si="14"/>
        <v>0.49829548210201408</v>
      </c>
      <c r="E516" t="str">
        <f t="shared" si="15"/>
        <v>C</v>
      </c>
    </row>
    <row r="517" spans="1:5" x14ac:dyDescent="0.45">
      <c r="A517" s="18" t="s">
        <v>1320</v>
      </c>
      <c r="B517" s="13">
        <v>14910.609600000002</v>
      </c>
      <c r="C517">
        <f>SUM($B$4:B517)</f>
        <v>15825269.452610023</v>
      </c>
      <c r="D517" s="26">
        <f t="shared" ref="D517:D580" si="16">C517/SUM($B$4:$B$1255)</f>
        <v>0.4987654201643214</v>
      </c>
      <c r="E517" t="str">
        <f t="shared" ref="E517:E580" si="17">IF(D517&gt;=0.8,"A",IF(D517&gt;=0.95,"B","C"))</f>
        <v>C</v>
      </c>
    </row>
    <row r="518" spans="1:5" x14ac:dyDescent="0.45">
      <c r="A518" s="25" t="s">
        <v>725</v>
      </c>
      <c r="B518" s="13">
        <v>14910.609600000002</v>
      </c>
      <c r="C518">
        <f>SUM($B$4:B518)</f>
        <v>15840180.062210023</v>
      </c>
      <c r="D518" s="26">
        <f t="shared" si="16"/>
        <v>0.49923535822662868</v>
      </c>
      <c r="E518" t="str">
        <f t="shared" si="17"/>
        <v>C</v>
      </c>
    </row>
    <row r="519" spans="1:5" x14ac:dyDescent="0.45">
      <c r="A519" s="18" t="s">
        <v>778</v>
      </c>
      <c r="B519" s="13">
        <v>14894.903999999999</v>
      </c>
      <c r="C519">
        <f>SUM($B$4:B519)</f>
        <v>15855074.966210023</v>
      </c>
      <c r="D519" s="26">
        <f t="shared" si="16"/>
        <v>0.49970480129514094</v>
      </c>
      <c r="E519" t="str">
        <f t="shared" si="17"/>
        <v>C</v>
      </c>
    </row>
    <row r="520" spans="1:5" x14ac:dyDescent="0.45">
      <c r="A520" s="25" t="s">
        <v>727</v>
      </c>
      <c r="B520" s="13">
        <v>14894.903999999999</v>
      </c>
      <c r="C520">
        <f>SUM($B$4:B520)</f>
        <v>15869969.870210022</v>
      </c>
      <c r="D520" s="26">
        <f t="shared" si="16"/>
        <v>0.50017424436365321</v>
      </c>
      <c r="E520" t="str">
        <f t="shared" si="17"/>
        <v>C</v>
      </c>
    </row>
    <row r="521" spans="1:5" x14ac:dyDescent="0.45">
      <c r="A521" s="18" t="s">
        <v>876</v>
      </c>
      <c r="B521" s="13">
        <v>14877.464000000002</v>
      </c>
      <c r="C521">
        <f>SUM($B$4:B521)</f>
        <v>15884847.334210021</v>
      </c>
      <c r="D521" s="26">
        <f t="shared" si="16"/>
        <v>0.50064313777524161</v>
      </c>
      <c r="E521" t="str">
        <f t="shared" si="17"/>
        <v>C</v>
      </c>
    </row>
    <row r="522" spans="1:5" x14ac:dyDescent="0.45">
      <c r="A522" s="25" t="s">
        <v>722</v>
      </c>
      <c r="B522" s="13">
        <v>14877.464000000002</v>
      </c>
      <c r="C522">
        <f>SUM($B$4:B522)</f>
        <v>15899724.798210021</v>
      </c>
      <c r="D522" s="26">
        <f t="shared" si="16"/>
        <v>0.5011120311868299</v>
      </c>
      <c r="E522" t="str">
        <f t="shared" si="17"/>
        <v>C</v>
      </c>
    </row>
    <row r="523" spans="1:5" x14ac:dyDescent="0.45">
      <c r="A523" s="18" t="s">
        <v>1086</v>
      </c>
      <c r="B523" s="13">
        <v>14813.731920000002</v>
      </c>
      <c r="C523">
        <f>SUM($B$4:B523)</f>
        <v>15914538.530130021</v>
      </c>
      <c r="D523" s="26">
        <f t="shared" si="16"/>
        <v>0.50157891595283066</v>
      </c>
      <c r="E523" t="str">
        <f t="shared" si="17"/>
        <v>C</v>
      </c>
    </row>
    <row r="524" spans="1:5" x14ac:dyDescent="0.45">
      <c r="A524" s="25" t="s">
        <v>722</v>
      </c>
      <c r="B524" s="13">
        <v>14813.731920000002</v>
      </c>
      <c r="C524">
        <f>SUM($B$4:B524)</f>
        <v>15929352.262050021</v>
      </c>
      <c r="D524" s="26">
        <f t="shared" si="16"/>
        <v>0.50204580071883143</v>
      </c>
      <c r="E524" t="str">
        <f t="shared" si="17"/>
        <v>C</v>
      </c>
    </row>
    <row r="525" spans="1:5" x14ac:dyDescent="0.45">
      <c r="A525" s="18" t="s">
        <v>1181</v>
      </c>
      <c r="B525" s="13">
        <v>14752.706080000002</v>
      </c>
      <c r="C525">
        <f>SUM($B$4:B525)</f>
        <v>15944104.968130022</v>
      </c>
      <c r="D525" s="26">
        <f t="shared" si="16"/>
        <v>0.50251076213187951</v>
      </c>
      <c r="E525" t="str">
        <f t="shared" si="17"/>
        <v>C</v>
      </c>
    </row>
    <row r="526" spans="1:5" x14ac:dyDescent="0.45">
      <c r="A526" s="25" t="s">
        <v>727</v>
      </c>
      <c r="B526" s="13">
        <v>14752.706080000002</v>
      </c>
      <c r="C526">
        <f>SUM($B$4:B526)</f>
        <v>15958857.674210023</v>
      </c>
      <c r="D526" s="26">
        <f t="shared" si="16"/>
        <v>0.50297572354492759</v>
      </c>
      <c r="E526" t="str">
        <f t="shared" si="17"/>
        <v>C</v>
      </c>
    </row>
    <row r="527" spans="1:5" x14ac:dyDescent="0.45">
      <c r="A527" s="18" t="s">
        <v>736</v>
      </c>
      <c r="B527" s="13">
        <v>14714.12934</v>
      </c>
      <c r="C527">
        <f>SUM($B$4:B527)</f>
        <v>15973571.803550024</v>
      </c>
      <c r="D527" s="26">
        <f t="shared" si="16"/>
        <v>0.50343946913387916</v>
      </c>
      <c r="E527" t="str">
        <f t="shared" si="17"/>
        <v>C</v>
      </c>
    </row>
    <row r="528" spans="1:5" x14ac:dyDescent="0.45">
      <c r="A528" s="25" t="s">
        <v>726</v>
      </c>
      <c r="B528" s="13">
        <v>14714.12934</v>
      </c>
      <c r="C528">
        <f>SUM($B$4:B528)</f>
        <v>15988285.932890024</v>
      </c>
      <c r="D528" s="26">
        <f t="shared" si="16"/>
        <v>0.50390321472283073</v>
      </c>
      <c r="E528" t="str">
        <f t="shared" si="17"/>
        <v>C</v>
      </c>
    </row>
    <row r="529" spans="1:5" x14ac:dyDescent="0.45">
      <c r="A529" s="18" t="s">
        <v>898</v>
      </c>
      <c r="B529" s="13">
        <v>14549.029120000001</v>
      </c>
      <c r="C529">
        <f>SUM($B$4:B529)</f>
        <v>16002834.962010024</v>
      </c>
      <c r="D529" s="26">
        <f t="shared" si="16"/>
        <v>0.50436175684394591</v>
      </c>
      <c r="E529" t="str">
        <f t="shared" si="17"/>
        <v>C</v>
      </c>
    </row>
    <row r="530" spans="1:5" x14ac:dyDescent="0.45">
      <c r="A530" s="25" t="s">
        <v>727</v>
      </c>
      <c r="B530" s="13">
        <v>14549.029120000001</v>
      </c>
      <c r="C530">
        <f>SUM($B$4:B530)</f>
        <v>16017383.991130024</v>
      </c>
      <c r="D530" s="26">
        <f t="shared" si="16"/>
        <v>0.50482029896506109</v>
      </c>
      <c r="E530" t="str">
        <f t="shared" si="17"/>
        <v>C</v>
      </c>
    </row>
    <row r="531" spans="1:5" x14ac:dyDescent="0.45">
      <c r="A531" s="18" t="s">
        <v>1146</v>
      </c>
      <c r="B531" s="13">
        <v>14527.748400000002</v>
      </c>
      <c r="C531">
        <f>SUM($B$4:B531)</f>
        <v>16031911.739530025</v>
      </c>
      <c r="D531" s="26">
        <f t="shared" si="16"/>
        <v>0.5052781703811825</v>
      </c>
      <c r="E531" t="str">
        <f t="shared" si="17"/>
        <v>C</v>
      </c>
    </row>
    <row r="532" spans="1:5" x14ac:dyDescent="0.45">
      <c r="A532" s="25" t="s">
        <v>724</v>
      </c>
      <c r="B532" s="13">
        <v>14527.748400000002</v>
      </c>
      <c r="C532">
        <f>SUM($B$4:B532)</f>
        <v>16046439.487930026</v>
      </c>
      <c r="D532" s="26">
        <f t="shared" si="16"/>
        <v>0.5057360417973038</v>
      </c>
      <c r="E532" t="str">
        <f t="shared" si="17"/>
        <v>C</v>
      </c>
    </row>
    <row r="533" spans="1:5" x14ac:dyDescent="0.45">
      <c r="A533" s="18" t="s">
        <v>1299</v>
      </c>
      <c r="B533" s="13">
        <v>14466.95104</v>
      </c>
      <c r="C533">
        <f>SUM($B$4:B533)</f>
        <v>16060906.438970026</v>
      </c>
      <c r="D533" s="26">
        <f t="shared" si="16"/>
        <v>0.50619199706148232</v>
      </c>
      <c r="E533" t="str">
        <f t="shared" si="17"/>
        <v>C</v>
      </c>
    </row>
    <row r="534" spans="1:5" x14ac:dyDescent="0.45">
      <c r="A534" s="25" t="s">
        <v>726</v>
      </c>
      <c r="B534" s="13">
        <v>14466.95104</v>
      </c>
      <c r="C534">
        <f>SUM($B$4:B534)</f>
        <v>16075373.390010025</v>
      </c>
      <c r="D534" s="26">
        <f t="shared" si="16"/>
        <v>0.50664795232566096</v>
      </c>
      <c r="E534" t="str">
        <f t="shared" si="17"/>
        <v>C</v>
      </c>
    </row>
    <row r="535" spans="1:5" x14ac:dyDescent="0.45">
      <c r="A535" s="18" t="s">
        <v>894</v>
      </c>
      <c r="B535" s="13">
        <v>14448.298699999998</v>
      </c>
      <c r="C535">
        <f>SUM($B$4:B535)</f>
        <v>16089821.688710025</v>
      </c>
      <c r="D535" s="26">
        <f t="shared" si="16"/>
        <v>0.50710331972356493</v>
      </c>
      <c r="E535" t="str">
        <f t="shared" si="17"/>
        <v>C</v>
      </c>
    </row>
    <row r="536" spans="1:5" x14ac:dyDescent="0.45">
      <c r="A536" s="25" t="s">
        <v>725</v>
      </c>
      <c r="B536" s="13">
        <v>14448.298699999998</v>
      </c>
      <c r="C536">
        <f>SUM($B$4:B536)</f>
        <v>16104269.987410024</v>
      </c>
      <c r="D536" s="26">
        <f t="shared" si="16"/>
        <v>0.50755868712146901</v>
      </c>
      <c r="E536" t="str">
        <f t="shared" si="17"/>
        <v>C</v>
      </c>
    </row>
    <row r="537" spans="1:5" x14ac:dyDescent="0.45">
      <c r="A537" s="18" t="s">
        <v>1121</v>
      </c>
      <c r="B537" s="13">
        <v>14431.738420000001</v>
      </c>
      <c r="C537">
        <f>SUM($B$4:B537)</f>
        <v>16118701.725830024</v>
      </c>
      <c r="D537" s="26">
        <f t="shared" si="16"/>
        <v>0.50801353258860671</v>
      </c>
      <c r="E537" t="str">
        <f t="shared" si="17"/>
        <v>C</v>
      </c>
    </row>
    <row r="538" spans="1:5" x14ac:dyDescent="0.45">
      <c r="A538" s="25" t="s">
        <v>727</v>
      </c>
      <c r="B538" s="13">
        <v>14431.738420000001</v>
      </c>
      <c r="C538">
        <f>SUM($B$4:B538)</f>
        <v>16133133.464250024</v>
      </c>
      <c r="D538" s="26">
        <f t="shared" si="16"/>
        <v>0.50846837805574441</v>
      </c>
      <c r="E538" t="str">
        <f t="shared" si="17"/>
        <v>C</v>
      </c>
    </row>
    <row r="539" spans="1:5" x14ac:dyDescent="0.45">
      <c r="A539" s="18" t="s">
        <v>795</v>
      </c>
      <c r="B539" s="13">
        <v>14287.896349999999</v>
      </c>
      <c r="C539">
        <f>SUM($B$4:B539)</f>
        <v>16147421.360600024</v>
      </c>
      <c r="D539" s="26">
        <f t="shared" si="16"/>
        <v>0.50891869004870049</v>
      </c>
      <c r="E539" t="str">
        <f t="shared" si="17"/>
        <v>C</v>
      </c>
    </row>
    <row r="540" spans="1:5" x14ac:dyDescent="0.45">
      <c r="A540" s="25" t="s">
        <v>726</v>
      </c>
      <c r="B540" s="13">
        <v>14287.896349999999</v>
      </c>
      <c r="C540">
        <f>SUM($B$4:B540)</f>
        <v>16161709.256950025</v>
      </c>
      <c r="D540" s="26">
        <f t="shared" si="16"/>
        <v>0.50936900204165658</v>
      </c>
      <c r="E540" t="str">
        <f t="shared" si="17"/>
        <v>C</v>
      </c>
    </row>
    <row r="541" spans="1:5" x14ac:dyDescent="0.45">
      <c r="A541" s="18" t="s">
        <v>961</v>
      </c>
      <c r="B541" s="13">
        <v>14269.848599999999</v>
      </c>
      <c r="C541">
        <f>SUM($B$4:B541)</f>
        <v>16175979.105550025</v>
      </c>
      <c r="D541" s="26">
        <f t="shared" si="16"/>
        <v>0.50981874522321657</v>
      </c>
      <c r="E541" t="str">
        <f t="shared" si="17"/>
        <v>C</v>
      </c>
    </row>
    <row r="542" spans="1:5" x14ac:dyDescent="0.45">
      <c r="A542" s="25" t="s">
        <v>721</v>
      </c>
      <c r="B542" s="13">
        <v>14269.848599999999</v>
      </c>
      <c r="C542">
        <f>SUM($B$4:B542)</f>
        <v>16190248.954150025</v>
      </c>
      <c r="D542" s="26">
        <f t="shared" si="16"/>
        <v>0.51026848840477657</v>
      </c>
      <c r="E542" t="str">
        <f t="shared" si="17"/>
        <v>C</v>
      </c>
    </row>
    <row r="543" spans="1:5" x14ac:dyDescent="0.45">
      <c r="A543" s="18" t="s">
        <v>1193</v>
      </c>
      <c r="B543" s="13">
        <v>14261.92439</v>
      </c>
      <c r="C543">
        <f>SUM($B$4:B543)</f>
        <v>16204510.878540024</v>
      </c>
      <c r="D543" s="26">
        <f t="shared" si="16"/>
        <v>0.51071798183880823</v>
      </c>
      <c r="E543" t="str">
        <f t="shared" si="17"/>
        <v>C</v>
      </c>
    </row>
    <row r="544" spans="1:5" x14ac:dyDescent="0.45">
      <c r="A544" s="25" t="s">
        <v>723</v>
      </c>
      <c r="B544" s="13">
        <v>14261.92439</v>
      </c>
      <c r="C544">
        <f>SUM($B$4:B544)</f>
        <v>16218772.802930024</v>
      </c>
      <c r="D544" s="26">
        <f t="shared" si="16"/>
        <v>0.51116747527283979</v>
      </c>
      <c r="E544" t="str">
        <f t="shared" si="17"/>
        <v>C</v>
      </c>
    </row>
    <row r="545" spans="1:5" x14ac:dyDescent="0.45">
      <c r="A545" s="18" t="s">
        <v>814</v>
      </c>
      <c r="B545" s="13">
        <v>14197.064400000001</v>
      </c>
      <c r="C545">
        <f>SUM($B$4:B545)</f>
        <v>16232969.867330024</v>
      </c>
      <c r="D545" s="26">
        <f t="shared" si="16"/>
        <v>0.51161492451291568</v>
      </c>
      <c r="E545" t="str">
        <f t="shared" si="17"/>
        <v>C</v>
      </c>
    </row>
    <row r="546" spans="1:5" x14ac:dyDescent="0.45">
      <c r="A546" s="25" t="s">
        <v>721</v>
      </c>
      <c r="B546" s="13">
        <v>14197.064400000001</v>
      </c>
      <c r="C546">
        <f>SUM($B$4:B546)</f>
        <v>16247166.931730025</v>
      </c>
      <c r="D546" s="26">
        <f t="shared" si="16"/>
        <v>0.51206237375299157</v>
      </c>
      <c r="E546" t="str">
        <f t="shared" si="17"/>
        <v>C</v>
      </c>
    </row>
    <row r="547" spans="1:5" x14ac:dyDescent="0.45">
      <c r="A547" s="18" t="s">
        <v>1269</v>
      </c>
      <c r="B547" s="13">
        <v>14114.068500000001</v>
      </c>
      <c r="C547">
        <f>SUM($B$4:B547)</f>
        <v>16261281.000230024</v>
      </c>
      <c r="D547" s="26">
        <f t="shared" si="16"/>
        <v>0.51250720720917442</v>
      </c>
      <c r="E547" t="str">
        <f t="shared" si="17"/>
        <v>C</v>
      </c>
    </row>
    <row r="548" spans="1:5" x14ac:dyDescent="0.45">
      <c r="A548" s="25" t="s">
        <v>725</v>
      </c>
      <c r="B548" s="13">
        <v>14114.068500000001</v>
      </c>
      <c r="C548">
        <f>SUM($B$4:B548)</f>
        <v>16275395.068730023</v>
      </c>
      <c r="D548" s="26">
        <f t="shared" si="16"/>
        <v>0.51295204066535738</v>
      </c>
      <c r="E548" t="str">
        <f t="shared" si="17"/>
        <v>C</v>
      </c>
    </row>
    <row r="549" spans="1:5" x14ac:dyDescent="0.45">
      <c r="A549" s="18" t="s">
        <v>1351</v>
      </c>
      <c r="B549" s="13">
        <v>13983.752729999998</v>
      </c>
      <c r="C549">
        <f>SUM($B$4:B549)</f>
        <v>16289378.821460024</v>
      </c>
      <c r="D549" s="26">
        <f t="shared" si="16"/>
        <v>0.51339276695610003</v>
      </c>
      <c r="E549" t="str">
        <f t="shared" si="17"/>
        <v>C</v>
      </c>
    </row>
    <row r="550" spans="1:5" x14ac:dyDescent="0.45">
      <c r="A550" s="25" t="s">
        <v>721</v>
      </c>
      <c r="B550" s="13">
        <v>13983.752729999998</v>
      </c>
      <c r="C550">
        <f>SUM($B$4:B550)</f>
        <v>16303362.574190024</v>
      </c>
      <c r="D550" s="26">
        <f t="shared" si="16"/>
        <v>0.5138334932468428</v>
      </c>
      <c r="E550" t="str">
        <f t="shared" si="17"/>
        <v>C</v>
      </c>
    </row>
    <row r="551" spans="1:5" x14ac:dyDescent="0.45">
      <c r="A551" s="18" t="s">
        <v>1302</v>
      </c>
      <c r="B551" s="13">
        <v>13882.6016</v>
      </c>
      <c r="C551">
        <f>SUM($B$4:B551)</f>
        <v>16317245.175790025</v>
      </c>
      <c r="D551" s="26">
        <f t="shared" si="16"/>
        <v>0.51427103155484655</v>
      </c>
      <c r="E551" t="str">
        <f t="shared" si="17"/>
        <v>C</v>
      </c>
    </row>
    <row r="552" spans="1:5" x14ac:dyDescent="0.45">
      <c r="A552" s="25" t="s">
        <v>723</v>
      </c>
      <c r="B552" s="13">
        <v>13882.6016</v>
      </c>
      <c r="C552">
        <f>SUM($B$4:B552)</f>
        <v>16331127.777390026</v>
      </c>
      <c r="D552" s="26">
        <f t="shared" si="16"/>
        <v>0.5147085698628503</v>
      </c>
      <c r="E552" t="str">
        <f t="shared" si="17"/>
        <v>C</v>
      </c>
    </row>
    <row r="553" spans="1:5" x14ac:dyDescent="0.45">
      <c r="A553" s="18" t="s">
        <v>1331</v>
      </c>
      <c r="B553" s="13">
        <v>13856.52411</v>
      </c>
      <c r="C553">
        <f>SUM($B$4:B553)</f>
        <v>16344984.301500026</v>
      </c>
      <c r="D553" s="26">
        <f t="shared" si="16"/>
        <v>0.51514528628593781</v>
      </c>
      <c r="E553" t="str">
        <f t="shared" si="17"/>
        <v>C</v>
      </c>
    </row>
    <row r="554" spans="1:5" x14ac:dyDescent="0.45">
      <c r="A554" s="25" t="s">
        <v>727</v>
      </c>
      <c r="B554" s="13">
        <v>13856.52411</v>
      </c>
      <c r="C554">
        <f>SUM($B$4:B554)</f>
        <v>16358840.825610027</v>
      </c>
      <c r="D554" s="26">
        <f t="shared" si="16"/>
        <v>0.51558200270902543</v>
      </c>
      <c r="E554" t="str">
        <f t="shared" si="17"/>
        <v>C</v>
      </c>
    </row>
    <row r="555" spans="1:5" x14ac:dyDescent="0.45">
      <c r="A555" s="18" t="s">
        <v>1095</v>
      </c>
      <c r="B555" s="13">
        <v>13784.586000000001</v>
      </c>
      <c r="C555">
        <f>SUM($B$4:B555)</f>
        <v>16372625.411610026</v>
      </c>
      <c r="D555" s="26">
        <f t="shared" si="16"/>
        <v>0.51601645185686906</v>
      </c>
      <c r="E555" t="str">
        <f t="shared" si="17"/>
        <v>C</v>
      </c>
    </row>
    <row r="556" spans="1:5" x14ac:dyDescent="0.45">
      <c r="A556" s="25" t="s">
        <v>725</v>
      </c>
      <c r="B556" s="13">
        <v>13784.586000000001</v>
      </c>
      <c r="C556">
        <f>SUM($B$4:B556)</f>
        <v>16386409.997610025</v>
      </c>
      <c r="D556" s="26">
        <f t="shared" si="16"/>
        <v>0.51645090100471258</v>
      </c>
      <c r="E556" t="str">
        <f t="shared" si="17"/>
        <v>C</v>
      </c>
    </row>
    <row r="557" spans="1:5" x14ac:dyDescent="0.45">
      <c r="A557" s="18" t="s">
        <v>830</v>
      </c>
      <c r="B557" s="13">
        <v>13669.81</v>
      </c>
      <c r="C557">
        <f>SUM($B$4:B557)</f>
        <v>16400079.807610026</v>
      </c>
      <c r="D557" s="26">
        <f t="shared" si="16"/>
        <v>0.5168817327544426</v>
      </c>
      <c r="E557" t="str">
        <f t="shared" si="17"/>
        <v>C</v>
      </c>
    </row>
    <row r="558" spans="1:5" x14ac:dyDescent="0.45">
      <c r="A558" s="25" t="s">
        <v>725</v>
      </c>
      <c r="B558" s="13">
        <v>13669.81</v>
      </c>
      <c r="C558">
        <f>SUM($B$4:B558)</f>
        <v>16413749.617610026</v>
      </c>
      <c r="D558" s="26">
        <f t="shared" si="16"/>
        <v>0.51731256450417251</v>
      </c>
      <c r="E558" t="str">
        <f t="shared" si="17"/>
        <v>C</v>
      </c>
    </row>
    <row r="559" spans="1:5" x14ac:dyDescent="0.45">
      <c r="A559" s="18" t="s">
        <v>1072</v>
      </c>
      <c r="B559" s="13">
        <v>13637.287999999999</v>
      </c>
      <c r="C559">
        <f>SUM($B$4:B559)</f>
        <v>16427386.905610027</v>
      </c>
      <c r="D559" s="26">
        <f t="shared" si="16"/>
        <v>0.51774237125720068</v>
      </c>
      <c r="E559" t="str">
        <f t="shared" si="17"/>
        <v>C</v>
      </c>
    </row>
    <row r="560" spans="1:5" x14ac:dyDescent="0.45">
      <c r="A560" s="25" t="s">
        <v>725</v>
      </c>
      <c r="B560" s="13">
        <v>13637.287999999999</v>
      </c>
      <c r="C560">
        <f>SUM($B$4:B560)</f>
        <v>16441024.193610027</v>
      </c>
      <c r="D560" s="26">
        <f t="shared" si="16"/>
        <v>0.51817217801022886</v>
      </c>
      <c r="E560" t="str">
        <f t="shared" si="17"/>
        <v>C</v>
      </c>
    </row>
    <row r="561" spans="1:5" x14ac:dyDescent="0.45">
      <c r="A561" s="18" t="s">
        <v>947</v>
      </c>
      <c r="B561" s="13">
        <v>13519.529099999998</v>
      </c>
      <c r="C561">
        <f>SUM($B$4:B561)</f>
        <v>16454543.722710028</v>
      </c>
      <c r="D561" s="26">
        <f t="shared" si="16"/>
        <v>0.51859827335300823</v>
      </c>
      <c r="E561" t="str">
        <f t="shared" si="17"/>
        <v>C</v>
      </c>
    </row>
    <row r="562" spans="1:5" x14ac:dyDescent="0.45">
      <c r="A562" s="25" t="s">
        <v>721</v>
      </c>
      <c r="B562" s="13">
        <v>13519.529099999998</v>
      </c>
      <c r="C562">
        <f>SUM($B$4:B562)</f>
        <v>16468063.251810029</v>
      </c>
      <c r="D562" s="26">
        <f t="shared" si="16"/>
        <v>0.51902436869578761</v>
      </c>
      <c r="E562" t="str">
        <f t="shared" si="17"/>
        <v>C</v>
      </c>
    </row>
    <row r="563" spans="1:5" x14ac:dyDescent="0.45">
      <c r="A563" s="18" t="s">
        <v>1154</v>
      </c>
      <c r="B563" s="13">
        <v>13450.74</v>
      </c>
      <c r="C563">
        <f>SUM($B$4:B563)</f>
        <v>16481513.991810029</v>
      </c>
      <c r="D563" s="26">
        <f t="shared" si="16"/>
        <v>0.51944829601075126</v>
      </c>
      <c r="E563" t="str">
        <f t="shared" si="17"/>
        <v>C</v>
      </c>
    </row>
    <row r="564" spans="1:5" x14ac:dyDescent="0.45">
      <c r="A564" s="25" t="s">
        <v>726</v>
      </c>
      <c r="B564" s="13">
        <v>13450.74</v>
      </c>
      <c r="C564">
        <f>SUM($B$4:B564)</f>
        <v>16494964.73181003</v>
      </c>
      <c r="D564" s="26">
        <f t="shared" si="16"/>
        <v>0.51987222332571492</v>
      </c>
      <c r="E564" t="str">
        <f t="shared" si="17"/>
        <v>C</v>
      </c>
    </row>
    <row r="565" spans="1:5" x14ac:dyDescent="0.45">
      <c r="A565" s="18" t="s">
        <v>1131</v>
      </c>
      <c r="B565" s="13">
        <v>13437.300239999999</v>
      </c>
      <c r="C565">
        <f>SUM($B$4:B565)</f>
        <v>16508402.03205003</v>
      </c>
      <c r="D565" s="26">
        <f t="shared" si="16"/>
        <v>0.52029572705942051</v>
      </c>
      <c r="E565" t="str">
        <f t="shared" si="17"/>
        <v>C</v>
      </c>
    </row>
    <row r="566" spans="1:5" x14ac:dyDescent="0.45">
      <c r="A566" s="25" t="s">
        <v>726</v>
      </c>
      <c r="B566" s="13">
        <v>13437.300239999999</v>
      </c>
      <c r="C566">
        <f>SUM($B$4:B566)</f>
        <v>16521839.332290031</v>
      </c>
      <c r="D566" s="26">
        <f t="shared" si="16"/>
        <v>0.52071923079312621</v>
      </c>
      <c r="E566" t="str">
        <f t="shared" si="17"/>
        <v>C</v>
      </c>
    </row>
    <row r="567" spans="1:5" x14ac:dyDescent="0.45">
      <c r="A567" s="18" t="s">
        <v>1008</v>
      </c>
      <c r="B567" s="13">
        <v>13360.438</v>
      </c>
      <c r="C567">
        <f>SUM($B$4:B567)</f>
        <v>16535199.77029003</v>
      </c>
      <c r="D567" s="26">
        <f t="shared" si="16"/>
        <v>0.52114031205765721</v>
      </c>
      <c r="E567" t="str">
        <f t="shared" si="17"/>
        <v>C</v>
      </c>
    </row>
    <row r="568" spans="1:5" x14ac:dyDescent="0.45">
      <c r="A568" s="25" t="s">
        <v>723</v>
      </c>
      <c r="B568" s="13">
        <v>13360.438</v>
      </c>
      <c r="C568">
        <f>SUM($B$4:B568)</f>
        <v>16548560.208290029</v>
      </c>
      <c r="D568" s="26">
        <f t="shared" si="16"/>
        <v>0.5215613933221882</v>
      </c>
      <c r="E568" t="str">
        <f t="shared" si="17"/>
        <v>C</v>
      </c>
    </row>
    <row r="569" spans="1:5" x14ac:dyDescent="0.45">
      <c r="A569" s="18" t="s">
        <v>875</v>
      </c>
      <c r="B569" s="13">
        <v>13321.14</v>
      </c>
      <c r="C569">
        <f>SUM($B$4:B569)</f>
        <v>16561881.34829003</v>
      </c>
      <c r="D569" s="26">
        <f t="shared" si="16"/>
        <v>0.52198123603065294</v>
      </c>
      <c r="E569" t="str">
        <f t="shared" si="17"/>
        <v>C</v>
      </c>
    </row>
    <row r="570" spans="1:5" x14ac:dyDescent="0.45">
      <c r="A570" s="25" t="s">
        <v>727</v>
      </c>
      <c r="B570" s="13">
        <v>13321.14</v>
      </c>
      <c r="C570">
        <f>SUM($B$4:B570)</f>
        <v>16575202.488290031</v>
      </c>
      <c r="D570" s="26">
        <f t="shared" si="16"/>
        <v>0.52240107873911767</v>
      </c>
      <c r="E570" t="str">
        <f t="shared" si="17"/>
        <v>C</v>
      </c>
    </row>
    <row r="571" spans="1:5" x14ac:dyDescent="0.45">
      <c r="A571" s="18" t="s">
        <v>1285</v>
      </c>
      <c r="B571" s="13">
        <v>13251.48</v>
      </c>
      <c r="C571">
        <f>SUM($B$4:B571)</f>
        <v>16588453.968290031</v>
      </c>
      <c r="D571" s="26">
        <f t="shared" si="16"/>
        <v>0.52281872597158918</v>
      </c>
      <c r="E571" t="str">
        <f t="shared" si="17"/>
        <v>C</v>
      </c>
    </row>
    <row r="572" spans="1:5" x14ac:dyDescent="0.45">
      <c r="A572" s="25" t="s">
        <v>722</v>
      </c>
      <c r="B572" s="13">
        <v>13251.48</v>
      </c>
      <c r="C572">
        <f>SUM($B$4:B572)</f>
        <v>16601705.448290031</v>
      </c>
      <c r="D572" s="26">
        <f t="shared" si="16"/>
        <v>0.5232363732040608</v>
      </c>
      <c r="E572" t="str">
        <f t="shared" si="17"/>
        <v>C</v>
      </c>
    </row>
    <row r="573" spans="1:5" x14ac:dyDescent="0.45">
      <c r="A573" s="18" t="s">
        <v>761</v>
      </c>
      <c r="B573" s="13">
        <v>13218.5</v>
      </c>
      <c r="C573">
        <f>SUM($B$4:B573)</f>
        <v>16614923.948290031</v>
      </c>
      <c r="D573" s="26">
        <f t="shared" si="16"/>
        <v>0.52365298100503288</v>
      </c>
      <c r="E573" t="str">
        <f t="shared" si="17"/>
        <v>C</v>
      </c>
    </row>
    <row r="574" spans="1:5" x14ac:dyDescent="0.45">
      <c r="A574" s="25" t="s">
        <v>725</v>
      </c>
      <c r="B574" s="13">
        <v>13218.5</v>
      </c>
      <c r="C574">
        <f>SUM($B$4:B574)</f>
        <v>16628142.448290031</v>
      </c>
      <c r="D574" s="26">
        <f t="shared" si="16"/>
        <v>0.52406958880600485</v>
      </c>
      <c r="E574" t="str">
        <f t="shared" si="17"/>
        <v>C</v>
      </c>
    </row>
    <row r="575" spans="1:5" x14ac:dyDescent="0.45">
      <c r="A575" s="18" t="s">
        <v>1124</v>
      </c>
      <c r="B575" s="13">
        <v>13185.543</v>
      </c>
      <c r="C575">
        <f>SUM($B$4:B575)</f>
        <v>16641327.991290031</v>
      </c>
      <c r="D575" s="26">
        <f t="shared" si="16"/>
        <v>0.52448515790036898</v>
      </c>
      <c r="E575" t="str">
        <f t="shared" si="17"/>
        <v>C</v>
      </c>
    </row>
    <row r="576" spans="1:5" x14ac:dyDescent="0.45">
      <c r="A576" s="25" t="s">
        <v>721</v>
      </c>
      <c r="B576" s="13">
        <v>13185.543</v>
      </c>
      <c r="C576">
        <f>SUM($B$4:B576)</f>
        <v>16654513.534290031</v>
      </c>
      <c r="D576" s="26">
        <f t="shared" si="16"/>
        <v>0.52490072699473311</v>
      </c>
      <c r="E576" t="str">
        <f t="shared" si="17"/>
        <v>C</v>
      </c>
    </row>
    <row r="577" spans="1:5" x14ac:dyDescent="0.45">
      <c r="A577" s="18" t="s">
        <v>813</v>
      </c>
      <c r="B577" s="13">
        <v>13146.470699999998</v>
      </c>
      <c r="C577">
        <f>SUM($B$4:B577)</f>
        <v>16667660.00499003</v>
      </c>
      <c r="D577" s="26">
        <f t="shared" si="16"/>
        <v>0.52531506464642364</v>
      </c>
      <c r="E577" t="str">
        <f t="shared" si="17"/>
        <v>C</v>
      </c>
    </row>
    <row r="578" spans="1:5" x14ac:dyDescent="0.45">
      <c r="A578" s="25" t="s">
        <v>721</v>
      </c>
      <c r="B578" s="13">
        <v>13146.470699999998</v>
      </c>
      <c r="C578">
        <f>SUM($B$4:B578)</f>
        <v>16680806.47569003</v>
      </c>
      <c r="D578" s="26">
        <f t="shared" si="16"/>
        <v>0.52572940229811405</v>
      </c>
      <c r="E578" t="str">
        <f t="shared" si="17"/>
        <v>C</v>
      </c>
    </row>
    <row r="579" spans="1:5" x14ac:dyDescent="0.45">
      <c r="A579" s="18" t="s">
        <v>1284</v>
      </c>
      <c r="B579" s="13">
        <v>13108.78584</v>
      </c>
      <c r="C579">
        <f>SUM($B$4:B579)</f>
        <v>16693915.261530029</v>
      </c>
      <c r="D579" s="26">
        <f t="shared" si="16"/>
        <v>0.52614255223511264</v>
      </c>
      <c r="E579" t="str">
        <f t="shared" si="17"/>
        <v>C</v>
      </c>
    </row>
    <row r="580" spans="1:5" x14ac:dyDescent="0.45">
      <c r="A580" s="25" t="s">
        <v>727</v>
      </c>
      <c r="B580" s="13">
        <v>13108.78584</v>
      </c>
      <c r="C580">
        <f>SUM($B$4:B580)</f>
        <v>16707024.047370028</v>
      </c>
      <c r="D580" s="26">
        <f t="shared" si="16"/>
        <v>0.52655570217211123</v>
      </c>
      <c r="E580" t="str">
        <f t="shared" si="17"/>
        <v>C</v>
      </c>
    </row>
    <row r="581" spans="1:5" x14ac:dyDescent="0.45">
      <c r="A581" s="18" t="s">
        <v>1125</v>
      </c>
      <c r="B581" s="13">
        <v>12972.00222</v>
      </c>
      <c r="C581">
        <f>SUM($B$4:B581)</f>
        <v>16719996.049590027</v>
      </c>
      <c r="D581" s="26">
        <f t="shared" ref="D581:D644" si="18">C581/SUM($B$4:$B$1255)</f>
        <v>0.52696454109627644</v>
      </c>
      <c r="E581" t="str">
        <f t="shared" ref="E581:E644" si="19">IF(D581&gt;=0.8,"A",IF(D581&gt;=0.95,"B","C"))</f>
        <v>C</v>
      </c>
    </row>
    <row r="582" spans="1:5" x14ac:dyDescent="0.45">
      <c r="A582" s="25" t="s">
        <v>726</v>
      </c>
      <c r="B582" s="13">
        <v>12972.00222</v>
      </c>
      <c r="C582">
        <f>SUM($B$4:B582)</f>
        <v>16732968.051810026</v>
      </c>
      <c r="D582" s="26">
        <f t="shared" si="18"/>
        <v>0.52737338002044176</v>
      </c>
      <c r="E582" t="str">
        <f t="shared" si="19"/>
        <v>C</v>
      </c>
    </row>
    <row r="583" spans="1:5" x14ac:dyDescent="0.45">
      <c r="A583" s="18" t="s">
        <v>1159</v>
      </c>
      <c r="B583" s="13">
        <v>12967.958640000001</v>
      </c>
      <c r="C583">
        <f>SUM($B$4:B583)</f>
        <v>16745936.010450026</v>
      </c>
      <c r="D583" s="26">
        <f t="shared" si="18"/>
        <v>0.52778209150299327</v>
      </c>
      <c r="E583" t="str">
        <f t="shared" si="19"/>
        <v>C</v>
      </c>
    </row>
    <row r="584" spans="1:5" x14ac:dyDescent="0.45">
      <c r="A584" s="25" t="s">
        <v>726</v>
      </c>
      <c r="B584" s="13">
        <v>12967.958640000001</v>
      </c>
      <c r="C584">
        <f>SUM($B$4:B584)</f>
        <v>16758903.969090026</v>
      </c>
      <c r="D584" s="26">
        <f t="shared" si="18"/>
        <v>0.52819080298554477</v>
      </c>
      <c r="E584" t="str">
        <f t="shared" si="19"/>
        <v>C</v>
      </c>
    </row>
    <row r="585" spans="1:5" x14ac:dyDescent="0.45">
      <c r="A585" s="18" t="s">
        <v>1156</v>
      </c>
      <c r="B585" s="13">
        <v>12955.824749999998</v>
      </c>
      <c r="C585">
        <f>SUM($B$4:B585)</f>
        <v>16771859.793840026</v>
      </c>
      <c r="D585" s="26">
        <f t="shared" si="18"/>
        <v>0.52859913204397624</v>
      </c>
      <c r="E585" t="str">
        <f t="shared" si="19"/>
        <v>C</v>
      </c>
    </row>
    <row r="586" spans="1:5" x14ac:dyDescent="0.45">
      <c r="A586" s="25" t="s">
        <v>722</v>
      </c>
      <c r="B586" s="13">
        <v>12955.824749999998</v>
      </c>
      <c r="C586">
        <f>SUM($B$4:B586)</f>
        <v>16784815.618590027</v>
      </c>
      <c r="D586" s="26">
        <f t="shared" si="18"/>
        <v>0.52900746110240782</v>
      </c>
      <c r="E586" t="str">
        <f t="shared" si="19"/>
        <v>C</v>
      </c>
    </row>
    <row r="587" spans="1:5" x14ac:dyDescent="0.45">
      <c r="A587" s="18" t="s">
        <v>873</v>
      </c>
      <c r="B587" s="13">
        <v>12954.358080000002</v>
      </c>
      <c r="C587">
        <f>SUM($B$4:B587)</f>
        <v>16797769.976670027</v>
      </c>
      <c r="D587" s="26">
        <f t="shared" si="18"/>
        <v>0.52941574393576352</v>
      </c>
      <c r="E587" t="str">
        <f t="shared" si="19"/>
        <v>C</v>
      </c>
    </row>
    <row r="588" spans="1:5" x14ac:dyDescent="0.45">
      <c r="A588" s="25" t="s">
        <v>725</v>
      </c>
      <c r="B588" s="13">
        <v>12954.358080000002</v>
      </c>
      <c r="C588">
        <f>SUM($B$4:B588)</f>
        <v>16810724.334750026</v>
      </c>
      <c r="D588" s="26">
        <f t="shared" si="18"/>
        <v>0.52982402676911933</v>
      </c>
      <c r="E588" t="str">
        <f t="shared" si="19"/>
        <v>C</v>
      </c>
    </row>
    <row r="589" spans="1:5" x14ac:dyDescent="0.45">
      <c r="A589" s="18" t="s">
        <v>1107</v>
      </c>
      <c r="B589" s="13">
        <v>12881.097599999999</v>
      </c>
      <c r="C589">
        <f>SUM($B$4:B589)</f>
        <v>16823605.432350028</v>
      </c>
      <c r="D589" s="26">
        <f t="shared" si="18"/>
        <v>0.53023000065006221</v>
      </c>
      <c r="E589" t="str">
        <f t="shared" si="19"/>
        <v>C</v>
      </c>
    </row>
    <row r="590" spans="1:5" x14ac:dyDescent="0.45">
      <c r="A590" s="25" t="s">
        <v>723</v>
      </c>
      <c r="B590" s="13">
        <v>12881.097599999999</v>
      </c>
      <c r="C590">
        <f>SUM($B$4:B590)</f>
        <v>16836486.52995003</v>
      </c>
      <c r="D590" s="26">
        <f t="shared" si="18"/>
        <v>0.53063597453100497</v>
      </c>
      <c r="E590" t="str">
        <f t="shared" si="19"/>
        <v>C</v>
      </c>
    </row>
    <row r="591" spans="1:5" x14ac:dyDescent="0.45">
      <c r="A591" s="18" t="s">
        <v>1355</v>
      </c>
      <c r="B591" s="13">
        <v>12769.38768</v>
      </c>
      <c r="C591">
        <f>SUM($B$4:B591)</f>
        <v>16849255.917630032</v>
      </c>
      <c r="D591" s="26">
        <f t="shared" si="18"/>
        <v>0.53103842764755571</v>
      </c>
      <c r="E591" t="str">
        <f t="shared" si="19"/>
        <v>C</v>
      </c>
    </row>
    <row r="592" spans="1:5" x14ac:dyDescent="0.45">
      <c r="A592" s="25" t="s">
        <v>724</v>
      </c>
      <c r="B592" s="13">
        <v>12769.38768</v>
      </c>
      <c r="C592">
        <f>SUM($B$4:B592)</f>
        <v>16862025.305310033</v>
      </c>
      <c r="D592" s="26">
        <f t="shared" si="18"/>
        <v>0.53144088076410634</v>
      </c>
      <c r="E592" t="str">
        <f t="shared" si="19"/>
        <v>C</v>
      </c>
    </row>
    <row r="593" spans="1:5" x14ac:dyDescent="0.45">
      <c r="A593" s="18" t="s">
        <v>1091</v>
      </c>
      <c r="B593" s="13">
        <v>12717.311040000001</v>
      </c>
      <c r="C593">
        <f>SUM($B$4:B593)</f>
        <v>16874742.616350032</v>
      </c>
      <c r="D593" s="26">
        <f t="shared" si="18"/>
        <v>0.53184169257986846</v>
      </c>
      <c r="E593" t="str">
        <f t="shared" si="19"/>
        <v>C</v>
      </c>
    </row>
    <row r="594" spans="1:5" x14ac:dyDescent="0.45">
      <c r="A594" s="25" t="s">
        <v>722</v>
      </c>
      <c r="B594" s="13">
        <v>12717.311040000001</v>
      </c>
      <c r="C594">
        <f>SUM($B$4:B594)</f>
        <v>16887459.927390032</v>
      </c>
      <c r="D594" s="26">
        <f t="shared" si="18"/>
        <v>0.53224250439563059</v>
      </c>
      <c r="E594" t="str">
        <f t="shared" si="19"/>
        <v>C</v>
      </c>
    </row>
    <row r="595" spans="1:5" x14ac:dyDescent="0.45">
      <c r="A595" s="18" t="s">
        <v>1026</v>
      </c>
      <c r="B595" s="13">
        <v>12699.28</v>
      </c>
      <c r="C595">
        <f>SUM($B$4:B595)</f>
        <v>16900159.207390033</v>
      </c>
      <c r="D595" s="26">
        <f t="shared" si="18"/>
        <v>0.53264274792664612</v>
      </c>
      <c r="E595" t="str">
        <f t="shared" si="19"/>
        <v>C</v>
      </c>
    </row>
    <row r="596" spans="1:5" x14ac:dyDescent="0.45">
      <c r="A596" s="25" t="s">
        <v>727</v>
      </c>
      <c r="B596" s="13">
        <v>12699.28</v>
      </c>
      <c r="C596">
        <f>SUM($B$4:B596)</f>
        <v>16912858.487390034</v>
      </c>
      <c r="D596" s="26">
        <f t="shared" si="18"/>
        <v>0.53304299145766165</v>
      </c>
      <c r="E596" t="str">
        <f t="shared" si="19"/>
        <v>C</v>
      </c>
    </row>
    <row r="597" spans="1:5" x14ac:dyDescent="0.45">
      <c r="A597" s="18" t="s">
        <v>1167</v>
      </c>
      <c r="B597" s="13">
        <v>12668.50728</v>
      </c>
      <c r="C597">
        <f>SUM($B$4:B597)</f>
        <v>16925526.994670033</v>
      </c>
      <c r="D597" s="26">
        <f t="shared" si="18"/>
        <v>0.53344226512407766</v>
      </c>
      <c r="E597" t="str">
        <f t="shared" si="19"/>
        <v>C</v>
      </c>
    </row>
    <row r="598" spans="1:5" x14ac:dyDescent="0.45">
      <c r="A598" s="25" t="s">
        <v>724</v>
      </c>
      <c r="B598" s="13">
        <v>12668.50728</v>
      </c>
      <c r="C598">
        <f>SUM($B$4:B598)</f>
        <v>16938195.501950033</v>
      </c>
      <c r="D598" s="26">
        <f t="shared" si="18"/>
        <v>0.53384153879049356</v>
      </c>
      <c r="E598" t="str">
        <f t="shared" si="19"/>
        <v>C</v>
      </c>
    </row>
    <row r="599" spans="1:5" x14ac:dyDescent="0.45">
      <c r="A599" s="18" t="s">
        <v>992</v>
      </c>
      <c r="B599" s="13">
        <v>12597.52224</v>
      </c>
      <c r="C599">
        <f>SUM($B$4:B599)</f>
        <v>16950793.024190035</v>
      </c>
      <c r="D599" s="26">
        <f t="shared" si="18"/>
        <v>0.53423857521959695</v>
      </c>
      <c r="E599" t="str">
        <f t="shared" si="19"/>
        <v>C</v>
      </c>
    </row>
    <row r="600" spans="1:5" x14ac:dyDescent="0.45">
      <c r="A600" s="25" t="s">
        <v>722</v>
      </c>
      <c r="B600" s="13">
        <v>12597.52224</v>
      </c>
      <c r="C600">
        <f>SUM($B$4:B600)</f>
        <v>16963390.546430036</v>
      </c>
      <c r="D600" s="26">
        <f t="shared" si="18"/>
        <v>0.53463561164870044</v>
      </c>
      <c r="E600" t="str">
        <f t="shared" si="19"/>
        <v>C</v>
      </c>
    </row>
    <row r="601" spans="1:5" x14ac:dyDescent="0.45">
      <c r="A601" s="18" t="s">
        <v>1176</v>
      </c>
      <c r="B601" s="13">
        <v>12462.65055</v>
      </c>
      <c r="C601">
        <f>SUM($B$4:B601)</f>
        <v>16975853.196980037</v>
      </c>
      <c r="D601" s="26">
        <f t="shared" si="18"/>
        <v>0.53502839732331697</v>
      </c>
      <c r="E601" t="str">
        <f t="shared" si="19"/>
        <v>C</v>
      </c>
    </row>
    <row r="602" spans="1:5" x14ac:dyDescent="0.45">
      <c r="A602" s="25" t="s">
        <v>722</v>
      </c>
      <c r="B602" s="13">
        <v>12462.65055</v>
      </c>
      <c r="C602">
        <f>SUM($B$4:B602)</f>
        <v>16988315.847530037</v>
      </c>
      <c r="D602" s="26">
        <f t="shared" si="18"/>
        <v>0.53542118299793351</v>
      </c>
      <c r="E602" t="str">
        <f t="shared" si="19"/>
        <v>C</v>
      </c>
    </row>
    <row r="603" spans="1:5" x14ac:dyDescent="0.45">
      <c r="A603" s="18" t="s">
        <v>895</v>
      </c>
      <c r="B603" s="13">
        <v>12413.98458</v>
      </c>
      <c r="C603">
        <f>SUM($B$4:B603)</f>
        <v>17000729.832110036</v>
      </c>
      <c r="D603" s="26">
        <f t="shared" si="18"/>
        <v>0.53581243486593477</v>
      </c>
      <c r="E603" t="str">
        <f t="shared" si="19"/>
        <v>C</v>
      </c>
    </row>
    <row r="604" spans="1:5" x14ac:dyDescent="0.45">
      <c r="A604" s="25" t="s">
        <v>726</v>
      </c>
      <c r="B604" s="13">
        <v>12413.98458</v>
      </c>
      <c r="C604">
        <f>SUM($B$4:B604)</f>
        <v>17013143.816690035</v>
      </c>
      <c r="D604" s="26">
        <f t="shared" si="18"/>
        <v>0.53620368673393604</v>
      </c>
      <c r="E604" t="str">
        <f t="shared" si="19"/>
        <v>C</v>
      </c>
    </row>
    <row r="605" spans="1:5" x14ac:dyDescent="0.45">
      <c r="A605" s="18" t="s">
        <v>832</v>
      </c>
      <c r="B605" s="13">
        <v>12335.654849999999</v>
      </c>
      <c r="C605">
        <f>SUM($B$4:B605)</f>
        <v>17025479.471540034</v>
      </c>
      <c r="D605" s="26">
        <f t="shared" si="18"/>
        <v>0.53659246988184295</v>
      </c>
      <c r="E605" t="str">
        <f t="shared" si="19"/>
        <v>C</v>
      </c>
    </row>
    <row r="606" spans="1:5" x14ac:dyDescent="0.45">
      <c r="A606" s="25" t="s">
        <v>725</v>
      </c>
      <c r="B606" s="13">
        <v>12335.654849999999</v>
      </c>
      <c r="C606">
        <f>SUM($B$4:B606)</f>
        <v>17037815.126390032</v>
      </c>
      <c r="D606" s="26">
        <f t="shared" si="18"/>
        <v>0.53698125302974997</v>
      </c>
      <c r="E606" t="str">
        <f t="shared" si="19"/>
        <v>C</v>
      </c>
    </row>
    <row r="607" spans="1:5" x14ac:dyDescent="0.45">
      <c r="A607" s="18" t="s">
        <v>1175</v>
      </c>
      <c r="B607" s="13">
        <v>12289.2</v>
      </c>
      <c r="C607">
        <f>SUM($B$4:B607)</f>
        <v>17050104.326390032</v>
      </c>
      <c r="D607" s="26">
        <f t="shared" si="18"/>
        <v>0.53736857205896693</v>
      </c>
      <c r="E607" t="str">
        <f t="shared" si="19"/>
        <v>C</v>
      </c>
    </row>
    <row r="608" spans="1:5" x14ac:dyDescent="0.45">
      <c r="A608" s="25" t="s">
        <v>724</v>
      </c>
      <c r="B608" s="13">
        <v>12289.2</v>
      </c>
      <c r="C608">
        <f>SUM($B$4:B608)</f>
        <v>17062393.526390031</v>
      </c>
      <c r="D608" s="26">
        <f t="shared" si="18"/>
        <v>0.537755891088184</v>
      </c>
      <c r="E608" t="str">
        <f t="shared" si="19"/>
        <v>C</v>
      </c>
    </row>
    <row r="609" spans="1:5" x14ac:dyDescent="0.45">
      <c r="A609" s="18" t="s">
        <v>971</v>
      </c>
      <c r="B609" s="13">
        <v>12248.675999999999</v>
      </c>
      <c r="C609">
        <f>SUM($B$4:B609)</f>
        <v>17074642.20239003</v>
      </c>
      <c r="D609" s="26">
        <f t="shared" si="18"/>
        <v>0.53814193292146151</v>
      </c>
      <c r="E609" t="str">
        <f t="shared" si="19"/>
        <v>C</v>
      </c>
    </row>
    <row r="610" spans="1:5" x14ac:dyDescent="0.45">
      <c r="A610" s="25" t="s">
        <v>724</v>
      </c>
      <c r="B610" s="13">
        <v>12248.675999999999</v>
      </c>
      <c r="C610">
        <f>SUM($B$4:B610)</f>
        <v>17086890.878390029</v>
      </c>
      <c r="D610" s="26">
        <f t="shared" si="18"/>
        <v>0.53852797475473901</v>
      </c>
      <c r="E610" t="str">
        <f t="shared" si="19"/>
        <v>C</v>
      </c>
    </row>
    <row r="611" spans="1:5" x14ac:dyDescent="0.45">
      <c r="A611" s="18" t="s">
        <v>1076</v>
      </c>
      <c r="B611" s="13">
        <v>12236.874600000001</v>
      </c>
      <c r="C611">
        <f>SUM($B$4:B611)</f>
        <v>17099127.75299003</v>
      </c>
      <c r="D611" s="26">
        <f t="shared" si="18"/>
        <v>0.53891364464299241</v>
      </c>
      <c r="E611" t="str">
        <f t="shared" si="19"/>
        <v>C</v>
      </c>
    </row>
    <row r="612" spans="1:5" x14ac:dyDescent="0.45">
      <c r="A612" s="25" t="s">
        <v>725</v>
      </c>
      <c r="B612" s="13">
        <v>12236.874600000001</v>
      </c>
      <c r="C612">
        <f>SUM($B$4:B612)</f>
        <v>17111364.62759003</v>
      </c>
      <c r="D612" s="26">
        <f t="shared" si="18"/>
        <v>0.5392993145312458</v>
      </c>
      <c r="E612" t="str">
        <f t="shared" si="19"/>
        <v>C</v>
      </c>
    </row>
    <row r="613" spans="1:5" x14ac:dyDescent="0.45">
      <c r="A613" s="18" t="s">
        <v>891</v>
      </c>
      <c r="B613" s="13">
        <v>12194.714</v>
      </c>
      <c r="C613">
        <f>SUM($B$4:B613)</f>
        <v>17123559.341590032</v>
      </c>
      <c r="D613" s="26">
        <f t="shared" si="18"/>
        <v>0.53968365564279575</v>
      </c>
      <c r="E613" t="str">
        <f t="shared" si="19"/>
        <v>C</v>
      </c>
    </row>
    <row r="614" spans="1:5" x14ac:dyDescent="0.45">
      <c r="A614" s="25" t="s">
        <v>726</v>
      </c>
      <c r="B614" s="13">
        <v>12194.714</v>
      </c>
      <c r="C614">
        <f>SUM($B$4:B614)</f>
        <v>17135754.055590034</v>
      </c>
      <c r="D614" s="26">
        <f t="shared" si="18"/>
        <v>0.5400679967543458</v>
      </c>
      <c r="E614" t="str">
        <f t="shared" si="19"/>
        <v>C</v>
      </c>
    </row>
    <row r="615" spans="1:5" x14ac:dyDescent="0.45">
      <c r="A615" s="18" t="s">
        <v>977</v>
      </c>
      <c r="B615" s="13">
        <v>12186.368600000002</v>
      </c>
      <c r="C615">
        <f>SUM($B$4:B615)</f>
        <v>17147940.424190033</v>
      </c>
      <c r="D615" s="26">
        <f t="shared" si="18"/>
        <v>0.54045207484371149</v>
      </c>
      <c r="E615" t="str">
        <f t="shared" si="19"/>
        <v>C</v>
      </c>
    </row>
    <row r="616" spans="1:5" x14ac:dyDescent="0.45">
      <c r="A616" s="25" t="s">
        <v>721</v>
      </c>
      <c r="B616" s="13">
        <v>12186.368600000002</v>
      </c>
      <c r="C616">
        <f>SUM($B$4:B616)</f>
        <v>17160126.792790033</v>
      </c>
      <c r="D616" s="26">
        <f t="shared" si="18"/>
        <v>0.54083615293307719</v>
      </c>
      <c r="E616" t="str">
        <f t="shared" si="19"/>
        <v>C</v>
      </c>
    </row>
    <row r="617" spans="1:5" x14ac:dyDescent="0.45">
      <c r="A617" s="18" t="s">
        <v>793</v>
      </c>
      <c r="B617" s="13">
        <v>12153.267360000002</v>
      </c>
      <c r="C617">
        <f>SUM($B$4:B617)</f>
        <v>17172280.060150035</v>
      </c>
      <c r="D617" s="26">
        <f t="shared" si="18"/>
        <v>0.54121918776981937</v>
      </c>
      <c r="E617" t="str">
        <f t="shared" si="19"/>
        <v>C</v>
      </c>
    </row>
    <row r="618" spans="1:5" x14ac:dyDescent="0.45">
      <c r="A618" s="25" t="s">
        <v>724</v>
      </c>
      <c r="B618" s="13">
        <v>12153.267360000002</v>
      </c>
      <c r="C618">
        <f>SUM($B$4:B618)</f>
        <v>17184433.327510037</v>
      </c>
      <c r="D618" s="26">
        <f t="shared" si="18"/>
        <v>0.54160222260656143</v>
      </c>
      <c r="E618" t="str">
        <f t="shared" si="19"/>
        <v>C</v>
      </c>
    </row>
    <row r="619" spans="1:5" x14ac:dyDescent="0.45">
      <c r="A619" s="18" t="s">
        <v>1301</v>
      </c>
      <c r="B619" s="13">
        <v>12091.190399999999</v>
      </c>
      <c r="C619">
        <f>SUM($B$4:B619)</f>
        <v>17196524.517910037</v>
      </c>
      <c r="D619" s="26">
        <f t="shared" si="18"/>
        <v>0.54198330096217506</v>
      </c>
      <c r="E619" t="str">
        <f t="shared" si="19"/>
        <v>C</v>
      </c>
    </row>
    <row r="620" spans="1:5" x14ac:dyDescent="0.45">
      <c r="A620" s="25" t="s">
        <v>723</v>
      </c>
      <c r="B620" s="13">
        <v>12091.190399999999</v>
      </c>
      <c r="C620">
        <f>SUM($B$4:B620)</f>
        <v>17208615.708310038</v>
      </c>
      <c r="D620" s="26">
        <f t="shared" si="18"/>
        <v>0.54236437931778869</v>
      </c>
      <c r="E620" t="str">
        <f t="shared" si="19"/>
        <v>C</v>
      </c>
    </row>
    <row r="621" spans="1:5" x14ac:dyDescent="0.45">
      <c r="A621" s="18" t="s">
        <v>833</v>
      </c>
      <c r="B621" s="13">
        <v>12080.215199999999</v>
      </c>
      <c r="C621">
        <f>SUM($B$4:B621)</f>
        <v>17220695.923510037</v>
      </c>
      <c r="D621" s="26">
        <f t="shared" si="18"/>
        <v>0.54274511176774454</v>
      </c>
      <c r="E621" t="str">
        <f t="shared" si="19"/>
        <v>C</v>
      </c>
    </row>
    <row r="622" spans="1:5" x14ac:dyDescent="0.45">
      <c r="A622" s="25" t="s">
        <v>721</v>
      </c>
      <c r="B622" s="13">
        <v>12080.215199999999</v>
      </c>
      <c r="C622">
        <f>SUM($B$4:B622)</f>
        <v>17232776.138710037</v>
      </c>
      <c r="D622" s="26">
        <f t="shared" si="18"/>
        <v>0.54312584421770038</v>
      </c>
      <c r="E622" t="str">
        <f t="shared" si="19"/>
        <v>C</v>
      </c>
    </row>
    <row r="623" spans="1:5" x14ac:dyDescent="0.45">
      <c r="A623" s="18" t="s">
        <v>1314</v>
      </c>
      <c r="B623" s="13">
        <v>12040.64352</v>
      </c>
      <c r="C623">
        <f>SUM($B$4:B623)</f>
        <v>17244816.782230038</v>
      </c>
      <c r="D623" s="26">
        <f t="shared" si="18"/>
        <v>0.54350532948601038</v>
      </c>
      <c r="E623" t="str">
        <f t="shared" si="19"/>
        <v>C</v>
      </c>
    </row>
    <row r="624" spans="1:5" x14ac:dyDescent="0.45">
      <c r="A624" s="25" t="s">
        <v>727</v>
      </c>
      <c r="B624" s="13">
        <v>12040.64352</v>
      </c>
      <c r="C624">
        <f>SUM($B$4:B624)</f>
        <v>17256857.42575004</v>
      </c>
      <c r="D624" s="26">
        <f t="shared" si="18"/>
        <v>0.54388481475432038</v>
      </c>
      <c r="E624" t="str">
        <f t="shared" si="19"/>
        <v>C</v>
      </c>
    </row>
    <row r="625" spans="1:5" x14ac:dyDescent="0.45">
      <c r="A625" s="18" t="s">
        <v>862</v>
      </c>
      <c r="B625" s="13">
        <v>12031.491680000001</v>
      </c>
      <c r="C625">
        <f>SUM($B$4:B625)</f>
        <v>17268888.917430039</v>
      </c>
      <c r="D625" s="26">
        <f t="shared" si="18"/>
        <v>0.54426401158385618</v>
      </c>
      <c r="E625" t="str">
        <f t="shared" si="19"/>
        <v>C</v>
      </c>
    </row>
    <row r="626" spans="1:5" x14ac:dyDescent="0.45">
      <c r="A626" s="25" t="s">
        <v>722</v>
      </c>
      <c r="B626" s="13">
        <v>12031.491680000001</v>
      </c>
      <c r="C626">
        <f>SUM($B$4:B626)</f>
        <v>17280920.409110039</v>
      </c>
      <c r="D626" s="26">
        <f t="shared" si="18"/>
        <v>0.54464320841339187</v>
      </c>
      <c r="E626" t="str">
        <f t="shared" si="19"/>
        <v>C</v>
      </c>
    </row>
    <row r="627" spans="1:5" x14ac:dyDescent="0.45">
      <c r="A627" s="18" t="s">
        <v>765</v>
      </c>
      <c r="B627" s="13">
        <v>11995.153920000001</v>
      </c>
      <c r="C627">
        <f>SUM($B$4:B627)</f>
        <v>17292915.563030038</v>
      </c>
      <c r="D627" s="26">
        <f t="shared" si="18"/>
        <v>0.54502125998482076</v>
      </c>
      <c r="E627" t="str">
        <f t="shared" si="19"/>
        <v>C</v>
      </c>
    </row>
    <row r="628" spans="1:5" x14ac:dyDescent="0.45">
      <c r="A628" s="25" t="s">
        <v>721</v>
      </c>
      <c r="B628" s="13">
        <v>11995.153920000001</v>
      </c>
      <c r="C628">
        <f>SUM($B$4:B628)</f>
        <v>17304910.716950037</v>
      </c>
      <c r="D628" s="26">
        <f t="shared" si="18"/>
        <v>0.54539931155624954</v>
      </c>
      <c r="E628" t="str">
        <f t="shared" si="19"/>
        <v>C</v>
      </c>
    </row>
    <row r="629" spans="1:5" x14ac:dyDescent="0.45">
      <c r="A629" s="18" t="s">
        <v>1179</v>
      </c>
      <c r="B629" s="13">
        <v>11984.891250000001</v>
      </c>
      <c r="C629">
        <f>SUM($B$4:B629)</f>
        <v>17316895.608200036</v>
      </c>
      <c r="D629" s="26">
        <f t="shared" si="18"/>
        <v>0.54577703967884683</v>
      </c>
      <c r="E629" t="str">
        <f t="shared" si="19"/>
        <v>C</v>
      </c>
    </row>
    <row r="630" spans="1:5" x14ac:dyDescent="0.45">
      <c r="A630" s="25" t="s">
        <v>724</v>
      </c>
      <c r="B630" s="13">
        <v>11984.891250000001</v>
      </c>
      <c r="C630">
        <f>SUM($B$4:B630)</f>
        <v>17328880.499450035</v>
      </c>
      <c r="D630" s="26">
        <f t="shared" si="18"/>
        <v>0.54615476780144401</v>
      </c>
      <c r="E630" t="str">
        <f t="shared" si="19"/>
        <v>C</v>
      </c>
    </row>
    <row r="631" spans="1:5" x14ac:dyDescent="0.45">
      <c r="A631" s="18" t="s">
        <v>1259</v>
      </c>
      <c r="B631" s="13">
        <v>11924.0978</v>
      </c>
      <c r="C631">
        <f>SUM($B$4:B631)</f>
        <v>17340804.597250037</v>
      </c>
      <c r="D631" s="26">
        <f t="shared" si="18"/>
        <v>0.54653057989533016</v>
      </c>
      <c r="E631" t="str">
        <f t="shared" si="19"/>
        <v>C</v>
      </c>
    </row>
    <row r="632" spans="1:5" x14ac:dyDescent="0.45">
      <c r="A632" s="25" t="s">
        <v>724</v>
      </c>
      <c r="B632" s="13">
        <v>11924.0978</v>
      </c>
      <c r="C632">
        <f>SUM($B$4:B632)</f>
        <v>17352728.695050038</v>
      </c>
      <c r="D632" s="26">
        <f t="shared" si="18"/>
        <v>0.54690639198921631</v>
      </c>
      <c r="E632" t="str">
        <f t="shared" si="19"/>
        <v>C</v>
      </c>
    </row>
    <row r="633" spans="1:5" x14ac:dyDescent="0.45">
      <c r="A633" s="18" t="s">
        <v>1220</v>
      </c>
      <c r="B633" s="13">
        <v>11859.695119999998</v>
      </c>
      <c r="C633">
        <f>SUM($B$4:B633)</f>
        <v>17364588.390170038</v>
      </c>
      <c r="D633" s="26">
        <f t="shared" si="18"/>
        <v>0.54728017430219755</v>
      </c>
      <c r="E633" t="str">
        <f t="shared" si="19"/>
        <v>C</v>
      </c>
    </row>
    <row r="634" spans="1:5" x14ac:dyDescent="0.45">
      <c r="A634" s="25" t="s">
        <v>727</v>
      </c>
      <c r="B634" s="13">
        <v>11859.695119999998</v>
      </c>
      <c r="C634">
        <f>SUM($B$4:B634)</f>
        <v>17376448.085290037</v>
      </c>
      <c r="D634" s="26">
        <f t="shared" si="18"/>
        <v>0.54765395661517879</v>
      </c>
      <c r="E634" t="str">
        <f t="shared" si="19"/>
        <v>C</v>
      </c>
    </row>
    <row r="635" spans="1:5" x14ac:dyDescent="0.45">
      <c r="A635" s="18" t="s">
        <v>892</v>
      </c>
      <c r="B635" s="13">
        <v>11851.806399999999</v>
      </c>
      <c r="C635">
        <f>SUM($B$4:B635)</f>
        <v>17388299.891690038</v>
      </c>
      <c r="D635" s="26">
        <f t="shared" si="18"/>
        <v>0.54802749029917097</v>
      </c>
      <c r="E635" t="str">
        <f t="shared" si="19"/>
        <v>C</v>
      </c>
    </row>
    <row r="636" spans="1:5" x14ac:dyDescent="0.45">
      <c r="A636" s="25" t="s">
        <v>722</v>
      </c>
      <c r="B636" s="13">
        <v>11851.806399999999</v>
      </c>
      <c r="C636">
        <f>SUM($B$4:B636)</f>
        <v>17400151.698090039</v>
      </c>
      <c r="D636" s="26">
        <f t="shared" si="18"/>
        <v>0.54840102398316315</v>
      </c>
      <c r="E636" t="str">
        <f t="shared" si="19"/>
        <v>C</v>
      </c>
    </row>
    <row r="637" spans="1:5" x14ac:dyDescent="0.45">
      <c r="A637" s="18" t="s">
        <v>816</v>
      </c>
      <c r="B637" s="13">
        <v>11842.8464</v>
      </c>
      <c r="C637">
        <f>SUM($B$4:B637)</f>
        <v>17411994.544490039</v>
      </c>
      <c r="D637" s="26">
        <f t="shared" si="18"/>
        <v>0.5487742752746072</v>
      </c>
      <c r="E637" t="str">
        <f t="shared" si="19"/>
        <v>C</v>
      </c>
    </row>
    <row r="638" spans="1:5" x14ac:dyDescent="0.45">
      <c r="A638" s="25" t="s">
        <v>726</v>
      </c>
      <c r="B638" s="13">
        <v>11842.8464</v>
      </c>
      <c r="C638">
        <f>SUM($B$4:B638)</f>
        <v>17423837.39089004</v>
      </c>
      <c r="D638" s="26">
        <f t="shared" si="18"/>
        <v>0.54914752656605137</v>
      </c>
      <c r="E638" t="str">
        <f t="shared" si="19"/>
        <v>C</v>
      </c>
    </row>
    <row r="639" spans="1:5" x14ac:dyDescent="0.45">
      <c r="A639" s="18" t="s">
        <v>976</v>
      </c>
      <c r="B639" s="13">
        <v>11813.604160000001</v>
      </c>
      <c r="C639">
        <f>SUM($B$4:B639)</f>
        <v>17435650.995050039</v>
      </c>
      <c r="D639" s="26">
        <f t="shared" si="18"/>
        <v>0.54951985622907296</v>
      </c>
      <c r="E639" t="str">
        <f t="shared" si="19"/>
        <v>C</v>
      </c>
    </row>
    <row r="640" spans="1:5" x14ac:dyDescent="0.45">
      <c r="A640" s="25" t="s">
        <v>726</v>
      </c>
      <c r="B640" s="13">
        <v>11813.604160000001</v>
      </c>
      <c r="C640">
        <f>SUM($B$4:B640)</f>
        <v>17447464.599210039</v>
      </c>
      <c r="D640" s="26">
        <f t="shared" si="18"/>
        <v>0.54989218589209465</v>
      </c>
      <c r="E640" t="str">
        <f t="shared" si="19"/>
        <v>C</v>
      </c>
    </row>
    <row r="641" spans="1:5" x14ac:dyDescent="0.45">
      <c r="A641" s="18" t="s">
        <v>1316</v>
      </c>
      <c r="B641" s="13">
        <v>11742.8703</v>
      </c>
      <c r="C641">
        <f>SUM($B$4:B641)</f>
        <v>17459207.469510037</v>
      </c>
      <c r="D641" s="26">
        <f t="shared" si="18"/>
        <v>0.55026228623425022</v>
      </c>
      <c r="E641" t="str">
        <f t="shared" si="19"/>
        <v>C</v>
      </c>
    </row>
    <row r="642" spans="1:5" x14ac:dyDescent="0.45">
      <c r="A642" s="25" t="s">
        <v>721</v>
      </c>
      <c r="B642" s="13">
        <v>11742.8703</v>
      </c>
      <c r="C642">
        <f>SUM($B$4:B642)</f>
        <v>17470950.339810036</v>
      </c>
      <c r="D642" s="26">
        <f t="shared" si="18"/>
        <v>0.55063238657640567</v>
      </c>
      <c r="E642" t="str">
        <f t="shared" si="19"/>
        <v>C</v>
      </c>
    </row>
    <row r="643" spans="1:5" x14ac:dyDescent="0.45">
      <c r="A643" s="18" t="s">
        <v>1010</v>
      </c>
      <c r="B643" s="13">
        <v>11696.156879999999</v>
      </c>
      <c r="C643">
        <f>SUM($B$4:B643)</f>
        <v>17482646.496690035</v>
      </c>
      <c r="D643" s="26">
        <f t="shared" si="18"/>
        <v>0.55100101465051399</v>
      </c>
      <c r="E643" t="str">
        <f t="shared" si="19"/>
        <v>C</v>
      </c>
    </row>
    <row r="644" spans="1:5" x14ac:dyDescent="0.45">
      <c r="A644" s="25" t="s">
        <v>725</v>
      </c>
      <c r="B644" s="13">
        <v>11696.156879999999</v>
      </c>
      <c r="C644">
        <f>SUM($B$4:B644)</f>
        <v>17494342.653570034</v>
      </c>
      <c r="D644" s="26">
        <f t="shared" si="18"/>
        <v>0.5513696427246223</v>
      </c>
      <c r="E644" t="str">
        <f t="shared" si="19"/>
        <v>C</v>
      </c>
    </row>
    <row r="645" spans="1:5" x14ac:dyDescent="0.45">
      <c r="A645" s="18" t="s">
        <v>1001</v>
      </c>
      <c r="B645" s="13">
        <v>11417.429099999999</v>
      </c>
      <c r="C645">
        <f>SUM($B$4:B645)</f>
        <v>17505760.082670033</v>
      </c>
      <c r="D645" s="26">
        <f t="shared" ref="D645:D708" si="20">C645/SUM($B$4:$B$1255)</f>
        <v>0.55172948612819339</v>
      </c>
      <c r="E645" t="str">
        <f t="shared" ref="E645:E708" si="21">IF(D645&gt;=0.8,"A",IF(D645&gt;=0.95,"B","C"))</f>
        <v>C</v>
      </c>
    </row>
    <row r="646" spans="1:5" x14ac:dyDescent="0.45">
      <c r="A646" s="25" t="s">
        <v>722</v>
      </c>
      <c r="B646" s="13">
        <v>11417.429099999999</v>
      </c>
      <c r="C646">
        <f>SUM($B$4:B646)</f>
        <v>17517177.511770032</v>
      </c>
      <c r="D646" s="26">
        <f t="shared" si="20"/>
        <v>0.55208932953176448</v>
      </c>
      <c r="E646" t="str">
        <f t="shared" si="21"/>
        <v>C</v>
      </c>
    </row>
    <row r="647" spans="1:5" x14ac:dyDescent="0.45">
      <c r="A647" s="18" t="s">
        <v>1253</v>
      </c>
      <c r="B647" s="13">
        <v>11406.96</v>
      </c>
      <c r="C647">
        <f>SUM($B$4:B647)</f>
        <v>17528584.471770033</v>
      </c>
      <c r="D647" s="26">
        <f t="shared" si="20"/>
        <v>0.5524488429804445</v>
      </c>
      <c r="E647" t="str">
        <f t="shared" si="21"/>
        <v>C</v>
      </c>
    </row>
    <row r="648" spans="1:5" x14ac:dyDescent="0.45">
      <c r="A648" s="25" t="s">
        <v>722</v>
      </c>
      <c r="B648" s="13">
        <v>11406.96</v>
      </c>
      <c r="C648">
        <f>SUM($B$4:B648)</f>
        <v>17539991.431770034</v>
      </c>
      <c r="D648" s="26">
        <f t="shared" si="20"/>
        <v>0.55280835642912451</v>
      </c>
      <c r="E648" t="str">
        <f t="shared" si="21"/>
        <v>C</v>
      </c>
    </row>
    <row r="649" spans="1:5" x14ac:dyDescent="0.45">
      <c r="A649" s="18" t="s">
        <v>924</v>
      </c>
      <c r="B649" s="13">
        <v>11326.846439999999</v>
      </c>
      <c r="C649">
        <f>SUM($B$4:B649)</f>
        <v>17551318.278210033</v>
      </c>
      <c r="D649" s="26">
        <f t="shared" si="20"/>
        <v>0.55316534493669467</v>
      </c>
      <c r="E649" t="str">
        <f t="shared" si="21"/>
        <v>C</v>
      </c>
    </row>
    <row r="650" spans="1:5" x14ac:dyDescent="0.45">
      <c r="A650" s="25" t="s">
        <v>724</v>
      </c>
      <c r="B650" s="13">
        <v>11326.846439999999</v>
      </c>
      <c r="C650">
        <f>SUM($B$4:B650)</f>
        <v>17562645.124650031</v>
      </c>
      <c r="D650" s="26">
        <f t="shared" si="20"/>
        <v>0.55352233344426482</v>
      </c>
      <c r="E650" t="str">
        <f t="shared" si="21"/>
        <v>C</v>
      </c>
    </row>
    <row r="651" spans="1:5" x14ac:dyDescent="0.45">
      <c r="A651" s="18" t="s">
        <v>1119</v>
      </c>
      <c r="B651" s="13">
        <v>11285.764020000001</v>
      </c>
      <c r="C651">
        <f>SUM($B$4:B651)</f>
        <v>17573930.888670031</v>
      </c>
      <c r="D651" s="26">
        <f t="shared" si="20"/>
        <v>0.55387802715615808</v>
      </c>
      <c r="E651" t="str">
        <f t="shared" si="21"/>
        <v>C</v>
      </c>
    </row>
    <row r="652" spans="1:5" x14ac:dyDescent="0.45">
      <c r="A652" s="25" t="s">
        <v>724</v>
      </c>
      <c r="B652" s="13">
        <v>11285.764020000001</v>
      </c>
      <c r="C652">
        <f>SUM($B$4:B652)</f>
        <v>17585216.652690031</v>
      </c>
      <c r="D652" s="26">
        <f t="shared" si="20"/>
        <v>0.55423372086805145</v>
      </c>
      <c r="E652" t="str">
        <f t="shared" si="21"/>
        <v>C</v>
      </c>
    </row>
    <row r="653" spans="1:5" x14ac:dyDescent="0.45">
      <c r="A653" s="18" t="s">
        <v>1039</v>
      </c>
      <c r="B653" s="13">
        <v>11283.400799999999</v>
      </c>
      <c r="C653">
        <f>SUM($B$4:B653)</f>
        <v>17596500.053490032</v>
      </c>
      <c r="D653" s="26">
        <f t="shared" si="20"/>
        <v>0.55458934009827987</v>
      </c>
      <c r="E653" t="str">
        <f t="shared" si="21"/>
        <v>C</v>
      </c>
    </row>
    <row r="654" spans="1:5" x14ac:dyDescent="0.45">
      <c r="A654" s="25" t="s">
        <v>727</v>
      </c>
      <c r="B654" s="13">
        <v>11283.400799999999</v>
      </c>
      <c r="C654">
        <f>SUM($B$4:B654)</f>
        <v>17607783.454290032</v>
      </c>
      <c r="D654" s="26">
        <f t="shared" si="20"/>
        <v>0.55494495932850829</v>
      </c>
      <c r="E654" t="str">
        <f t="shared" si="21"/>
        <v>C</v>
      </c>
    </row>
    <row r="655" spans="1:5" x14ac:dyDescent="0.45">
      <c r="A655" s="18" t="s">
        <v>882</v>
      </c>
      <c r="B655" s="13">
        <v>11015.510400000003</v>
      </c>
      <c r="C655">
        <f>SUM($B$4:B655)</f>
        <v>17618798.964690033</v>
      </c>
      <c r="D655" s="26">
        <f t="shared" si="20"/>
        <v>0.55529213545018086</v>
      </c>
      <c r="E655" t="str">
        <f t="shared" si="21"/>
        <v>C</v>
      </c>
    </row>
    <row r="656" spans="1:5" x14ac:dyDescent="0.45">
      <c r="A656" s="25" t="s">
        <v>727</v>
      </c>
      <c r="B656" s="13">
        <v>11015.510400000003</v>
      </c>
      <c r="C656">
        <f>SUM($B$4:B656)</f>
        <v>17629814.475090034</v>
      </c>
      <c r="D656" s="26">
        <f t="shared" si="20"/>
        <v>0.55563931157185353</v>
      </c>
      <c r="E656" t="str">
        <f t="shared" si="21"/>
        <v>C</v>
      </c>
    </row>
    <row r="657" spans="1:5" x14ac:dyDescent="0.45">
      <c r="A657" s="18" t="s">
        <v>732</v>
      </c>
      <c r="B657" s="13">
        <v>10957.9797</v>
      </c>
      <c r="C657">
        <f>SUM($B$4:B657)</f>
        <v>17640772.454790033</v>
      </c>
      <c r="D657" s="26">
        <f t="shared" si="20"/>
        <v>0.55598467449698974</v>
      </c>
      <c r="E657" t="str">
        <f t="shared" si="21"/>
        <v>C</v>
      </c>
    </row>
    <row r="658" spans="1:5" x14ac:dyDescent="0.45">
      <c r="A658" s="25" t="s">
        <v>722</v>
      </c>
      <c r="B658" s="13">
        <v>10957.9797</v>
      </c>
      <c r="C658">
        <f>SUM($B$4:B658)</f>
        <v>17651730.434490032</v>
      </c>
      <c r="D658" s="26">
        <f t="shared" si="20"/>
        <v>0.55633003742212594</v>
      </c>
      <c r="E658" t="str">
        <f t="shared" si="21"/>
        <v>C</v>
      </c>
    </row>
    <row r="659" spans="1:5" x14ac:dyDescent="0.45">
      <c r="A659" s="18" t="s">
        <v>790</v>
      </c>
      <c r="B659" s="13">
        <v>10947.904</v>
      </c>
      <c r="C659">
        <f>SUM($B$4:B659)</f>
        <v>17662678.338490032</v>
      </c>
      <c r="D659" s="26">
        <f t="shared" si="20"/>
        <v>0.55667508279116873</v>
      </c>
      <c r="E659" t="str">
        <f t="shared" si="21"/>
        <v>C</v>
      </c>
    </row>
    <row r="660" spans="1:5" x14ac:dyDescent="0.45">
      <c r="A660" s="25" t="s">
        <v>724</v>
      </c>
      <c r="B660" s="13">
        <v>10947.904</v>
      </c>
      <c r="C660">
        <f>SUM($B$4:B660)</f>
        <v>17673626.242490031</v>
      </c>
      <c r="D660" s="26">
        <f t="shared" si="20"/>
        <v>0.55702012816021163</v>
      </c>
      <c r="E660" t="str">
        <f t="shared" si="21"/>
        <v>C</v>
      </c>
    </row>
    <row r="661" spans="1:5" x14ac:dyDescent="0.45">
      <c r="A661" s="18" t="s">
        <v>1274</v>
      </c>
      <c r="B661" s="13">
        <v>10937.519999999999</v>
      </c>
      <c r="C661">
        <f>SUM($B$4:B661)</f>
        <v>17684563.76249003</v>
      </c>
      <c r="D661" s="26">
        <f t="shared" si="20"/>
        <v>0.5573648462564621</v>
      </c>
      <c r="E661" t="str">
        <f t="shared" si="21"/>
        <v>C</v>
      </c>
    </row>
    <row r="662" spans="1:5" x14ac:dyDescent="0.45">
      <c r="A662" s="25" t="s">
        <v>726</v>
      </c>
      <c r="B662" s="13">
        <v>10937.519999999999</v>
      </c>
      <c r="C662">
        <f>SUM($B$4:B662)</f>
        <v>17695501.28249003</v>
      </c>
      <c r="D662" s="26">
        <f t="shared" si="20"/>
        <v>0.55770956435271268</v>
      </c>
      <c r="E662" t="str">
        <f t="shared" si="21"/>
        <v>C</v>
      </c>
    </row>
    <row r="663" spans="1:5" x14ac:dyDescent="0.45">
      <c r="A663" s="18" t="s">
        <v>750</v>
      </c>
      <c r="B663" s="13">
        <v>10936.992</v>
      </c>
      <c r="C663">
        <f>SUM($B$4:B663)</f>
        <v>17706438.274490029</v>
      </c>
      <c r="D663" s="26">
        <f t="shared" si="20"/>
        <v>0.55805426580797368</v>
      </c>
      <c r="E663" t="str">
        <f t="shared" si="21"/>
        <v>C</v>
      </c>
    </row>
    <row r="664" spans="1:5" x14ac:dyDescent="0.45">
      <c r="A664" s="25" t="s">
        <v>727</v>
      </c>
      <c r="B664" s="13">
        <v>10936.992</v>
      </c>
      <c r="C664">
        <f>SUM($B$4:B664)</f>
        <v>17717375.266490027</v>
      </c>
      <c r="D664" s="26">
        <f t="shared" si="20"/>
        <v>0.55839896726323479</v>
      </c>
      <c r="E664" t="str">
        <f t="shared" si="21"/>
        <v>C</v>
      </c>
    </row>
    <row r="665" spans="1:5" x14ac:dyDescent="0.45">
      <c r="A665" s="18" t="s">
        <v>1142</v>
      </c>
      <c r="B665" s="13">
        <v>10893.6232</v>
      </c>
      <c r="C665">
        <f>SUM($B$4:B665)</f>
        <v>17728268.889690027</v>
      </c>
      <c r="D665" s="26">
        <f t="shared" si="20"/>
        <v>0.55874230186292229</v>
      </c>
      <c r="E665" t="str">
        <f t="shared" si="21"/>
        <v>C</v>
      </c>
    </row>
    <row r="666" spans="1:5" x14ac:dyDescent="0.45">
      <c r="A666" s="25" t="s">
        <v>727</v>
      </c>
      <c r="B666" s="13">
        <v>10893.6232</v>
      </c>
      <c r="C666">
        <f>SUM($B$4:B666)</f>
        <v>17739162.512890026</v>
      </c>
      <c r="D666" s="26">
        <f t="shared" si="20"/>
        <v>0.55908563646260989</v>
      </c>
      <c r="E666" t="str">
        <f t="shared" si="21"/>
        <v>C</v>
      </c>
    </row>
    <row r="667" spans="1:5" x14ac:dyDescent="0.45">
      <c r="A667" s="18" t="s">
        <v>1228</v>
      </c>
      <c r="B667" s="13">
        <v>10869.182940000001</v>
      </c>
      <c r="C667">
        <f>SUM($B$4:B667)</f>
        <v>17750031.695830025</v>
      </c>
      <c r="D667" s="26">
        <f t="shared" si="20"/>
        <v>0.55942820077800093</v>
      </c>
      <c r="E667" t="str">
        <f t="shared" si="21"/>
        <v>C</v>
      </c>
    </row>
    <row r="668" spans="1:5" x14ac:dyDescent="0.45">
      <c r="A668" s="25" t="s">
        <v>722</v>
      </c>
      <c r="B668" s="13">
        <v>10869.182940000001</v>
      </c>
      <c r="C668">
        <f>SUM($B$4:B668)</f>
        <v>17760900.878770024</v>
      </c>
      <c r="D668" s="26">
        <f t="shared" si="20"/>
        <v>0.55977076509339185</v>
      </c>
      <c r="E668" t="str">
        <f t="shared" si="21"/>
        <v>C</v>
      </c>
    </row>
    <row r="669" spans="1:5" x14ac:dyDescent="0.45">
      <c r="A669" s="18" t="s">
        <v>1241</v>
      </c>
      <c r="B669" s="13">
        <v>10859.64</v>
      </c>
      <c r="C669">
        <f>SUM($B$4:B669)</f>
        <v>17771760.518770024</v>
      </c>
      <c r="D669" s="26">
        <f t="shared" si="20"/>
        <v>0.56011302864370005</v>
      </c>
      <c r="E669" t="str">
        <f t="shared" si="21"/>
        <v>C</v>
      </c>
    </row>
    <row r="670" spans="1:5" x14ac:dyDescent="0.45">
      <c r="A670" s="25" t="s">
        <v>725</v>
      </c>
      <c r="B670" s="13">
        <v>10859.64</v>
      </c>
      <c r="C670">
        <f>SUM($B$4:B670)</f>
        <v>17782620.158770025</v>
      </c>
      <c r="D670" s="26">
        <f t="shared" si="20"/>
        <v>0.56045529219400825</v>
      </c>
      <c r="E670" t="str">
        <f t="shared" si="21"/>
        <v>C</v>
      </c>
    </row>
    <row r="671" spans="1:5" x14ac:dyDescent="0.45">
      <c r="A671" s="18" t="s">
        <v>851</v>
      </c>
      <c r="B671" s="13">
        <v>10817.3416</v>
      </c>
      <c r="C671">
        <f>SUM($B$4:B671)</f>
        <v>17793437.500370026</v>
      </c>
      <c r="D671" s="26">
        <f t="shared" si="20"/>
        <v>0.56079622262456685</v>
      </c>
      <c r="E671" t="str">
        <f t="shared" si="21"/>
        <v>C</v>
      </c>
    </row>
    <row r="672" spans="1:5" x14ac:dyDescent="0.45">
      <c r="A672" s="25" t="s">
        <v>723</v>
      </c>
      <c r="B672" s="13">
        <v>10817.3416</v>
      </c>
      <c r="C672">
        <f>SUM($B$4:B672)</f>
        <v>17804254.841970026</v>
      </c>
      <c r="D672" s="26">
        <f t="shared" si="20"/>
        <v>0.56113715305512557</v>
      </c>
      <c r="E672" t="str">
        <f t="shared" si="21"/>
        <v>C</v>
      </c>
    </row>
    <row r="673" spans="1:5" x14ac:dyDescent="0.45">
      <c r="A673" s="18" t="s">
        <v>1270</v>
      </c>
      <c r="B673" s="13">
        <v>10792.637119999999</v>
      </c>
      <c r="C673">
        <f>SUM($B$4:B673)</f>
        <v>17815047.479090028</v>
      </c>
      <c r="D673" s="26">
        <f t="shared" si="20"/>
        <v>0.56147730487395919</v>
      </c>
      <c r="E673" t="str">
        <f t="shared" si="21"/>
        <v>C</v>
      </c>
    </row>
    <row r="674" spans="1:5" x14ac:dyDescent="0.45">
      <c r="A674" s="25" t="s">
        <v>723</v>
      </c>
      <c r="B674" s="13">
        <v>10792.637119999999</v>
      </c>
      <c r="C674">
        <f>SUM($B$4:B674)</f>
        <v>17825840.116210029</v>
      </c>
      <c r="D674" s="26">
        <f t="shared" si="20"/>
        <v>0.56181745669279293</v>
      </c>
      <c r="E674" t="str">
        <f t="shared" si="21"/>
        <v>C</v>
      </c>
    </row>
    <row r="675" spans="1:5" x14ac:dyDescent="0.45">
      <c r="A675" s="18" t="s">
        <v>1341</v>
      </c>
      <c r="B675" s="13">
        <v>10786.32144</v>
      </c>
      <c r="C675">
        <f>SUM($B$4:B675)</f>
        <v>17836626.437650029</v>
      </c>
      <c r="D675" s="26">
        <f t="shared" si="20"/>
        <v>0.56215740946017922</v>
      </c>
      <c r="E675" t="str">
        <f t="shared" si="21"/>
        <v>C</v>
      </c>
    </row>
    <row r="676" spans="1:5" x14ac:dyDescent="0.45">
      <c r="A676" s="25" t="s">
        <v>723</v>
      </c>
      <c r="B676" s="13">
        <v>10786.32144</v>
      </c>
      <c r="C676">
        <f>SUM($B$4:B676)</f>
        <v>17847412.759090029</v>
      </c>
      <c r="D676" s="26">
        <f t="shared" si="20"/>
        <v>0.56249736222756552</v>
      </c>
      <c r="E676" t="str">
        <f t="shared" si="21"/>
        <v>C</v>
      </c>
    </row>
    <row r="677" spans="1:5" x14ac:dyDescent="0.45">
      <c r="A677" s="18" t="s">
        <v>1348</v>
      </c>
      <c r="B677" s="13">
        <v>10693.88488</v>
      </c>
      <c r="C677">
        <f>SUM($B$4:B677)</f>
        <v>17858106.643970028</v>
      </c>
      <c r="D677" s="26">
        <f t="shared" si="20"/>
        <v>0.56283440166953735</v>
      </c>
      <c r="E677" t="str">
        <f t="shared" si="21"/>
        <v>C</v>
      </c>
    </row>
    <row r="678" spans="1:5" x14ac:dyDescent="0.45">
      <c r="A678" s="25" t="s">
        <v>727</v>
      </c>
      <c r="B678" s="13">
        <v>10693.88488</v>
      </c>
      <c r="C678">
        <f>SUM($B$4:B678)</f>
        <v>17868800.528850026</v>
      </c>
      <c r="D678" s="26">
        <f t="shared" si="20"/>
        <v>0.56317144111150919</v>
      </c>
      <c r="E678" t="str">
        <f t="shared" si="21"/>
        <v>C</v>
      </c>
    </row>
    <row r="679" spans="1:5" x14ac:dyDescent="0.45">
      <c r="A679" s="18" t="s">
        <v>771</v>
      </c>
      <c r="B679" s="13">
        <v>10666.229420000001</v>
      </c>
      <c r="C679">
        <f>SUM($B$4:B679)</f>
        <v>17879466.758270025</v>
      </c>
      <c r="D679" s="26">
        <f t="shared" si="20"/>
        <v>0.56350760893564422</v>
      </c>
      <c r="E679" t="str">
        <f t="shared" si="21"/>
        <v>C</v>
      </c>
    </row>
    <row r="680" spans="1:5" x14ac:dyDescent="0.45">
      <c r="A680" s="25" t="s">
        <v>722</v>
      </c>
      <c r="B680" s="13">
        <v>10666.229420000001</v>
      </c>
      <c r="C680">
        <f>SUM($B$4:B680)</f>
        <v>17890132.987690024</v>
      </c>
      <c r="D680" s="26">
        <f t="shared" si="20"/>
        <v>0.56384377675977937</v>
      </c>
      <c r="E680" t="str">
        <f t="shared" si="21"/>
        <v>C</v>
      </c>
    </row>
    <row r="681" spans="1:5" x14ac:dyDescent="0.45">
      <c r="A681" s="18" t="s">
        <v>798</v>
      </c>
      <c r="B681" s="13">
        <v>10647.727199999999</v>
      </c>
      <c r="C681">
        <f>SUM($B$4:B681)</f>
        <v>17900780.714890026</v>
      </c>
      <c r="D681" s="26">
        <f t="shared" si="20"/>
        <v>0.56417936144897574</v>
      </c>
      <c r="E681" t="str">
        <f t="shared" si="21"/>
        <v>C</v>
      </c>
    </row>
    <row r="682" spans="1:5" x14ac:dyDescent="0.45">
      <c r="A682" s="25" t="s">
        <v>727</v>
      </c>
      <c r="B682" s="13">
        <v>10647.727199999999</v>
      </c>
      <c r="C682">
        <f>SUM($B$4:B682)</f>
        <v>17911428.442090027</v>
      </c>
      <c r="D682" s="26">
        <f t="shared" si="20"/>
        <v>0.56451494613817221</v>
      </c>
      <c r="E682" t="str">
        <f t="shared" si="21"/>
        <v>C</v>
      </c>
    </row>
    <row r="683" spans="1:5" x14ac:dyDescent="0.45">
      <c r="A683" s="18" t="s">
        <v>769</v>
      </c>
      <c r="B683" s="13">
        <v>10558.74</v>
      </c>
      <c r="C683">
        <f>SUM($B$4:B683)</f>
        <v>17921987.182090025</v>
      </c>
      <c r="D683" s="26">
        <f t="shared" si="20"/>
        <v>0.56484772621552093</v>
      </c>
      <c r="E683" t="str">
        <f t="shared" si="21"/>
        <v>C</v>
      </c>
    </row>
    <row r="684" spans="1:5" x14ac:dyDescent="0.45">
      <c r="A684" s="25" t="s">
        <v>723</v>
      </c>
      <c r="B684" s="13">
        <v>10558.74</v>
      </c>
      <c r="C684">
        <f>SUM($B$4:B684)</f>
        <v>17932545.922090024</v>
      </c>
      <c r="D684" s="26">
        <f t="shared" si="20"/>
        <v>0.56518050629286976</v>
      </c>
      <c r="E684" t="str">
        <f t="shared" si="21"/>
        <v>C</v>
      </c>
    </row>
    <row r="685" spans="1:5" x14ac:dyDescent="0.45">
      <c r="A685" s="18" t="s">
        <v>1283</v>
      </c>
      <c r="B685" s="13">
        <v>10519.776450000001</v>
      </c>
      <c r="C685">
        <f>SUM($B$4:B685)</f>
        <v>17943065.698540024</v>
      </c>
      <c r="D685" s="26">
        <f t="shared" si="20"/>
        <v>0.5655120583550215</v>
      </c>
      <c r="E685" t="str">
        <f t="shared" si="21"/>
        <v>C</v>
      </c>
    </row>
    <row r="686" spans="1:5" x14ac:dyDescent="0.45">
      <c r="A686" s="25" t="s">
        <v>726</v>
      </c>
      <c r="B686" s="13">
        <v>10519.776450000001</v>
      </c>
      <c r="C686">
        <f>SUM($B$4:B686)</f>
        <v>17953585.474990025</v>
      </c>
      <c r="D686" s="26">
        <f t="shared" si="20"/>
        <v>0.56584361041717313</v>
      </c>
      <c r="E686" t="str">
        <f t="shared" si="21"/>
        <v>C</v>
      </c>
    </row>
    <row r="687" spans="1:5" x14ac:dyDescent="0.45">
      <c r="A687" s="18" t="s">
        <v>1340</v>
      </c>
      <c r="B687" s="13">
        <v>10464.138360000001</v>
      </c>
      <c r="C687">
        <f>SUM($B$4:B687)</f>
        <v>17964049.613350026</v>
      </c>
      <c r="D687" s="26">
        <f t="shared" si="20"/>
        <v>0.56617340893222612</v>
      </c>
      <c r="E687" t="str">
        <f t="shared" si="21"/>
        <v>C</v>
      </c>
    </row>
    <row r="688" spans="1:5" x14ac:dyDescent="0.45">
      <c r="A688" s="25" t="s">
        <v>722</v>
      </c>
      <c r="B688" s="13">
        <v>10464.138360000001</v>
      </c>
      <c r="C688">
        <f>SUM($B$4:B688)</f>
        <v>17974513.751710027</v>
      </c>
      <c r="D688" s="26">
        <f t="shared" si="20"/>
        <v>0.56650320744727911</v>
      </c>
      <c r="E688" t="str">
        <f t="shared" si="21"/>
        <v>C</v>
      </c>
    </row>
    <row r="689" spans="1:5" x14ac:dyDescent="0.45">
      <c r="A689" s="18" t="s">
        <v>1016</v>
      </c>
      <c r="B689" s="13">
        <v>10456.416880000001</v>
      </c>
      <c r="C689">
        <f>SUM($B$4:B689)</f>
        <v>17984970.168590028</v>
      </c>
      <c r="D689" s="26">
        <f t="shared" si="20"/>
        <v>0.56683276260425031</v>
      </c>
      <c r="E689" t="str">
        <f t="shared" si="21"/>
        <v>C</v>
      </c>
    </row>
    <row r="690" spans="1:5" x14ac:dyDescent="0.45">
      <c r="A690" s="25" t="s">
        <v>721</v>
      </c>
      <c r="B690" s="13">
        <v>10456.416880000001</v>
      </c>
      <c r="C690">
        <f>SUM($B$4:B690)</f>
        <v>17995426.585470028</v>
      </c>
      <c r="D690" s="26">
        <f t="shared" si="20"/>
        <v>0.5671623177612215</v>
      </c>
      <c r="E690" t="str">
        <f t="shared" si="21"/>
        <v>C</v>
      </c>
    </row>
    <row r="691" spans="1:5" x14ac:dyDescent="0.45">
      <c r="A691" s="18" t="s">
        <v>1196</v>
      </c>
      <c r="B691" s="13">
        <v>10428.057360000001</v>
      </c>
      <c r="C691">
        <f>SUM($B$4:B691)</f>
        <v>18005854.642830029</v>
      </c>
      <c r="D691" s="26">
        <f t="shared" si="20"/>
        <v>0.56749097911047897</v>
      </c>
      <c r="E691" t="str">
        <f t="shared" si="21"/>
        <v>C</v>
      </c>
    </row>
    <row r="692" spans="1:5" x14ac:dyDescent="0.45">
      <c r="A692" s="25" t="s">
        <v>722</v>
      </c>
      <c r="B692" s="13">
        <v>10428.057360000001</v>
      </c>
      <c r="C692">
        <f>SUM($B$4:B692)</f>
        <v>18016282.70019003</v>
      </c>
      <c r="D692" s="26">
        <f t="shared" si="20"/>
        <v>0.56781964045973654</v>
      </c>
      <c r="E692" t="str">
        <f t="shared" si="21"/>
        <v>C</v>
      </c>
    </row>
    <row r="693" spans="1:5" x14ac:dyDescent="0.45">
      <c r="A693" s="18" t="s">
        <v>913</v>
      </c>
      <c r="B693" s="13">
        <v>10388.429999999998</v>
      </c>
      <c r="C693">
        <f>SUM($B$4:B693)</f>
        <v>18026671.13019003</v>
      </c>
      <c r="D693" s="26">
        <f t="shared" si="20"/>
        <v>0.56814705287248013</v>
      </c>
      <c r="E693" t="str">
        <f t="shared" si="21"/>
        <v>C</v>
      </c>
    </row>
    <row r="694" spans="1:5" x14ac:dyDescent="0.45">
      <c r="A694" s="25" t="s">
        <v>727</v>
      </c>
      <c r="B694" s="13">
        <v>10388.429999999998</v>
      </c>
      <c r="C694">
        <f>SUM($B$4:B694)</f>
        <v>18037059.560190029</v>
      </c>
      <c r="D694" s="26">
        <f t="shared" si="20"/>
        <v>0.56847446528522383</v>
      </c>
      <c r="E694" t="str">
        <f t="shared" si="21"/>
        <v>C</v>
      </c>
    </row>
    <row r="695" spans="1:5" x14ac:dyDescent="0.45">
      <c r="A695" s="18" t="s">
        <v>886</v>
      </c>
      <c r="B695" s="13">
        <v>10382.65884</v>
      </c>
      <c r="C695">
        <f>SUM($B$4:B695)</f>
        <v>18047442.21903003</v>
      </c>
      <c r="D695" s="26">
        <f t="shared" si="20"/>
        <v>0.56880169580817086</v>
      </c>
      <c r="E695" t="str">
        <f t="shared" si="21"/>
        <v>C</v>
      </c>
    </row>
    <row r="696" spans="1:5" x14ac:dyDescent="0.45">
      <c r="A696" s="25" t="s">
        <v>727</v>
      </c>
      <c r="B696" s="13">
        <v>10382.65884</v>
      </c>
      <c r="C696">
        <f>SUM($B$4:B696)</f>
        <v>18057824.877870031</v>
      </c>
      <c r="D696" s="26">
        <f t="shared" si="20"/>
        <v>0.569128926331118</v>
      </c>
      <c r="E696" t="str">
        <f t="shared" si="21"/>
        <v>C</v>
      </c>
    </row>
    <row r="697" spans="1:5" x14ac:dyDescent="0.45">
      <c r="A697" s="18" t="s">
        <v>739</v>
      </c>
      <c r="B697" s="13">
        <v>10370.549999999999</v>
      </c>
      <c r="C697">
        <f>SUM($B$4:B697)</f>
        <v>18068195.427870031</v>
      </c>
      <c r="D697" s="26">
        <f t="shared" si="20"/>
        <v>0.56945577521944646</v>
      </c>
      <c r="E697" t="str">
        <f t="shared" si="21"/>
        <v>C</v>
      </c>
    </row>
    <row r="698" spans="1:5" x14ac:dyDescent="0.45">
      <c r="A698" s="25" t="s">
        <v>724</v>
      </c>
      <c r="B698" s="13">
        <v>10370.549999999999</v>
      </c>
      <c r="C698">
        <f>SUM($B$4:B698)</f>
        <v>18078565.977870032</v>
      </c>
      <c r="D698" s="26">
        <f t="shared" si="20"/>
        <v>0.56978262410777503</v>
      </c>
      <c r="E698" t="str">
        <f t="shared" si="21"/>
        <v>C</v>
      </c>
    </row>
    <row r="699" spans="1:5" x14ac:dyDescent="0.45">
      <c r="A699" s="18" t="s">
        <v>1335</v>
      </c>
      <c r="B699" s="13">
        <v>10260.060159999999</v>
      </c>
      <c r="C699">
        <f>SUM($B$4:B699)</f>
        <v>18088826.038030032</v>
      </c>
      <c r="D699" s="26">
        <f t="shared" si="20"/>
        <v>0.57010599068500389</v>
      </c>
      <c r="E699" t="str">
        <f t="shared" si="21"/>
        <v>C</v>
      </c>
    </row>
    <row r="700" spans="1:5" x14ac:dyDescent="0.45">
      <c r="A700" s="25" t="s">
        <v>722</v>
      </c>
      <c r="B700" s="13">
        <v>10260.060159999999</v>
      </c>
      <c r="C700">
        <f>SUM($B$4:B700)</f>
        <v>18099086.098190032</v>
      </c>
      <c r="D700" s="26">
        <f t="shared" si="20"/>
        <v>0.57042935726223265</v>
      </c>
      <c r="E700" t="str">
        <f t="shared" si="21"/>
        <v>C</v>
      </c>
    </row>
    <row r="701" spans="1:5" x14ac:dyDescent="0.45">
      <c r="A701" s="18" t="s">
        <v>1230</v>
      </c>
      <c r="B701" s="13">
        <v>10189.8891</v>
      </c>
      <c r="C701">
        <f>SUM($B$4:B701)</f>
        <v>18109275.987290032</v>
      </c>
      <c r="D701" s="26">
        <f t="shared" si="20"/>
        <v>0.57075051225637718</v>
      </c>
      <c r="E701" t="str">
        <f t="shared" si="21"/>
        <v>C</v>
      </c>
    </row>
    <row r="702" spans="1:5" x14ac:dyDescent="0.45">
      <c r="A702" s="25" t="s">
        <v>723</v>
      </c>
      <c r="B702" s="13">
        <v>10189.8891</v>
      </c>
      <c r="C702">
        <f>SUM($B$4:B702)</f>
        <v>18119465.876390032</v>
      </c>
      <c r="D702" s="26">
        <f t="shared" si="20"/>
        <v>0.57107166725052183</v>
      </c>
      <c r="E702" t="str">
        <f t="shared" si="21"/>
        <v>C</v>
      </c>
    </row>
    <row r="703" spans="1:5" x14ac:dyDescent="0.45">
      <c r="A703" s="18" t="s">
        <v>1289</v>
      </c>
      <c r="B703" s="13">
        <v>10166.535600000001</v>
      </c>
      <c r="C703">
        <f>SUM($B$4:B703)</f>
        <v>18129632.411990032</v>
      </c>
      <c r="D703" s="26">
        <f t="shared" si="20"/>
        <v>0.57139208621181237</v>
      </c>
      <c r="E703" t="str">
        <f t="shared" si="21"/>
        <v>C</v>
      </c>
    </row>
    <row r="704" spans="1:5" x14ac:dyDescent="0.45">
      <c r="A704" s="25" t="s">
        <v>723</v>
      </c>
      <c r="B704" s="13">
        <v>10166.535600000001</v>
      </c>
      <c r="C704">
        <f>SUM($B$4:B704)</f>
        <v>18139798.947590031</v>
      </c>
      <c r="D704" s="26">
        <f t="shared" si="20"/>
        <v>0.57171250517310301</v>
      </c>
      <c r="E704" t="str">
        <f t="shared" si="21"/>
        <v>C</v>
      </c>
    </row>
    <row r="705" spans="1:5" x14ac:dyDescent="0.45">
      <c r="A705" s="18" t="s">
        <v>820</v>
      </c>
      <c r="B705" s="13">
        <v>10161.46624</v>
      </c>
      <c r="C705">
        <f>SUM($B$4:B705)</f>
        <v>18149960.413830031</v>
      </c>
      <c r="D705" s="26">
        <f t="shared" si="20"/>
        <v>0.57203276436324546</v>
      </c>
      <c r="E705" t="str">
        <f t="shared" si="21"/>
        <v>C</v>
      </c>
    </row>
    <row r="706" spans="1:5" x14ac:dyDescent="0.45">
      <c r="A706" s="25" t="s">
        <v>722</v>
      </c>
      <c r="B706" s="13">
        <v>10161.46624</v>
      </c>
      <c r="C706">
        <f>SUM($B$4:B706)</f>
        <v>18160121.880070031</v>
      </c>
      <c r="D706" s="26">
        <f t="shared" si="20"/>
        <v>0.57235302355338791</v>
      </c>
      <c r="E706" t="str">
        <f t="shared" si="21"/>
        <v>C</v>
      </c>
    </row>
    <row r="707" spans="1:5" x14ac:dyDescent="0.45">
      <c r="A707" s="18" t="s">
        <v>1147</v>
      </c>
      <c r="B707" s="13">
        <v>9984.7160999999978</v>
      </c>
      <c r="C707">
        <f>SUM($B$4:B707)</f>
        <v>18170106.596170031</v>
      </c>
      <c r="D707" s="26">
        <f t="shared" si="20"/>
        <v>0.57266771210486889</v>
      </c>
      <c r="E707" t="str">
        <f t="shared" si="21"/>
        <v>C</v>
      </c>
    </row>
    <row r="708" spans="1:5" x14ac:dyDescent="0.45">
      <c r="A708" s="25" t="s">
        <v>724</v>
      </c>
      <c r="B708" s="13">
        <v>9984.7160999999978</v>
      </c>
      <c r="C708">
        <f>SUM($B$4:B708)</f>
        <v>18180091.31227003</v>
      </c>
      <c r="D708" s="26">
        <f t="shared" si="20"/>
        <v>0.57298240065634987</v>
      </c>
      <c r="E708" t="str">
        <f t="shared" si="21"/>
        <v>C</v>
      </c>
    </row>
    <row r="709" spans="1:5" x14ac:dyDescent="0.45">
      <c r="A709" s="18" t="s">
        <v>871</v>
      </c>
      <c r="B709" s="13">
        <v>9969.4201499999999</v>
      </c>
      <c r="C709">
        <f>SUM($B$4:B709)</f>
        <v>18190060.732420031</v>
      </c>
      <c r="D709" s="26">
        <f t="shared" ref="D709:D772" si="22">C709/SUM($B$4:$B$1255)</f>
        <v>0.57329660712498531</v>
      </c>
      <c r="E709" t="str">
        <f t="shared" ref="E709:E772" si="23">IF(D709&gt;=0.8,"A",IF(D709&gt;=0.95,"B","C"))</f>
        <v>C</v>
      </c>
    </row>
    <row r="710" spans="1:5" x14ac:dyDescent="0.45">
      <c r="A710" s="25" t="s">
        <v>722</v>
      </c>
      <c r="B710" s="13">
        <v>9969.4201499999999</v>
      </c>
      <c r="C710">
        <f>SUM($B$4:B710)</f>
        <v>18200030.152570032</v>
      </c>
      <c r="D710" s="26">
        <f t="shared" si="22"/>
        <v>0.57361081359362087</v>
      </c>
      <c r="E710" t="str">
        <f t="shared" si="23"/>
        <v>C</v>
      </c>
    </row>
    <row r="711" spans="1:5" x14ac:dyDescent="0.45">
      <c r="A711" s="18" t="s">
        <v>1028</v>
      </c>
      <c r="B711" s="13">
        <v>9866.3104799999983</v>
      </c>
      <c r="C711">
        <f>SUM($B$4:B711)</f>
        <v>18209896.46305003</v>
      </c>
      <c r="D711" s="26">
        <f t="shared" si="22"/>
        <v>0.5739217703521623</v>
      </c>
      <c r="E711" t="str">
        <f t="shared" si="23"/>
        <v>C</v>
      </c>
    </row>
    <row r="712" spans="1:5" x14ac:dyDescent="0.45">
      <c r="A712" s="25" t="s">
        <v>722</v>
      </c>
      <c r="B712" s="13">
        <v>9866.3104799999983</v>
      </c>
      <c r="C712">
        <f>SUM($B$4:B712)</f>
        <v>18219762.773530029</v>
      </c>
      <c r="D712" s="26">
        <f t="shared" si="22"/>
        <v>0.57423272711070361</v>
      </c>
      <c r="E712" t="str">
        <f t="shared" si="23"/>
        <v>C</v>
      </c>
    </row>
    <row r="713" spans="1:5" x14ac:dyDescent="0.45">
      <c r="A713" s="18" t="s">
        <v>1036</v>
      </c>
      <c r="B713" s="13">
        <v>9847.2358600000007</v>
      </c>
      <c r="C713">
        <f>SUM($B$4:B713)</f>
        <v>18229610.00939003</v>
      </c>
      <c r="D713" s="26">
        <f t="shared" si="22"/>
        <v>0.57454308269396104</v>
      </c>
      <c r="E713" t="str">
        <f t="shared" si="23"/>
        <v>C</v>
      </c>
    </row>
    <row r="714" spans="1:5" x14ac:dyDescent="0.45">
      <c r="A714" s="25" t="s">
        <v>725</v>
      </c>
      <c r="B714" s="13">
        <v>9847.2358600000007</v>
      </c>
      <c r="C714">
        <f>SUM($B$4:B714)</f>
        <v>18239457.245250031</v>
      </c>
      <c r="D714" s="26">
        <f t="shared" si="22"/>
        <v>0.57485343827721846</v>
      </c>
      <c r="E714" t="str">
        <f t="shared" si="23"/>
        <v>C</v>
      </c>
    </row>
    <row r="715" spans="1:5" x14ac:dyDescent="0.45">
      <c r="A715" s="18" t="s">
        <v>1052</v>
      </c>
      <c r="B715" s="13">
        <v>9829.0483199999999</v>
      </c>
      <c r="C715">
        <f>SUM($B$4:B715)</f>
        <v>18249286.29357003</v>
      </c>
      <c r="D715" s="26">
        <f t="shared" si="22"/>
        <v>0.57516322064331471</v>
      </c>
      <c r="E715" t="str">
        <f t="shared" si="23"/>
        <v>C</v>
      </c>
    </row>
    <row r="716" spans="1:5" x14ac:dyDescent="0.45">
      <c r="A716" s="25" t="s">
        <v>727</v>
      </c>
      <c r="B716" s="13">
        <v>9829.0483199999999</v>
      </c>
      <c r="C716">
        <f>SUM($B$4:B716)</f>
        <v>18259115.34189003</v>
      </c>
      <c r="D716" s="26">
        <f t="shared" si="22"/>
        <v>0.57547300300941095</v>
      </c>
      <c r="E716" t="str">
        <f t="shared" si="23"/>
        <v>C</v>
      </c>
    </row>
    <row r="717" spans="1:5" x14ac:dyDescent="0.45">
      <c r="A717" s="18" t="s">
        <v>1244</v>
      </c>
      <c r="B717" s="13">
        <v>9807.7842799999999</v>
      </c>
      <c r="C717">
        <f>SUM($B$4:B717)</f>
        <v>18268923.126170028</v>
      </c>
      <c r="D717" s="26">
        <f t="shared" si="22"/>
        <v>0.57578211519621725</v>
      </c>
      <c r="E717" t="str">
        <f t="shared" si="23"/>
        <v>C</v>
      </c>
    </row>
    <row r="718" spans="1:5" x14ac:dyDescent="0.45">
      <c r="A718" s="25" t="s">
        <v>723</v>
      </c>
      <c r="B718" s="13">
        <v>9807.7842799999999</v>
      </c>
      <c r="C718">
        <f>SUM($B$4:B718)</f>
        <v>18278730.910450026</v>
      </c>
      <c r="D718" s="26">
        <f t="shared" si="22"/>
        <v>0.57609122738302343</v>
      </c>
      <c r="E718" t="str">
        <f t="shared" si="23"/>
        <v>C</v>
      </c>
    </row>
    <row r="719" spans="1:5" x14ac:dyDescent="0.45">
      <c r="A719" s="18" t="s">
        <v>758</v>
      </c>
      <c r="B719" s="13">
        <v>9805.8573800000013</v>
      </c>
      <c r="C719">
        <f>SUM($B$4:B719)</f>
        <v>18288536.767830025</v>
      </c>
      <c r="D719" s="26">
        <f t="shared" si="22"/>
        <v>0.57640027883967337</v>
      </c>
      <c r="E719" t="str">
        <f t="shared" si="23"/>
        <v>C</v>
      </c>
    </row>
    <row r="720" spans="1:5" x14ac:dyDescent="0.45">
      <c r="A720" s="25" t="s">
        <v>721</v>
      </c>
      <c r="B720" s="13">
        <v>9805.8573800000013</v>
      </c>
      <c r="C720">
        <f>SUM($B$4:B720)</f>
        <v>18298342.625210024</v>
      </c>
      <c r="D720" s="26">
        <f t="shared" si="22"/>
        <v>0.57670933029632332</v>
      </c>
      <c r="E720" t="str">
        <f t="shared" si="23"/>
        <v>C</v>
      </c>
    </row>
    <row r="721" spans="1:5" x14ac:dyDescent="0.45">
      <c r="A721" s="18" t="s">
        <v>973</v>
      </c>
      <c r="B721" s="13">
        <v>9774.3888000000006</v>
      </c>
      <c r="C721">
        <f>SUM($B$4:B721)</f>
        <v>18308117.014010023</v>
      </c>
      <c r="D721" s="26">
        <f t="shared" si="22"/>
        <v>0.5770173899569363</v>
      </c>
      <c r="E721" t="str">
        <f t="shared" si="23"/>
        <v>C</v>
      </c>
    </row>
    <row r="722" spans="1:5" x14ac:dyDescent="0.45">
      <c r="A722" s="25" t="s">
        <v>725</v>
      </c>
      <c r="B722" s="13">
        <v>9774.3888000000006</v>
      </c>
      <c r="C722">
        <f>SUM($B$4:B722)</f>
        <v>18317891.402810022</v>
      </c>
      <c r="D722" s="26">
        <f t="shared" si="22"/>
        <v>0.57732544961754939</v>
      </c>
      <c r="E722" t="str">
        <f t="shared" si="23"/>
        <v>C</v>
      </c>
    </row>
    <row r="723" spans="1:5" x14ac:dyDescent="0.45">
      <c r="A723" s="18" t="s">
        <v>1172</v>
      </c>
      <c r="B723" s="13">
        <v>9771.4483199999995</v>
      </c>
      <c r="C723">
        <f>SUM($B$4:B723)</f>
        <v>18327662.851130024</v>
      </c>
      <c r="D723" s="26">
        <f t="shared" si="22"/>
        <v>0.57763341660297951</v>
      </c>
      <c r="E723" t="str">
        <f t="shared" si="23"/>
        <v>C</v>
      </c>
    </row>
    <row r="724" spans="1:5" x14ac:dyDescent="0.45">
      <c r="A724" s="25" t="s">
        <v>725</v>
      </c>
      <c r="B724" s="13">
        <v>9771.4483199999995</v>
      </c>
      <c r="C724">
        <f>SUM($B$4:B724)</f>
        <v>18337434.299450025</v>
      </c>
      <c r="D724" s="26">
        <f t="shared" si="22"/>
        <v>0.57794138358840963</v>
      </c>
      <c r="E724" t="str">
        <f t="shared" si="23"/>
        <v>C</v>
      </c>
    </row>
    <row r="725" spans="1:5" x14ac:dyDescent="0.45">
      <c r="A725" s="18" t="s">
        <v>864</v>
      </c>
      <c r="B725" s="13">
        <v>9698.1638399999993</v>
      </c>
      <c r="C725">
        <f>SUM($B$4:B725)</f>
        <v>18347132.463290025</v>
      </c>
      <c r="D725" s="26">
        <f t="shared" si="22"/>
        <v>0.57824704086501799</v>
      </c>
      <c r="E725" t="str">
        <f t="shared" si="23"/>
        <v>C</v>
      </c>
    </row>
    <row r="726" spans="1:5" x14ac:dyDescent="0.45">
      <c r="A726" s="25" t="s">
        <v>721</v>
      </c>
      <c r="B726" s="13">
        <v>9698.1638399999993</v>
      </c>
      <c r="C726">
        <f>SUM($B$4:B726)</f>
        <v>18356830.627130024</v>
      </c>
      <c r="D726" s="26">
        <f t="shared" si="22"/>
        <v>0.57855269814162646</v>
      </c>
      <c r="E726" t="str">
        <f t="shared" si="23"/>
        <v>C</v>
      </c>
    </row>
    <row r="727" spans="1:5" x14ac:dyDescent="0.45">
      <c r="A727" s="18" t="s">
        <v>968</v>
      </c>
      <c r="B727" s="13">
        <v>9684.8756000000012</v>
      </c>
      <c r="C727">
        <f>SUM($B$4:B727)</f>
        <v>18366515.502730023</v>
      </c>
      <c r="D727" s="26">
        <f t="shared" si="22"/>
        <v>0.57885793661243656</v>
      </c>
      <c r="E727" t="str">
        <f t="shared" si="23"/>
        <v>C</v>
      </c>
    </row>
    <row r="728" spans="1:5" x14ac:dyDescent="0.45">
      <c r="A728" s="25" t="s">
        <v>724</v>
      </c>
      <c r="B728" s="13">
        <v>9684.8756000000012</v>
      </c>
      <c r="C728">
        <f>SUM($B$4:B728)</f>
        <v>18376200.378330022</v>
      </c>
      <c r="D728" s="26">
        <f t="shared" si="22"/>
        <v>0.57916317508324677</v>
      </c>
      <c r="E728" t="str">
        <f t="shared" si="23"/>
        <v>C</v>
      </c>
    </row>
    <row r="729" spans="1:5" x14ac:dyDescent="0.45">
      <c r="A729" s="18" t="s">
        <v>760</v>
      </c>
      <c r="B729" s="13">
        <v>9647.3852800000004</v>
      </c>
      <c r="C729">
        <f>SUM($B$4:B729)</f>
        <v>18385847.76361002</v>
      </c>
      <c r="D729" s="26">
        <f t="shared" si="22"/>
        <v>0.57946723197068706</v>
      </c>
      <c r="E729" t="str">
        <f t="shared" si="23"/>
        <v>C</v>
      </c>
    </row>
    <row r="730" spans="1:5" x14ac:dyDescent="0.45">
      <c r="A730" s="25" t="s">
        <v>723</v>
      </c>
      <c r="B730" s="13">
        <v>9647.3852800000004</v>
      </c>
      <c r="C730">
        <f>SUM($B$4:B730)</f>
        <v>18395495.148890018</v>
      </c>
      <c r="D730" s="26">
        <f t="shared" si="22"/>
        <v>0.57977128885812745</v>
      </c>
      <c r="E730" t="str">
        <f t="shared" si="23"/>
        <v>C</v>
      </c>
    </row>
    <row r="731" spans="1:5" x14ac:dyDescent="0.45">
      <c r="A731" s="18" t="s">
        <v>1215</v>
      </c>
      <c r="B731" s="13">
        <v>9614.4403999999995</v>
      </c>
      <c r="C731">
        <f>SUM($B$4:B731)</f>
        <v>18405109.589290019</v>
      </c>
      <c r="D731" s="26">
        <f t="shared" si="22"/>
        <v>0.58007430742094623</v>
      </c>
      <c r="E731" t="str">
        <f t="shared" si="23"/>
        <v>C</v>
      </c>
    </row>
    <row r="732" spans="1:5" x14ac:dyDescent="0.45">
      <c r="A732" s="25" t="s">
        <v>724</v>
      </c>
      <c r="B732" s="13">
        <v>9614.4403999999995</v>
      </c>
      <c r="C732">
        <f>SUM($B$4:B732)</f>
        <v>18414724.02969002</v>
      </c>
      <c r="D732" s="26">
        <f t="shared" si="22"/>
        <v>0.58037732598376512</v>
      </c>
      <c r="E732" t="str">
        <f t="shared" si="23"/>
        <v>C</v>
      </c>
    </row>
    <row r="733" spans="1:5" x14ac:dyDescent="0.45">
      <c r="A733" s="18" t="s">
        <v>1112</v>
      </c>
      <c r="B733" s="13">
        <v>9586.8057599999993</v>
      </c>
      <c r="C733">
        <f>SUM($B$4:B733)</f>
        <v>18424310.83545002</v>
      </c>
      <c r="D733" s="26">
        <f t="shared" si="22"/>
        <v>0.58067947358493166</v>
      </c>
      <c r="E733" t="str">
        <f t="shared" si="23"/>
        <v>C</v>
      </c>
    </row>
    <row r="734" spans="1:5" x14ac:dyDescent="0.45">
      <c r="A734" s="25" t="s">
        <v>722</v>
      </c>
      <c r="B734" s="13">
        <v>9586.8057599999993</v>
      </c>
      <c r="C734">
        <f>SUM($B$4:B734)</f>
        <v>18433897.64121002</v>
      </c>
      <c r="D734" s="26">
        <f t="shared" si="22"/>
        <v>0.5809816211860982</v>
      </c>
      <c r="E734" t="str">
        <f t="shared" si="23"/>
        <v>C</v>
      </c>
    </row>
    <row r="735" spans="1:5" x14ac:dyDescent="0.45">
      <c r="A735" s="18" t="s">
        <v>1145</v>
      </c>
      <c r="B735" s="13">
        <v>9509.2865999999995</v>
      </c>
      <c r="C735">
        <f>SUM($B$4:B735)</f>
        <v>18443406.927810021</v>
      </c>
      <c r="D735" s="26">
        <f t="shared" si="22"/>
        <v>0.58128132561392587</v>
      </c>
      <c r="E735" t="str">
        <f t="shared" si="23"/>
        <v>C</v>
      </c>
    </row>
    <row r="736" spans="1:5" x14ac:dyDescent="0.45">
      <c r="A736" s="25" t="s">
        <v>726</v>
      </c>
      <c r="B736" s="13">
        <v>9509.2865999999995</v>
      </c>
      <c r="C736">
        <f>SUM($B$4:B736)</f>
        <v>18452916.214410022</v>
      </c>
      <c r="D736" s="26">
        <f t="shared" si="22"/>
        <v>0.58158103004175343</v>
      </c>
      <c r="E736" t="str">
        <f t="shared" si="23"/>
        <v>C</v>
      </c>
    </row>
    <row r="737" spans="1:5" x14ac:dyDescent="0.45">
      <c r="A737" s="18" t="s">
        <v>801</v>
      </c>
      <c r="B737" s="13">
        <v>9373.460219999999</v>
      </c>
      <c r="C737">
        <f>SUM($B$4:B737)</f>
        <v>18462289.674630024</v>
      </c>
      <c r="D737" s="26">
        <f t="shared" si="22"/>
        <v>0.58187645362610518</v>
      </c>
      <c r="E737" t="str">
        <f t="shared" si="23"/>
        <v>C</v>
      </c>
    </row>
    <row r="738" spans="1:5" x14ac:dyDescent="0.45">
      <c r="A738" s="25" t="s">
        <v>723</v>
      </c>
      <c r="B738" s="13">
        <v>9373.460219999999</v>
      </c>
      <c r="C738">
        <f>SUM($B$4:B738)</f>
        <v>18471663.134850025</v>
      </c>
      <c r="D738" s="26">
        <f t="shared" si="22"/>
        <v>0.58217187721045704</v>
      </c>
      <c r="E738" t="str">
        <f t="shared" si="23"/>
        <v>C</v>
      </c>
    </row>
    <row r="739" spans="1:5" x14ac:dyDescent="0.45">
      <c r="A739" s="18" t="s">
        <v>1256</v>
      </c>
      <c r="B739" s="13">
        <v>9262.0686600000008</v>
      </c>
      <c r="C739">
        <f>SUM($B$4:B739)</f>
        <v>18480925.203510024</v>
      </c>
      <c r="D739" s="26">
        <f t="shared" si="22"/>
        <v>0.5824637900641767</v>
      </c>
      <c r="E739" t="str">
        <f t="shared" si="23"/>
        <v>C</v>
      </c>
    </row>
    <row r="740" spans="1:5" x14ac:dyDescent="0.45">
      <c r="A740" s="25" t="s">
        <v>723</v>
      </c>
      <c r="B740" s="13">
        <v>9262.0686600000008</v>
      </c>
      <c r="C740">
        <f>SUM($B$4:B740)</f>
        <v>18490187.272170022</v>
      </c>
      <c r="D740" s="26">
        <f t="shared" si="22"/>
        <v>0.58275570291789647</v>
      </c>
      <c r="E740" t="str">
        <f t="shared" si="23"/>
        <v>C</v>
      </c>
    </row>
    <row r="741" spans="1:5" x14ac:dyDescent="0.45">
      <c r="A741" s="18" t="s">
        <v>1337</v>
      </c>
      <c r="B741" s="13">
        <v>9256.14</v>
      </c>
      <c r="C741">
        <f>SUM($B$4:B741)</f>
        <v>18499443.412170023</v>
      </c>
      <c r="D741" s="26">
        <f t="shared" si="22"/>
        <v>0.58304742891788808</v>
      </c>
      <c r="E741" t="str">
        <f t="shared" si="23"/>
        <v>C</v>
      </c>
    </row>
    <row r="742" spans="1:5" x14ac:dyDescent="0.45">
      <c r="A742" s="25" t="s">
        <v>726</v>
      </c>
      <c r="B742" s="13">
        <v>9256.14</v>
      </c>
      <c r="C742">
        <f>SUM($B$4:B742)</f>
        <v>18508699.552170023</v>
      </c>
      <c r="D742" s="26">
        <f t="shared" si="22"/>
        <v>0.5833391549178798</v>
      </c>
      <c r="E742" t="str">
        <f t="shared" si="23"/>
        <v>C</v>
      </c>
    </row>
    <row r="743" spans="1:5" x14ac:dyDescent="0.45">
      <c r="A743" s="18" t="s">
        <v>1236</v>
      </c>
      <c r="B743" s="13">
        <v>9232.2830599999998</v>
      </c>
      <c r="C743">
        <f>SUM($B$4:B743)</f>
        <v>18517931.835230023</v>
      </c>
      <c r="D743" s="26">
        <f t="shared" si="22"/>
        <v>0.58363012901808609</v>
      </c>
      <c r="E743" t="str">
        <f t="shared" si="23"/>
        <v>C</v>
      </c>
    </row>
    <row r="744" spans="1:5" x14ac:dyDescent="0.45">
      <c r="A744" s="25" t="s">
        <v>726</v>
      </c>
      <c r="B744" s="13">
        <v>9232.2830599999998</v>
      </c>
      <c r="C744">
        <f>SUM($B$4:B744)</f>
        <v>18527164.118290022</v>
      </c>
      <c r="D744" s="26">
        <f t="shared" si="22"/>
        <v>0.58392110311829248</v>
      </c>
      <c r="E744" t="str">
        <f t="shared" si="23"/>
        <v>C</v>
      </c>
    </row>
    <row r="745" spans="1:5" x14ac:dyDescent="0.45">
      <c r="A745" s="18" t="s">
        <v>1043</v>
      </c>
      <c r="B745" s="13">
        <v>9062.34692</v>
      </c>
      <c r="C745">
        <f>SUM($B$4:B745)</f>
        <v>18536226.465210021</v>
      </c>
      <c r="D745" s="26">
        <f t="shared" si="22"/>
        <v>0.58420672133684881</v>
      </c>
      <c r="E745" t="str">
        <f t="shared" si="23"/>
        <v>C</v>
      </c>
    </row>
    <row r="746" spans="1:5" x14ac:dyDescent="0.45">
      <c r="A746" s="25" t="s">
        <v>724</v>
      </c>
      <c r="B746" s="13">
        <v>9062.34692</v>
      </c>
      <c r="C746">
        <f>SUM($B$4:B746)</f>
        <v>18545288.812130019</v>
      </c>
      <c r="D746" s="26">
        <f t="shared" si="22"/>
        <v>0.58449233955540514</v>
      </c>
      <c r="E746" t="str">
        <f t="shared" si="23"/>
        <v>C</v>
      </c>
    </row>
    <row r="747" spans="1:5" x14ac:dyDescent="0.45">
      <c r="A747" s="18" t="s">
        <v>1315</v>
      </c>
      <c r="B747" s="13">
        <v>9022.35</v>
      </c>
      <c r="C747">
        <f>SUM($B$4:B747)</f>
        <v>18554311.162130021</v>
      </c>
      <c r="D747" s="26">
        <f t="shared" si="22"/>
        <v>0.58477669719001579</v>
      </c>
      <c r="E747" t="str">
        <f t="shared" si="23"/>
        <v>C</v>
      </c>
    </row>
    <row r="748" spans="1:5" x14ac:dyDescent="0.45">
      <c r="A748" s="25" t="s">
        <v>727</v>
      </c>
      <c r="B748" s="13">
        <v>9022.35</v>
      </c>
      <c r="C748">
        <f>SUM($B$4:B748)</f>
        <v>18563333.512130022</v>
      </c>
      <c r="D748" s="26">
        <f t="shared" si="22"/>
        <v>0.58506105482462645</v>
      </c>
      <c r="E748" t="str">
        <f t="shared" si="23"/>
        <v>C</v>
      </c>
    </row>
    <row r="749" spans="1:5" x14ac:dyDescent="0.45">
      <c r="A749" s="18" t="s">
        <v>1070</v>
      </c>
      <c r="B749" s="13">
        <v>8938.8996600000009</v>
      </c>
      <c r="C749">
        <f>SUM($B$4:B749)</f>
        <v>18572272.411790021</v>
      </c>
      <c r="D749" s="26">
        <f t="shared" si="22"/>
        <v>0.58534278235274695</v>
      </c>
      <c r="E749" t="str">
        <f t="shared" si="23"/>
        <v>C</v>
      </c>
    </row>
    <row r="750" spans="1:5" x14ac:dyDescent="0.45">
      <c r="A750" s="25" t="s">
        <v>724</v>
      </c>
      <c r="B750" s="13">
        <v>8938.8996600000009</v>
      </c>
      <c r="C750">
        <f>SUM($B$4:B750)</f>
        <v>18581211.311450019</v>
      </c>
      <c r="D750" s="26">
        <f t="shared" si="22"/>
        <v>0.58562450988086756</v>
      </c>
      <c r="E750" t="str">
        <f t="shared" si="23"/>
        <v>C</v>
      </c>
    </row>
    <row r="751" spans="1:5" x14ac:dyDescent="0.45">
      <c r="A751" s="18" t="s">
        <v>797</v>
      </c>
      <c r="B751" s="13">
        <v>8930.7124999999996</v>
      </c>
      <c r="C751">
        <f>SUM($B$4:B751)</f>
        <v>18590142.023950018</v>
      </c>
      <c r="D751" s="26">
        <f t="shared" si="22"/>
        <v>0.58590597937405797</v>
      </c>
      <c r="E751" t="str">
        <f t="shared" si="23"/>
        <v>C</v>
      </c>
    </row>
    <row r="752" spans="1:5" x14ac:dyDescent="0.45">
      <c r="A752" s="25" t="s">
        <v>721</v>
      </c>
      <c r="B752" s="13">
        <v>8930.7124999999996</v>
      </c>
      <c r="C752">
        <f>SUM($B$4:B752)</f>
        <v>18599072.736450016</v>
      </c>
      <c r="D752" s="26">
        <f t="shared" si="22"/>
        <v>0.5861874488672485</v>
      </c>
      <c r="E752" t="str">
        <f t="shared" si="23"/>
        <v>C</v>
      </c>
    </row>
    <row r="753" spans="1:5" x14ac:dyDescent="0.45">
      <c r="A753" s="18" t="s">
        <v>899</v>
      </c>
      <c r="B753" s="13">
        <v>8928.9795999999988</v>
      </c>
      <c r="C753">
        <f>SUM($B$4:B753)</f>
        <v>18608001.716050018</v>
      </c>
      <c r="D753" s="26">
        <f t="shared" si="22"/>
        <v>0.58646886374458562</v>
      </c>
      <c r="E753" t="str">
        <f t="shared" si="23"/>
        <v>C</v>
      </c>
    </row>
    <row r="754" spans="1:5" x14ac:dyDescent="0.45">
      <c r="A754" s="25" t="s">
        <v>721</v>
      </c>
      <c r="B754" s="13">
        <v>8928.9795999999988</v>
      </c>
      <c r="C754">
        <f>SUM($B$4:B754)</f>
        <v>18616930.695650019</v>
      </c>
      <c r="D754" s="26">
        <f t="shared" si="22"/>
        <v>0.58675027862192275</v>
      </c>
      <c r="E754" t="str">
        <f t="shared" si="23"/>
        <v>C</v>
      </c>
    </row>
    <row r="755" spans="1:5" x14ac:dyDescent="0.45">
      <c r="A755" s="18" t="s">
        <v>853</v>
      </c>
      <c r="B755" s="13">
        <v>8909.8587200000002</v>
      </c>
      <c r="C755">
        <f>SUM($B$4:B755)</f>
        <v>18625840.55437002</v>
      </c>
      <c r="D755" s="26">
        <f t="shared" si="22"/>
        <v>0.58703109086599814</v>
      </c>
      <c r="E755" t="str">
        <f t="shared" si="23"/>
        <v>C</v>
      </c>
    </row>
    <row r="756" spans="1:5" x14ac:dyDescent="0.45">
      <c r="A756" s="25" t="s">
        <v>721</v>
      </c>
      <c r="B756" s="13">
        <v>8909.8587200000002</v>
      </c>
      <c r="C756">
        <f>SUM($B$4:B756)</f>
        <v>18634750.41309002</v>
      </c>
      <c r="D756" s="26">
        <f t="shared" si="22"/>
        <v>0.58731190311007364</v>
      </c>
      <c r="E756" t="str">
        <f t="shared" si="23"/>
        <v>C</v>
      </c>
    </row>
    <row r="757" spans="1:5" x14ac:dyDescent="0.45">
      <c r="A757" s="18" t="s">
        <v>883</v>
      </c>
      <c r="B757" s="13">
        <v>8909.6646800000017</v>
      </c>
      <c r="C757">
        <f>SUM($B$4:B757)</f>
        <v>18643660.077770021</v>
      </c>
      <c r="D757" s="26">
        <f t="shared" si="22"/>
        <v>0.58759270923858542</v>
      </c>
      <c r="E757" t="str">
        <f t="shared" si="23"/>
        <v>C</v>
      </c>
    </row>
    <row r="758" spans="1:5" x14ac:dyDescent="0.45">
      <c r="A758" s="25" t="s">
        <v>723</v>
      </c>
      <c r="B758" s="13">
        <v>8909.6646800000017</v>
      </c>
      <c r="C758">
        <f>SUM($B$4:B758)</f>
        <v>18652569.742450021</v>
      </c>
      <c r="D758" s="26">
        <f t="shared" si="22"/>
        <v>0.5878735153670972</v>
      </c>
      <c r="E758" t="str">
        <f t="shared" si="23"/>
        <v>C</v>
      </c>
    </row>
    <row r="759" spans="1:5" x14ac:dyDescent="0.45">
      <c r="A759" s="18" t="s">
        <v>1006</v>
      </c>
      <c r="B759" s="13">
        <v>8907.6924999999992</v>
      </c>
      <c r="C759">
        <f>SUM($B$4:B759)</f>
        <v>18661477.43495002</v>
      </c>
      <c r="D759" s="26">
        <f t="shared" si="22"/>
        <v>0.58815425933836174</v>
      </c>
      <c r="E759" t="str">
        <f t="shared" si="23"/>
        <v>C</v>
      </c>
    </row>
    <row r="760" spans="1:5" x14ac:dyDescent="0.45">
      <c r="A760" s="25" t="s">
        <v>725</v>
      </c>
      <c r="B760" s="13">
        <v>8907.6924999999992</v>
      </c>
      <c r="C760">
        <f>SUM($B$4:B760)</f>
        <v>18670385.127450019</v>
      </c>
      <c r="D760" s="26">
        <f t="shared" si="22"/>
        <v>0.58843500330962617</v>
      </c>
      <c r="E760" t="str">
        <f t="shared" si="23"/>
        <v>C</v>
      </c>
    </row>
    <row r="761" spans="1:5" x14ac:dyDescent="0.45">
      <c r="A761" s="18" t="s">
        <v>1021</v>
      </c>
      <c r="B761" s="13">
        <v>8903.4839999999986</v>
      </c>
      <c r="C761">
        <f>SUM($B$4:B761)</f>
        <v>18679288.61145002</v>
      </c>
      <c r="D761" s="26">
        <f t="shared" si="22"/>
        <v>0.58871561464148914</v>
      </c>
      <c r="E761" t="str">
        <f t="shared" si="23"/>
        <v>C</v>
      </c>
    </row>
    <row r="762" spans="1:5" x14ac:dyDescent="0.45">
      <c r="A762" s="25" t="s">
        <v>721</v>
      </c>
      <c r="B762" s="13">
        <v>8903.4839999999986</v>
      </c>
      <c r="C762">
        <f>SUM($B$4:B762)</f>
        <v>18688192.095450021</v>
      </c>
      <c r="D762" s="26">
        <f t="shared" si="22"/>
        <v>0.58899622597335211</v>
      </c>
      <c r="E762" t="str">
        <f t="shared" si="23"/>
        <v>C</v>
      </c>
    </row>
    <row r="763" spans="1:5" x14ac:dyDescent="0.45">
      <c r="A763" s="18" t="s">
        <v>1042</v>
      </c>
      <c r="B763" s="13">
        <v>8780.5809000000008</v>
      </c>
      <c r="C763">
        <f>SUM($B$4:B763)</f>
        <v>18696972.67635002</v>
      </c>
      <c r="D763" s="26">
        <f t="shared" si="22"/>
        <v>0.58927296376508387</v>
      </c>
      <c r="E763" t="str">
        <f t="shared" si="23"/>
        <v>C</v>
      </c>
    </row>
    <row r="764" spans="1:5" x14ac:dyDescent="0.45">
      <c r="A764" s="25" t="s">
        <v>721</v>
      </c>
      <c r="B764" s="13">
        <v>8780.5809000000008</v>
      </c>
      <c r="C764">
        <f>SUM($B$4:B764)</f>
        <v>18705753.257250018</v>
      </c>
      <c r="D764" s="26">
        <f t="shared" si="22"/>
        <v>0.58954970155681552</v>
      </c>
      <c r="E764" t="str">
        <f t="shared" si="23"/>
        <v>C</v>
      </c>
    </row>
    <row r="765" spans="1:5" x14ac:dyDescent="0.45">
      <c r="A765" s="18" t="s">
        <v>1058</v>
      </c>
      <c r="B765" s="13">
        <v>8764.4065599999994</v>
      </c>
      <c r="C765">
        <f>SUM($B$4:B765)</f>
        <v>18714517.663810018</v>
      </c>
      <c r="D765" s="26">
        <f t="shared" si="22"/>
        <v>0.58982592958146185</v>
      </c>
      <c r="E765" t="str">
        <f t="shared" si="23"/>
        <v>C</v>
      </c>
    </row>
    <row r="766" spans="1:5" x14ac:dyDescent="0.45">
      <c r="A766" s="25" t="s">
        <v>723</v>
      </c>
      <c r="B766" s="13">
        <v>8764.4065599999994</v>
      </c>
      <c r="C766">
        <f>SUM($B$4:B766)</f>
        <v>18723282.070370018</v>
      </c>
      <c r="D766" s="26">
        <f t="shared" si="22"/>
        <v>0.59010215760610807</v>
      </c>
      <c r="E766" t="str">
        <f t="shared" si="23"/>
        <v>C</v>
      </c>
    </row>
    <row r="767" spans="1:5" x14ac:dyDescent="0.45">
      <c r="A767" s="18" t="s">
        <v>918</v>
      </c>
      <c r="B767" s="13">
        <v>8763.2849999999999</v>
      </c>
      <c r="C767">
        <f>SUM($B$4:B767)</f>
        <v>18732045.355370019</v>
      </c>
      <c r="D767" s="26">
        <f t="shared" si="22"/>
        <v>0.59037835028251928</v>
      </c>
      <c r="E767" t="str">
        <f t="shared" si="23"/>
        <v>C</v>
      </c>
    </row>
    <row r="768" spans="1:5" x14ac:dyDescent="0.45">
      <c r="A768" s="25" t="s">
        <v>726</v>
      </c>
      <c r="B768" s="13">
        <v>8763.2849999999999</v>
      </c>
      <c r="C768">
        <f>SUM($B$4:B768)</f>
        <v>18740808.640370019</v>
      </c>
      <c r="D768" s="26">
        <f t="shared" si="22"/>
        <v>0.5906545429589305</v>
      </c>
      <c r="E768" t="str">
        <f t="shared" si="23"/>
        <v>C</v>
      </c>
    </row>
    <row r="769" spans="1:5" x14ac:dyDescent="0.45">
      <c r="A769" s="18" t="s">
        <v>911</v>
      </c>
      <c r="B769" s="13">
        <v>8698.8768300000011</v>
      </c>
      <c r="C769">
        <f>SUM($B$4:B769)</f>
        <v>18749507.517200019</v>
      </c>
      <c r="D769" s="26">
        <f t="shared" si="22"/>
        <v>0.59092870568140832</v>
      </c>
      <c r="E769" t="str">
        <f t="shared" si="23"/>
        <v>C</v>
      </c>
    </row>
    <row r="770" spans="1:5" x14ac:dyDescent="0.45">
      <c r="A770" s="25" t="s">
        <v>726</v>
      </c>
      <c r="B770" s="13">
        <v>8698.8768300000011</v>
      </c>
      <c r="C770">
        <f>SUM($B$4:B770)</f>
        <v>18758206.39403002</v>
      </c>
      <c r="D770" s="26">
        <f t="shared" si="22"/>
        <v>0.59120286840388614</v>
      </c>
      <c r="E770" t="str">
        <f t="shared" si="23"/>
        <v>C</v>
      </c>
    </row>
    <row r="771" spans="1:5" x14ac:dyDescent="0.45">
      <c r="A771" s="18" t="s">
        <v>796</v>
      </c>
      <c r="B771" s="13">
        <v>8671.7354400000004</v>
      </c>
      <c r="C771">
        <f>SUM($B$4:B771)</f>
        <v>18766878.129470021</v>
      </c>
      <c r="D771" s="26">
        <f t="shared" si="22"/>
        <v>0.5914761757104845</v>
      </c>
      <c r="E771" t="str">
        <f t="shared" si="23"/>
        <v>C</v>
      </c>
    </row>
    <row r="772" spans="1:5" x14ac:dyDescent="0.45">
      <c r="A772" s="25" t="s">
        <v>726</v>
      </c>
      <c r="B772" s="13">
        <v>8671.7354400000004</v>
      </c>
      <c r="C772">
        <f>SUM($B$4:B772)</f>
        <v>18775549.864910021</v>
      </c>
      <c r="D772" s="26">
        <f t="shared" si="22"/>
        <v>0.59174948301708286</v>
      </c>
      <c r="E772" t="str">
        <f t="shared" si="23"/>
        <v>C</v>
      </c>
    </row>
    <row r="773" spans="1:5" x14ac:dyDescent="0.45">
      <c r="A773" s="18" t="s">
        <v>1224</v>
      </c>
      <c r="B773" s="13">
        <v>8644.6696000000011</v>
      </c>
      <c r="C773">
        <f>SUM($B$4:B773)</f>
        <v>18784194.53451002</v>
      </c>
      <c r="D773" s="26">
        <f t="shared" ref="D773:D836" si="24">C773/SUM($B$4:$B$1255)</f>
        <v>0.59202193728891284</v>
      </c>
      <c r="E773" t="str">
        <f t="shared" ref="E773:E836" si="25">IF(D773&gt;=0.8,"A",IF(D773&gt;=0.95,"B","C"))</f>
        <v>C</v>
      </c>
    </row>
    <row r="774" spans="1:5" x14ac:dyDescent="0.45">
      <c r="A774" s="25" t="s">
        <v>727</v>
      </c>
      <c r="B774" s="13">
        <v>8644.6696000000011</v>
      </c>
      <c r="C774">
        <f>SUM($B$4:B774)</f>
        <v>18792839.204110019</v>
      </c>
      <c r="D774" s="26">
        <f t="shared" si="24"/>
        <v>0.59229439156074293</v>
      </c>
      <c r="E774" t="str">
        <f t="shared" si="25"/>
        <v>C</v>
      </c>
    </row>
    <row r="775" spans="1:5" x14ac:dyDescent="0.45">
      <c r="A775" s="18" t="s">
        <v>1229</v>
      </c>
      <c r="B775" s="13">
        <v>8637.1874499999994</v>
      </c>
      <c r="C775">
        <f>SUM($B$4:B775)</f>
        <v>18801476.391560018</v>
      </c>
      <c r="D775" s="26">
        <f t="shared" si="24"/>
        <v>0.59256661001746092</v>
      </c>
      <c r="E775" t="str">
        <f t="shared" si="25"/>
        <v>C</v>
      </c>
    </row>
    <row r="776" spans="1:5" x14ac:dyDescent="0.45">
      <c r="A776" s="25" t="s">
        <v>723</v>
      </c>
      <c r="B776" s="13">
        <v>8637.1874499999994</v>
      </c>
      <c r="C776">
        <f>SUM($B$4:B776)</f>
        <v>18810113.579010017</v>
      </c>
      <c r="D776" s="26">
        <f t="shared" si="24"/>
        <v>0.59283882847417901</v>
      </c>
      <c r="E776" t="str">
        <f t="shared" si="25"/>
        <v>C</v>
      </c>
    </row>
    <row r="777" spans="1:5" x14ac:dyDescent="0.45">
      <c r="A777" s="18" t="s">
        <v>753</v>
      </c>
      <c r="B777" s="13">
        <v>8596.2905599999995</v>
      </c>
      <c r="C777">
        <f>SUM($B$4:B777)</f>
        <v>18818709.869570017</v>
      </c>
      <c r="D777" s="26">
        <f t="shared" si="24"/>
        <v>0.59310975798257393</v>
      </c>
      <c r="E777" t="str">
        <f t="shared" si="25"/>
        <v>C</v>
      </c>
    </row>
    <row r="778" spans="1:5" x14ac:dyDescent="0.45">
      <c r="A778" s="25" t="s">
        <v>727</v>
      </c>
      <c r="B778" s="13">
        <v>8596.2905599999995</v>
      </c>
      <c r="C778">
        <f>SUM($B$4:B778)</f>
        <v>18827306.160130017</v>
      </c>
      <c r="D778" s="26">
        <f t="shared" si="24"/>
        <v>0.59338068749096884</v>
      </c>
      <c r="E778" t="str">
        <f t="shared" si="25"/>
        <v>C</v>
      </c>
    </row>
    <row r="779" spans="1:5" x14ac:dyDescent="0.45">
      <c r="A779" s="18" t="s">
        <v>916</v>
      </c>
      <c r="B779" s="13">
        <v>8590.7094000000016</v>
      </c>
      <c r="C779">
        <f>SUM($B$4:B779)</f>
        <v>18835896.869530015</v>
      </c>
      <c r="D779" s="26">
        <f t="shared" si="24"/>
        <v>0.59365144109780199</v>
      </c>
      <c r="E779" t="str">
        <f t="shared" si="25"/>
        <v>C</v>
      </c>
    </row>
    <row r="780" spans="1:5" x14ac:dyDescent="0.45">
      <c r="A780" s="25" t="s">
        <v>726</v>
      </c>
      <c r="B780" s="13">
        <v>8590.7094000000016</v>
      </c>
      <c r="C780">
        <f>SUM($B$4:B780)</f>
        <v>18844487.578930013</v>
      </c>
      <c r="D780" s="26">
        <f t="shared" si="24"/>
        <v>0.59392219470463503</v>
      </c>
      <c r="E780" t="str">
        <f t="shared" si="25"/>
        <v>C</v>
      </c>
    </row>
    <row r="781" spans="1:5" x14ac:dyDescent="0.45">
      <c r="A781" s="18" t="s">
        <v>1002</v>
      </c>
      <c r="B781" s="13">
        <v>8567.3924999999999</v>
      </c>
      <c r="C781">
        <f>SUM($B$4:B781)</f>
        <v>18853054.971430011</v>
      </c>
      <c r="D781" s="26">
        <f t="shared" si="24"/>
        <v>0.59419221343213735</v>
      </c>
      <c r="E781" t="str">
        <f t="shared" si="25"/>
        <v>C</v>
      </c>
    </row>
    <row r="782" spans="1:5" x14ac:dyDescent="0.45">
      <c r="A782" s="25" t="s">
        <v>725</v>
      </c>
      <c r="B782" s="13">
        <v>8567.3924999999999</v>
      </c>
      <c r="C782">
        <f>SUM($B$4:B782)</f>
        <v>18861622.363930009</v>
      </c>
      <c r="D782" s="26">
        <f t="shared" si="24"/>
        <v>0.59446223215963956</v>
      </c>
      <c r="E782" t="str">
        <f t="shared" si="25"/>
        <v>C</v>
      </c>
    </row>
    <row r="783" spans="1:5" x14ac:dyDescent="0.45">
      <c r="A783" s="18" t="s">
        <v>1288</v>
      </c>
      <c r="B783" s="13">
        <v>8520.2954399999999</v>
      </c>
      <c r="C783">
        <f>SUM($B$4:B783)</f>
        <v>18870142.659370009</v>
      </c>
      <c r="D783" s="26">
        <f t="shared" si="24"/>
        <v>0.59473076652790302</v>
      </c>
      <c r="E783" t="str">
        <f t="shared" si="25"/>
        <v>C</v>
      </c>
    </row>
    <row r="784" spans="1:5" x14ac:dyDescent="0.45">
      <c r="A784" s="25" t="s">
        <v>726</v>
      </c>
      <c r="B784" s="13">
        <v>8520.2954399999999</v>
      </c>
      <c r="C784">
        <f>SUM($B$4:B784)</f>
        <v>18878662.954810008</v>
      </c>
      <c r="D784" s="26">
        <f t="shared" si="24"/>
        <v>0.59499930089616648</v>
      </c>
      <c r="E784" t="str">
        <f t="shared" si="25"/>
        <v>C</v>
      </c>
    </row>
    <row r="785" spans="1:5" x14ac:dyDescent="0.45">
      <c r="A785" s="18" t="s">
        <v>1319</v>
      </c>
      <c r="B785" s="13">
        <v>8366.02</v>
      </c>
      <c r="C785">
        <f>SUM($B$4:B785)</f>
        <v>18887028.974810008</v>
      </c>
      <c r="D785" s="26">
        <f t="shared" si="24"/>
        <v>0.59526297296146047</v>
      </c>
      <c r="E785" t="str">
        <f t="shared" si="25"/>
        <v>C</v>
      </c>
    </row>
    <row r="786" spans="1:5" x14ac:dyDescent="0.45">
      <c r="A786" s="25" t="s">
        <v>727</v>
      </c>
      <c r="B786" s="13">
        <v>8366.02</v>
      </c>
      <c r="C786">
        <f>SUM($B$4:B786)</f>
        <v>18895394.994810008</v>
      </c>
      <c r="D786" s="26">
        <f t="shared" si="24"/>
        <v>0.59552664502675434</v>
      </c>
      <c r="E786" t="str">
        <f t="shared" si="25"/>
        <v>C</v>
      </c>
    </row>
    <row r="787" spans="1:5" x14ac:dyDescent="0.45">
      <c r="A787" s="18" t="s">
        <v>925</v>
      </c>
      <c r="B787" s="13">
        <v>8349.2224200000001</v>
      </c>
      <c r="C787">
        <f>SUM($B$4:B787)</f>
        <v>18903744.217230007</v>
      </c>
      <c r="D787" s="26">
        <f t="shared" si="24"/>
        <v>0.59578978768229185</v>
      </c>
      <c r="E787" t="str">
        <f t="shared" si="25"/>
        <v>C</v>
      </c>
    </row>
    <row r="788" spans="1:5" x14ac:dyDescent="0.45">
      <c r="A788" s="25" t="s">
        <v>723</v>
      </c>
      <c r="B788" s="13">
        <v>8349.2224200000001</v>
      </c>
      <c r="C788">
        <f>SUM($B$4:B788)</f>
        <v>18912093.439650007</v>
      </c>
      <c r="D788" s="26">
        <f t="shared" si="24"/>
        <v>0.59605293033782936</v>
      </c>
      <c r="E788" t="str">
        <f t="shared" si="25"/>
        <v>C</v>
      </c>
    </row>
    <row r="789" spans="1:5" x14ac:dyDescent="0.45">
      <c r="A789" s="18" t="s">
        <v>860</v>
      </c>
      <c r="B789" s="13">
        <v>8336.8896000000004</v>
      </c>
      <c r="C789">
        <f>SUM($B$4:B789)</f>
        <v>18920430.329250008</v>
      </c>
      <c r="D789" s="26">
        <f t="shared" si="24"/>
        <v>0.59631568429956505</v>
      </c>
      <c r="E789" t="str">
        <f t="shared" si="25"/>
        <v>C</v>
      </c>
    </row>
    <row r="790" spans="1:5" x14ac:dyDescent="0.45">
      <c r="A790" s="25" t="s">
        <v>725</v>
      </c>
      <c r="B790" s="13">
        <v>8336.8896000000004</v>
      </c>
      <c r="C790">
        <f>SUM($B$4:B790)</f>
        <v>18928767.218850009</v>
      </c>
      <c r="D790" s="26">
        <f t="shared" si="24"/>
        <v>0.59657843826130075</v>
      </c>
      <c r="E790" t="str">
        <f t="shared" si="25"/>
        <v>C</v>
      </c>
    </row>
    <row r="791" spans="1:5" x14ac:dyDescent="0.45">
      <c r="A791" s="18" t="s">
        <v>1199</v>
      </c>
      <c r="B791" s="13">
        <v>8330.2513199999994</v>
      </c>
      <c r="C791">
        <f>SUM($B$4:B791)</f>
        <v>18937097.47017001</v>
      </c>
      <c r="D791" s="26">
        <f t="shared" si="24"/>
        <v>0.59684098300419675</v>
      </c>
      <c r="E791" t="str">
        <f t="shared" si="25"/>
        <v>C</v>
      </c>
    </row>
    <row r="792" spans="1:5" x14ac:dyDescent="0.45">
      <c r="A792" s="25" t="s">
        <v>726</v>
      </c>
      <c r="B792" s="13">
        <v>8330.2513199999994</v>
      </c>
      <c r="C792">
        <f>SUM($B$4:B792)</f>
        <v>18945427.721490011</v>
      </c>
      <c r="D792" s="26">
        <f t="shared" si="24"/>
        <v>0.59710352774709263</v>
      </c>
      <c r="E792" t="str">
        <f t="shared" si="25"/>
        <v>C</v>
      </c>
    </row>
    <row r="793" spans="1:5" x14ac:dyDescent="0.45">
      <c r="A793" s="18" t="s">
        <v>1251</v>
      </c>
      <c r="B793" s="13">
        <v>8326.6852500000005</v>
      </c>
      <c r="C793">
        <f>SUM($B$4:B793)</f>
        <v>18953754.40674001</v>
      </c>
      <c r="D793" s="26">
        <f t="shared" si="24"/>
        <v>0.59736596009806964</v>
      </c>
      <c r="E793" t="str">
        <f t="shared" si="25"/>
        <v>C</v>
      </c>
    </row>
    <row r="794" spans="1:5" x14ac:dyDescent="0.45">
      <c r="A794" s="25" t="s">
        <v>722</v>
      </c>
      <c r="B794" s="13">
        <v>8326.6852500000005</v>
      </c>
      <c r="C794">
        <f>SUM($B$4:B794)</f>
        <v>18962081.091990009</v>
      </c>
      <c r="D794" s="26">
        <f t="shared" si="24"/>
        <v>0.59762839244904653</v>
      </c>
      <c r="E794" t="str">
        <f t="shared" si="25"/>
        <v>C</v>
      </c>
    </row>
    <row r="795" spans="1:5" x14ac:dyDescent="0.45">
      <c r="A795" s="18" t="s">
        <v>818</v>
      </c>
      <c r="B795" s="13">
        <v>8324.8326000000015</v>
      </c>
      <c r="C795">
        <f>SUM($B$4:B795)</f>
        <v>18970405.92459001</v>
      </c>
      <c r="D795" s="26">
        <f t="shared" si="24"/>
        <v>0.59789076641000627</v>
      </c>
      <c r="E795" t="str">
        <f t="shared" si="25"/>
        <v>C</v>
      </c>
    </row>
    <row r="796" spans="1:5" x14ac:dyDescent="0.45">
      <c r="A796" s="25" t="s">
        <v>723</v>
      </c>
      <c r="B796" s="13">
        <v>8324.8326000000015</v>
      </c>
      <c r="C796">
        <f>SUM($B$4:B796)</f>
        <v>18978730.757190011</v>
      </c>
      <c r="D796" s="26">
        <f t="shared" si="24"/>
        <v>0.59815314037096612</v>
      </c>
      <c r="E796" t="str">
        <f t="shared" si="25"/>
        <v>C</v>
      </c>
    </row>
    <row r="797" spans="1:5" x14ac:dyDescent="0.45">
      <c r="A797" s="18" t="s">
        <v>1235</v>
      </c>
      <c r="B797" s="13">
        <v>8297.4286000000011</v>
      </c>
      <c r="C797">
        <f>SUM($B$4:B797)</f>
        <v>18987028.18579001</v>
      </c>
      <c r="D797" s="26">
        <f t="shared" si="24"/>
        <v>0.59841465063936028</v>
      </c>
      <c r="E797" t="str">
        <f t="shared" si="25"/>
        <v>C</v>
      </c>
    </row>
    <row r="798" spans="1:5" x14ac:dyDescent="0.45">
      <c r="A798" s="25" t="s">
        <v>725</v>
      </c>
      <c r="B798" s="13">
        <v>8297.4286000000011</v>
      </c>
      <c r="C798">
        <f>SUM($B$4:B798)</f>
        <v>18995325.614390008</v>
      </c>
      <c r="D798" s="26">
        <f t="shared" si="24"/>
        <v>0.59867616090775444</v>
      </c>
      <c r="E798" t="str">
        <f t="shared" si="25"/>
        <v>C</v>
      </c>
    </row>
    <row r="799" spans="1:5" x14ac:dyDescent="0.45">
      <c r="A799" s="18" t="s">
        <v>869</v>
      </c>
      <c r="B799" s="13">
        <v>8211.6342000000004</v>
      </c>
      <c r="C799">
        <f>SUM($B$4:B799)</f>
        <v>19003537.248590007</v>
      </c>
      <c r="D799" s="26">
        <f t="shared" si="24"/>
        <v>0.5989349671918599</v>
      </c>
      <c r="E799" t="str">
        <f t="shared" si="25"/>
        <v>C</v>
      </c>
    </row>
    <row r="800" spans="1:5" x14ac:dyDescent="0.45">
      <c r="A800" s="25" t="s">
        <v>724</v>
      </c>
      <c r="B800" s="13">
        <v>8211.6342000000004</v>
      </c>
      <c r="C800">
        <f>SUM($B$4:B800)</f>
        <v>19011748.882790007</v>
      </c>
      <c r="D800" s="26">
        <f t="shared" si="24"/>
        <v>0.59919377347596536</v>
      </c>
      <c r="E800" t="str">
        <f t="shared" si="25"/>
        <v>C</v>
      </c>
    </row>
    <row r="801" spans="1:5" x14ac:dyDescent="0.45">
      <c r="A801" s="18" t="s">
        <v>989</v>
      </c>
      <c r="B801" s="13">
        <v>8186.057600000001</v>
      </c>
      <c r="C801">
        <f>SUM($B$4:B801)</f>
        <v>19019934.940390006</v>
      </c>
      <c r="D801" s="26">
        <f t="shared" si="24"/>
        <v>0.59945177366171765</v>
      </c>
      <c r="E801" t="str">
        <f t="shared" si="25"/>
        <v>C</v>
      </c>
    </row>
    <row r="802" spans="1:5" x14ac:dyDescent="0.45">
      <c r="A802" s="25" t="s">
        <v>723</v>
      </c>
      <c r="B802" s="13">
        <v>8186.057600000001</v>
      </c>
      <c r="C802">
        <f>SUM($B$4:B802)</f>
        <v>19028120.997990005</v>
      </c>
      <c r="D802" s="26">
        <f t="shared" si="24"/>
        <v>0.59970977384746993</v>
      </c>
      <c r="E802" t="str">
        <f t="shared" si="25"/>
        <v>C</v>
      </c>
    </row>
    <row r="803" spans="1:5" x14ac:dyDescent="0.45">
      <c r="A803" s="18" t="s">
        <v>890</v>
      </c>
      <c r="B803" s="13">
        <v>8154.5511600000009</v>
      </c>
      <c r="C803">
        <f>SUM($B$4:B803)</f>
        <v>19036275.549150005</v>
      </c>
      <c r="D803" s="26">
        <f t="shared" si="24"/>
        <v>0.59996678104395074</v>
      </c>
      <c r="E803" t="str">
        <f t="shared" si="25"/>
        <v>C</v>
      </c>
    </row>
    <row r="804" spans="1:5" x14ac:dyDescent="0.45">
      <c r="A804" s="25" t="s">
        <v>724</v>
      </c>
      <c r="B804" s="13">
        <v>8154.5511600000009</v>
      </c>
      <c r="C804">
        <f>SUM($B$4:B804)</f>
        <v>19044430.100310005</v>
      </c>
      <c r="D804" s="26">
        <f t="shared" si="24"/>
        <v>0.60022378824043154</v>
      </c>
      <c r="E804" t="str">
        <f t="shared" si="25"/>
        <v>C</v>
      </c>
    </row>
    <row r="805" spans="1:5" x14ac:dyDescent="0.45">
      <c r="A805" s="18" t="s">
        <v>1321</v>
      </c>
      <c r="B805" s="13">
        <v>8128.5187499999993</v>
      </c>
      <c r="C805">
        <f>SUM($B$4:B805)</f>
        <v>19052558.619060006</v>
      </c>
      <c r="D805" s="26">
        <f t="shared" si="24"/>
        <v>0.60047997497278383</v>
      </c>
      <c r="E805" t="str">
        <f t="shared" si="25"/>
        <v>C</v>
      </c>
    </row>
    <row r="806" spans="1:5" x14ac:dyDescent="0.45">
      <c r="A806" s="25" t="s">
        <v>721</v>
      </c>
      <c r="B806" s="13">
        <v>8128.5187499999993</v>
      </c>
      <c r="C806">
        <f>SUM($B$4:B806)</f>
        <v>19060687.137810007</v>
      </c>
      <c r="D806" s="26">
        <f t="shared" si="24"/>
        <v>0.600736161705136</v>
      </c>
      <c r="E806" t="str">
        <f t="shared" si="25"/>
        <v>C</v>
      </c>
    </row>
    <row r="807" spans="1:5" x14ac:dyDescent="0.45">
      <c r="A807" s="18" t="s">
        <v>1030</v>
      </c>
      <c r="B807" s="13">
        <v>8093.4784</v>
      </c>
      <c r="C807">
        <f>SUM($B$4:B807)</f>
        <v>19068780.616210006</v>
      </c>
      <c r="D807" s="26">
        <f t="shared" si="24"/>
        <v>0.60099124406988536</v>
      </c>
      <c r="E807" t="str">
        <f t="shared" si="25"/>
        <v>C</v>
      </c>
    </row>
    <row r="808" spans="1:5" x14ac:dyDescent="0.45">
      <c r="A808" s="25" t="s">
        <v>724</v>
      </c>
      <c r="B808" s="13">
        <v>8093.4784</v>
      </c>
      <c r="C808">
        <f>SUM($B$4:B808)</f>
        <v>19076874.094610006</v>
      </c>
      <c r="D808" s="26">
        <f t="shared" si="24"/>
        <v>0.6012463264346346</v>
      </c>
      <c r="E808" t="str">
        <f t="shared" si="25"/>
        <v>C</v>
      </c>
    </row>
    <row r="809" spans="1:5" x14ac:dyDescent="0.45">
      <c r="A809" s="18" t="s">
        <v>1143</v>
      </c>
      <c r="B809" s="13">
        <v>7969.4615000000003</v>
      </c>
      <c r="C809">
        <f>SUM($B$4:B809)</f>
        <v>19084843.556110006</v>
      </c>
      <c r="D809" s="26">
        <f t="shared" si="24"/>
        <v>0.60149750015558978</v>
      </c>
      <c r="E809" t="str">
        <f t="shared" si="25"/>
        <v>C</v>
      </c>
    </row>
    <row r="810" spans="1:5" x14ac:dyDescent="0.45">
      <c r="A810" s="25" t="s">
        <v>727</v>
      </c>
      <c r="B810" s="13">
        <v>7969.4615000000003</v>
      </c>
      <c r="C810">
        <f>SUM($B$4:B810)</f>
        <v>19092813.017610006</v>
      </c>
      <c r="D810" s="26">
        <f t="shared" si="24"/>
        <v>0.60174867387654507</v>
      </c>
      <c r="E810" t="str">
        <f t="shared" si="25"/>
        <v>C</v>
      </c>
    </row>
    <row r="811" spans="1:5" x14ac:dyDescent="0.45">
      <c r="A811" s="18" t="s">
        <v>878</v>
      </c>
      <c r="B811" s="13">
        <v>7901.5041599999995</v>
      </c>
      <c r="C811">
        <f>SUM($B$4:B811)</f>
        <v>19100714.521770004</v>
      </c>
      <c r="D811" s="26">
        <f t="shared" si="24"/>
        <v>0.60199770578428557</v>
      </c>
      <c r="E811" t="str">
        <f t="shared" si="25"/>
        <v>C</v>
      </c>
    </row>
    <row r="812" spans="1:5" x14ac:dyDescent="0.45">
      <c r="A812" s="25" t="s">
        <v>722</v>
      </c>
      <c r="B812" s="13">
        <v>7901.5041599999995</v>
      </c>
      <c r="C812">
        <f>SUM($B$4:B812)</f>
        <v>19108616.025930002</v>
      </c>
      <c r="D812" s="26">
        <f t="shared" si="24"/>
        <v>0.60224673769202608</v>
      </c>
      <c r="E812" t="str">
        <f t="shared" si="25"/>
        <v>C</v>
      </c>
    </row>
    <row r="813" spans="1:5" x14ac:dyDescent="0.45">
      <c r="A813" s="18" t="s">
        <v>1183</v>
      </c>
      <c r="B813" s="13">
        <v>7854.6931199999999</v>
      </c>
      <c r="C813">
        <f>SUM($B$4:B813)</f>
        <v>19116470.719050001</v>
      </c>
      <c r="D813" s="26">
        <f t="shared" si="24"/>
        <v>0.60249429425502743</v>
      </c>
      <c r="E813" t="str">
        <f t="shared" si="25"/>
        <v>C</v>
      </c>
    </row>
    <row r="814" spans="1:5" x14ac:dyDescent="0.45">
      <c r="A814" s="25" t="s">
        <v>726</v>
      </c>
      <c r="B814" s="13">
        <v>7854.6931199999999</v>
      </c>
      <c r="C814">
        <f>SUM($B$4:B814)</f>
        <v>19124325.41217</v>
      </c>
      <c r="D814" s="26">
        <f t="shared" si="24"/>
        <v>0.60274185081802878</v>
      </c>
      <c r="E814" t="str">
        <f t="shared" si="25"/>
        <v>C</v>
      </c>
    </row>
    <row r="815" spans="1:5" x14ac:dyDescent="0.45">
      <c r="A815" s="18" t="s">
        <v>941</v>
      </c>
      <c r="B815" s="13">
        <v>7854.6693599999999</v>
      </c>
      <c r="C815">
        <f>SUM($B$4:B815)</f>
        <v>19132180.081530001</v>
      </c>
      <c r="D815" s="26">
        <f t="shared" si="24"/>
        <v>0.6029894066321857</v>
      </c>
      <c r="E815" t="str">
        <f t="shared" si="25"/>
        <v>C</v>
      </c>
    </row>
    <row r="816" spans="1:5" x14ac:dyDescent="0.45">
      <c r="A816" s="25" t="s">
        <v>727</v>
      </c>
      <c r="B816" s="13">
        <v>7854.6693599999999</v>
      </c>
      <c r="C816">
        <f>SUM($B$4:B816)</f>
        <v>19140034.750890002</v>
      </c>
      <c r="D816" s="26">
        <f t="shared" si="24"/>
        <v>0.60323696244634251</v>
      </c>
      <c r="E816" t="str">
        <f t="shared" si="25"/>
        <v>C</v>
      </c>
    </row>
    <row r="817" spans="1:5" x14ac:dyDescent="0.45">
      <c r="A817" s="18" t="s">
        <v>1130</v>
      </c>
      <c r="B817" s="13">
        <v>7832.0010999999995</v>
      </c>
      <c r="C817">
        <f>SUM($B$4:B817)</f>
        <v>19147866.751990002</v>
      </c>
      <c r="D817" s="26">
        <f t="shared" si="24"/>
        <v>0.60348380382437194</v>
      </c>
      <c r="E817" t="str">
        <f t="shared" si="25"/>
        <v>C</v>
      </c>
    </row>
    <row r="818" spans="1:5" x14ac:dyDescent="0.45">
      <c r="A818" s="25" t="s">
        <v>721</v>
      </c>
      <c r="B818" s="13">
        <v>7832.0010999999995</v>
      </c>
      <c r="C818">
        <f>SUM($B$4:B818)</f>
        <v>19155698.753090002</v>
      </c>
      <c r="D818" s="26">
        <f t="shared" si="24"/>
        <v>0.60373064520240127</v>
      </c>
      <c r="E818" t="str">
        <f t="shared" si="25"/>
        <v>C</v>
      </c>
    </row>
    <row r="819" spans="1:5" x14ac:dyDescent="0.45">
      <c r="A819" s="18" t="s">
        <v>1262</v>
      </c>
      <c r="B819" s="13">
        <v>7823.4472399999995</v>
      </c>
      <c r="C819">
        <f>SUM($B$4:B819)</f>
        <v>19163522.20033</v>
      </c>
      <c r="D819" s="26">
        <f t="shared" si="24"/>
        <v>0.60397721698820739</v>
      </c>
      <c r="E819" t="str">
        <f t="shared" si="25"/>
        <v>C</v>
      </c>
    </row>
    <row r="820" spans="1:5" x14ac:dyDescent="0.45">
      <c r="A820" s="25" t="s">
        <v>723</v>
      </c>
      <c r="B820" s="13">
        <v>7823.4472399999995</v>
      </c>
      <c r="C820">
        <f>SUM($B$4:B820)</f>
        <v>19171345.647569999</v>
      </c>
      <c r="D820" s="26">
        <f t="shared" si="24"/>
        <v>0.60422378877401339</v>
      </c>
      <c r="E820" t="str">
        <f t="shared" si="25"/>
        <v>C</v>
      </c>
    </row>
    <row r="821" spans="1:5" x14ac:dyDescent="0.45">
      <c r="A821" s="18" t="s">
        <v>943</v>
      </c>
      <c r="B821" s="13">
        <v>7738.9596900000006</v>
      </c>
      <c r="C821">
        <f>SUM($B$4:B821)</f>
        <v>19179084.60726</v>
      </c>
      <c r="D821" s="26">
        <f t="shared" si="24"/>
        <v>0.60446769776355547</v>
      </c>
      <c r="E821" t="str">
        <f t="shared" si="25"/>
        <v>C</v>
      </c>
    </row>
    <row r="822" spans="1:5" x14ac:dyDescent="0.45">
      <c r="A822" s="25" t="s">
        <v>726</v>
      </c>
      <c r="B822" s="13">
        <v>7738.9596900000006</v>
      </c>
      <c r="C822">
        <f>SUM($B$4:B822)</f>
        <v>19186823.566950001</v>
      </c>
      <c r="D822" s="26">
        <f t="shared" si="24"/>
        <v>0.60471160675309765</v>
      </c>
      <c r="E822" t="str">
        <f t="shared" si="25"/>
        <v>C</v>
      </c>
    </row>
    <row r="823" spans="1:5" x14ac:dyDescent="0.45">
      <c r="A823" s="18" t="s">
        <v>858</v>
      </c>
      <c r="B823" s="13">
        <v>7703.8640800000003</v>
      </c>
      <c r="C823">
        <f>SUM($B$4:B823)</f>
        <v>19194527.431030001</v>
      </c>
      <c r="D823" s="26">
        <f t="shared" si="24"/>
        <v>0.60495440963340597</v>
      </c>
      <c r="E823" t="str">
        <f t="shared" si="25"/>
        <v>C</v>
      </c>
    </row>
    <row r="824" spans="1:5" x14ac:dyDescent="0.45">
      <c r="A824" s="25" t="s">
        <v>726</v>
      </c>
      <c r="B824" s="13">
        <v>7703.8640800000003</v>
      </c>
      <c r="C824">
        <f>SUM($B$4:B824)</f>
        <v>19202231.295110002</v>
      </c>
      <c r="D824" s="26">
        <f t="shared" si="24"/>
        <v>0.60519721251371439</v>
      </c>
      <c r="E824" t="str">
        <f t="shared" si="25"/>
        <v>C</v>
      </c>
    </row>
    <row r="825" spans="1:5" x14ac:dyDescent="0.45">
      <c r="A825" s="18" t="s">
        <v>910</v>
      </c>
      <c r="B825" s="13">
        <v>7689.4560000000001</v>
      </c>
      <c r="C825">
        <f>SUM($B$4:B825)</f>
        <v>19209920.751110002</v>
      </c>
      <c r="D825" s="26">
        <f t="shared" si="24"/>
        <v>0.60543956129419874</v>
      </c>
      <c r="E825" t="str">
        <f t="shared" si="25"/>
        <v>C</v>
      </c>
    </row>
    <row r="826" spans="1:5" x14ac:dyDescent="0.45">
      <c r="A826" s="25" t="s">
        <v>727</v>
      </c>
      <c r="B826" s="13">
        <v>7689.4560000000001</v>
      </c>
      <c r="C826">
        <f>SUM($B$4:B826)</f>
        <v>19217610.207110003</v>
      </c>
      <c r="D826" s="26">
        <f t="shared" si="24"/>
        <v>0.60568191007468297</v>
      </c>
      <c r="E826" t="str">
        <f t="shared" si="25"/>
        <v>C</v>
      </c>
    </row>
    <row r="827" spans="1:5" x14ac:dyDescent="0.45">
      <c r="A827" s="18" t="s">
        <v>996</v>
      </c>
      <c r="B827" s="13">
        <v>7678.2113999999992</v>
      </c>
      <c r="C827">
        <f>SUM($B$4:B827)</f>
        <v>19225288.418510001</v>
      </c>
      <c r="D827" s="26">
        <f t="shared" si="24"/>
        <v>0.60592390445882283</v>
      </c>
      <c r="E827" t="str">
        <f t="shared" si="25"/>
        <v>C</v>
      </c>
    </row>
    <row r="828" spans="1:5" x14ac:dyDescent="0.45">
      <c r="A828" s="25" t="s">
        <v>722</v>
      </c>
      <c r="B828" s="13">
        <v>7678.2113999999992</v>
      </c>
      <c r="C828">
        <f>SUM($B$4:B828)</f>
        <v>19232966.62991</v>
      </c>
      <c r="D828" s="26">
        <f t="shared" si="24"/>
        <v>0.60616589884296257</v>
      </c>
      <c r="E828" t="str">
        <f t="shared" si="25"/>
        <v>C</v>
      </c>
    </row>
    <row r="829" spans="1:5" x14ac:dyDescent="0.45">
      <c r="A829" s="18" t="s">
        <v>1184</v>
      </c>
      <c r="B829" s="13">
        <v>7643.2649999999994</v>
      </c>
      <c r="C829">
        <f>SUM($B$4:B829)</f>
        <v>19240609.89491</v>
      </c>
      <c r="D829" s="26">
        <f t="shared" si="24"/>
        <v>0.60640679182052415</v>
      </c>
      <c r="E829" t="str">
        <f t="shared" si="25"/>
        <v>C</v>
      </c>
    </row>
    <row r="830" spans="1:5" x14ac:dyDescent="0.45">
      <c r="A830" s="25" t="s">
        <v>725</v>
      </c>
      <c r="B830" s="13">
        <v>7643.2649999999994</v>
      </c>
      <c r="C830">
        <f>SUM($B$4:B830)</f>
        <v>19248253.159910001</v>
      </c>
      <c r="D830" s="26">
        <f t="shared" si="24"/>
        <v>0.60664768479808562</v>
      </c>
      <c r="E830" t="str">
        <f t="shared" si="25"/>
        <v>C</v>
      </c>
    </row>
    <row r="831" spans="1:5" x14ac:dyDescent="0.45">
      <c r="A831" s="18" t="s">
        <v>742</v>
      </c>
      <c r="B831" s="13">
        <v>7578.84</v>
      </c>
      <c r="C831">
        <f>SUM($B$4:B831)</f>
        <v>19255831.999910001</v>
      </c>
      <c r="D831" s="26">
        <f t="shared" si="24"/>
        <v>0.60688654729128222</v>
      </c>
      <c r="E831" t="str">
        <f t="shared" si="25"/>
        <v>C</v>
      </c>
    </row>
    <row r="832" spans="1:5" x14ac:dyDescent="0.45">
      <c r="A832" s="25" t="s">
        <v>727</v>
      </c>
      <c r="B832" s="13">
        <v>7578.84</v>
      </c>
      <c r="C832">
        <f>SUM($B$4:B832)</f>
        <v>19263410.839910001</v>
      </c>
      <c r="D832" s="26">
        <f t="shared" si="24"/>
        <v>0.60712540978447882</v>
      </c>
      <c r="E832" t="str">
        <f t="shared" si="25"/>
        <v>C</v>
      </c>
    </row>
    <row r="833" spans="1:5" x14ac:dyDescent="0.45">
      <c r="A833" s="18" t="s">
        <v>986</v>
      </c>
      <c r="B833" s="13">
        <v>7568.9632000000001</v>
      </c>
      <c r="C833">
        <f>SUM($B$4:B833)</f>
        <v>19270979.80311</v>
      </c>
      <c r="D833" s="26">
        <f t="shared" si="24"/>
        <v>0.60736396099031831</v>
      </c>
      <c r="E833" t="str">
        <f t="shared" si="25"/>
        <v>C</v>
      </c>
    </row>
    <row r="834" spans="1:5" x14ac:dyDescent="0.45">
      <c r="A834" s="25" t="s">
        <v>727</v>
      </c>
      <c r="B834" s="13">
        <v>7568.9632000000001</v>
      </c>
      <c r="C834">
        <f>SUM($B$4:B834)</f>
        <v>19278548.766309999</v>
      </c>
      <c r="D834" s="26">
        <f t="shared" si="24"/>
        <v>0.60760251219615791</v>
      </c>
      <c r="E834" t="str">
        <f t="shared" si="25"/>
        <v>C</v>
      </c>
    </row>
    <row r="835" spans="1:5" x14ac:dyDescent="0.45">
      <c r="A835" s="18" t="s">
        <v>1218</v>
      </c>
      <c r="B835" s="13">
        <v>7507.4514899999995</v>
      </c>
      <c r="C835">
        <f>SUM($B$4:B835)</f>
        <v>19286056.217799999</v>
      </c>
      <c r="D835" s="26">
        <f t="shared" si="24"/>
        <v>0.60783912473586765</v>
      </c>
      <c r="E835" t="str">
        <f t="shared" si="25"/>
        <v>C</v>
      </c>
    </row>
    <row r="836" spans="1:5" x14ac:dyDescent="0.45">
      <c r="A836" s="25" t="s">
        <v>727</v>
      </c>
      <c r="B836" s="13">
        <v>7507.4514899999995</v>
      </c>
      <c r="C836">
        <f>SUM($B$4:B836)</f>
        <v>19293563.669289999</v>
      </c>
      <c r="D836" s="26">
        <f t="shared" si="24"/>
        <v>0.6080757372755774</v>
      </c>
      <c r="E836" t="str">
        <f t="shared" si="25"/>
        <v>C</v>
      </c>
    </row>
    <row r="837" spans="1:5" x14ac:dyDescent="0.45">
      <c r="A837" s="18" t="s">
        <v>1048</v>
      </c>
      <c r="B837" s="13">
        <v>7493.1076000000012</v>
      </c>
      <c r="C837">
        <f>SUM($B$4:B837)</f>
        <v>19301056.776889998</v>
      </c>
      <c r="D837" s="26">
        <f t="shared" ref="D837:D900" si="26">C837/SUM($B$4:$B$1255)</f>
        <v>0.60831189773854089</v>
      </c>
      <c r="E837" t="str">
        <f t="shared" ref="E837:E900" si="27">IF(D837&gt;=0.8,"A",IF(D837&gt;=0.95,"B","C"))</f>
        <v>C</v>
      </c>
    </row>
    <row r="838" spans="1:5" x14ac:dyDescent="0.45">
      <c r="A838" s="25" t="s">
        <v>723</v>
      </c>
      <c r="B838" s="13">
        <v>7493.1076000000012</v>
      </c>
      <c r="C838">
        <f>SUM($B$4:B838)</f>
        <v>19308549.884489998</v>
      </c>
      <c r="D838" s="26">
        <f t="shared" si="26"/>
        <v>0.60854805820150437</v>
      </c>
      <c r="E838" t="str">
        <f t="shared" si="27"/>
        <v>C</v>
      </c>
    </row>
    <row r="839" spans="1:5" x14ac:dyDescent="0.45">
      <c r="A839" s="18" t="s">
        <v>1326</v>
      </c>
      <c r="B839" s="13">
        <v>7466.3063999999986</v>
      </c>
      <c r="C839">
        <f>SUM($B$4:B839)</f>
        <v>19316016.190889999</v>
      </c>
      <c r="D839" s="26">
        <f t="shared" si="26"/>
        <v>0.60878337397036519</v>
      </c>
      <c r="E839" t="str">
        <f t="shared" si="27"/>
        <v>C</v>
      </c>
    </row>
    <row r="840" spans="1:5" x14ac:dyDescent="0.45">
      <c r="A840" s="25" t="s">
        <v>722</v>
      </c>
      <c r="B840" s="13">
        <v>7466.3063999999986</v>
      </c>
      <c r="C840">
        <f>SUM($B$4:B840)</f>
        <v>19323482.49729</v>
      </c>
      <c r="D840" s="26">
        <f t="shared" si="26"/>
        <v>0.60901868973922613</v>
      </c>
      <c r="E840" t="str">
        <f t="shared" si="27"/>
        <v>C</v>
      </c>
    </row>
    <row r="841" spans="1:5" x14ac:dyDescent="0.45">
      <c r="A841" s="18" t="s">
        <v>956</v>
      </c>
      <c r="B841" s="13">
        <v>7446.5209000000004</v>
      </c>
      <c r="C841">
        <f>SUM($B$4:B841)</f>
        <v>19330929.01819</v>
      </c>
      <c r="D841" s="26">
        <f t="shared" si="26"/>
        <v>0.60925338192797995</v>
      </c>
      <c r="E841" t="str">
        <f t="shared" si="27"/>
        <v>C</v>
      </c>
    </row>
    <row r="842" spans="1:5" x14ac:dyDescent="0.45">
      <c r="A842" s="25" t="s">
        <v>722</v>
      </c>
      <c r="B842" s="13">
        <v>7446.5209000000004</v>
      </c>
      <c r="C842">
        <f>SUM($B$4:B842)</f>
        <v>19338375.53909</v>
      </c>
      <c r="D842" s="26">
        <f t="shared" si="26"/>
        <v>0.60948807411673367</v>
      </c>
      <c r="E842" t="str">
        <f t="shared" si="27"/>
        <v>C</v>
      </c>
    </row>
    <row r="843" spans="1:5" x14ac:dyDescent="0.45">
      <c r="A843" s="18" t="s">
        <v>1227</v>
      </c>
      <c r="B843" s="13">
        <v>7428.1108999999988</v>
      </c>
      <c r="C843">
        <f>SUM($B$4:B843)</f>
        <v>19345803.64999</v>
      </c>
      <c r="D843" s="26">
        <f t="shared" si="26"/>
        <v>0.60972218607704876</v>
      </c>
      <c r="E843" t="str">
        <f t="shared" si="27"/>
        <v>C</v>
      </c>
    </row>
    <row r="844" spans="1:5" x14ac:dyDescent="0.45">
      <c r="A844" s="25" t="s">
        <v>724</v>
      </c>
      <c r="B844" s="13">
        <v>7428.1108999999988</v>
      </c>
      <c r="C844">
        <f>SUM($B$4:B844)</f>
        <v>19353231.76089</v>
      </c>
      <c r="D844" s="26">
        <f t="shared" si="26"/>
        <v>0.60995629803736384</v>
      </c>
      <c r="E844" t="str">
        <f t="shared" si="27"/>
        <v>C</v>
      </c>
    </row>
    <row r="845" spans="1:5" x14ac:dyDescent="0.45">
      <c r="A845" s="18" t="s">
        <v>1246</v>
      </c>
      <c r="B845" s="13">
        <v>7399.4832000000006</v>
      </c>
      <c r="C845">
        <f>SUM($B$4:B845)</f>
        <v>19360631.244089998</v>
      </c>
      <c r="D845" s="26">
        <f t="shared" si="26"/>
        <v>0.6101895077377294</v>
      </c>
      <c r="E845" t="str">
        <f t="shared" si="27"/>
        <v>C</v>
      </c>
    </row>
    <row r="846" spans="1:5" x14ac:dyDescent="0.45">
      <c r="A846" s="25" t="s">
        <v>721</v>
      </c>
      <c r="B846" s="13">
        <v>7399.4832000000006</v>
      </c>
      <c r="C846">
        <f>SUM($B$4:B846)</f>
        <v>19368030.727289997</v>
      </c>
      <c r="D846" s="26">
        <f t="shared" si="26"/>
        <v>0.61042271743809484</v>
      </c>
      <c r="E846" t="str">
        <f t="shared" si="27"/>
        <v>C</v>
      </c>
    </row>
    <row r="847" spans="1:5" x14ac:dyDescent="0.45">
      <c r="A847" s="18" t="s">
        <v>1020</v>
      </c>
      <c r="B847" s="13">
        <v>7382.1450000000004</v>
      </c>
      <c r="C847">
        <f>SUM($B$4:B847)</f>
        <v>19375412.872289997</v>
      </c>
      <c r="D847" s="26">
        <f t="shared" si="26"/>
        <v>0.61065538068996961</v>
      </c>
      <c r="E847" t="str">
        <f t="shared" si="27"/>
        <v>C</v>
      </c>
    </row>
    <row r="848" spans="1:5" x14ac:dyDescent="0.45">
      <c r="A848" s="25" t="s">
        <v>727</v>
      </c>
      <c r="B848" s="13">
        <v>7382.1450000000004</v>
      </c>
      <c r="C848">
        <f>SUM($B$4:B848)</f>
        <v>19382795.017289996</v>
      </c>
      <c r="D848" s="26">
        <f t="shared" si="26"/>
        <v>0.61088804394184437</v>
      </c>
      <c r="E848" t="str">
        <f t="shared" si="27"/>
        <v>C</v>
      </c>
    </row>
    <row r="849" spans="1:5" x14ac:dyDescent="0.45">
      <c r="A849" s="18" t="s">
        <v>1163</v>
      </c>
      <c r="B849" s="13">
        <v>7340.3891399999993</v>
      </c>
      <c r="C849">
        <f>SUM($B$4:B849)</f>
        <v>19390135.406429995</v>
      </c>
      <c r="D849" s="26">
        <f t="shared" si="26"/>
        <v>0.61111939117321668</v>
      </c>
      <c r="E849" t="str">
        <f t="shared" si="27"/>
        <v>C</v>
      </c>
    </row>
    <row r="850" spans="1:5" x14ac:dyDescent="0.45">
      <c r="A850" s="25" t="s">
        <v>721</v>
      </c>
      <c r="B850" s="13">
        <v>7340.3891399999993</v>
      </c>
      <c r="C850">
        <f>SUM($B$4:B850)</f>
        <v>19397475.795569994</v>
      </c>
      <c r="D850" s="26">
        <f t="shared" si="26"/>
        <v>0.61135073840458887</v>
      </c>
      <c r="E850" t="str">
        <f t="shared" si="27"/>
        <v>C</v>
      </c>
    </row>
    <row r="851" spans="1:5" x14ac:dyDescent="0.45">
      <c r="A851" s="18" t="s">
        <v>1090</v>
      </c>
      <c r="B851" s="13">
        <v>7327.9533600000004</v>
      </c>
      <c r="C851">
        <f>SUM($B$4:B851)</f>
        <v>19404803.748929992</v>
      </c>
      <c r="D851" s="26">
        <f t="shared" si="26"/>
        <v>0.61158169369716631</v>
      </c>
      <c r="E851" t="str">
        <f t="shared" si="27"/>
        <v>C</v>
      </c>
    </row>
    <row r="852" spans="1:5" x14ac:dyDescent="0.45">
      <c r="A852" s="25" t="s">
        <v>726</v>
      </c>
      <c r="B852" s="13">
        <v>7327.9533600000004</v>
      </c>
      <c r="C852">
        <f>SUM($B$4:B852)</f>
        <v>19412131.702289991</v>
      </c>
      <c r="D852" s="26">
        <f t="shared" si="26"/>
        <v>0.61181264898974375</v>
      </c>
      <c r="E852" t="str">
        <f t="shared" si="27"/>
        <v>C</v>
      </c>
    </row>
    <row r="853" spans="1:5" x14ac:dyDescent="0.45">
      <c r="A853" s="18" t="s">
        <v>997</v>
      </c>
      <c r="B853" s="13">
        <v>7235.2134999999998</v>
      </c>
      <c r="C853">
        <f>SUM($B$4:B853)</f>
        <v>19419366.915789992</v>
      </c>
      <c r="D853" s="26">
        <f t="shared" si="26"/>
        <v>0.612040681397793</v>
      </c>
      <c r="E853" t="str">
        <f t="shared" si="27"/>
        <v>C</v>
      </c>
    </row>
    <row r="854" spans="1:5" x14ac:dyDescent="0.45">
      <c r="A854" s="25" t="s">
        <v>727</v>
      </c>
      <c r="B854" s="13">
        <v>7235.2134999999998</v>
      </c>
      <c r="C854">
        <f>SUM($B$4:B854)</f>
        <v>19426602.129289992</v>
      </c>
      <c r="D854" s="26">
        <f t="shared" si="26"/>
        <v>0.61226871380584225</v>
      </c>
      <c r="E854" t="str">
        <f t="shared" si="27"/>
        <v>C</v>
      </c>
    </row>
    <row r="855" spans="1:5" x14ac:dyDescent="0.45">
      <c r="A855" s="18" t="s">
        <v>884</v>
      </c>
      <c r="B855" s="13">
        <v>7203.8047000000006</v>
      </c>
      <c r="C855">
        <f>SUM($B$4:B855)</f>
        <v>19433805.933989991</v>
      </c>
      <c r="D855" s="26">
        <f t="shared" si="26"/>
        <v>0.6124957563019422</v>
      </c>
      <c r="E855" t="str">
        <f t="shared" si="27"/>
        <v>C</v>
      </c>
    </row>
    <row r="856" spans="1:5" x14ac:dyDescent="0.45">
      <c r="A856" s="25" t="s">
        <v>723</v>
      </c>
      <c r="B856" s="13">
        <v>7203.8047000000006</v>
      </c>
      <c r="C856">
        <f>SUM($B$4:B856)</f>
        <v>19441009.738689989</v>
      </c>
      <c r="D856" s="26">
        <f t="shared" si="26"/>
        <v>0.61272279879804226</v>
      </c>
      <c r="E856" t="str">
        <f t="shared" si="27"/>
        <v>C</v>
      </c>
    </row>
    <row r="857" spans="1:5" x14ac:dyDescent="0.45">
      <c r="A857" s="18" t="s">
        <v>1305</v>
      </c>
      <c r="B857" s="13">
        <v>7173.3342799999991</v>
      </c>
      <c r="C857">
        <f>SUM($B$4:B857)</f>
        <v>19448183.072969988</v>
      </c>
      <c r="D857" s="26">
        <f t="shared" si="26"/>
        <v>0.61294888095713962</v>
      </c>
      <c r="E857" t="str">
        <f t="shared" si="27"/>
        <v>C</v>
      </c>
    </row>
    <row r="858" spans="1:5" x14ac:dyDescent="0.45">
      <c r="A858" s="25" t="s">
        <v>724</v>
      </c>
      <c r="B858" s="13">
        <v>7173.3342799999991</v>
      </c>
      <c r="C858">
        <f>SUM($B$4:B858)</f>
        <v>19455356.407249987</v>
      </c>
      <c r="D858" s="26">
        <f t="shared" si="26"/>
        <v>0.61317496311623687</v>
      </c>
      <c r="E858" t="str">
        <f t="shared" si="27"/>
        <v>C</v>
      </c>
    </row>
    <row r="859" spans="1:5" x14ac:dyDescent="0.45">
      <c r="A859" s="18" t="s">
        <v>774</v>
      </c>
      <c r="B859" s="13">
        <v>7135.57</v>
      </c>
      <c r="C859">
        <f>SUM($B$4:B859)</f>
        <v>19462491.977249987</v>
      </c>
      <c r="D859" s="26">
        <f t="shared" si="26"/>
        <v>0.61339985505756023</v>
      </c>
      <c r="E859" t="str">
        <f t="shared" si="27"/>
        <v>C</v>
      </c>
    </row>
    <row r="860" spans="1:5" x14ac:dyDescent="0.45">
      <c r="A860" s="25" t="s">
        <v>722</v>
      </c>
      <c r="B860" s="13">
        <v>7135.57</v>
      </c>
      <c r="C860">
        <f>SUM($B$4:B860)</f>
        <v>19469627.547249988</v>
      </c>
      <c r="D860" s="26">
        <f t="shared" si="26"/>
        <v>0.61362474699888359</v>
      </c>
      <c r="E860" t="str">
        <f t="shared" si="27"/>
        <v>C</v>
      </c>
    </row>
    <row r="861" spans="1:5" x14ac:dyDescent="0.45">
      <c r="A861" s="18" t="s">
        <v>998</v>
      </c>
      <c r="B861" s="13">
        <v>7120.6486400000003</v>
      </c>
      <c r="C861">
        <f>SUM($B$4:B861)</f>
        <v>19476748.195889987</v>
      </c>
      <c r="D861" s="26">
        <f t="shared" si="26"/>
        <v>0.61384916866332395</v>
      </c>
      <c r="E861" t="str">
        <f t="shared" si="27"/>
        <v>C</v>
      </c>
    </row>
    <row r="862" spans="1:5" x14ac:dyDescent="0.45">
      <c r="A862" s="25" t="s">
        <v>726</v>
      </c>
      <c r="B862" s="13">
        <v>7120.6486400000003</v>
      </c>
      <c r="C862">
        <f>SUM($B$4:B862)</f>
        <v>19483868.844529986</v>
      </c>
      <c r="D862" s="26">
        <f t="shared" si="26"/>
        <v>0.61407359032776421</v>
      </c>
      <c r="E862" t="str">
        <f t="shared" si="27"/>
        <v>C</v>
      </c>
    </row>
    <row r="863" spans="1:5" x14ac:dyDescent="0.45">
      <c r="A863" s="18" t="s">
        <v>1059</v>
      </c>
      <c r="B863" s="13">
        <v>7105.3528000000006</v>
      </c>
      <c r="C863">
        <f>SUM($B$4:B863)</f>
        <v>19490974.197329987</v>
      </c>
      <c r="D863" s="26">
        <f t="shared" si="26"/>
        <v>0.61429752991282605</v>
      </c>
      <c r="E863" t="str">
        <f t="shared" si="27"/>
        <v>C</v>
      </c>
    </row>
    <row r="864" spans="1:5" x14ac:dyDescent="0.45">
      <c r="A864" s="25" t="s">
        <v>727</v>
      </c>
      <c r="B864" s="13">
        <v>7105.3528000000006</v>
      </c>
      <c r="C864">
        <f>SUM($B$4:B864)</f>
        <v>19498079.550129987</v>
      </c>
      <c r="D864" s="26">
        <f t="shared" si="26"/>
        <v>0.61452146949788777</v>
      </c>
      <c r="E864" t="str">
        <f t="shared" si="27"/>
        <v>C</v>
      </c>
    </row>
    <row r="865" spans="1:5" x14ac:dyDescent="0.45">
      <c r="A865" s="18" t="s">
        <v>906</v>
      </c>
      <c r="B865" s="13">
        <v>7098.5495999999994</v>
      </c>
      <c r="C865">
        <f>SUM($B$4:B865)</f>
        <v>19505178.099729989</v>
      </c>
      <c r="D865" s="26">
        <f t="shared" si="26"/>
        <v>0.61474519466632194</v>
      </c>
      <c r="E865" t="str">
        <f t="shared" si="27"/>
        <v>C</v>
      </c>
    </row>
    <row r="866" spans="1:5" x14ac:dyDescent="0.45">
      <c r="A866" s="25" t="s">
        <v>726</v>
      </c>
      <c r="B866" s="13">
        <v>7098.5495999999994</v>
      </c>
      <c r="C866">
        <f>SUM($B$4:B866)</f>
        <v>19512276.64932999</v>
      </c>
      <c r="D866" s="26">
        <f t="shared" si="26"/>
        <v>0.61496891983475621</v>
      </c>
      <c r="E866" t="str">
        <f t="shared" si="27"/>
        <v>C</v>
      </c>
    </row>
    <row r="867" spans="1:5" x14ac:dyDescent="0.45">
      <c r="A867" s="18" t="s">
        <v>743</v>
      </c>
      <c r="B867" s="13">
        <v>7090.5672000000004</v>
      </c>
      <c r="C867">
        <f>SUM($B$4:B867)</f>
        <v>19519367.216529991</v>
      </c>
      <c r="D867" s="26">
        <f t="shared" si="26"/>
        <v>0.61519239342168641</v>
      </c>
      <c r="E867" t="str">
        <f t="shared" si="27"/>
        <v>C</v>
      </c>
    </row>
    <row r="868" spans="1:5" x14ac:dyDescent="0.45">
      <c r="A868" s="25" t="s">
        <v>725</v>
      </c>
      <c r="B868" s="13">
        <v>7090.5672000000004</v>
      </c>
      <c r="C868">
        <f>SUM($B$4:B868)</f>
        <v>19526457.783729993</v>
      </c>
      <c r="D868" s="26">
        <f t="shared" si="26"/>
        <v>0.61541586700861661</v>
      </c>
      <c r="E868" t="str">
        <f t="shared" si="27"/>
        <v>C</v>
      </c>
    </row>
    <row r="869" spans="1:5" x14ac:dyDescent="0.45">
      <c r="A869" s="18" t="s">
        <v>1330</v>
      </c>
      <c r="B869" s="13">
        <v>7071.6331400000008</v>
      </c>
      <c r="C869">
        <f>SUM($B$4:B869)</f>
        <v>19533529.416869994</v>
      </c>
      <c r="D869" s="26">
        <f t="shared" si="26"/>
        <v>0.61563874385029593</v>
      </c>
      <c r="E869" t="str">
        <f t="shared" si="27"/>
        <v>C</v>
      </c>
    </row>
    <row r="870" spans="1:5" x14ac:dyDescent="0.45">
      <c r="A870" s="25" t="s">
        <v>725</v>
      </c>
      <c r="B870" s="13">
        <v>7071.6331400000008</v>
      </c>
      <c r="C870">
        <f>SUM($B$4:B870)</f>
        <v>19540601.050009996</v>
      </c>
      <c r="D870" s="26">
        <f t="shared" si="26"/>
        <v>0.61586162069197514</v>
      </c>
      <c r="E870" t="str">
        <f t="shared" si="27"/>
        <v>C</v>
      </c>
    </row>
    <row r="871" spans="1:5" x14ac:dyDescent="0.45">
      <c r="A871" s="18" t="s">
        <v>939</v>
      </c>
      <c r="B871" s="13">
        <v>6984.8246399999998</v>
      </c>
      <c r="C871">
        <f>SUM($B$4:B871)</f>
        <v>19547585.874649994</v>
      </c>
      <c r="D871" s="26">
        <f t="shared" si="26"/>
        <v>0.61608176158795014</v>
      </c>
      <c r="E871" t="str">
        <f t="shared" si="27"/>
        <v>C</v>
      </c>
    </row>
    <row r="872" spans="1:5" x14ac:dyDescent="0.45">
      <c r="A872" s="25" t="s">
        <v>722</v>
      </c>
      <c r="B872" s="13">
        <v>6984.8246399999998</v>
      </c>
      <c r="C872">
        <f>SUM($B$4:B872)</f>
        <v>19554570.699289992</v>
      </c>
      <c r="D872" s="26">
        <f t="shared" si="26"/>
        <v>0.61630190248392502</v>
      </c>
      <c r="E872" t="str">
        <f t="shared" si="27"/>
        <v>C</v>
      </c>
    </row>
    <row r="873" spans="1:5" x14ac:dyDescent="0.45">
      <c r="A873" s="18" t="s">
        <v>995</v>
      </c>
      <c r="B873" s="13">
        <v>6946.8</v>
      </c>
      <c r="C873">
        <f>SUM($B$4:B873)</f>
        <v>19561517.499289993</v>
      </c>
      <c r="D873" s="26">
        <f t="shared" si="26"/>
        <v>0.61652084495635329</v>
      </c>
      <c r="E873" t="str">
        <f t="shared" si="27"/>
        <v>C</v>
      </c>
    </row>
    <row r="874" spans="1:5" x14ac:dyDescent="0.45">
      <c r="A874" s="25" t="s">
        <v>724</v>
      </c>
      <c r="B874" s="13">
        <v>6946.8</v>
      </c>
      <c r="C874">
        <f>SUM($B$4:B874)</f>
        <v>19568464.299289994</v>
      </c>
      <c r="D874" s="26">
        <f t="shared" si="26"/>
        <v>0.61673978742878155</v>
      </c>
      <c r="E874" t="str">
        <f t="shared" si="27"/>
        <v>C</v>
      </c>
    </row>
    <row r="875" spans="1:5" x14ac:dyDescent="0.45">
      <c r="A875" s="18" t="s">
        <v>1137</v>
      </c>
      <c r="B875" s="13">
        <v>6899.8804600000003</v>
      </c>
      <c r="C875">
        <f>SUM($B$4:B875)</f>
        <v>19575364.179749995</v>
      </c>
      <c r="D875" s="26">
        <f t="shared" si="26"/>
        <v>0.61695725113687339</v>
      </c>
      <c r="E875" t="str">
        <f t="shared" si="27"/>
        <v>C</v>
      </c>
    </row>
    <row r="876" spans="1:5" x14ac:dyDescent="0.45">
      <c r="A876" s="25" t="s">
        <v>722</v>
      </c>
      <c r="B876" s="13">
        <v>6899.8804600000003</v>
      </c>
      <c r="C876">
        <f>SUM($B$4:B876)</f>
        <v>19582264.060209997</v>
      </c>
      <c r="D876" s="26">
        <f t="shared" si="26"/>
        <v>0.61717471484496511</v>
      </c>
      <c r="E876" t="str">
        <f t="shared" si="27"/>
        <v>C</v>
      </c>
    </row>
    <row r="877" spans="1:5" x14ac:dyDescent="0.45">
      <c r="A877" s="18" t="s">
        <v>803</v>
      </c>
      <c r="B877" s="13">
        <v>6874.4828600000001</v>
      </c>
      <c r="C877">
        <f>SUM($B$4:B877)</f>
        <v>19589138.543069996</v>
      </c>
      <c r="D877" s="26">
        <f t="shared" si="26"/>
        <v>0.61739137809625122</v>
      </c>
      <c r="E877" t="str">
        <f t="shared" si="27"/>
        <v>C</v>
      </c>
    </row>
    <row r="878" spans="1:5" x14ac:dyDescent="0.45">
      <c r="A878" s="25" t="s">
        <v>721</v>
      </c>
      <c r="B878" s="13">
        <v>6874.4828600000001</v>
      </c>
      <c r="C878">
        <f>SUM($B$4:B878)</f>
        <v>19596013.025929995</v>
      </c>
      <c r="D878" s="26">
        <f t="shared" si="26"/>
        <v>0.61760804134753722</v>
      </c>
      <c r="E878" t="str">
        <f t="shared" si="27"/>
        <v>C</v>
      </c>
    </row>
    <row r="879" spans="1:5" x14ac:dyDescent="0.45">
      <c r="A879" s="18" t="s">
        <v>896</v>
      </c>
      <c r="B879" s="13">
        <v>6824.2884000000004</v>
      </c>
      <c r="C879">
        <f>SUM($B$4:B879)</f>
        <v>19602837.314329997</v>
      </c>
      <c r="D879" s="26">
        <f t="shared" si="26"/>
        <v>0.61782312261874983</v>
      </c>
      <c r="E879" t="str">
        <f t="shared" si="27"/>
        <v>C</v>
      </c>
    </row>
    <row r="880" spans="1:5" x14ac:dyDescent="0.45">
      <c r="A880" s="25" t="s">
        <v>726</v>
      </c>
      <c r="B880" s="13">
        <v>6824.2884000000004</v>
      </c>
      <c r="C880">
        <f>SUM($B$4:B880)</f>
        <v>19609661.602729999</v>
      </c>
      <c r="D880" s="26">
        <f t="shared" si="26"/>
        <v>0.61803820388996245</v>
      </c>
      <c r="E880" t="str">
        <f t="shared" si="27"/>
        <v>C</v>
      </c>
    </row>
    <row r="881" spans="1:5" x14ac:dyDescent="0.45">
      <c r="A881" s="18" t="s">
        <v>1286</v>
      </c>
      <c r="B881" s="13">
        <v>6766.9829999999993</v>
      </c>
      <c r="C881">
        <f>SUM($B$4:B881)</f>
        <v>19616428.585729998</v>
      </c>
      <c r="D881" s="26">
        <f t="shared" si="26"/>
        <v>0.61825147906542444</v>
      </c>
      <c r="E881" t="str">
        <f t="shared" si="27"/>
        <v>C</v>
      </c>
    </row>
    <row r="882" spans="1:5" x14ac:dyDescent="0.45">
      <c r="A882" s="25" t="s">
        <v>721</v>
      </c>
      <c r="B882" s="13">
        <v>6766.9829999999993</v>
      </c>
      <c r="C882">
        <f>SUM($B$4:B882)</f>
        <v>19623195.568729997</v>
      </c>
      <c r="D882" s="26">
        <f t="shared" si="26"/>
        <v>0.61846475424088654</v>
      </c>
      <c r="E882" t="str">
        <f t="shared" si="27"/>
        <v>C</v>
      </c>
    </row>
    <row r="883" spans="1:5" x14ac:dyDescent="0.45">
      <c r="A883" s="18" t="s">
        <v>1303</v>
      </c>
      <c r="B883" s="13">
        <v>6732.4334000000008</v>
      </c>
      <c r="C883">
        <f>SUM($B$4:B883)</f>
        <v>19629928.002129998</v>
      </c>
      <c r="D883" s="26">
        <f t="shared" si="26"/>
        <v>0.61867694051572597</v>
      </c>
      <c r="E883" t="str">
        <f t="shared" si="27"/>
        <v>C</v>
      </c>
    </row>
    <row r="884" spans="1:5" x14ac:dyDescent="0.45">
      <c r="A884" s="25" t="s">
        <v>727</v>
      </c>
      <c r="B884" s="13">
        <v>6732.4334000000008</v>
      </c>
      <c r="C884">
        <f>SUM($B$4:B884)</f>
        <v>19636660.435529999</v>
      </c>
      <c r="D884" s="26">
        <f t="shared" si="26"/>
        <v>0.6188891267905654</v>
      </c>
      <c r="E884" t="str">
        <f t="shared" si="27"/>
        <v>C</v>
      </c>
    </row>
    <row r="885" spans="1:5" x14ac:dyDescent="0.45">
      <c r="A885" s="18" t="s">
        <v>933</v>
      </c>
      <c r="B885" s="13">
        <v>6702.3501999999999</v>
      </c>
      <c r="C885">
        <f>SUM($B$4:B885)</f>
        <v>19643362.785730001</v>
      </c>
      <c r="D885" s="26">
        <f t="shared" si="26"/>
        <v>0.61910036493242471</v>
      </c>
      <c r="E885" t="str">
        <f t="shared" si="27"/>
        <v>C</v>
      </c>
    </row>
    <row r="886" spans="1:5" x14ac:dyDescent="0.45">
      <c r="A886" s="25" t="s">
        <v>721</v>
      </c>
      <c r="B886" s="13">
        <v>6702.3501999999999</v>
      </c>
      <c r="C886">
        <f>SUM($B$4:B886)</f>
        <v>19650065.135930002</v>
      </c>
      <c r="D886" s="26">
        <f t="shared" si="26"/>
        <v>0.61931160307428401</v>
      </c>
      <c r="E886" t="str">
        <f t="shared" si="27"/>
        <v>C</v>
      </c>
    </row>
    <row r="887" spans="1:5" x14ac:dyDescent="0.45">
      <c r="A887" s="18" t="s">
        <v>965</v>
      </c>
      <c r="B887" s="13">
        <v>6684.1875</v>
      </c>
      <c r="C887">
        <f>SUM($B$4:B887)</f>
        <v>19656749.323430002</v>
      </c>
      <c r="D887" s="26">
        <f t="shared" si="26"/>
        <v>0.619522268781865</v>
      </c>
      <c r="E887" t="str">
        <f t="shared" si="27"/>
        <v>C</v>
      </c>
    </row>
    <row r="888" spans="1:5" x14ac:dyDescent="0.45">
      <c r="A888" s="25" t="s">
        <v>724</v>
      </c>
      <c r="B888" s="13">
        <v>6684.1875</v>
      </c>
      <c r="C888">
        <f>SUM($B$4:B888)</f>
        <v>19663433.510930002</v>
      </c>
      <c r="D888" s="26">
        <f t="shared" si="26"/>
        <v>0.61973293448944611</v>
      </c>
      <c r="E888" t="str">
        <f t="shared" si="27"/>
        <v>C</v>
      </c>
    </row>
    <row r="889" spans="1:5" x14ac:dyDescent="0.45">
      <c r="A889" s="18" t="s">
        <v>1055</v>
      </c>
      <c r="B889" s="13">
        <v>6667.9199999999983</v>
      </c>
      <c r="C889">
        <f>SUM($B$4:B889)</f>
        <v>19670101.430930004</v>
      </c>
      <c r="D889" s="26">
        <f t="shared" si="26"/>
        <v>0.61994308749381555</v>
      </c>
      <c r="E889" t="str">
        <f t="shared" si="27"/>
        <v>C</v>
      </c>
    </row>
    <row r="890" spans="1:5" x14ac:dyDescent="0.45">
      <c r="A890" s="25" t="s">
        <v>726</v>
      </c>
      <c r="B890" s="13">
        <v>6667.9199999999983</v>
      </c>
      <c r="C890">
        <f>SUM($B$4:B890)</f>
        <v>19676769.350930005</v>
      </c>
      <c r="D890" s="26">
        <f t="shared" si="26"/>
        <v>0.6201532404981851</v>
      </c>
      <c r="E890" t="str">
        <f t="shared" si="27"/>
        <v>C</v>
      </c>
    </row>
    <row r="891" spans="1:5" x14ac:dyDescent="0.45">
      <c r="A891" s="18" t="s">
        <v>1217</v>
      </c>
      <c r="B891" s="13">
        <v>6664.0999999999995</v>
      </c>
      <c r="C891">
        <f>SUM($B$4:B891)</f>
        <v>19683433.450930007</v>
      </c>
      <c r="D891" s="26">
        <f t="shared" si="26"/>
        <v>0.62036327310751738</v>
      </c>
      <c r="E891" t="str">
        <f t="shared" si="27"/>
        <v>C</v>
      </c>
    </row>
    <row r="892" spans="1:5" x14ac:dyDescent="0.45">
      <c r="A892" s="25" t="s">
        <v>721</v>
      </c>
      <c r="B892" s="13">
        <v>6664.0999999999995</v>
      </c>
      <c r="C892">
        <f>SUM($B$4:B892)</f>
        <v>19690097.550930008</v>
      </c>
      <c r="D892" s="26">
        <f t="shared" si="26"/>
        <v>0.62057330571684954</v>
      </c>
      <c r="E892" t="str">
        <f t="shared" si="27"/>
        <v>C</v>
      </c>
    </row>
    <row r="893" spans="1:5" x14ac:dyDescent="0.45">
      <c r="A893" s="18" t="s">
        <v>763</v>
      </c>
      <c r="B893" s="13">
        <v>6631.6443100000006</v>
      </c>
      <c r="C893">
        <f>SUM($B$4:B893)</f>
        <v>19696729.19524001</v>
      </c>
      <c r="D893" s="26">
        <f t="shared" si="26"/>
        <v>0.62078231541937401</v>
      </c>
      <c r="E893" t="str">
        <f t="shared" si="27"/>
        <v>C</v>
      </c>
    </row>
    <row r="894" spans="1:5" x14ac:dyDescent="0.45">
      <c r="A894" s="25" t="s">
        <v>722</v>
      </c>
      <c r="B894" s="13">
        <v>6631.6443100000006</v>
      </c>
      <c r="C894">
        <f>SUM($B$4:B894)</f>
        <v>19703360.839550011</v>
      </c>
      <c r="D894" s="26">
        <f t="shared" si="26"/>
        <v>0.62099132512189836</v>
      </c>
      <c r="E894" t="str">
        <f t="shared" si="27"/>
        <v>C</v>
      </c>
    </row>
    <row r="895" spans="1:5" x14ac:dyDescent="0.45">
      <c r="A895" s="18" t="s">
        <v>1105</v>
      </c>
      <c r="B895" s="13">
        <v>6576.298960000001</v>
      </c>
      <c r="C895">
        <f>SUM($B$4:B895)</f>
        <v>19709937.138510011</v>
      </c>
      <c r="D895" s="26">
        <f t="shared" si="26"/>
        <v>0.62119859050361792</v>
      </c>
      <c r="E895" t="str">
        <f t="shared" si="27"/>
        <v>C</v>
      </c>
    </row>
    <row r="896" spans="1:5" x14ac:dyDescent="0.45">
      <c r="A896" s="25" t="s">
        <v>723</v>
      </c>
      <c r="B896" s="13">
        <v>6576.298960000001</v>
      </c>
      <c r="C896">
        <f>SUM($B$4:B896)</f>
        <v>19716513.437470011</v>
      </c>
      <c r="D896" s="26">
        <f t="shared" si="26"/>
        <v>0.62140585588533759</v>
      </c>
      <c r="E896" t="str">
        <f t="shared" si="27"/>
        <v>C</v>
      </c>
    </row>
    <row r="897" spans="1:5" x14ac:dyDescent="0.45">
      <c r="A897" s="18" t="s">
        <v>945</v>
      </c>
      <c r="B897" s="13">
        <v>6535.6324800000002</v>
      </c>
      <c r="C897">
        <f>SUM($B$4:B897)</f>
        <v>19723049.069950011</v>
      </c>
      <c r="D897" s="26">
        <f t="shared" si="26"/>
        <v>0.62161183958057176</v>
      </c>
      <c r="E897" t="str">
        <f t="shared" si="27"/>
        <v>C</v>
      </c>
    </row>
    <row r="898" spans="1:5" x14ac:dyDescent="0.45">
      <c r="A898" s="25" t="s">
        <v>722</v>
      </c>
      <c r="B898" s="13">
        <v>6535.6324800000002</v>
      </c>
      <c r="C898">
        <f>SUM($B$4:B898)</f>
        <v>19729584.70243001</v>
      </c>
      <c r="D898" s="26">
        <f t="shared" si="26"/>
        <v>0.62181782327580604</v>
      </c>
      <c r="E898" t="str">
        <f t="shared" si="27"/>
        <v>C</v>
      </c>
    </row>
    <row r="899" spans="1:5" x14ac:dyDescent="0.45">
      <c r="A899" s="18" t="s">
        <v>981</v>
      </c>
      <c r="B899" s="13">
        <v>6468.2751599999992</v>
      </c>
      <c r="C899">
        <f>SUM($B$4:B899)</f>
        <v>19736052.97759001</v>
      </c>
      <c r="D899" s="26">
        <f t="shared" si="26"/>
        <v>0.62202168406867131</v>
      </c>
      <c r="E899" t="str">
        <f t="shared" si="27"/>
        <v>C</v>
      </c>
    </row>
    <row r="900" spans="1:5" x14ac:dyDescent="0.45">
      <c r="A900" s="25" t="s">
        <v>726</v>
      </c>
      <c r="B900" s="13">
        <v>6468.2751599999992</v>
      </c>
      <c r="C900">
        <f>SUM($B$4:B900)</f>
        <v>19742521.252750009</v>
      </c>
      <c r="D900" s="26">
        <f t="shared" si="26"/>
        <v>0.62222554486153658</v>
      </c>
      <c r="E900" t="str">
        <f t="shared" si="27"/>
        <v>C</v>
      </c>
    </row>
    <row r="901" spans="1:5" x14ac:dyDescent="0.45">
      <c r="A901" s="18" t="s">
        <v>1250</v>
      </c>
      <c r="B901" s="13">
        <v>6435.2555999999995</v>
      </c>
      <c r="C901">
        <f>SUM($B$4:B901)</f>
        <v>19748956.508350011</v>
      </c>
      <c r="D901" s="26">
        <f t="shared" ref="D901:D964" si="28">C901/SUM($B$4:$B$1255)</f>
        <v>0.62242836497608889</v>
      </c>
      <c r="E901" t="str">
        <f t="shared" ref="E901:E964" si="29">IF(D901&gt;=0.8,"A",IF(D901&gt;=0.95,"B","C"))</f>
        <v>C</v>
      </c>
    </row>
    <row r="902" spans="1:5" x14ac:dyDescent="0.45">
      <c r="A902" s="25" t="s">
        <v>721</v>
      </c>
      <c r="B902" s="13">
        <v>6435.2555999999995</v>
      </c>
      <c r="C902">
        <f>SUM($B$4:B902)</f>
        <v>19755391.763950013</v>
      </c>
      <c r="D902" s="26">
        <f t="shared" si="28"/>
        <v>0.62263118509064119</v>
      </c>
      <c r="E902" t="str">
        <f t="shared" si="29"/>
        <v>C</v>
      </c>
    </row>
    <row r="903" spans="1:5" x14ac:dyDescent="0.45">
      <c r="A903" s="18" t="s">
        <v>799</v>
      </c>
      <c r="B903" s="13">
        <v>6393.0952799999995</v>
      </c>
      <c r="C903">
        <f>SUM($B$4:B903)</f>
        <v>19761784.859230012</v>
      </c>
      <c r="D903" s="26">
        <f t="shared" si="28"/>
        <v>0.62283267643731488</v>
      </c>
      <c r="E903" t="str">
        <f t="shared" si="29"/>
        <v>C</v>
      </c>
    </row>
    <row r="904" spans="1:5" x14ac:dyDescent="0.45">
      <c r="A904" s="25" t="s">
        <v>725</v>
      </c>
      <c r="B904" s="13">
        <v>6393.0952799999995</v>
      </c>
      <c r="C904">
        <f>SUM($B$4:B904)</f>
        <v>19768177.954510011</v>
      </c>
      <c r="D904" s="26">
        <f t="shared" si="28"/>
        <v>0.62303416778398846</v>
      </c>
      <c r="E904" t="str">
        <f t="shared" si="29"/>
        <v>C</v>
      </c>
    </row>
    <row r="905" spans="1:5" x14ac:dyDescent="0.45">
      <c r="A905" s="18" t="s">
        <v>829</v>
      </c>
      <c r="B905" s="13">
        <v>6324.5775999999996</v>
      </c>
      <c r="C905">
        <f>SUM($B$4:B905)</f>
        <v>19774502.532110009</v>
      </c>
      <c r="D905" s="26">
        <f t="shared" si="28"/>
        <v>0.62323349965719743</v>
      </c>
      <c r="E905" t="str">
        <f t="shared" si="29"/>
        <v>C</v>
      </c>
    </row>
    <row r="906" spans="1:5" x14ac:dyDescent="0.45">
      <c r="A906" s="25" t="s">
        <v>721</v>
      </c>
      <c r="B906" s="13">
        <v>6324.5775999999996</v>
      </c>
      <c r="C906">
        <f>SUM($B$4:B906)</f>
        <v>19780827.109710008</v>
      </c>
      <c r="D906" s="26">
        <f t="shared" si="28"/>
        <v>0.62343283153040641</v>
      </c>
      <c r="E906" t="str">
        <f t="shared" si="29"/>
        <v>C</v>
      </c>
    </row>
    <row r="907" spans="1:5" x14ac:dyDescent="0.45">
      <c r="A907" s="18" t="s">
        <v>1306</v>
      </c>
      <c r="B907" s="13">
        <v>6137.8019999999988</v>
      </c>
      <c r="C907">
        <f>SUM($B$4:B907)</f>
        <v>19786964.911710009</v>
      </c>
      <c r="D907" s="26">
        <f t="shared" si="28"/>
        <v>0.62362627679227589</v>
      </c>
      <c r="E907" t="str">
        <f t="shared" si="29"/>
        <v>C</v>
      </c>
    </row>
    <row r="908" spans="1:5" x14ac:dyDescent="0.45">
      <c r="A908" s="25" t="s">
        <v>721</v>
      </c>
      <c r="B908" s="13">
        <v>6137.8019999999988</v>
      </c>
      <c r="C908">
        <f>SUM($B$4:B908)</f>
        <v>19793102.71371001</v>
      </c>
      <c r="D908" s="26">
        <f t="shared" si="28"/>
        <v>0.62381972205414538</v>
      </c>
      <c r="E908" t="str">
        <f t="shared" si="29"/>
        <v>C</v>
      </c>
    </row>
    <row r="909" spans="1:5" x14ac:dyDescent="0.45">
      <c r="A909" s="18" t="s">
        <v>1004</v>
      </c>
      <c r="B909" s="13">
        <v>6066.54648</v>
      </c>
      <c r="C909">
        <f>SUM($B$4:B909)</f>
        <v>19799169.26019001</v>
      </c>
      <c r="D909" s="26">
        <f t="shared" si="28"/>
        <v>0.6240109215539773</v>
      </c>
      <c r="E909" t="str">
        <f t="shared" si="29"/>
        <v>C</v>
      </c>
    </row>
    <row r="910" spans="1:5" x14ac:dyDescent="0.45">
      <c r="A910" s="25" t="s">
        <v>727</v>
      </c>
      <c r="B910" s="13">
        <v>6066.54648</v>
      </c>
      <c r="C910">
        <f>SUM($B$4:B910)</f>
        <v>19805235.80667001</v>
      </c>
      <c r="D910" s="26">
        <f t="shared" si="28"/>
        <v>0.62420212105380912</v>
      </c>
      <c r="E910" t="str">
        <f t="shared" si="29"/>
        <v>C</v>
      </c>
    </row>
    <row r="911" spans="1:5" x14ac:dyDescent="0.45">
      <c r="A911" s="18" t="s">
        <v>1211</v>
      </c>
      <c r="B911" s="13">
        <v>6063.2517199999993</v>
      </c>
      <c r="C911">
        <f>SUM($B$4:B911)</f>
        <v>19811299.05839001</v>
      </c>
      <c r="D911" s="26">
        <f t="shared" si="28"/>
        <v>0.62439321671260628</v>
      </c>
      <c r="E911" t="str">
        <f t="shared" si="29"/>
        <v>C</v>
      </c>
    </row>
    <row r="912" spans="1:5" x14ac:dyDescent="0.45">
      <c r="A912" s="25" t="s">
        <v>721</v>
      </c>
      <c r="B912" s="13">
        <v>6063.2517199999993</v>
      </c>
      <c r="C912">
        <f>SUM($B$4:B912)</f>
        <v>19817362.31011001</v>
      </c>
      <c r="D912" s="26">
        <f t="shared" si="28"/>
        <v>0.62458431237140333</v>
      </c>
      <c r="E912" t="str">
        <f t="shared" si="29"/>
        <v>C</v>
      </c>
    </row>
    <row r="913" spans="1:5" x14ac:dyDescent="0.45">
      <c r="A913" s="18" t="s">
        <v>1324</v>
      </c>
      <c r="B913" s="13">
        <v>5962.1422499999999</v>
      </c>
      <c r="C913">
        <f>SUM($B$4:B913)</f>
        <v>19823324.452360012</v>
      </c>
      <c r="D913" s="26">
        <f t="shared" si="28"/>
        <v>0.62477222136046073</v>
      </c>
      <c r="E913" t="str">
        <f t="shared" si="29"/>
        <v>C</v>
      </c>
    </row>
    <row r="914" spans="1:5" x14ac:dyDescent="0.45">
      <c r="A914" s="25" t="s">
        <v>726</v>
      </c>
      <c r="B914" s="13">
        <v>5962.1422499999999</v>
      </c>
      <c r="C914">
        <f>SUM($B$4:B914)</f>
        <v>19829286.594610013</v>
      </c>
      <c r="D914" s="26">
        <f t="shared" si="28"/>
        <v>0.62496013034951825</v>
      </c>
      <c r="E914" t="str">
        <f t="shared" si="29"/>
        <v>C</v>
      </c>
    </row>
    <row r="915" spans="1:5" x14ac:dyDescent="0.45">
      <c r="A915" s="18" t="s">
        <v>831</v>
      </c>
      <c r="B915" s="13">
        <v>5960.3340000000007</v>
      </c>
      <c r="C915">
        <f>SUM($B$4:B915)</f>
        <v>19835246.928610012</v>
      </c>
      <c r="D915" s="26">
        <f t="shared" si="28"/>
        <v>0.62514798234791424</v>
      </c>
      <c r="E915" t="str">
        <f t="shared" si="29"/>
        <v>C</v>
      </c>
    </row>
    <row r="916" spans="1:5" x14ac:dyDescent="0.45">
      <c r="A916" s="25" t="s">
        <v>727</v>
      </c>
      <c r="B916" s="13">
        <v>5960.3340000000007</v>
      </c>
      <c r="C916">
        <f>SUM($B$4:B916)</f>
        <v>19841207.262610011</v>
      </c>
      <c r="D916" s="26">
        <f t="shared" si="28"/>
        <v>0.62533583434631035</v>
      </c>
      <c r="E916" t="str">
        <f t="shared" si="29"/>
        <v>C</v>
      </c>
    </row>
    <row r="917" spans="1:5" x14ac:dyDescent="0.45">
      <c r="A917" s="18" t="s">
        <v>1169</v>
      </c>
      <c r="B917" s="13">
        <v>5960.04288</v>
      </c>
      <c r="C917">
        <f>SUM($B$4:B917)</f>
        <v>19847167.305490009</v>
      </c>
      <c r="D917" s="26">
        <f t="shared" si="28"/>
        <v>0.62552367716946999</v>
      </c>
      <c r="E917" t="str">
        <f t="shared" si="29"/>
        <v>C</v>
      </c>
    </row>
    <row r="918" spans="1:5" x14ac:dyDescent="0.45">
      <c r="A918" s="25" t="s">
        <v>722</v>
      </c>
      <c r="B918" s="13">
        <v>5960.04288</v>
      </c>
      <c r="C918">
        <f>SUM($B$4:B918)</f>
        <v>19853127.348370008</v>
      </c>
      <c r="D918" s="26">
        <f t="shared" si="28"/>
        <v>0.62571151999262953</v>
      </c>
      <c r="E918" t="str">
        <f t="shared" si="29"/>
        <v>C</v>
      </c>
    </row>
    <row r="919" spans="1:5" x14ac:dyDescent="0.45">
      <c r="A919" s="18" t="s">
        <v>1031</v>
      </c>
      <c r="B919" s="13">
        <v>5932.7856000000002</v>
      </c>
      <c r="C919">
        <f>SUM($B$4:B919)</f>
        <v>19859060.133970007</v>
      </c>
      <c r="D919" s="26">
        <f t="shared" si="28"/>
        <v>0.62589850374740164</v>
      </c>
      <c r="E919" t="str">
        <f t="shared" si="29"/>
        <v>C</v>
      </c>
    </row>
    <row r="920" spans="1:5" x14ac:dyDescent="0.45">
      <c r="A920" s="25" t="s">
        <v>725</v>
      </c>
      <c r="B920" s="13">
        <v>5932.7856000000002</v>
      </c>
      <c r="C920">
        <f>SUM($B$4:B920)</f>
        <v>19864992.919570006</v>
      </c>
      <c r="D920" s="26">
        <f t="shared" si="28"/>
        <v>0.62608548750217363</v>
      </c>
      <c r="E920" t="str">
        <f t="shared" si="29"/>
        <v>C</v>
      </c>
    </row>
    <row r="921" spans="1:5" x14ac:dyDescent="0.45">
      <c r="A921" s="18" t="s">
        <v>958</v>
      </c>
      <c r="B921" s="13">
        <v>5814.6927299999998</v>
      </c>
      <c r="C921">
        <f>SUM($B$4:B921)</f>
        <v>19870807.612300005</v>
      </c>
      <c r="D921" s="26">
        <f t="shared" si="28"/>
        <v>0.62626874932095589</v>
      </c>
      <c r="E921" t="str">
        <f t="shared" si="29"/>
        <v>C</v>
      </c>
    </row>
    <row r="922" spans="1:5" x14ac:dyDescent="0.45">
      <c r="A922" s="25" t="s">
        <v>724</v>
      </c>
      <c r="B922" s="13">
        <v>5814.6927299999998</v>
      </c>
      <c r="C922">
        <f>SUM($B$4:B922)</f>
        <v>19876622.305030003</v>
      </c>
      <c r="D922" s="26">
        <f t="shared" si="28"/>
        <v>0.62645201113973814</v>
      </c>
      <c r="E922" t="str">
        <f t="shared" si="29"/>
        <v>C</v>
      </c>
    </row>
    <row r="923" spans="1:5" x14ac:dyDescent="0.45">
      <c r="A923" s="18" t="s">
        <v>780</v>
      </c>
      <c r="B923" s="13">
        <v>5785.8</v>
      </c>
      <c r="C923">
        <f>SUM($B$4:B923)</f>
        <v>19882408.105030004</v>
      </c>
      <c r="D923" s="26">
        <f t="shared" si="28"/>
        <v>0.62663436234561354</v>
      </c>
      <c r="E923" t="str">
        <f t="shared" si="29"/>
        <v>C</v>
      </c>
    </row>
    <row r="924" spans="1:5" x14ac:dyDescent="0.45">
      <c r="A924" s="25" t="s">
        <v>725</v>
      </c>
      <c r="B924" s="13">
        <v>5785.8</v>
      </c>
      <c r="C924">
        <f>SUM($B$4:B924)</f>
        <v>19888193.905030005</v>
      </c>
      <c r="D924" s="26">
        <f t="shared" si="28"/>
        <v>0.62681671355148894</v>
      </c>
      <c r="E924" t="str">
        <f t="shared" si="29"/>
        <v>C</v>
      </c>
    </row>
    <row r="925" spans="1:5" x14ac:dyDescent="0.45">
      <c r="A925" s="18" t="s">
        <v>846</v>
      </c>
      <c r="B925" s="13">
        <v>5769.2758000000003</v>
      </c>
      <c r="C925">
        <f>SUM($B$4:B925)</f>
        <v>19893963.180830006</v>
      </c>
      <c r="D925" s="26">
        <f t="shared" si="28"/>
        <v>0.62699854396373245</v>
      </c>
      <c r="E925" t="str">
        <f t="shared" si="29"/>
        <v>C</v>
      </c>
    </row>
    <row r="926" spans="1:5" x14ac:dyDescent="0.45">
      <c r="A926" s="25" t="s">
        <v>726</v>
      </c>
      <c r="B926" s="13">
        <v>5769.2758000000003</v>
      </c>
      <c r="C926">
        <f>SUM($B$4:B926)</f>
        <v>19899732.456630006</v>
      </c>
      <c r="D926" s="26">
        <f t="shared" si="28"/>
        <v>0.62718037437597585</v>
      </c>
      <c r="E926" t="str">
        <f t="shared" si="29"/>
        <v>C</v>
      </c>
    </row>
    <row r="927" spans="1:5" x14ac:dyDescent="0.45">
      <c r="A927" s="18" t="s">
        <v>1318</v>
      </c>
      <c r="B927" s="13">
        <v>5725.6496000000006</v>
      </c>
      <c r="C927">
        <f>SUM($B$4:B927)</f>
        <v>19905458.106230006</v>
      </c>
      <c r="D927" s="26">
        <f t="shared" si="28"/>
        <v>0.62736082982016328</v>
      </c>
      <c r="E927" t="str">
        <f t="shared" si="29"/>
        <v>C</v>
      </c>
    </row>
    <row r="928" spans="1:5" x14ac:dyDescent="0.45">
      <c r="A928" s="25" t="s">
        <v>726</v>
      </c>
      <c r="B928" s="13">
        <v>5725.6496000000006</v>
      </c>
      <c r="C928">
        <f>SUM($B$4:B928)</f>
        <v>19911183.755830005</v>
      </c>
      <c r="D928" s="26">
        <f t="shared" si="28"/>
        <v>0.62754128526435082</v>
      </c>
      <c r="E928" t="str">
        <f t="shared" si="29"/>
        <v>C</v>
      </c>
    </row>
    <row r="929" spans="1:5" x14ac:dyDescent="0.45">
      <c r="A929" s="18" t="s">
        <v>889</v>
      </c>
      <c r="B929" s="13">
        <v>5650.1744000000008</v>
      </c>
      <c r="C929">
        <f>SUM($B$4:B929)</f>
        <v>19916833.930230007</v>
      </c>
      <c r="D929" s="26">
        <f t="shared" si="28"/>
        <v>0.62771936195473876</v>
      </c>
      <c r="E929" t="str">
        <f t="shared" si="29"/>
        <v>C</v>
      </c>
    </row>
    <row r="930" spans="1:5" x14ac:dyDescent="0.45">
      <c r="A930" s="25" t="s">
        <v>721</v>
      </c>
      <c r="B930" s="13">
        <v>5650.1744000000008</v>
      </c>
      <c r="C930">
        <f>SUM($B$4:B930)</f>
        <v>19922484.104630008</v>
      </c>
      <c r="D930" s="26">
        <f t="shared" si="28"/>
        <v>0.6278974386451267</v>
      </c>
      <c r="E930" t="str">
        <f t="shared" si="29"/>
        <v>C</v>
      </c>
    </row>
    <row r="931" spans="1:5" x14ac:dyDescent="0.45">
      <c r="A931" s="18" t="s">
        <v>1060</v>
      </c>
      <c r="B931" s="13">
        <v>5610.0923999999995</v>
      </c>
      <c r="C931">
        <f>SUM($B$4:B931)</f>
        <v>19928094.197030008</v>
      </c>
      <c r="D931" s="26">
        <f t="shared" si="28"/>
        <v>0.62807425207010037</v>
      </c>
      <c r="E931" t="str">
        <f t="shared" si="29"/>
        <v>C</v>
      </c>
    </row>
    <row r="932" spans="1:5" x14ac:dyDescent="0.45">
      <c r="A932" s="25" t="s">
        <v>727</v>
      </c>
      <c r="B932" s="13">
        <v>5610.0923999999995</v>
      </c>
      <c r="C932">
        <f>SUM($B$4:B932)</f>
        <v>19933704.289430007</v>
      </c>
      <c r="D932" s="26">
        <f t="shared" si="28"/>
        <v>0.62825106549507392</v>
      </c>
      <c r="E932" t="str">
        <f t="shared" si="29"/>
        <v>C</v>
      </c>
    </row>
    <row r="933" spans="1:5" x14ac:dyDescent="0.45">
      <c r="A933" s="18" t="s">
        <v>1173</v>
      </c>
      <c r="B933" s="13">
        <v>5565.3272500000003</v>
      </c>
      <c r="C933">
        <f>SUM($B$4:B933)</f>
        <v>19939269.616680007</v>
      </c>
      <c r="D933" s="26">
        <f t="shared" si="28"/>
        <v>0.62842646805567559</v>
      </c>
      <c r="E933" t="str">
        <f t="shared" si="29"/>
        <v>C</v>
      </c>
    </row>
    <row r="934" spans="1:5" x14ac:dyDescent="0.45">
      <c r="A934" s="25" t="s">
        <v>726</v>
      </c>
      <c r="B934" s="13">
        <v>5565.3272500000003</v>
      </c>
      <c r="C934">
        <f>SUM($B$4:B934)</f>
        <v>19944834.943930008</v>
      </c>
      <c r="D934" s="26">
        <f t="shared" si="28"/>
        <v>0.62860187061627715</v>
      </c>
      <c r="E934" t="str">
        <f t="shared" si="29"/>
        <v>C</v>
      </c>
    </row>
    <row r="935" spans="1:5" x14ac:dyDescent="0.45">
      <c r="A935" s="18" t="s">
        <v>1162</v>
      </c>
      <c r="B935" s="13">
        <v>5546.4642200000008</v>
      </c>
      <c r="C935">
        <f>SUM($B$4:B935)</f>
        <v>19950381.408150006</v>
      </c>
      <c r="D935" s="26">
        <f t="shared" si="28"/>
        <v>0.62877667867028209</v>
      </c>
      <c r="E935" t="str">
        <f t="shared" si="29"/>
        <v>C</v>
      </c>
    </row>
    <row r="936" spans="1:5" x14ac:dyDescent="0.45">
      <c r="A936" s="25" t="s">
        <v>723</v>
      </c>
      <c r="B936" s="13">
        <v>5546.4642200000008</v>
      </c>
      <c r="C936">
        <f>SUM($B$4:B936)</f>
        <v>19955927.872370005</v>
      </c>
      <c r="D936" s="26">
        <f t="shared" si="28"/>
        <v>0.62895148672428702</v>
      </c>
      <c r="E936" t="str">
        <f t="shared" si="29"/>
        <v>C</v>
      </c>
    </row>
    <row r="937" spans="1:5" x14ac:dyDescent="0.45">
      <c r="A937" s="18" t="s">
        <v>954</v>
      </c>
      <c r="B937" s="13">
        <v>5533.6230000000005</v>
      </c>
      <c r="C937">
        <f>SUM($B$4:B937)</f>
        <v>19961461.495370004</v>
      </c>
      <c r="D937" s="26">
        <f t="shared" si="28"/>
        <v>0.62912589006123432</v>
      </c>
      <c r="E937" t="str">
        <f t="shared" si="29"/>
        <v>C</v>
      </c>
    </row>
    <row r="938" spans="1:5" x14ac:dyDescent="0.45">
      <c r="A938" s="25" t="s">
        <v>727</v>
      </c>
      <c r="B938" s="13">
        <v>5533.6230000000005</v>
      </c>
      <c r="C938">
        <f>SUM($B$4:B938)</f>
        <v>19966995.118370004</v>
      </c>
      <c r="D938" s="26">
        <f t="shared" si="28"/>
        <v>0.62930029339818161</v>
      </c>
      <c r="E938" t="str">
        <f t="shared" si="29"/>
        <v>C</v>
      </c>
    </row>
    <row r="939" spans="1:5" x14ac:dyDescent="0.45">
      <c r="A939" s="18" t="s">
        <v>822</v>
      </c>
      <c r="B939" s="13">
        <v>5487.6023999999998</v>
      </c>
      <c r="C939">
        <f>SUM($B$4:B939)</f>
        <v>19972482.720770005</v>
      </c>
      <c r="D939" s="26">
        <f t="shared" si="28"/>
        <v>0.6294732463027074</v>
      </c>
      <c r="E939" t="str">
        <f t="shared" si="29"/>
        <v>C</v>
      </c>
    </row>
    <row r="940" spans="1:5" x14ac:dyDescent="0.45">
      <c r="A940" s="25" t="s">
        <v>724</v>
      </c>
      <c r="B940" s="13">
        <v>5487.6023999999998</v>
      </c>
      <c r="C940">
        <f>SUM($B$4:B940)</f>
        <v>19977970.323170006</v>
      </c>
      <c r="D940" s="26">
        <f t="shared" si="28"/>
        <v>0.62964619920723308</v>
      </c>
      <c r="E940" t="str">
        <f t="shared" si="29"/>
        <v>C</v>
      </c>
    </row>
    <row r="941" spans="1:5" x14ac:dyDescent="0.45">
      <c r="A941" s="18" t="s">
        <v>1329</v>
      </c>
      <c r="B941" s="13">
        <v>5457.4317000000001</v>
      </c>
      <c r="C941">
        <f>SUM($B$4:B941)</f>
        <v>19983427.754870005</v>
      </c>
      <c r="D941" s="26">
        <f t="shared" si="28"/>
        <v>0.62981820122103893</v>
      </c>
      <c r="E941" t="str">
        <f t="shared" si="29"/>
        <v>C</v>
      </c>
    </row>
    <row r="942" spans="1:5" x14ac:dyDescent="0.45">
      <c r="A942" s="25" t="s">
        <v>722</v>
      </c>
      <c r="B942" s="13">
        <v>5457.4317000000001</v>
      </c>
      <c r="C942">
        <f>SUM($B$4:B942)</f>
        <v>19988885.186570004</v>
      </c>
      <c r="D942" s="26">
        <f t="shared" si="28"/>
        <v>0.62999020323484467</v>
      </c>
      <c r="E942" t="str">
        <f t="shared" si="29"/>
        <v>C</v>
      </c>
    </row>
    <row r="943" spans="1:5" x14ac:dyDescent="0.45">
      <c r="A943" s="18" t="s">
        <v>1035</v>
      </c>
      <c r="B943" s="13">
        <v>5334.9141999999993</v>
      </c>
      <c r="C943">
        <f>SUM($B$4:B943)</f>
        <v>19994220.100770004</v>
      </c>
      <c r="D943" s="26">
        <f t="shared" si="28"/>
        <v>0.63015834386148439</v>
      </c>
      <c r="E943" t="str">
        <f t="shared" si="29"/>
        <v>C</v>
      </c>
    </row>
    <row r="944" spans="1:5" x14ac:dyDescent="0.45">
      <c r="A944" s="25" t="s">
        <v>722</v>
      </c>
      <c r="B944" s="13">
        <v>5334.9141999999993</v>
      </c>
      <c r="C944">
        <f>SUM($B$4:B944)</f>
        <v>19999555.014970005</v>
      </c>
      <c r="D944" s="26">
        <f t="shared" si="28"/>
        <v>0.63032648448812401</v>
      </c>
      <c r="E944" t="str">
        <f t="shared" si="29"/>
        <v>C</v>
      </c>
    </row>
    <row r="945" spans="1:5" x14ac:dyDescent="0.45">
      <c r="A945" s="18" t="s">
        <v>810</v>
      </c>
      <c r="B945" s="13">
        <v>5331.6696000000002</v>
      </c>
      <c r="C945">
        <f>SUM($B$4:B945)</f>
        <v>20004886.684570003</v>
      </c>
      <c r="D945" s="26">
        <f t="shared" si="28"/>
        <v>0.63049452285462293</v>
      </c>
      <c r="E945" t="str">
        <f t="shared" si="29"/>
        <v>C</v>
      </c>
    </row>
    <row r="946" spans="1:5" x14ac:dyDescent="0.45">
      <c r="A946" s="25" t="s">
        <v>721</v>
      </c>
      <c r="B946" s="13">
        <v>5331.6696000000002</v>
      </c>
      <c r="C946">
        <f>SUM($B$4:B946)</f>
        <v>20010218.354170002</v>
      </c>
      <c r="D946" s="26">
        <f t="shared" si="28"/>
        <v>0.63066256122112174</v>
      </c>
      <c r="E946" t="str">
        <f t="shared" si="29"/>
        <v>C</v>
      </c>
    </row>
    <row r="947" spans="1:5" x14ac:dyDescent="0.45">
      <c r="A947" s="18" t="s">
        <v>826</v>
      </c>
      <c r="B947" s="13">
        <v>5328.4890400000004</v>
      </c>
      <c r="C947">
        <f>SUM($B$4:B947)</f>
        <v>20015546.843210001</v>
      </c>
      <c r="D947" s="26">
        <f t="shared" si="28"/>
        <v>0.63083049934583013</v>
      </c>
      <c r="E947" t="str">
        <f t="shared" si="29"/>
        <v>C</v>
      </c>
    </row>
    <row r="948" spans="1:5" x14ac:dyDescent="0.45">
      <c r="A948" s="25" t="s">
        <v>723</v>
      </c>
      <c r="B948" s="13">
        <v>5328.4890400000004</v>
      </c>
      <c r="C948">
        <f>SUM($B$4:B948)</f>
        <v>20020875.332249999</v>
      </c>
      <c r="D948" s="26">
        <f t="shared" si="28"/>
        <v>0.63099843747053841</v>
      </c>
      <c r="E948" t="str">
        <f t="shared" si="29"/>
        <v>C</v>
      </c>
    </row>
    <row r="949" spans="1:5" x14ac:dyDescent="0.45">
      <c r="A949" s="18" t="s">
        <v>1136</v>
      </c>
      <c r="B949" s="13">
        <v>5323.9903199999999</v>
      </c>
      <c r="C949">
        <f>SUM($B$4:B949)</f>
        <v>20026199.32257</v>
      </c>
      <c r="D949" s="26">
        <f t="shared" si="28"/>
        <v>0.63116623380897419</v>
      </c>
      <c r="E949" t="str">
        <f t="shared" si="29"/>
        <v>C</v>
      </c>
    </row>
    <row r="950" spans="1:5" x14ac:dyDescent="0.45">
      <c r="A950" s="25" t="s">
        <v>725</v>
      </c>
      <c r="B950" s="13">
        <v>5323.9903199999999</v>
      </c>
      <c r="C950">
        <f>SUM($B$4:B950)</f>
        <v>20031523.312890001</v>
      </c>
      <c r="D950" s="26">
        <f t="shared" si="28"/>
        <v>0.63133403014740985</v>
      </c>
      <c r="E950" t="str">
        <f t="shared" si="29"/>
        <v>C</v>
      </c>
    </row>
    <row r="951" spans="1:5" x14ac:dyDescent="0.45">
      <c r="A951" s="18" t="s">
        <v>960</v>
      </c>
      <c r="B951" s="13">
        <v>5280.8577599999999</v>
      </c>
      <c r="C951">
        <f>SUM($B$4:B951)</f>
        <v>20036804.170650002</v>
      </c>
      <c r="D951" s="26">
        <f t="shared" si="28"/>
        <v>0.63150046707585406</v>
      </c>
      <c r="E951" t="str">
        <f t="shared" si="29"/>
        <v>C</v>
      </c>
    </row>
    <row r="952" spans="1:5" x14ac:dyDescent="0.45">
      <c r="A952" s="25" t="s">
        <v>726</v>
      </c>
      <c r="B952" s="13">
        <v>5280.8577599999999</v>
      </c>
      <c r="C952">
        <f>SUM($B$4:B952)</f>
        <v>20042085.028410003</v>
      </c>
      <c r="D952" s="26">
        <f t="shared" si="28"/>
        <v>0.63166690400429826</v>
      </c>
      <c r="E952" t="str">
        <f t="shared" si="29"/>
        <v>C</v>
      </c>
    </row>
    <row r="953" spans="1:5" x14ac:dyDescent="0.45">
      <c r="A953" s="18" t="s">
        <v>1129</v>
      </c>
      <c r="B953" s="13">
        <v>5250.4239000000007</v>
      </c>
      <c r="C953">
        <f>SUM($B$4:B953)</f>
        <v>20047335.452310003</v>
      </c>
      <c r="D953" s="26">
        <f t="shared" si="28"/>
        <v>0.63183238174800227</v>
      </c>
      <c r="E953" t="str">
        <f t="shared" si="29"/>
        <v>C</v>
      </c>
    </row>
    <row r="954" spans="1:5" x14ac:dyDescent="0.45">
      <c r="A954" s="25" t="s">
        <v>725</v>
      </c>
      <c r="B954" s="13">
        <v>5250.4239000000007</v>
      </c>
      <c r="C954">
        <f>SUM($B$4:B954)</f>
        <v>20052585.876210004</v>
      </c>
      <c r="D954" s="26">
        <f t="shared" si="28"/>
        <v>0.63199785949170617</v>
      </c>
      <c r="E954" t="str">
        <f t="shared" si="29"/>
        <v>C</v>
      </c>
    </row>
    <row r="955" spans="1:5" x14ac:dyDescent="0.45">
      <c r="A955" s="18" t="s">
        <v>731</v>
      </c>
      <c r="B955" s="13">
        <v>5225.2710400000005</v>
      </c>
      <c r="C955">
        <f>SUM($B$4:B955)</f>
        <v>20057811.147250004</v>
      </c>
      <c r="D955" s="26">
        <f t="shared" si="28"/>
        <v>0.6321625444920812</v>
      </c>
      <c r="E955" t="str">
        <f t="shared" si="29"/>
        <v>C</v>
      </c>
    </row>
    <row r="956" spans="1:5" x14ac:dyDescent="0.45">
      <c r="A956" s="25" t="s">
        <v>724</v>
      </c>
      <c r="B956" s="13">
        <v>5225.2710400000005</v>
      </c>
      <c r="C956">
        <f>SUM($B$4:B956)</f>
        <v>20063036.418290004</v>
      </c>
      <c r="D956" s="26">
        <f t="shared" si="28"/>
        <v>0.63232722949245623</v>
      </c>
      <c r="E956" t="str">
        <f t="shared" si="29"/>
        <v>C</v>
      </c>
    </row>
    <row r="957" spans="1:5" x14ac:dyDescent="0.45">
      <c r="A957" s="18" t="s">
        <v>1239</v>
      </c>
      <c r="B957" s="13">
        <v>5189.8836000000001</v>
      </c>
      <c r="C957">
        <f>SUM($B$4:B957)</f>
        <v>20068226.301890004</v>
      </c>
      <c r="D957" s="26">
        <f t="shared" si="28"/>
        <v>0.63249079918598405</v>
      </c>
      <c r="E957" t="str">
        <f t="shared" si="29"/>
        <v>C</v>
      </c>
    </row>
    <row r="958" spans="1:5" x14ac:dyDescent="0.45">
      <c r="A958" s="25" t="s">
        <v>724</v>
      </c>
      <c r="B958" s="13">
        <v>5189.8836000000001</v>
      </c>
      <c r="C958">
        <f>SUM($B$4:B958)</f>
        <v>20073416.185490005</v>
      </c>
      <c r="D958" s="26">
        <f t="shared" si="28"/>
        <v>0.63265436887951176</v>
      </c>
      <c r="E958" t="str">
        <f t="shared" si="29"/>
        <v>C</v>
      </c>
    </row>
    <row r="959" spans="1:5" x14ac:dyDescent="0.45">
      <c r="A959" s="18" t="s">
        <v>1212</v>
      </c>
      <c r="B959" s="13">
        <v>5159.7893599999998</v>
      </c>
      <c r="C959">
        <f>SUM($B$4:B959)</f>
        <v>20078575.974850006</v>
      </c>
      <c r="D959" s="26">
        <f t="shared" si="28"/>
        <v>0.63281699009211156</v>
      </c>
      <c r="E959" t="str">
        <f t="shared" si="29"/>
        <v>C</v>
      </c>
    </row>
    <row r="960" spans="1:5" x14ac:dyDescent="0.45">
      <c r="A960" s="25" t="s">
        <v>724</v>
      </c>
      <c r="B960" s="13">
        <v>5159.7893599999998</v>
      </c>
      <c r="C960">
        <f>SUM($B$4:B960)</f>
        <v>20083735.764210008</v>
      </c>
      <c r="D960" s="26">
        <f t="shared" si="28"/>
        <v>0.63297961130471125</v>
      </c>
      <c r="E960" t="str">
        <f t="shared" si="29"/>
        <v>C</v>
      </c>
    </row>
    <row r="961" spans="1:5" x14ac:dyDescent="0.45">
      <c r="A961" s="18" t="s">
        <v>1209</v>
      </c>
      <c r="B961" s="13">
        <v>5127.0390600000001</v>
      </c>
      <c r="C961">
        <f>SUM($B$4:B961)</f>
        <v>20088862.803270008</v>
      </c>
      <c r="D961" s="26">
        <f t="shared" si="28"/>
        <v>0.6331412003252721</v>
      </c>
      <c r="E961" t="str">
        <f t="shared" si="29"/>
        <v>C</v>
      </c>
    </row>
    <row r="962" spans="1:5" x14ac:dyDescent="0.45">
      <c r="A962" s="25" t="s">
        <v>724</v>
      </c>
      <c r="B962" s="13">
        <v>5127.0390600000001</v>
      </c>
      <c r="C962">
        <f>SUM($B$4:B962)</f>
        <v>20093989.842330009</v>
      </c>
      <c r="D962" s="26">
        <f t="shared" si="28"/>
        <v>0.63330278934583306</v>
      </c>
      <c r="E962" t="str">
        <f t="shared" si="29"/>
        <v>C</v>
      </c>
    </row>
    <row r="963" spans="1:5" x14ac:dyDescent="0.45">
      <c r="A963" s="18" t="s">
        <v>1352</v>
      </c>
      <c r="B963" s="13">
        <v>5096.4790800000001</v>
      </c>
      <c r="C963">
        <f>SUM($B$4:B963)</f>
        <v>20099086.321410008</v>
      </c>
      <c r="D963" s="26">
        <f t="shared" si="28"/>
        <v>0.63346341520672644</v>
      </c>
      <c r="E963" t="str">
        <f t="shared" si="29"/>
        <v>C</v>
      </c>
    </row>
    <row r="964" spans="1:5" x14ac:dyDescent="0.45">
      <c r="A964" s="25" t="s">
        <v>726</v>
      </c>
      <c r="B964" s="13">
        <v>5096.4790800000001</v>
      </c>
      <c r="C964">
        <f>SUM($B$4:B964)</f>
        <v>20104182.800490007</v>
      </c>
      <c r="D964" s="26">
        <f t="shared" si="28"/>
        <v>0.63362404106761971</v>
      </c>
      <c r="E964" t="str">
        <f t="shared" si="29"/>
        <v>C</v>
      </c>
    </row>
    <row r="965" spans="1:5" x14ac:dyDescent="0.45">
      <c r="A965" s="18" t="s">
        <v>1041</v>
      </c>
      <c r="B965" s="13">
        <v>5032.4433599999993</v>
      </c>
      <c r="C965">
        <f>SUM($B$4:B965)</f>
        <v>20109215.243850008</v>
      </c>
      <c r="D965" s="26">
        <f t="shared" ref="D965:D1028" si="30">C965/SUM($B$4:$B$1255)</f>
        <v>0.63378264871309586</v>
      </c>
      <c r="E965" t="str">
        <f t="shared" ref="E965:E1028" si="31">IF(D965&gt;=0.8,"A",IF(D965&gt;=0.95,"B","C"))</f>
        <v>C</v>
      </c>
    </row>
    <row r="966" spans="1:5" x14ac:dyDescent="0.45">
      <c r="A966" s="25" t="s">
        <v>726</v>
      </c>
      <c r="B966" s="13">
        <v>5032.4433599999993</v>
      </c>
      <c r="C966">
        <f>SUM($B$4:B966)</f>
        <v>20114247.687210009</v>
      </c>
      <c r="D966" s="26">
        <f t="shared" si="30"/>
        <v>0.63394125635857201</v>
      </c>
      <c r="E966" t="str">
        <f t="shared" si="31"/>
        <v>C</v>
      </c>
    </row>
    <row r="967" spans="1:5" x14ac:dyDescent="0.45">
      <c r="A967" s="18" t="s">
        <v>740</v>
      </c>
      <c r="B967" s="13">
        <v>4968.5039999999999</v>
      </c>
      <c r="C967">
        <f>SUM($B$4:B967)</f>
        <v>20119216.191210009</v>
      </c>
      <c r="D967" s="26">
        <f t="shared" si="30"/>
        <v>0.63409784882561149</v>
      </c>
      <c r="E967" t="str">
        <f t="shared" si="31"/>
        <v>C</v>
      </c>
    </row>
    <row r="968" spans="1:5" x14ac:dyDescent="0.45">
      <c r="A968" s="25" t="s">
        <v>721</v>
      </c>
      <c r="B968" s="13">
        <v>4968.5039999999999</v>
      </c>
      <c r="C968">
        <f>SUM($B$4:B968)</f>
        <v>20124184.69521001</v>
      </c>
      <c r="D968" s="26">
        <f t="shared" si="30"/>
        <v>0.63425444129265096</v>
      </c>
      <c r="E968" t="str">
        <f t="shared" si="31"/>
        <v>C</v>
      </c>
    </row>
    <row r="969" spans="1:5" x14ac:dyDescent="0.45">
      <c r="A969" s="18" t="s">
        <v>807</v>
      </c>
      <c r="B969" s="13">
        <v>4877.1379800000004</v>
      </c>
      <c r="C969">
        <f>SUM($B$4:B969)</f>
        <v>20129061.833190009</v>
      </c>
      <c r="D969" s="26">
        <f t="shared" si="30"/>
        <v>0.63440815417451235</v>
      </c>
      <c r="E969" t="str">
        <f t="shared" si="31"/>
        <v>C</v>
      </c>
    </row>
    <row r="970" spans="1:5" x14ac:dyDescent="0.45">
      <c r="A970" s="25" t="s">
        <v>726</v>
      </c>
      <c r="B970" s="13">
        <v>4877.1379800000004</v>
      </c>
      <c r="C970">
        <f>SUM($B$4:B970)</f>
        <v>20133938.971170008</v>
      </c>
      <c r="D970" s="26">
        <f t="shared" si="30"/>
        <v>0.63456186705637374</v>
      </c>
      <c r="E970" t="str">
        <f t="shared" si="31"/>
        <v>C</v>
      </c>
    </row>
    <row r="971" spans="1:5" x14ac:dyDescent="0.45">
      <c r="A971" s="18" t="s">
        <v>728</v>
      </c>
      <c r="B971" s="13">
        <v>4866.3287999999993</v>
      </c>
      <c r="C971">
        <f>SUM($B$4:B971)</f>
        <v>20138805.299970008</v>
      </c>
      <c r="D971" s="26">
        <f t="shared" si="30"/>
        <v>0.63471523926503393</v>
      </c>
      <c r="E971" t="str">
        <f t="shared" si="31"/>
        <v>C</v>
      </c>
    </row>
    <row r="972" spans="1:5" x14ac:dyDescent="0.45">
      <c r="A972" s="25" t="s">
        <v>721</v>
      </c>
      <c r="B972" s="13">
        <v>4866.3287999999993</v>
      </c>
      <c r="C972">
        <f>SUM($B$4:B972)</f>
        <v>20143671.628770009</v>
      </c>
      <c r="D972" s="26">
        <f t="shared" si="30"/>
        <v>0.63486861147369411</v>
      </c>
      <c r="E972" t="str">
        <f t="shared" si="31"/>
        <v>C</v>
      </c>
    </row>
    <row r="973" spans="1:5" x14ac:dyDescent="0.45">
      <c r="A973" s="18" t="s">
        <v>1061</v>
      </c>
      <c r="B973" s="13">
        <v>4856.35725</v>
      </c>
      <c r="C973">
        <f>SUM($B$4:B973)</f>
        <v>20148527.98602001</v>
      </c>
      <c r="D973" s="26">
        <f t="shared" si="30"/>
        <v>0.63502166940875926</v>
      </c>
      <c r="E973" t="str">
        <f t="shared" si="31"/>
        <v>C</v>
      </c>
    </row>
    <row r="974" spans="1:5" x14ac:dyDescent="0.45">
      <c r="A974" s="25" t="s">
        <v>724</v>
      </c>
      <c r="B974" s="13">
        <v>4856.35725</v>
      </c>
      <c r="C974">
        <f>SUM($B$4:B974)</f>
        <v>20153384.343270011</v>
      </c>
      <c r="D974" s="26">
        <f t="shared" si="30"/>
        <v>0.6351747273438243</v>
      </c>
      <c r="E974" t="str">
        <f t="shared" si="31"/>
        <v>C</v>
      </c>
    </row>
    <row r="975" spans="1:5" x14ac:dyDescent="0.45">
      <c r="A975" s="18" t="s">
        <v>914</v>
      </c>
      <c r="B975" s="13">
        <v>4831.9464600000001</v>
      </c>
      <c r="C975">
        <f>SUM($B$4:B975)</f>
        <v>20158216.289730012</v>
      </c>
      <c r="D975" s="26">
        <f t="shared" si="30"/>
        <v>0.63532701592339957</v>
      </c>
      <c r="E975" t="str">
        <f t="shared" si="31"/>
        <v>C</v>
      </c>
    </row>
    <row r="976" spans="1:5" x14ac:dyDescent="0.45">
      <c r="A976" s="25" t="s">
        <v>726</v>
      </c>
      <c r="B976" s="13">
        <v>4831.9464600000001</v>
      </c>
      <c r="C976">
        <f>SUM($B$4:B976)</f>
        <v>20163048.236190014</v>
      </c>
      <c r="D976" s="26">
        <f t="shared" si="30"/>
        <v>0.63547930450297485</v>
      </c>
      <c r="E976" t="str">
        <f t="shared" si="31"/>
        <v>C</v>
      </c>
    </row>
    <row r="977" spans="1:5" x14ac:dyDescent="0.45">
      <c r="A977" s="18" t="s">
        <v>1271</v>
      </c>
      <c r="B977" s="13">
        <v>4826.5396199999996</v>
      </c>
      <c r="C977">
        <f>SUM($B$4:B977)</f>
        <v>20167874.775810014</v>
      </c>
      <c r="D977" s="26">
        <f t="shared" si="30"/>
        <v>0.63563142267503625</v>
      </c>
      <c r="E977" t="str">
        <f t="shared" si="31"/>
        <v>C</v>
      </c>
    </row>
    <row r="978" spans="1:5" x14ac:dyDescent="0.45">
      <c r="A978" s="25" t="s">
        <v>726</v>
      </c>
      <c r="B978" s="13">
        <v>4826.5396199999996</v>
      </c>
      <c r="C978">
        <f>SUM($B$4:B978)</f>
        <v>20172701.315430015</v>
      </c>
      <c r="D978" s="26">
        <f t="shared" si="30"/>
        <v>0.63578354084709754</v>
      </c>
      <c r="E978" t="str">
        <f t="shared" si="31"/>
        <v>C</v>
      </c>
    </row>
    <row r="979" spans="1:5" x14ac:dyDescent="0.45">
      <c r="A979" s="18" t="s">
        <v>1088</v>
      </c>
      <c r="B979" s="13">
        <v>4804.4682400000002</v>
      </c>
      <c r="C979">
        <f>SUM($B$4:B979)</f>
        <v>20177505.783670016</v>
      </c>
      <c r="D979" s="26">
        <f t="shared" si="30"/>
        <v>0.63593496339491362</v>
      </c>
      <c r="E979" t="str">
        <f t="shared" si="31"/>
        <v>C</v>
      </c>
    </row>
    <row r="980" spans="1:5" x14ac:dyDescent="0.45">
      <c r="A980" s="25" t="s">
        <v>724</v>
      </c>
      <c r="B980" s="13">
        <v>4804.4682400000002</v>
      </c>
      <c r="C980">
        <f>SUM($B$4:B980)</f>
        <v>20182310.251910016</v>
      </c>
      <c r="D980" s="26">
        <f t="shared" si="30"/>
        <v>0.6360863859427297</v>
      </c>
      <c r="E980" t="str">
        <f t="shared" si="31"/>
        <v>C</v>
      </c>
    </row>
    <row r="981" spans="1:5" x14ac:dyDescent="0.45">
      <c r="A981" s="18" t="s">
        <v>785</v>
      </c>
      <c r="B981" s="13">
        <v>4790.1068000000005</v>
      </c>
      <c r="C981">
        <f>SUM($B$4:B981)</f>
        <v>20187100.358710017</v>
      </c>
      <c r="D981" s="26">
        <f t="shared" si="30"/>
        <v>0.63623735586067576</v>
      </c>
      <c r="E981" t="str">
        <f t="shared" si="31"/>
        <v>C</v>
      </c>
    </row>
    <row r="982" spans="1:5" x14ac:dyDescent="0.45">
      <c r="A982" s="25" t="s">
        <v>727</v>
      </c>
      <c r="B982" s="13">
        <v>4790.1068000000005</v>
      </c>
      <c r="C982">
        <f>SUM($B$4:B982)</f>
        <v>20191890.465510018</v>
      </c>
      <c r="D982" s="26">
        <f t="shared" si="30"/>
        <v>0.63638832577862181</v>
      </c>
      <c r="E982" t="str">
        <f t="shared" si="31"/>
        <v>C</v>
      </c>
    </row>
    <row r="983" spans="1:5" x14ac:dyDescent="0.45">
      <c r="A983" s="18" t="s">
        <v>1207</v>
      </c>
      <c r="B983" s="13">
        <v>4738.5261</v>
      </c>
      <c r="C983">
        <f>SUM($B$4:B983)</f>
        <v>20196628.991610017</v>
      </c>
      <c r="D983" s="26">
        <f t="shared" si="30"/>
        <v>0.63653767002633288</v>
      </c>
      <c r="E983" t="str">
        <f t="shared" si="31"/>
        <v>C</v>
      </c>
    </row>
    <row r="984" spans="1:5" x14ac:dyDescent="0.45">
      <c r="A984" s="25" t="s">
        <v>722</v>
      </c>
      <c r="B984" s="13">
        <v>4738.5261</v>
      </c>
      <c r="C984">
        <f>SUM($B$4:B984)</f>
        <v>20201367.517710015</v>
      </c>
      <c r="D984" s="26">
        <f t="shared" si="30"/>
        <v>0.63668701427404395</v>
      </c>
      <c r="E984" t="str">
        <f t="shared" si="31"/>
        <v>C</v>
      </c>
    </row>
    <row r="985" spans="1:5" x14ac:dyDescent="0.45">
      <c r="A985" s="18" t="s">
        <v>1268</v>
      </c>
      <c r="B985" s="13">
        <v>4737.2198399999997</v>
      </c>
      <c r="C985">
        <f>SUM($B$4:B985)</f>
        <v>20206104.737550016</v>
      </c>
      <c r="D985" s="26">
        <f t="shared" si="30"/>
        <v>0.63683631735232549</v>
      </c>
      <c r="E985" t="str">
        <f t="shared" si="31"/>
        <v>C</v>
      </c>
    </row>
    <row r="986" spans="1:5" x14ac:dyDescent="0.45">
      <c r="A986" s="25" t="s">
        <v>727</v>
      </c>
      <c r="B986" s="13">
        <v>4737.2198399999997</v>
      </c>
      <c r="C986">
        <f>SUM($B$4:B986)</f>
        <v>20210841.957390018</v>
      </c>
      <c r="D986" s="26">
        <f t="shared" si="30"/>
        <v>0.63698562043060702</v>
      </c>
      <c r="E986" t="str">
        <f t="shared" si="31"/>
        <v>C</v>
      </c>
    </row>
    <row r="987" spans="1:5" x14ac:dyDescent="0.45">
      <c r="A987" s="18" t="s">
        <v>802</v>
      </c>
      <c r="B987" s="13">
        <v>4717.72</v>
      </c>
      <c r="C987">
        <f>SUM($B$4:B987)</f>
        <v>20215559.677390017</v>
      </c>
      <c r="D987" s="26">
        <f t="shared" si="30"/>
        <v>0.63713430893193479</v>
      </c>
      <c r="E987" t="str">
        <f t="shared" si="31"/>
        <v>C</v>
      </c>
    </row>
    <row r="988" spans="1:5" x14ac:dyDescent="0.45">
      <c r="A988" s="25" t="s">
        <v>721</v>
      </c>
      <c r="B988" s="13">
        <v>4717.72</v>
      </c>
      <c r="C988">
        <f>SUM($B$4:B988)</f>
        <v>20220277.397390015</v>
      </c>
      <c r="D988" s="26">
        <f t="shared" si="30"/>
        <v>0.63728299743326255</v>
      </c>
      <c r="E988" t="str">
        <f t="shared" si="31"/>
        <v>C</v>
      </c>
    </row>
    <row r="989" spans="1:5" x14ac:dyDescent="0.45">
      <c r="A989" s="18" t="s">
        <v>1221</v>
      </c>
      <c r="B989" s="13">
        <v>4682.9519799999998</v>
      </c>
      <c r="C989">
        <f>SUM($B$4:B989)</f>
        <v>20224960.349370014</v>
      </c>
      <c r="D989" s="26">
        <f t="shared" si="30"/>
        <v>0.63743059015001902</v>
      </c>
      <c r="E989" t="str">
        <f t="shared" si="31"/>
        <v>C</v>
      </c>
    </row>
    <row r="990" spans="1:5" x14ac:dyDescent="0.45">
      <c r="A990" s="25" t="s">
        <v>726</v>
      </c>
      <c r="B990" s="13">
        <v>4682.9519799999998</v>
      </c>
      <c r="C990">
        <f>SUM($B$4:B990)</f>
        <v>20229643.301350012</v>
      </c>
      <c r="D990" s="26">
        <f t="shared" si="30"/>
        <v>0.63757818286677548</v>
      </c>
      <c r="E990" t="str">
        <f t="shared" si="31"/>
        <v>C</v>
      </c>
    </row>
    <row r="991" spans="1:5" x14ac:dyDescent="0.45">
      <c r="A991" s="18" t="s">
        <v>1134</v>
      </c>
      <c r="B991" s="13">
        <v>4679.7141600000004</v>
      </c>
      <c r="C991">
        <f>SUM($B$4:B991)</f>
        <v>20234323.015510011</v>
      </c>
      <c r="D991" s="26">
        <f t="shared" si="30"/>
        <v>0.63772567353707654</v>
      </c>
      <c r="E991" t="str">
        <f t="shared" si="31"/>
        <v>C</v>
      </c>
    </row>
    <row r="992" spans="1:5" x14ac:dyDescent="0.45">
      <c r="A992" s="25" t="s">
        <v>725</v>
      </c>
      <c r="B992" s="13">
        <v>4679.7141600000004</v>
      </c>
      <c r="C992">
        <f>SUM($B$4:B992)</f>
        <v>20239002.729670011</v>
      </c>
      <c r="D992" s="26">
        <f t="shared" si="30"/>
        <v>0.63787316420737761</v>
      </c>
      <c r="E992" t="str">
        <f t="shared" si="31"/>
        <v>C</v>
      </c>
    </row>
    <row r="993" spans="1:5" x14ac:dyDescent="0.45">
      <c r="A993" s="18" t="s">
        <v>928</v>
      </c>
      <c r="B993" s="13">
        <v>4637.7968000000001</v>
      </c>
      <c r="C993">
        <f>SUM($B$4:B993)</f>
        <v>20243640.526470009</v>
      </c>
      <c r="D993" s="26">
        <f t="shared" si="30"/>
        <v>0.63801933376717657</v>
      </c>
      <c r="E993" t="str">
        <f t="shared" si="31"/>
        <v>C</v>
      </c>
    </row>
    <row r="994" spans="1:5" x14ac:dyDescent="0.45">
      <c r="A994" s="25" t="s">
        <v>722</v>
      </c>
      <c r="B994" s="13">
        <v>4637.7968000000001</v>
      </c>
      <c r="C994">
        <f>SUM($B$4:B994)</f>
        <v>20248278.323270008</v>
      </c>
      <c r="D994" s="26">
        <f t="shared" si="30"/>
        <v>0.63816550332697553</v>
      </c>
      <c r="E994" t="str">
        <f t="shared" si="31"/>
        <v>C</v>
      </c>
    </row>
    <row r="995" spans="1:5" x14ac:dyDescent="0.45">
      <c r="A995" s="18" t="s">
        <v>1296</v>
      </c>
      <c r="B995" s="13">
        <v>4577.1480000000001</v>
      </c>
      <c r="C995">
        <f>SUM($B$4:B995)</f>
        <v>20252855.471270006</v>
      </c>
      <c r="D995" s="26">
        <f t="shared" si="30"/>
        <v>0.63830976141700113</v>
      </c>
      <c r="E995" t="str">
        <f t="shared" si="31"/>
        <v>C</v>
      </c>
    </row>
    <row r="996" spans="1:5" x14ac:dyDescent="0.45">
      <c r="A996" s="25" t="s">
        <v>727</v>
      </c>
      <c r="B996" s="13">
        <v>4577.1480000000001</v>
      </c>
      <c r="C996">
        <f>SUM($B$4:B996)</f>
        <v>20257432.619270004</v>
      </c>
      <c r="D996" s="26">
        <f t="shared" si="30"/>
        <v>0.63845401950702663</v>
      </c>
      <c r="E996" t="str">
        <f t="shared" si="31"/>
        <v>C</v>
      </c>
    </row>
    <row r="997" spans="1:5" x14ac:dyDescent="0.45">
      <c r="A997" s="18" t="s">
        <v>787</v>
      </c>
      <c r="B997" s="13">
        <v>4569.8508000000002</v>
      </c>
      <c r="C997">
        <f>SUM($B$4:B997)</f>
        <v>20262002.470070004</v>
      </c>
      <c r="D997" s="26">
        <f t="shared" si="30"/>
        <v>0.63859804761101413</v>
      </c>
      <c r="E997" t="str">
        <f t="shared" si="31"/>
        <v>C</v>
      </c>
    </row>
    <row r="998" spans="1:5" x14ac:dyDescent="0.45">
      <c r="A998" s="25" t="s">
        <v>727</v>
      </c>
      <c r="B998" s="13">
        <v>4569.8508000000002</v>
      </c>
      <c r="C998">
        <f>SUM($B$4:B998)</f>
        <v>20266572.320870005</v>
      </c>
      <c r="D998" s="26">
        <f t="shared" si="30"/>
        <v>0.63874207571500163</v>
      </c>
      <c r="E998" t="str">
        <f t="shared" si="31"/>
        <v>C</v>
      </c>
    </row>
    <row r="999" spans="1:5" x14ac:dyDescent="0.45">
      <c r="A999" s="18" t="s">
        <v>1096</v>
      </c>
      <c r="B999" s="13">
        <v>4569.5735999999997</v>
      </c>
      <c r="C999">
        <f>SUM($B$4:B999)</f>
        <v>20271141.894470006</v>
      </c>
      <c r="D999" s="26">
        <f t="shared" si="30"/>
        <v>0.63888609508246974</v>
      </c>
      <c r="E999" t="str">
        <f t="shared" si="31"/>
        <v>C</v>
      </c>
    </row>
    <row r="1000" spans="1:5" x14ac:dyDescent="0.45">
      <c r="A1000" s="25" t="s">
        <v>722</v>
      </c>
      <c r="B1000" s="13">
        <v>4569.5735999999997</v>
      </c>
      <c r="C1000">
        <f>SUM($B$4:B1000)</f>
        <v>20275711.468070008</v>
      </c>
      <c r="D1000" s="26">
        <f t="shared" si="30"/>
        <v>0.63903011444993774</v>
      </c>
      <c r="E1000" t="str">
        <f t="shared" si="31"/>
        <v>C</v>
      </c>
    </row>
    <row r="1001" spans="1:5" x14ac:dyDescent="0.45">
      <c r="A1001" s="18" t="s">
        <v>949</v>
      </c>
      <c r="B1001" s="13">
        <v>4503.4363999999996</v>
      </c>
      <c r="C1001">
        <f>SUM($B$4:B1001)</f>
        <v>20280214.904470008</v>
      </c>
      <c r="D1001" s="26">
        <f t="shared" si="30"/>
        <v>0.63917204936958982</v>
      </c>
      <c r="E1001" t="str">
        <f t="shared" si="31"/>
        <v>C</v>
      </c>
    </row>
    <row r="1002" spans="1:5" x14ac:dyDescent="0.45">
      <c r="A1002" s="25" t="s">
        <v>721</v>
      </c>
      <c r="B1002" s="13">
        <v>4503.4363999999996</v>
      </c>
      <c r="C1002">
        <f>SUM($B$4:B1002)</f>
        <v>20284718.340870008</v>
      </c>
      <c r="D1002" s="26">
        <f t="shared" si="30"/>
        <v>0.63931398428924202</v>
      </c>
      <c r="E1002" t="str">
        <f t="shared" si="31"/>
        <v>C</v>
      </c>
    </row>
    <row r="1003" spans="1:5" x14ac:dyDescent="0.45">
      <c r="A1003" s="18" t="s">
        <v>967</v>
      </c>
      <c r="B1003" s="13">
        <v>4436.6291200000005</v>
      </c>
      <c r="C1003">
        <f>SUM($B$4:B1003)</f>
        <v>20289154.969990008</v>
      </c>
      <c r="D1003" s="26">
        <f t="shared" si="30"/>
        <v>0.63945381364214982</v>
      </c>
      <c r="E1003" t="str">
        <f t="shared" si="31"/>
        <v>C</v>
      </c>
    </row>
    <row r="1004" spans="1:5" x14ac:dyDescent="0.45">
      <c r="A1004" s="25" t="s">
        <v>722</v>
      </c>
      <c r="B1004" s="13">
        <v>4436.6291200000005</v>
      </c>
      <c r="C1004">
        <f>SUM($B$4:B1004)</f>
        <v>20293591.599110007</v>
      </c>
      <c r="D1004" s="26">
        <f t="shared" si="30"/>
        <v>0.63959364299505761</v>
      </c>
      <c r="E1004" t="str">
        <f t="shared" si="31"/>
        <v>C</v>
      </c>
    </row>
    <row r="1005" spans="1:5" x14ac:dyDescent="0.45">
      <c r="A1005" s="18" t="s">
        <v>907</v>
      </c>
      <c r="B1005" s="13">
        <v>4420.5961799999995</v>
      </c>
      <c r="C1005">
        <f>SUM($B$4:B1005)</f>
        <v>20298012.195290007</v>
      </c>
      <c r="D1005" s="26">
        <f t="shared" si="30"/>
        <v>0.63973296703738725</v>
      </c>
      <c r="E1005" t="str">
        <f t="shared" si="31"/>
        <v>C</v>
      </c>
    </row>
    <row r="1006" spans="1:5" x14ac:dyDescent="0.45">
      <c r="A1006" s="25" t="s">
        <v>722</v>
      </c>
      <c r="B1006" s="13">
        <v>4420.5961799999995</v>
      </c>
      <c r="C1006">
        <f>SUM($B$4:B1006)</f>
        <v>20302432.791470006</v>
      </c>
      <c r="D1006" s="26">
        <f t="shared" si="30"/>
        <v>0.63987229107971699</v>
      </c>
      <c r="E1006" t="str">
        <f t="shared" si="31"/>
        <v>C</v>
      </c>
    </row>
    <row r="1007" spans="1:5" x14ac:dyDescent="0.45">
      <c r="A1007" s="18" t="s">
        <v>859</v>
      </c>
      <c r="B1007" s="13">
        <v>4417.8334199999999</v>
      </c>
      <c r="C1007">
        <f>SUM($B$4:B1007)</f>
        <v>20306850.624890007</v>
      </c>
      <c r="D1007" s="26">
        <f t="shared" si="30"/>
        <v>0.64001152804806949</v>
      </c>
      <c r="E1007" t="str">
        <f t="shared" si="31"/>
        <v>C</v>
      </c>
    </row>
    <row r="1008" spans="1:5" x14ac:dyDescent="0.45">
      <c r="A1008" s="25" t="s">
        <v>727</v>
      </c>
      <c r="B1008" s="13">
        <v>4417.8334199999999</v>
      </c>
      <c r="C1008">
        <f>SUM($B$4:B1008)</f>
        <v>20311268.458310008</v>
      </c>
      <c r="D1008" s="26">
        <f t="shared" si="30"/>
        <v>0.64015076501642199</v>
      </c>
      <c r="E1008" t="str">
        <f t="shared" si="31"/>
        <v>C</v>
      </c>
    </row>
    <row r="1009" spans="1:5" x14ac:dyDescent="0.45">
      <c r="A1009" s="18" t="s">
        <v>1323</v>
      </c>
      <c r="B1009" s="13">
        <v>4409.5168800000001</v>
      </c>
      <c r="C1009">
        <f>SUM($B$4:B1009)</f>
        <v>20315677.975190006</v>
      </c>
      <c r="D1009" s="26">
        <f t="shared" si="30"/>
        <v>0.64028973987217153</v>
      </c>
      <c r="E1009" t="str">
        <f t="shared" si="31"/>
        <v>C</v>
      </c>
    </row>
    <row r="1010" spans="1:5" x14ac:dyDescent="0.45">
      <c r="A1010" s="25" t="s">
        <v>722</v>
      </c>
      <c r="B1010" s="13">
        <v>4409.5168800000001</v>
      </c>
      <c r="C1010">
        <f>SUM($B$4:B1010)</f>
        <v>20320087.492070004</v>
      </c>
      <c r="D1010" s="26">
        <f t="shared" si="30"/>
        <v>0.64042871472792096</v>
      </c>
      <c r="E1010" t="str">
        <f t="shared" si="31"/>
        <v>C</v>
      </c>
    </row>
    <row r="1011" spans="1:5" x14ac:dyDescent="0.45">
      <c r="A1011" s="18" t="s">
        <v>920</v>
      </c>
      <c r="B1011" s="13">
        <v>4402.1164799999997</v>
      </c>
      <c r="C1011">
        <f>SUM($B$4:B1011)</f>
        <v>20324489.608550005</v>
      </c>
      <c r="D1011" s="26">
        <f t="shared" si="30"/>
        <v>0.64056745634507539</v>
      </c>
      <c r="E1011" t="str">
        <f t="shared" si="31"/>
        <v>C</v>
      </c>
    </row>
    <row r="1012" spans="1:5" x14ac:dyDescent="0.45">
      <c r="A1012" s="25" t="s">
        <v>722</v>
      </c>
      <c r="B1012" s="13">
        <v>4402.1164799999997</v>
      </c>
      <c r="C1012">
        <f>SUM($B$4:B1012)</f>
        <v>20328891.725030005</v>
      </c>
      <c r="D1012" s="26">
        <f t="shared" si="30"/>
        <v>0.64070619796222983</v>
      </c>
      <c r="E1012" t="str">
        <f t="shared" si="31"/>
        <v>C</v>
      </c>
    </row>
    <row r="1013" spans="1:5" x14ac:dyDescent="0.45">
      <c r="A1013" s="18" t="s">
        <v>985</v>
      </c>
      <c r="B1013" s="13">
        <v>4375.3620000000001</v>
      </c>
      <c r="C1013">
        <f>SUM($B$4:B1013)</f>
        <v>20333267.087030005</v>
      </c>
      <c r="D1013" s="26">
        <f t="shared" si="30"/>
        <v>0.64084409635775708</v>
      </c>
      <c r="E1013" t="str">
        <f t="shared" si="31"/>
        <v>C</v>
      </c>
    </row>
    <row r="1014" spans="1:5" x14ac:dyDescent="0.45">
      <c r="A1014" s="25" t="s">
        <v>726</v>
      </c>
      <c r="B1014" s="13">
        <v>4375.3620000000001</v>
      </c>
      <c r="C1014">
        <f>SUM($B$4:B1014)</f>
        <v>20337642.449030004</v>
      </c>
      <c r="D1014" s="26">
        <f t="shared" si="30"/>
        <v>0.64098199475328432</v>
      </c>
      <c r="E1014" t="str">
        <f t="shared" si="31"/>
        <v>C</v>
      </c>
    </row>
    <row r="1015" spans="1:5" x14ac:dyDescent="0.45">
      <c r="A1015" s="18" t="s">
        <v>865</v>
      </c>
      <c r="B1015" s="13">
        <v>4336.2427499999994</v>
      </c>
      <c r="C1015">
        <f>SUM($B$4:B1015)</f>
        <v>20341978.691780005</v>
      </c>
      <c r="D1015" s="26">
        <f t="shared" si="30"/>
        <v>0.64111866022641351</v>
      </c>
      <c r="E1015" t="str">
        <f t="shared" si="31"/>
        <v>C</v>
      </c>
    </row>
    <row r="1016" spans="1:5" x14ac:dyDescent="0.45">
      <c r="A1016" s="25" t="s">
        <v>724</v>
      </c>
      <c r="B1016" s="13">
        <v>4336.2427499999994</v>
      </c>
      <c r="C1016">
        <f>SUM($B$4:B1016)</f>
        <v>20346314.934530005</v>
      </c>
      <c r="D1016" s="26">
        <f t="shared" si="30"/>
        <v>0.64125532569954269</v>
      </c>
      <c r="E1016" t="str">
        <f t="shared" si="31"/>
        <v>C</v>
      </c>
    </row>
    <row r="1017" spans="1:5" x14ac:dyDescent="0.45">
      <c r="A1017" s="18" t="s">
        <v>1304</v>
      </c>
      <c r="B1017" s="13">
        <v>4280.6786400000001</v>
      </c>
      <c r="C1017">
        <f>SUM($B$4:B1017)</f>
        <v>20350595.613170005</v>
      </c>
      <c r="D1017" s="26">
        <f t="shared" si="30"/>
        <v>0.64139023995720279</v>
      </c>
      <c r="E1017" t="str">
        <f t="shared" si="31"/>
        <v>C</v>
      </c>
    </row>
    <row r="1018" spans="1:5" x14ac:dyDescent="0.45">
      <c r="A1018" s="25" t="s">
        <v>723</v>
      </c>
      <c r="B1018" s="13">
        <v>4280.6786400000001</v>
      </c>
      <c r="C1018">
        <f>SUM($B$4:B1018)</f>
        <v>20354876.291810006</v>
      </c>
      <c r="D1018" s="26">
        <f t="shared" si="30"/>
        <v>0.64152515421486278</v>
      </c>
      <c r="E1018" t="str">
        <f t="shared" si="31"/>
        <v>C</v>
      </c>
    </row>
    <row r="1019" spans="1:5" x14ac:dyDescent="0.45">
      <c r="A1019" s="18" t="s">
        <v>1023</v>
      </c>
      <c r="B1019" s="13">
        <v>4241.88105</v>
      </c>
      <c r="C1019">
        <f>SUM($B$4:B1019)</f>
        <v>20359118.172860008</v>
      </c>
      <c r="D1019" s="26">
        <f t="shared" si="30"/>
        <v>0.64165884568789111</v>
      </c>
      <c r="E1019" t="str">
        <f t="shared" si="31"/>
        <v>C</v>
      </c>
    </row>
    <row r="1020" spans="1:5" x14ac:dyDescent="0.45">
      <c r="A1020" s="25" t="s">
        <v>722</v>
      </c>
      <c r="B1020" s="13">
        <v>4241.88105</v>
      </c>
      <c r="C1020">
        <f>SUM($B$4:B1020)</f>
        <v>20363360.05391001</v>
      </c>
      <c r="D1020" s="26">
        <f t="shared" si="30"/>
        <v>0.64179253716091955</v>
      </c>
      <c r="E1020" t="str">
        <f t="shared" si="31"/>
        <v>C</v>
      </c>
    </row>
    <row r="1021" spans="1:5" x14ac:dyDescent="0.45">
      <c r="A1021" s="18" t="s">
        <v>1290</v>
      </c>
      <c r="B1021" s="13">
        <v>4229.4321199999995</v>
      </c>
      <c r="C1021">
        <f>SUM($B$4:B1021)</f>
        <v>20367589.486030009</v>
      </c>
      <c r="D1021" s="26">
        <f t="shared" si="30"/>
        <v>0.64192583628070421</v>
      </c>
      <c r="E1021" t="str">
        <f t="shared" si="31"/>
        <v>C</v>
      </c>
    </row>
    <row r="1022" spans="1:5" x14ac:dyDescent="0.45">
      <c r="A1022" s="25" t="s">
        <v>725</v>
      </c>
      <c r="B1022" s="13">
        <v>4229.4321199999995</v>
      </c>
      <c r="C1022">
        <f>SUM($B$4:B1022)</f>
        <v>20371818.918150008</v>
      </c>
      <c r="D1022" s="26">
        <f t="shared" si="30"/>
        <v>0.64205913540048887</v>
      </c>
      <c r="E1022" t="str">
        <f t="shared" si="31"/>
        <v>C</v>
      </c>
    </row>
    <row r="1023" spans="1:5" x14ac:dyDescent="0.45">
      <c r="A1023" s="18" t="s">
        <v>1203</v>
      </c>
      <c r="B1023" s="13">
        <v>4212.3745999999992</v>
      </c>
      <c r="C1023">
        <f>SUM($B$4:B1023)</f>
        <v>20376031.292750008</v>
      </c>
      <c r="D1023" s="26">
        <f t="shared" si="30"/>
        <v>0.64219189691798151</v>
      </c>
      <c r="E1023" t="str">
        <f t="shared" si="31"/>
        <v>C</v>
      </c>
    </row>
    <row r="1024" spans="1:5" x14ac:dyDescent="0.45">
      <c r="A1024" s="25" t="s">
        <v>721</v>
      </c>
      <c r="B1024" s="13">
        <v>4212.3745999999992</v>
      </c>
      <c r="C1024">
        <f>SUM($B$4:B1024)</f>
        <v>20380243.667350009</v>
      </c>
      <c r="D1024" s="26">
        <f t="shared" si="30"/>
        <v>0.64232465843547426</v>
      </c>
      <c r="E1024" t="str">
        <f t="shared" si="31"/>
        <v>C</v>
      </c>
    </row>
    <row r="1025" spans="1:5" x14ac:dyDescent="0.45">
      <c r="A1025" s="18" t="s">
        <v>733</v>
      </c>
      <c r="B1025" s="13">
        <v>4141.7599999999993</v>
      </c>
      <c r="C1025">
        <f>SUM($B$4:B1025)</f>
        <v>20384385.427350011</v>
      </c>
      <c r="D1025" s="26">
        <f t="shared" si="30"/>
        <v>0.64245519439082122</v>
      </c>
      <c r="E1025" t="str">
        <f t="shared" si="31"/>
        <v>C</v>
      </c>
    </row>
    <row r="1026" spans="1:5" x14ac:dyDescent="0.45">
      <c r="A1026" s="25" t="s">
        <v>725</v>
      </c>
      <c r="B1026" s="13">
        <v>4141.7599999999993</v>
      </c>
      <c r="C1026">
        <f>SUM($B$4:B1026)</f>
        <v>20388527.187350012</v>
      </c>
      <c r="D1026" s="26">
        <f t="shared" si="30"/>
        <v>0.64258573034616828</v>
      </c>
      <c r="E1026" t="str">
        <f t="shared" si="31"/>
        <v>C</v>
      </c>
    </row>
    <row r="1027" spans="1:5" x14ac:dyDescent="0.45">
      <c r="A1027" s="18" t="s">
        <v>880</v>
      </c>
      <c r="B1027" s="13">
        <v>4139.8127999999997</v>
      </c>
      <c r="C1027">
        <f>SUM($B$4:B1027)</f>
        <v>20392667.000150014</v>
      </c>
      <c r="D1027" s="26">
        <f t="shared" si="30"/>
        <v>0.64271620493156334</v>
      </c>
      <c r="E1027" t="str">
        <f t="shared" si="31"/>
        <v>C</v>
      </c>
    </row>
    <row r="1028" spans="1:5" x14ac:dyDescent="0.45">
      <c r="A1028" s="25" t="s">
        <v>722</v>
      </c>
      <c r="B1028" s="13">
        <v>4139.8127999999997</v>
      </c>
      <c r="C1028">
        <f>SUM($B$4:B1028)</f>
        <v>20396806.812950015</v>
      </c>
      <c r="D1028" s="26">
        <f t="shared" si="30"/>
        <v>0.6428466795169584</v>
      </c>
      <c r="E1028" t="str">
        <f t="shared" si="31"/>
        <v>C</v>
      </c>
    </row>
    <row r="1029" spans="1:5" x14ac:dyDescent="0.45">
      <c r="A1029" s="18" t="s">
        <v>1097</v>
      </c>
      <c r="B1029" s="13">
        <v>4133.25108</v>
      </c>
      <c r="C1029">
        <f>SUM($B$4:B1029)</f>
        <v>20400940.064030014</v>
      </c>
      <c r="D1029" s="26">
        <f t="shared" ref="D1029:D1092" si="32">C1029/SUM($B$4:$B$1255)</f>
        <v>0.64297694729645705</v>
      </c>
      <c r="E1029" t="str">
        <f t="shared" ref="E1029:E1092" si="33">IF(D1029&gt;=0.8,"A",IF(D1029&gt;=0.95,"B","C"))</f>
        <v>C</v>
      </c>
    </row>
    <row r="1030" spans="1:5" x14ac:dyDescent="0.45">
      <c r="A1030" s="25" t="s">
        <v>725</v>
      </c>
      <c r="B1030" s="13">
        <v>4133.25108</v>
      </c>
      <c r="C1030">
        <f>SUM($B$4:B1030)</f>
        <v>20405073.315110013</v>
      </c>
      <c r="D1030" s="26">
        <f t="shared" si="32"/>
        <v>0.64310721507595581</v>
      </c>
      <c r="E1030" t="str">
        <f t="shared" si="33"/>
        <v>C</v>
      </c>
    </row>
    <row r="1031" spans="1:5" x14ac:dyDescent="0.45">
      <c r="A1031" s="18" t="s">
        <v>1077</v>
      </c>
      <c r="B1031" s="13">
        <v>4132.0325200000007</v>
      </c>
      <c r="C1031">
        <f>SUM($B$4:B1031)</f>
        <v>20409205.347630013</v>
      </c>
      <c r="D1031" s="26">
        <f t="shared" si="32"/>
        <v>0.64323744445006803</v>
      </c>
      <c r="E1031" t="str">
        <f t="shared" si="33"/>
        <v>C</v>
      </c>
    </row>
    <row r="1032" spans="1:5" x14ac:dyDescent="0.45">
      <c r="A1032" s="25" t="s">
        <v>722</v>
      </c>
      <c r="B1032" s="13">
        <v>4132.0325200000007</v>
      </c>
      <c r="C1032">
        <f>SUM($B$4:B1032)</f>
        <v>20413337.380150013</v>
      </c>
      <c r="D1032" s="26">
        <f t="shared" si="32"/>
        <v>0.64336767382418025</v>
      </c>
      <c r="E1032" t="str">
        <f t="shared" si="33"/>
        <v>C</v>
      </c>
    </row>
    <row r="1033" spans="1:5" x14ac:dyDescent="0.45">
      <c r="A1033" s="18" t="s">
        <v>1100</v>
      </c>
      <c r="B1033" s="13">
        <v>4117.4880599999997</v>
      </c>
      <c r="C1033">
        <f>SUM($B$4:B1033)</f>
        <v>20417454.868210014</v>
      </c>
      <c r="D1033" s="26">
        <f t="shared" si="32"/>
        <v>0.64349744480017645</v>
      </c>
      <c r="E1033" t="str">
        <f t="shared" si="33"/>
        <v>C</v>
      </c>
    </row>
    <row r="1034" spans="1:5" x14ac:dyDescent="0.45">
      <c r="A1034" s="25" t="s">
        <v>722</v>
      </c>
      <c r="B1034" s="13">
        <v>4117.4880599999997</v>
      </c>
      <c r="C1034">
        <f>SUM($B$4:B1034)</f>
        <v>20421572.356270015</v>
      </c>
      <c r="D1034" s="26">
        <f t="shared" si="32"/>
        <v>0.64362721577617266</v>
      </c>
      <c r="E1034" t="str">
        <f t="shared" si="33"/>
        <v>C</v>
      </c>
    </row>
    <row r="1035" spans="1:5" x14ac:dyDescent="0.45">
      <c r="A1035" s="18" t="s">
        <v>1085</v>
      </c>
      <c r="B1035" s="13">
        <v>4071.8</v>
      </c>
      <c r="C1035">
        <f>SUM($B$4:B1035)</f>
        <v>20425644.156270016</v>
      </c>
      <c r="D1035" s="26">
        <f t="shared" si="32"/>
        <v>0.6437555468004188</v>
      </c>
      <c r="E1035" t="str">
        <f t="shared" si="33"/>
        <v>C</v>
      </c>
    </row>
    <row r="1036" spans="1:5" x14ac:dyDescent="0.45">
      <c r="A1036" s="25" t="s">
        <v>727</v>
      </c>
      <c r="B1036" s="13">
        <v>4071.8</v>
      </c>
      <c r="C1036">
        <f>SUM($B$4:B1036)</f>
        <v>20429715.956270017</v>
      </c>
      <c r="D1036" s="26">
        <f t="shared" si="32"/>
        <v>0.64388387782466505</v>
      </c>
      <c r="E1036" t="str">
        <f t="shared" si="33"/>
        <v>C</v>
      </c>
    </row>
    <row r="1037" spans="1:5" x14ac:dyDescent="0.45">
      <c r="A1037" s="18" t="s">
        <v>1188</v>
      </c>
      <c r="B1037" s="13">
        <v>4055.5175999999997</v>
      </c>
      <c r="C1037">
        <f>SUM($B$4:B1037)</f>
        <v>20433771.473870017</v>
      </c>
      <c r="D1037" s="26">
        <f t="shared" si="32"/>
        <v>0.64401169567609595</v>
      </c>
      <c r="E1037" t="str">
        <f t="shared" si="33"/>
        <v>C</v>
      </c>
    </row>
    <row r="1038" spans="1:5" x14ac:dyDescent="0.45">
      <c r="A1038" s="25" t="s">
        <v>722</v>
      </c>
      <c r="B1038" s="13">
        <v>4055.5175999999997</v>
      </c>
      <c r="C1038">
        <f>SUM($B$4:B1038)</f>
        <v>20437826.991470017</v>
      </c>
      <c r="D1038" s="26">
        <f t="shared" si="32"/>
        <v>0.64413951352752685</v>
      </c>
      <c r="E1038" t="str">
        <f t="shared" si="33"/>
        <v>C</v>
      </c>
    </row>
    <row r="1039" spans="1:5" x14ac:dyDescent="0.45">
      <c r="A1039" s="18" t="s">
        <v>1214</v>
      </c>
      <c r="B1039" s="13">
        <v>4025.8565599999993</v>
      </c>
      <c r="C1039">
        <f>SUM($B$4:B1039)</f>
        <v>20441852.848030016</v>
      </c>
      <c r="D1039" s="26">
        <f t="shared" si="32"/>
        <v>0.64426639655120499</v>
      </c>
      <c r="E1039" t="str">
        <f t="shared" si="33"/>
        <v>C</v>
      </c>
    </row>
    <row r="1040" spans="1:5" x14ac:dyDescent="0.45">
      <c r="A1040" s="25" t="s">
        <v>722</v>
      </c>
      <c r="B1040" s="13">
        <v>4025.8565599999993</v>
      </c>
      <c r="C1040">
        <f>SUM($B$4:B1040)</f>
        <v>20445878.704590015</v>
      </c>
      <c r="D1040" s="26">
        <f t="shared" si="32"/>
        <v>0.64439327957488324</v>
      </c>
      <c r="E1040" t="str">
        <f t="shared" si="33"/>
        <v>C</v>
      </c>
    </row>
    <row r="1041" spans="1:5" x14ac:dyDescent="0.45">
      <c r="A1041" s="18" t="s">
        <v>755</v>
      </c>
      <c r="B1041" s="13">
        <v>3980.7075</v>
      </c>
      <c r="C1041">
        <f>SUM($B$4:B1041)</f>
        <v>20449859.412090015</v>
      </c>
      <c r="D1041" s="26">
        <f t="shared" si="32"/>
        <v>0.64451873963448814</v>
      </c>
      <c r="E1041" t="str">
        <f t="shared" si="33"/>
        <v>C</v>
      </c>
    </row>
    <row r="1042" spans="1:5" x14ac:dyDescent="0.45">
      <c r="A1042" s="25" t="s">
        <v>724</v>
      </c>
      <c r="B1042" s="13">
        <v>3980.7075</v>
      </c>
      <c r="C1042">
        <f>SUM($B$4:B1042)</f>
        <v>20453840.119590014</v>
      </c>
      <c r="D1042" s="26">
        <f t="shared" si="32"/>
        <v>0.64464419969409303</v>
      </c>
      <c r="E1042" t="str">
        <f t="shared" si="33"/>
        <v>C</v>
      </c>
    </row>
    <row r="1043" spans="1:5" x14ac:dyDescent="0.45">
      <c r="A1043" s="18" t="s">
        <v>1012</v>
      </c>
      <c r="B1043" s="13">
        <v>3978.6474000000003</v>
      </c>
      <c r="C1043">
        <f>SUM($B$4:B1043)</f>
        <v>20457818.766990013</v>
      </c>
      <c r="D1043" s="26">
        <f t="shared" si="32"/>
        <v>0.64476959482547391</v>
      </c>
      <c r="E1043" t="str">
        <f t="shared" si="33"/>
        <v>C</v>
      </c>
    </row>
    <row r="1044" spans="1:5" x14ac:dyDescent="0.45">
      <c r="A1044" s="25" t="s">
        <v>724</v>
      </c>
      <c r="B1044" s="13">
        <v>3978.6474000000003</v>
      </c>
      <c r="C1044">
        <f>SUM($B$4:B1044)</f>
        <v>20461797.414390013</v>
      </c>
      <c r="D1044" s="26">
        <f t="shared" si="32"/>
        <v>0.64489498995685468</v>
      </c>
      <c r="E1044" t="str">
        <f t="shared" si="33"/>
        <v>C</v>
      </c>
    </row>
    <row r="1045" spans="1:5" x14ac:dyDescent="0.45">
      <c r="A1045" s="18" t="s">
        <v>921</v>
      </c>
      <c r="B1045" s="13">
        <v>3928.3797600000003</v>
      </c>
      <c r="C1045">
        <f>SUM($B$4:B1045)</f>
        <v>20465725.794150013</v>
      </c>
      <c r="D1045" s="26">
        <f t="shared" si="32"/>
        <v>0.64501880080174601</v>
      </c>
      <c r="E1045" t="str">
        <f t="shared" si="33"/>
        <v>C</v>
      </c>
    </row>
    <row r="1046" spans="1:5" x14ac:dyDescent="0.45">
      <c r="A1046" s="25" t="s">
        <v>723</v>
      </c>
      <c r="B1046" s="13">
        <v>3928.3797600000003</v>
      </c>
      <c r="C1046">
        <f>SUM($B$4:B1046)</f>
        <v>20469654.173910014</v>
      </c>
      <c r="D1046" s="26">
        <f t="shared" si="32"/>
        <v>0.64514261164663744</v>
      </c>
      <c r="E1046" t="str">
        <f t="shared" si="33"/>
        <v>C</v>
      </c>
    </row>
    <row r="1047" spans="1:5" x14ac:dyDescent="0.45">
      <c r="A1047" s="18" t="s">
        <v>1234</v>
      </c>
      <c r="B1047" s="13">
        <v>3921.1744000000008</v>
      </c>
      <c r="C1047">
        <f>SUM($B$4:B1047)</f>
        <v>20473575.348310016</v>
      </c>
      <c r="D1047" s="26">
        <f t="shared" si="32"/>
        <v>0.6452661954000144</v>
      </c>
      <c r="E1047" t="str">
        <f t="shared" si="33"/>
        <v>C</v>
      </c>
    </row>
    <row r="1048" spans="1:5" x14ac:dyDescent="0.45">
      <c r="A1048" s="25" t="s">
        <v>725</v>
      </c>
      <c r="B1048" s="13">
        <v>3921.1744000000008</v>
      </c>
      <c r="C1048">
        <f>SUM($B$4:B1048)</f>
        <v>20477496.522710018</v>
      </c>
      <c r="D1048" s="26">
        <f t="shared" si="32"/>
        <v>0.64538977915339124</v>
      </c>
      <c r="E1048" t="str">
        <f t="shared" si="33"/>
        <v>C</v>
      </c>
    </row>
    <row r="1049" spans="1:5" x14ac:dyDescent="0.45">
      <c r="A1049" s="18" t="s">
        <v>756</v>
      </c>
      <c r="B1049" s="13">
        <v>3913.2000000000003</v>
      </c>
      <c r="C1049">
        <f>SUM($B$4:B1049)</f>
        <v>20481409.722710017</v>
      </c>
      <c r="D1049" s="26">
        <f t="shared" si="32"/>
        <v>0.64551311157740032</v>
      </c>
      <c r="E1049" t="str">
        <f t="shared" si="33"/>
        <v>C</v>
      </c>
    </row>
    <row r="1050" spans="1:5" x14ac:dyDescent="0.45">
      <c r="A1050" s="25" t="s">
        <v>724</v>
      </c>
      <c r="B1050" s="13">
        <v>3913.2000000000003</v>
      </c>
      <c r="C1050">
        <f>SUM($B$4:B1050)</f>
        <v>20485322.922710016</v>
      </c>
      <c r="D1050" s="26">
        <f t="shared" si="32"/>
        <v>0.6456364440014094</v>
      </c>
      <c r="E1050" t="str">
        <f t="shared" si="33"/>
        <v>C</v>
      </c>
    </row>
    <row r="1051" spans="1:5" x14ac:dyDescent="0.45">
      <c r="A1051" s="18" t="s">
        <v>1309</v>
      </c>
      <c r="B1051" s="13">
        <v>3823.6151599999998</v>
      </c>
      <c r="C1051">
        <f>SUM($B$4:B1051)</f>
        <v>20489146.537870016</v>
      </c>
      <c r="D1051" s="26">
        <f t="shared" si="32"/>
        <v>0.64575695297773583</v>
      </c>
      <c r="E1051" t="str">
        <f t="shared" si="33"/>
        <v>C</v>
      </c>
    </row>
    <row r="1052" spans="1:5" x14ac:dyDescent="0.45">
      <c r="A1052" s="25" t="s">
        <v>725</v>
      </c>
      <c r="B1052" s="13">
        <v>3823.6151599999998</v>
      </c>
      <c r="C1052">
        <f>SUM($B$4:B1052)</f>
        <v>20492970.153030016</v>
      </c>
      <c r="D1052" s="26">
        <f t="shared" si="32"/>
        <v>0.64587746195406215</v>
      </c>
      <c r="E1052" t="str">
        <f t="shared" si="33"/>
        <v>C</v>
      </c>
    </row>
    <row r="1053" spans="1:5" x14ac:dyDescent="0.45">
      <c r="A1053" s="18" t="s">
        <v>966</v>
      </c>
      <c r="B1053" s="13">
        <v>3823.5108</v>
      </c>
      <c r="C1053">
        <f>SUM($B$4:B1053)</f>
        <v>20496793.663830016</v>
      </c>
      <c r="D1053" s="26">
        <f t="shared" si="32"/>
        <v>0.64599796764127182</v>
      </c>
      <c r="E1053" t="str">
        <f t="shared" si="33"/>
        <v>C</v>
      </c>
    </row>
    <row r="1054" spans="1:5" x14ac:dyDescent="0.45">
      <c r="A1054" s="25" t="s">
        <v>725</v>
      </c>
      <c r="B1054" s="13">
        <v>3823.5108</v>
      </c>
      <c r="C1054">
        <f>SUM($B$4:B1054)</f>
        <v>20500617.174630016</v>
      </c>
      <c r="D1054" s="26">
        <f t="shared" si="32"/>
        <v>0.64611847332848149</v>
      </c>
      <c r="E1054" t="str">
        <f t="shared" si="33"/>
        <v>C</v>
      </c>
    </row>
    <row r="1055" spans="1:5" x14ac:dyDescent="0.45">
      <c r="A1055" s="18" t="s">
        <v>1054</v>
      </c>
      <c r="B1055" s="13">
        <v>3799.8031499999997</v>
      </c>
      <c r="C1055">
        <f>SUM($B$4:B1055)</f>
        <v>20504416.977780014</v>
      </c>
      <c r="D1055" s="26">
        <f t="shared" si="32"/>
        <v>0.64623823182108264</v>
      </c>
      <c r="E1055" t="str">
        <f t="shared" si="33"/>
        <v>C</v>
      </c>
    </row>
    <row r="1056" spans="1:5" x14ac:dyDescent="0.45">
      <c r="A1056" s="25" t="s">
        <v>724</v>
      </c>
      <c r="B1056" s="13">
        <v>3799.8031499999997</v>
      </c>
      <c r="C1056">
        <f>SUM($B$4:B1056)</f>
        <v>20508216.780930012</v>
      </c>
      <c r="D1056" s="26">
        <f t="shared" si="32"/>
        <v>0.64635799031368368</v>
      </c>
      <c r="E1056" t="str">
        <f t="shared" si="33"/>
        <v>C</v>
      </c>
    </row>
    <row r="1057" spans="1:5" x14ac:dyDescent="0.45">
      <c r="A1057" s="18" t="s">
        <v>1034</v>
      </c>
      <c r="B1057" s="13">
        <v>3644.3212800000006</v>
      </c>
      <c r="C1057">
        <f>SUM($B$4:B1057)</f>
        <v>20511861.102210011</v>
      </c>
      <c r="D1057" s="26">
        <f t="shared" si="32"/>
        <v>0.64647284848023034</v>
      </c>
      <c r="E1057" t="str">
        <f t="shared" si="33"/>
        <v>C</v>
      </c>
    </row>
    <row r="1058" spans="1:5" x14ac:dyDescent="0.45">
      <c r="A1058" s="25" t="s">
        <v>723</v>
      </c>
      <c r="B1058" s="13">
        <v>3644.3212800000006</v>
      </c>
      <c r="C1058">
        <f>SUM($B$4:B1058)</f>
        <v>20515505.42349001</v>
      </c>
      <c r="D1058" s="26">
        <f t="shared" si="32"/>
        <v>0.64658770664677689</v>
      </c>
      <c r="E1058" t="str">
        <f t="shared" si="33"/>
        <v>C</v>
      </c>
    </row>
    <row r="1059" spans="1:5" x14ac:dyDescent="0.45">
      <c r="A1059" s="18" t="s">
        <v>975</v>
      </c>
      <c r="B1059" s="13">
        <v>3592.04</v>
      </c>
      <c r="C1059">
        <f>SUM($B$4:B1059)</f>
        <v>20519097.463490009</v>
      </c>
      <c r="D1059" s="26">
        <f t="shared" si="32"/>
        <v>0.6467009170628909</v>
      </c>
      <c r="E1059" t="str">
        <f t="shared" si="33"/>
        <v>C</v>
      </c>
    </row>
    <row r="1060" spans="1:5" x14ac:dyDescent="0.45">
      <c r="A1060" s="25" t="s">
        <v>723</v>
      </c>
      <c r="B1060" s="13">
        <v>3592.04</v>
      </c>
      <c r="C1060">
        <f>SUM($B$4:B1060)</f>
        <v>20522689.503490008</v>
      </c>
      <c r="D1060" s="26">
        <f t="shared" si="32"/>
        <v>0.64681412747900491</v>
      </c>
      <c r="E1060" t="str">
        <f t="shared" si="33"/>
        <v>C</v>
      </c>
    </row>
    <row r="1061" spans="1:5" x14ac:dyDescent="0.45">
      <c r="A1061" s="18" t="s">
        <v>874</v>
      </c>
      <c r="B1061" s="13">
        <v>3562.9028999999996</v>
      </c>
      <c r="C1061">
        <f>SUM($B$4:B1061)</f>
        <v>20526252.406390008</v>
      </c>
      <c r="D1061" s="26">
        <f t="shared" si="32"/>
        <v>0.64692641958039654</v>
      </c>
      <c r="E1061" t="str">
        <f t="shared" si="33"/>
        <v>C</v>
      </c>
    </row>
    <row r="1062" spans="1:5" x14ac:dyDescent="0.45">
      <c r="A1062" s="25" t="s">
        <v>725</v>
      </c>
      <c r="B1062" s="13">
        <v>3562.9028999999996</v>
      </c>
      <c r="C1062">
        <f>SUM($B$4:B1062)</f>
        <v>20529815.309290007</v>
      </c>
      <c r="D1062" s="26">
        <f t="shared" si="32"/>
        <v>0.64703871168178828</v>
      </c>
      <c r="E1062" t="str">
        <f t="shared" si="33"/>
        <v>C</v>
      </c>
    </row>
    <row r="1063" spans="1:5" x14ac:dyDescent="0.45">
      <c r="A1063" s="18" t="s">
        <v>767</v>
      </c>
      <c r="B1063" s="13">
        <v>3562.1983800000003</v>
      </c>
      <c r="C1063">
        <f>SUM($B$4:B1063)</f>
        <v>20533377.507670008</v>
      </c>
      <c r="D1063" s="26">
        <f t="shared" si="32"/>
        <v>0.64715098157880513</v>
      </c>
      <c r="E1063" t="str">
        <f t="shared" si="33"/>
        <v>C</v>
      </c>
    </row>
    <row r="1064" spans="1:5" x14ac:dyDescent="0.45">
      <c r="A1064" s="25" t="s">
        <v>722</v>
      </c>
      <c r="B1064" s="13">
        <v>3562.1983800000003</v>
      </c>
      <c r="C1064">
        <f>SUM($B$4:B1064)</f>
        <v>20536939.706050009</v>
      </c>
      <c r="D1064" s="26">
        <f t="shared" si="32"/>
        <v>0.64726325147582209</v>
      </c>
      <c r="E1064" t="str">
        <f t="shared" si="33"/>
        <v>C</v>
      </c>
    </row>
    <row r="1065" spans="1:5" x14ac:dyDescent="0.45">
      <c r="A1065" s="18" t="s">
        <v>1237</v>
      </c>
      <c r="B1065" s="13">
        <v>3525.5505600000001</v>
      </c>
      <c r="C1065">
        <f>SUM($B$4:B1065)</f>
        <v>20540465.25661001</v>
      </c>
      <c r="D1065" s="26">
        <f t="shared" si="32"/>
        <v>0.64737436634256329</v>
      </c>
      <c r="E1065" t="str">
        <f t="shared" si="33"/>
        <v>C</v>
      </c>
    </row>
    <row r="1066" spans="1:5" x14ac:dyDescent="0.45">
      <c r="A1066" s="25" t="s">
        <v>721</v>
      </c>
      <c r="B1066" s="13">
        <v>3525.5505600000001</v>
      </c>
      <c r="C1066">
        <f>SUM($B$4:B1066)</f>
        <v>20543990.807170011</v>
      </c>
      <c r="D1066" s="26">
        <f t="shared" si="32"/>
        <v>0.64748548120930438</v>
      </c>
      <c r="E1066" t="str">
        <f t="shared" si="33"/>
        <v>C</v>
      </c>
    </row>
    <row r="1067" spans="1:5" x14ac:dyDescent="0.45">
      <c r="A1067" s="18" t="s">
        <v>861</v>
      </c>
      <c r="B1067" s="13">
        <v>3494.4040799999998</v>
      </c>
      <c r="C1067">
        <f>SUM($B$4:B1067)</f>
        <v>20547485.211250011</v>
      </c>
      <c r="D1067" s="26">
        <f t="shared" si="32"/>
        <v>0.6475956144316426</v>
      </c>
      <c r="E1067" t="str">
        <f t="shared" si="33"/>
        <v>C</v>
      </c>
    </row>
    <row r="1068" spans="1:5" x14ac:dyDescent="0.45">
      <c r="A1068" s="25" t="s">
        <v>724</v>
      </c>
      <c r="B1068" s="13">
        <v>3494.4040799999998</v>
      </c>
      <c r="C1068">
        <f>SUM($B$4:B1068)</f>
        <v>20550979.615330011</v>
      </c>
      <c r="D1068" s="26">
        <f t="shared" si="32"/>
        <v>0.6477057476539807</v>
      </c>
      <c r="E1068" t="str">
        <f t="shared" si="33"/>
        <v>C</v>
      </c>
    </row>
    <row r="1069" spans="1:5" x14ac:dyDescent="0.45">
      <c r="A1069" s="18" t="s">
        <v>1295</v>
      </c>
      <c r="B1069" s="13">
        <v>3378.1478400000001</v>
      </c>
      <c r="C1069">
        <f>SUM($B$4:B1069)</f>
        <v>20554357.763170011</v>
      </c>
      <c r="D1069" s="26">
        <f t="shared" si="32"/>
        <v>0.64781221682544343</v>
      </c>
      <c r="E1069" t="str">
        <f t="shared" si="33"/>
        <v>C</v>
      </c>
    </row>
    <row r="1070" spans="1:5" x14ac:dyDescent="0.45">
      <c r="A1070" s="25" t="s">
        <v>721</v>
      </c>
      <c r="B1070" s="13">
        <v>3378.1478400000001</v>
      </c>
      <c r="C1070">
        <f>SUM($B$4:B1070)</f>
        <v>20557735.911010012</v>
      </c>
      <c r="D1070" s="26">
        <f t="shared" si="32"/>
        <v>0.64791868599690627</v>
      </c>
      <c r="E1070" t="str">
        <f t="shared" si="33"/>
        <v>C</v>
      </c>
    </row>
    <row r="1071" spans="1:5" x14ac:dyDescent="0.45">
      <c r="A1071" s="18" t="s">
        <v>1265</v>
      </c>
      <c r="B1071" s="13">
        <v>3340.6370000000002</v>
      </c>
      <c r="C1071">
        <f>SUM($B$4:B1071)</f>
        <v>20561076.54801001</v>
      </c>
      <c r="D1071" s="26">
        <f t="shared" si="32"/>
        <v>0.64802397293826997</v>
      </c>
      <c r="E1071" t="str">
        <f t="shared" si="33"/>
        <v>C</v>
      </c>
    </row>
    <row r="1072" spans="1:5" x14ac:dyDescent="0.45">
      <c r="A1072" s="25" t="s">
        <v>723</v>
      </c>
      <c r="B1072" s="13">
        <v>3340.6370000000002</v>
      </c>
      <c r="C1072">
        <f>SUM($B$4:B1072)</f>
        <v>20564417.185010009</v>
      </c>
      <c r="D1072" s="26">
        <f t="shared" si="32"/>
        <v>0.64812925987963355</v>
      </c>
      <c r="E1072" t="str">
        <f t="shared" si="33"/>
        <v>C</v>
      </c>
    </row>
    <row r="1073" spans="1:5" x14ac:dyDescent="0.45">
      <c r="A1073" s="18" t="s">
        <v>1024</v>
      </c>
      <c r="B1073" s="13">
        <v>3190.8713200000002</v>
      </c>
      <c r="C1073">
        <f>SUM($B$4:B1073)</f>
        <v>20567608.05633001</v>
      </c>
      <c r="D1073" s="26">
        <f t="shared" si="32"/>
        <v>0.64822982665224849</v>
      </c>
      <c r="E1073" t="str">
        <f t="shared" si="33"/>
        <v>C</v>
      </c>
    </row>
    <row r="1074" spans="1:5" x14ac:dyDescent="0.45">
      <c r="A1074" s="25" t="s">
        <v>726</v>
      </c>
      <c r="B1074" s="13">
        <v>3190.8713200000002</v>
      </c>
      <c r="C1074">
        <f>SUM($B$4:B1074)</f>
        <v>20570798.927650012</v>
      </c>
      <c r="D1074" s="26">
        <f t="shared" si="32"/>
        <v>0.64833039342486343</v>
      </c>
      <c r="E1074" t="str">
        <f t="shared" si="33"/>
        <v>C</v>
      </c>
    </row>
    <row r="1075" spans="1:5" x14ac:dyDescent="0.45">
      <c r="A1075" s="18" t="s">
        <v>1071</v>
      </c>
      <c r="B1075" s="13">
        <v>3175.1547799999998</v>
      </c>
      <c r="C1075">
        <f>SUM($B$4:B1075)</f>
        <v>20573974.082430013</v>
      </c>
      <c r="D1075" s="26">
        <f t="shared" si="32"/>
        <v>0.64843046485888711</v>
      </c>
      <c r="E1075" t="str">
        <f t="shared" si="33"/>
        <v>C</v>
      </c>
    </row>
    <row r="1076" spans="1:5" x14ac:dyDescent="0.45">
      <c r="A1076" s="25" t="s">
        <v>723</v>
      </c>
      <c r="B1076" s="13">
        <v>3175.1547799999998</v>
      </c>
      <c r="C1076">
        <f>SUM($B$4:B1076)</f>
        <v>20577149.237210013</v>
      </c>
      <c r="D1076" s="26">
        <f t="shared" si="32"/>
        <v>0.6485305362929108</v>
      </c>
      <c r="E1076" t="str">
        <f t="shared" si="33"/>
        <v>C</v>
      </c>
    </row>
    <row r="1077" spans="1:5" x14ac:dyDescent="0.45">
      <c r="A1077" s="18" t="s">
        <v>1322</v>
      </c>
      <c r="B1077" s="13">
        <v>3116.21</v>
      </c>
      <c r="C1077">
        <f>SUM($B$4:B1077)</f>
        <v>20580265.447210014</v>
      </c>
      <c r="D1077" s="26">
        <f t="shared" si="32"/>
        <v>0.64862874996280284</v>
      </c>
      <c r="E1077" t="str">
        <f t="shared" si="33"/>
        <v>C</v>
      </c>
    </row>
    <row r="1078" spans="1:5" x14ac:dyDescent="0.45">
      <c r="A1078" s="25" t="s">
        <v>722</v>
      </c>
      <c r="B1078" s="13">
        <v>3116.21</v>
      </c>
      <c r="C1078">
        <f>SUM($B$4:B1078)</f>
        <v>20583381.657210015</v>
      </c>
      <c r="D1078" s="26">
        <f t="shared" si="32"/>
        <v>0.64872696363269478</v>
      </c>
      <c r="E1078" t="str">
        <f t="shared" si="33"/>
        <v>C</v>
      </c>
    </row>
    <row r="1079" spans="1:5" x14ac:dyDescent="0.45">
      <c r="A1079" s="18" t="s">
        <v>1065</v>
      </c>
      <c r="B1079" s="13">
        <v>3021.5016000000001</v>
      </c>
      <c r="C1079">
        <f>SUM($B$4:B1079)</f>
        <v>20586403.158810016</v>
      </c>
      <c r="D1079" s="26">
        <f t="shared" si="32"/>
        <v>0.64882219237553329</v>
      </c>
      <c r="E1079" t="str">
        <f t="shared" si="33"/>
        <v>C</v>
      </c>
    </row>
    <row r="1080" spans="1:5" x14ac:dyDescent="0.45">
      <c r="A1080" s="25" t="s">
        <v>727</v>
      </c>
      <c r="B1080" s="13">
        <v>3021.5016000000001</v>
      </c>
      <c r="C1080">
        <f>SUM($B$4:B1080)</f>
        <v>20589424.660410017</v>
      </c>
      <c r="D1080" s="26">
        <f t="shared" si="32"/>
        <v>0.6489174211183717</v>
      </c>
      <c r="E1080" t="str">
        <f t="shared" si="33"/>
        <v>C</v>
      </c>
    </row>
    <row r="1081" spans="1:5" x14ac:dyDescent="0.45">
      <c r="A1081" s="18" t="s">
        <v>1045</v>
      </c>
      <c r="B1081" s="13">
        <v>2915.4540999999999</v>
      </c>
      <c r="C1081">
        <f>SUM($B$4:B1081)</f>
        <v>20592340.114510018</v>
      </c>
      <c r="D1081" s="26">
        <f t="shared" si="32"/>
        <v>0.6490093075594533</v>
      </c>
      <c r="E1081" t="str">
        <f t="shared" si="33"/>
        <v>C</v>
      </c>
    </row>
    <row r="1082" spans="1:5" x14ac:dyDescent="0.45">
      <c r="A1082" s="25" t="s">
        <v>726</v>
      </c>
      <c r="B1082" s="13">
        <v>2915.4540999999999</v>
      </c>
      <c r="C1082">
        <f>SUM($B$4:B1082)</f>
        <v>20595255.56861002</v>
      </c>
      <c r="D1082" s="26">
        <f t="shared" si="32"/>
        <v>0.64910119400053479</v>
      </c>
      <c r="E1082" t="str">
        <f t="shared" si="33"/>
        <v>C</v>
      </c>
    </row>
    <row r="1083" spans="1:5" x14ac:dyDescent="0.45">
      <c r="A1083" s="18" t="s">
        <v>972</v>
      </c>
      <c r="B1083" s="13">
        <v>2909.8689199999999</v>
      </c>
      <c r="C1083">
        <f>SUM($B$4:B1083)</f>
        <v>20598165.437530018</v>
      </c>
      <c r="D1083" s="26">
        <f t="shared" si="32"/>
        <v>0.64919290441335609</v>
      </c>
      <c r="E1083" t="str">
        <f t="shared" si="33"/>
        <v>C</v>
      </c>
    </row>
    <row r="1084" spans="1:5" x14ac:dyDescent="0.45">
      <c r="A1084" s="25" t="s">
        <v>724</v>
      </c>
      <c r="B1084" s="13">
        <v>2909.8689199999999</v>
      </c>
      <c r="C1084">
        <f>SUM($B$4:B1084)</f>
        <v>20601075.306450017</v>
      </c>
      <c r="D1084" s="26">
        <f t="shared" si="32"/>
        <v>0.64928461482617728</v>
      </c>
      <c r="E1084" t="str">
        <f t="shared" si="33"/>
        <v>C</v>
      </c>
    </row>
    <row r="1085" spans="1:5" x14ac:dyDescent="0.45">
      <c r="A1085" s="18" t="s">
        <v>734</v>
      </c>
      <c r="B1085" s="13">
        <v>2886.4496399999998</v>
      </c>
      <c r="C1085">
        <f>SUM($B$4:B1085)</f>
        <v>20603961.756090015</v>
      </c>
      <c r="D1085" s="26">
        <f t="shared" si="32"/>
        <v>0.64937558713295462</v>
      </c>
      <c r="E1085" t="str">
        <f t="shared" si="33"/>
        <v>C</v>
      </c>
    </row>
    <row r="1086" spans="1:5" x14ac:dyDescent="0.45">
      <c r="A1086" s="25" t="s">
        <v>726</v>
      </c>
      <c r="B1086" s="13">
        <v>2886.4496399999998</v>
      </c>
      <c r="C1086">
        <f>SUM($B$4:B1086)</f>
        <v>20606848.205730014</v>
      </c>
      <c r="D1086" s="26">
        <f t="shared" si="32"/>
        <v>0.64946655943973197</v>
      </c>
      <c r="E1086" t="str">
        <f t="shared" si="33"/>
        <v>C</v>
      </c>
    </row>
    <row r="1087" spans="1:5" x14ac:dyDescent="0.45">
      <c r="A1087" s="18" t="s">
        <v>959</v>
      </c>
      <c r="B1087" s="13">
        <v>2879.9836</v>
      </c>
      <c r="C1087">
        <f>SUM($B$4:B1087)</f>
        <v>20609728.189330015</v>
      </c>
      <c r="D1087" s="26">
        <f t="shared" si="32"/>
        <v>0.64955732795616217</v>
      </c>
      <c r="E1087" t="str">
        <f t="shared" si="33"/>
        <v>C</v>
      </c>
    </row>
    <row r="1088" spans="1:5" x14ac:dyDescent="0.45">
      <c r="A1088" s="25" t="s">
        <v>722</v>
      </c>
      <c r="B1088" s="13">
        <v>2879.9836</v>
      </c>
      <c r="C1088">
        <f>SUM($B$4:B1088)</f>
        <v>20612608.172930017</v>
      </c>
      <c r="D1088" s="26">
        <f t="shared" si="32"/>
        <v>0.64964809647259236</v>
      </c>
      <c r="E1088" t="str">
        <f t="shared" si="33"/>
        <v>C</v>
      </c>
    </row>
    <row r="1089" spans="1:5" x14ac:dyDescent="0.45">
      <c r="A1089" s="18" t="s">
        <v>1165</v>
      </c>
      <c r="B1089" s="13">
        <v>2795.6384399999997</v>
      </c>
      <c r="C1089">
        <f>SUM($B$4:B1089)</f>
        <v>20615403.811370019</v>
      </c>
      <c r="D1089" s="26">
        <f t="shared" si="32"/>
        <v>0.64973620668046783</v>
      </c>
      <c r="E1089" t="str">
        <f t="shared" si="33"/>
        <v>C</v>
      </c>
    </row>
    <row r="1090" spans="1:5" x14ac:dyDescent="0.45">
      <c r="A1090" s="25" t="s">
        <v>723</v>
      </c>
      <c r="B1090" s="13">
        <v>2795.6384399999997</v>
      </c>
      <c r="C1090">
        <f>SUM($B$4:B1090)</f>
        <v>20618199.449810021</v>
      </c>
      <c r="D1090" s="26">
        <f t="shared" si="32"/>
        <v>0.6498243168883433</v>
      </c>
      <c r="E1090" t="str">
        <f t="shared" si="33"/>
        <v>C</v>
      </c>
    </row>
    <row r="1091" spans="1:5" x14ac:dyDescent="0.45">
      <c r="A1091" s="18" t="s">
        <v>1333</v>
      </c>
      <c r="B1091" s="13">
        <v>2736.27018</v>
      </c>
      <c r="C1091">
        <f>SUM($B$4:B1091)</f>
        <v>20620935.719990022</v>
      </c>
      <c r="D1091" s="26">
        <f t="shared" si="32"/>
        <v>0.64991055598525715</v>
      </c>
      <c r="E1091" t="str">
        <f t="shared" si="33"/>
        <v>C</v>
      </c>
    </row>
    <row r="1092" spans="1:5" x14ac:dyDescent="0.45">
      <c r="A1092" s="25" t="s">
        <v>722</v>
      </c>
      <c r="B1092" s="13">
        <v>2736.27018</v>
      </c>
      <c r="C1092">
        <f>SUM($B$4:B1092)</f>
        <v>20623671.990170024</v>
      </c>
      <c r="D1092" s="26">
        <f t="shared" si="32"/>
        <v>0.64999679508217101</v>
      </c>
      <c r="E1092" t="str">
        <f t="shared" si="33"/>
        <v>C</v>
      </c>
    </row>
    <row r="1093" spans="1:5" x14ac:dyDescent="0.45">
      <c r="A1093" s="18" t="s">
        <v>1192</v>
      </c>
      <c r="B1093" s="13">
        <v>2719.8567000000003</v>
      </c>
      <c r="C1093">
        <f>SUM($B$4:B1093)</f>
        <v>20626391.846870024</v>
      </c>
      <c r="D1093" s="26">
        <f t="shared" ref="D1093:D1156" si="34">C1093/SUM($B$4:$B$1255)</f>
        <v>0.65008251687501784</v>
      </c>
      <c r="E1093" t="str">
        <f t="shared" ref="E1093:E1156" si="35">IF(D1093&gt;=0.8,"A",IF(D1093&gt;=0.95,"B","C"))</f>
        <v>C</v>
      </c>
    </row>
    <row r="1094" spans="1:5" x14ac:dyDescent="0.45">
      <c r="A1094" s="25" t="s">
        <v>727</v>
      </c>
      <c r="B1094" s="13">
        <v>2719.8567000000003</v>
      </c>
      <c r="C1094">
        <f>SUM($B$4:B1094)</f>
        <v>20629111.703570023</v>
      </c>
      <c r="D1094" s="26">
        <f t="shared" si="34"/>
        <v>0.65016823866786466</v>
      </c>
      <c r="E1094" t="str">
        <f t="shared" si="35"/>
        <v>C</v>
      </c>
    </row>
    <row r="1095" spans="1:5" x14ac:dyDescent="0.45">
      <c r="A1095" s="18" t="s">
        <v>856</v>
      </c>
      <c r="B1095" s="13">
        <v>2642.1686999999997</v>
      </c>
      <c r="C1095">
        <f>SUM($B$4:B1095)</f>
        <v>20631753.872270022</v>
      </c>
      <c r="D1095" s="26">
        <f t="shared" si="34"/>
        <v>0.65025151196603803</v>
      </c>
      <c r="E1095" t="str">
        <f t="shared" si="35"/>
        <v>C</v>
      </c>
    </row>
    <row r="1096" spans="1:5" x14ac:dyDescent="0.45">
      <c r="A1096" s="25" t="s">
        <v>724</v>
      </c>
      <c r="B1096" s="13">
        <v>2642.1686999999997</v>
      </c>
      <c r="C1096">
        <f>SUM($B$4:B1096)</f>
        <v>20634396.04097002</v>
      </c>
      <c r="D1096" s="26">
        <f t="shared" si="34"/>
        <v>0.65033478526421129</v>
      </c>
      <c r="E1096" t="str">
        <f t="shared" si="35"/>
        <v>C</v>
      </c>
    </row>
    <row r="1097" spans="1:5" x14ac:dyDescent="0.45">
      <c r="A1097" s="18" t="s">
        <v>1158</v>
      </c>
      <c r="B1097" s="13">
        <v>2627.6239999999998</v>
      </c>
      <c r="C1097">
        <f>SUM($B$4:B1097)</f>
        <v>20637023.664970022</v>
      </c>
      <c r="D1097" s="26">
        <f t="shared" si="34"/>
        <v>0.65041760015670447</v>
      </c>
      <c r="E1097" t="str">
        <f t="shared" si="35"/>
        <v>C</v>
      </c>
    </row>
    <row r="1098" spans="1:5" x14ac:dyDescent="0.45">
      <c r="A1098" s="25" t="s">
        <v>726</v>
      </c>
      <c r="B1098" s="13">
        <v>2627.6239999999998</v>
      </c>
      <c r="C1098">
        <f>SUM($B$4:B1098)</f>
        <v>20639651.288970023</v>
      </c>
      <c r="D1098" s="26">
        <f t="shared" si="34"/>
        <v>0.65050041504919776</v>
      </c>
      <c r="E1098" t="str">
        <f t="shared" si="35"/>
        <v>C</v>
      </c>
    </row>
    <row r="1099" spans="1:5" x14ac:dyDescent="0.45">
      <c r="A1099" s="18" t="s">
        <v>1057</v>
      </c>
      <c r="B1099" s="13">
        <v>2537.2908000000002</v>
      </c>
      <c r="C1099">
        <f>SUM($B$4:B1099)</f>
        <v>20642188.579770025</v>
      </c>
      <c r="D1099" s="26">
        <f t="shared" si="34"/>
        <v>0.65058038290792719</v>
      </c>
      <c r="E1099" t="str">
        <f t="shared" si="35"/>
        <v>C</v>
      </c>
    </row>
    <row r="1100" spans="1:5" x14ac:dyDescent="0.45">
      <c r="A1100" s="25" t="s">
        <v>724</v>
      </c>
      <c r="B1100" s="13">
        <v>2537.2908000000002</v>
      </c>
      <c r="C1100">
        <f>SUM($B$4:B1100)</f>
        <v>20644725.870570026</v>
      </c>
      <c r="D1100" s="26">
        <f t="shared" si="34"/>
        <v>0.65066035076665663</v>
      </c>
      <c r="E1100" t="str">
        <f t="shared" si="35"/>
        <v>C</v>
      </c>
    </row>
    <row r="1101" spans="1:5" x14ac:dyDescent="0.45">
      <c r="A1101" s="18" t="s">
        <v>1117</v>
      </c>
      <c r="B1101" s="13">
        <v>2525.0635000000002</v>
      </c>
      <c r="C1101">
        <f>SUM($B$4:B1101)</f>
        <v>20647250.934070025</v>
      </c>
      <c r="D1101" s="26">
        <f t="shared" si="34"/>
        <v>0.65073993325726065</v>
      </c>
      <c r="E1101" t="str">
        <f t="shared" si="35"/>
        <v>C</v>
      </c>
    </row>
    <row r="1102" spans="1:5" x14ac:dyDescent="0.45">
      <c r="A1102" s="25" t="s">
        <v>722</v>
      </c>
      <c r="B1102" s="13">
        <v>2525.0635000000002</v>
      </c>
      <c r="C1102">
        <f>SUM($B$4:B1102)</f>
        <v>20649775.997570023</v>
      </c>
      <c r="D1102" s="26">
        <f t="shared" si="34"/>
        <v>0.65081951574786467</v>
      </c>
      <c r="E1102" t="str">
        <f t="shared" si="35"/>
        <v>C</v>
      </c>
    </row>
    <row r="1103" spans="1:5" x14ac:dyDescent="0.45">
      <c r="A1103" s="18" t="s">
        <v>781</v>
      </c>
      <c r="B1103" s="13">
        <v>2518.8755800000004</v>
      </c>
      <c r="C1103">
        <f>SUM($B$4:B1103)</f>
        <v>20652294.873150025</v>
      </c>
      <c r="D1103" s="26">
        <f t="shared" si="34"/>
        <v>0.65089890321363664</v>
      </c>
      <c r="E1103" t="str">
        <f t="shared" si="35"/>
        <v>C</v>
      </c>
    </row>
    <row r="1104" spans="1:5" x14ac:dyDescent="0.45">
      <c r="A1104" s="25" t="s">
        <v>725</v>
      </c>
      <c r="B1104" s="13">
        <v>2518.8755800000004</v>
      </c>
      <c r="C1104">
        <f>SUM($B$4:B1104)</f>
        <v>20654813.748730026</v>
      </c>
      <c r="D1104" s="26">
        <f t="shared" si="34"/>
        <v>0.6509782906794086</v>
      </c>
      <c r="E1104" t="str">
        <f t="shared" si="35"/>
        <v>C</v>
      </c>
    </row>
    <row r="1105" spans="1:5" x14ac:dyDescent="0.45">
      <c r="A1105" s="18" t="s">
        <v>984</v>
      </c>
      <c r="B1105" s="13">
        <v>2394.1605599999998</v>
      </c>
      <c r="C1105">
        <f>SUM($B$4:B1105)</f>
        <v>20657207.909290027</v>
      </c>
      <c r="D1105" s="26">
        <f t="shared" si="34"/>
        <v>0.65105374749872069</v>
      </c>
      <c r="E1105" t="str">
        <f t="shared" si="35"/>
        <v>C</v>
      </c>
    </row>
    <row r="1106" spans="1:5" x14ac:dyDescent="0.45">
      <c r="A1106" s="25" t="s">
        <v>723</v>
      </c>
      <c r="B1106" s="13">
        <v>2394.1605599999998</v>
      </c>
      <c r="C1106">
        <f>SUM($B$4:B1106)</f>
        <v>20659602.069850028</v>
      </c>
      <c r="D1106" s="26">
        <f t="shared" si="34"/>
        <v>0.65112920431803267</v>
      </c>
      <c r="E1106" t="str">
        <f t="shared" si="35"/>
        <v>C</v>
      </c>
    </row>
    <row r="1107" spans="1:5" x14ac:dyDescent="0.45">
      <c r="A1107" s="18" t="s">
        <v>1053</v>
      </c>
      <c r="B1107" s="13">
        <v>2373.9623200000001</v>
      </c>
      <c r="C1107">
        <f>SUM($B$4:B1107)</f>
        <v>20661976.032170027</v>
      </c>
      <c r="D1107" s="26">
        <f t="shared" si="34"/>
        <v>0.65120402454890047</v>
      </c>
      <c r="E1107" t="str">
        <f t="shared" si="35"/>
        <v>C</v>
      </c>
    </row>
    <row r="1108" spans="1:5" x14ac:dyDescent="0.45">
      <c r="A1108" s="25" t="s">
        <v>721</v>
      </c>
      <c r="B1108" s="13">
        <v>2373.9623200000001</v>
      </c>
      <c r="C1108">
        <f>SUM($B$4:B1108)</f>
        <v>20664349.994490027</v>
      </c>
      <c r="D1108" s="26">
        <f t="shared" si="34"/>
        <v>0.65127884477976816</v>
      </c>
      <c r="E1108" t="str">
        <f t="shared" si="35"/>
        <v>C</v>
      </c>
    </row>
    <row r="1109" spans="1:5" x14ac:dyDescent="0.45">
      <c r="A1109" s="18" t="s">
        <v>1346</v>
      </c>
      <c r="B1109" s="13">
        <v>2355.2113199999999</v>
      </c>
      <c r="C1109">
        <f>SUM($B$4:B1109)</f>
        <v>20666705.205810029</v>
      </c>
      <c r="D1109" s="26">
        <f t="shared" si="34"/>
        <v>0.65135307403489173</v>
      </c>
      <c r="E1109" t="str">
        <f t="shared" si="35"/>
        <v>C</v>
      </c>
    </row>
    <row r="1110" spans="1:5" x14ac:dyDescent="0.45">
      <c r="A1110" s="25" t="s">
        <v>723</v>
      </c>
      <c r="B1110" s="13">
        <v>2355.2113199999999</v>
      </c>
      <c r="C1110">
        <f>SUM($B$4:B1110)</f>
        <v>20669060.417130031</v>
      </c>
      <c r="D1110" s="26">
        <f t="shared" si="34"/>
        <v>0.6514273032900153</v>
      </c>
      <c r="E1110" t="str">
        <f t="shared" si="35"/>
        <v>C</v>
      </c>
    </row>
    <row r="1111" spans="1:5" x14ac:dyDescent="0.45">
      <c r="A1111" s="18" t="s">
        <v>897</v>
      </c>
      <c r="B1111" s="13">
        <v>2316.2621999999997</v>
      </c>
      <c r="C1111">
        <f>SUM($B$4:B1111)</f>
        <v>20671376.679330032</v>
      </c>
      <c r="D1111" s="26">
        <f t="shared" si="34"/>
        <v>0.65150030498473233</v>
      </c>
      <c r="E1111" t="str">
        <f t="shared" si="35"/>
        <v>C</v>
      </c>
    </row>
    <row r="1112" spans="1:5" x14ac:dyDescent="0.45">
      <c r="A1112" s="25" t="s">
        <v>721</v>
      </c>
      <c r="B1112" s="13">
        <v>2316.2621999999997</v>
      </c>
      <c r="C1112">
        <f>SUM($B$4:B1112)</f>
        <v>20673692.941530034</v>
      </c>
      <c r="D1112" s="26">
        <f t="shared" si="34"/>
        <v>0.65157330667944935</v>
      </c>
      <c r="E1112" t="str">
        <f t="shared" si="35"/>
        <v>C</v>
      </c>
    </row>
    <row r="1113" spans="1:5" x14ac:dyDescent="0.45">
      <c r="A1113" s="18" t="s">
        <v>944</v>
      </c>
      <c r="B1113" s="13">
        <v>2231.6467200000002</v>
      </c>
      <c r="C1113">
        <f>SUM($B$4:B1113)</f>
        <v>20675924.588250034</v>
      </c>
      <c r="D1113" s="26">
        <f t="shared" si="34"/>
        <v>0.65164364154592935</v>
      </c>
      <c r="E1113" t="str">
        <f t="shared" si="35"/>
        <v>C</v>
      </c>
    </row>
    <row r="1114" spans="1:5" x14ac:dyDescent="0.45">
      <c r="A1114" s="25" t="s">
        <v>726</v>
      </c>
      <c r="B1114" s="13">
        <v>2231.6467200000002</v>
      </c>
      <c r="C1114">
        <f>SUM($B$4:B1114)</f>
        <v>20678156.234970033</v>
      </c>
      <c r="D1114" s="26">
        <f t="shared" si="34"/>
        <v>0.65171397641240936</v>
      </c>
      <c r="E1114" t="str">
        <f t="shared" si="35"/>
        <v>C</v>
      </c>
    </row>
    <row r="1115" spans="1:5" x14ac:dyDescent="0.45">
      <c r="A1115" s="18" t="s">
        <v>1074</v>
      </c>
      <c r="B1115" s="13">
        <v>2206.8000000000002</v>
      </c>
      <c r="C1115">
        <f>SUM($B$4:B1115)</f>
        <v>20680363.034970034</v>
      </c>
      <c r="D1115" s="26">
        <f t="shared" si="34"/>
        <v>0.65178352818418261</v>
      </c>
      <c r="E1115" t="str">
        <f t="shared" si="35"/>
        <v>C</v>
      </c>
    </row>
    <row r="1116" spans="1:5" x14ac:dyDescent="0.45">
      <c r="A1116" s="25" t="s">
        <v>724</v>
      </c>
      <c r="B1116" s="13">
        <v>2206.8000000000002</v>
      </c>
      <c r="C1116">
        <f>SUM($B$4:B1116)</f>
        <v>20682569.834970035</v>
      </c>
      <c r="D1116" s="26">
        <f t="shared" si="34"/>
        <v>0.65185307995595598</v>
      </c>
      <c r="E1116" t="str">
        <f t="shared" si="35"/>
        <v>C</v>
      </c>
    </row>
    <row r="1117" spans="1:5" x14ac:dyDescent="0.45">
      <c r="A1117" s="18" t="s">
        <v>1252</v>
      </c>
      <c r="B1117" s="13">
        <v>2146.5580500000001</v>
      </c>
      <c r="C1117">
        <f>SUM($B$4:B1117)</f>
        <v>20684716.393020034</v>
      </c>
      <c r="D1117" s="26">
        <f t="shared" si="34"/>
        <v>0.65192073308065757</v>
      </c>
      <c r="E1117" t="str">
        <f t="shared" si="35"/>
        <v>C</v>
      </c>
    </row>
    <row r="1118" spans="1:5" x14ac:dyDescent="0.45">
      <c r="A1118" s="25" t="s">
        <v>722</v>
      </c>
      <c r="B1118" s="13">
        <v>2146.5580500000001</v>
      </c>
      <c r="C1118">
        <f>SUM($B$4:B1118)</f>
        <v>20686862.951070033</v>
      </c>
      <c r="D1118" s="26">
        <f t="shared" si="34"/>
        <v>0.65198838620535926</v>
      </c>
      <c r="E1118" t="str">
        <f t="shared" si="35"/>
        <v>C</v>
      </c>
    </row>
    <row r="1119" spans="1:5" x14ac:dyDescent="0.45">
      <c r="A1119" s="18" t="s">
        <v>841</v>
      </c>
      <c r="B1119" s="13">
        <v>2117.4834999999998</v>
      </c>
      <c r="C1119">
        <f>SUM($B$4:B1119)</f>
        <v>20688980.434570033</v>
      </c>
      <c r="D1119" s="26">
        <f t="shared" si="34"/>
        <v>0.65205512298672852</v>
      </c>
      <c r="E1119" t="str">
        <f t="shared" si="35"/>
        <v>C</v>
      </c>
    </row>
    <row r="1120" spans="1:5" x14ac:dyDescent="0.45">
      <c r="A1120" s="25" t="s">
        <v>727</v>
      </c>
      <c r="B1120" s="13">
        <v>2117.4834999999998</v>
      </c>
      <c r="C1120">
        <f>SUM($B$4:B1120)</f>
        <v>20691097.918070033</v>
      </c>
      <c r="D1120" s="26">
        <f t="shared" si="34"/>
        <v>0.65212185976809778</v>
      </c>
      <c r="E1120" t="str">
        <f t="shared" si="35"/>
        <v>C</v>
      </c>
    </row>
    <row r="1121" spans="1:5" x14ac:dyDescent="0.45">
      <c r="A1121" s="18" t="s">
        <v>1334</v>
      </c>
      <c r="B1121" s="13">
        <v>2077.46</v>
      </c>
      <c r="C1121">
        <f>SUM($B$4:B1121)</f>
        <v>20693175.378070034</v>
      </c>
      <c r="D1121" s="26">
        <f t="shared" si="34"/>
        <v>0.65218733512779881</v>
      </c>
      <c r="E1121" t="str">
        <f t="shared" si="35"/>
        <v>C</v>
      </c>
    </row>
    <row r="1122" spans="1:5" x14ac:dyDescent="0.45">
      <c r="A1122" s="25" t="s">
        <v>721</v>
      </c>
      <c r="B1122" s="13">
        <v>2077.46</v>
      </c>
      <c r="C1122">
        <f>SUM($B$4:B1122)</f>
        <v>20695252.838070035</v>
      </c>
      <c r="D1122" s="26">
        <f t="shared" si="34"/>
        <v>0.65225281048749983</v>
      </c>
      <c r="E1122" t="str">
        <f t="shared" si="35"/>
        <v>C</v>
      </c>
    </row>
    <row r="1123" spans="1:5" x14ac:dyDescent="0.45">
      <c r="A1123" s="18" t="s">
        <v>852</v>
      </c>
      <c r="B1123" s="13">
        <v>2072.9258400000003</v>
      </c>
      <c r="C1123">
        <f>SUM($B$4:B1123)</f>
        <v>20697325.763910037</v>
      </c>
      <c r="D1123" s="26">
        <f t="shared" si="34"/>
        <v>0.65231814294396473</v>
      </c>
      <c r="E1123" t="str">
        <f t="shared" si="35"/>
        <v>C</v>
      </c>
    </row>
    <row r="1124" spans="1:5" x14ac:dyDescent="0.45">
      <c r="A1124" s="25" t="s">
        <v>721</v>
      </c>
      <c r="B1124" s="13">
        <v>2072.9258400000003</v>
      </c>
      <c r="C1124">
        <f>SUM($B$4:B1124)</f>
        <v>20699398.689750038</v>
      </c>
      <c r="D1124" s="26">
        <f t="shared" si="34"/>
        <v>0.65238347540042962</v>
      </c>
      <c r="E1124" t="str">
        <f t="shared" si="35"/>
        <v>C</v>
      </c>
    </row>
    <row r="1125" spans="1:5" x14ac:dyDescent="0.45">
      <c r="A1125" s="18" t="s">
        <v>1138</v>
      </c>
      <c r="B1125" s="13">
        <v>2059.0056</v>
      </c>
      <c r="C1125">
        <f>SUM($B$4:B1125)</f>
        <v>20701457.69535004</v>
      </c>
      <c r="D1125" s="26">
        <f t="shared" si="34"/>
        <v>0.65244836913233606</v>
      </c>
      <c r="E1125" t="str">
        <f t="shared" si="35"/>
        <v>C</v>
      </c>
    </row>
    <row r="1126" spans="1:5" x14ac:dyDescent="0.45">
      <c r="A1126" s="25" t="s">
        <v>724</v>
      </c>
      <c r="B1126" s="13">
        <v>2059.0056</v>
      </c>
      <c r="C1126">
        <f>SUM($B$4:B1126)</f>
        <v>20703516.700950041</v>
      </c>
      <c r="D1126" s="26">
        <f t="shared" si="34"/>
        <v>0.6525132628642426</v>
      </c>
      <c r="E1126" t="str">
        <f t="shared" si="35"/>
        <v>C</v>
      </c>
    </row>
    <row r="1127" spans="1:5" x14ac:dyDescent="0.45">
      <c r="A1127" s="18" t="s">
        <v>902</v>
      </c>
      <c r="B1127" s="13">
        <v>1952.6356799999999</v>
      </c>
      <c r="C1127">
        <f>SUM($B$4:B1127)</f>
        <v>20705469.336630043</v>
      </c>
      <c r="D1127" s="26">
        <f t="shared" si="34"/>
        <v>0.65257480413267277</v>
      </c>
      <c r="E1127" t="str">
        <f t="shared" si="35"/>
        <v>C</v>
      </c>
    </row>
    <row r="1128" spans="1:5" x14ac:dyDescent="0.45">
      <c r="A1128" s="25" t="s">
        <v>722</v>
      </c>
      <c r="B1128" s="13">
        <v>1952.6356799999999</v>
      </c>
      <c r="C1128">
        <f>SUM($B$4:B1128)</f>
        <v>20707421.972310044</v>
      </c>
      <c r="D1128" s="26">
        <f t="shared" si="34"/>
        <v>0.65263634540110305</v>
      </c>
      <c r="E1128" t="str">
        <f t="shared" si="35"/>
        <v>C</v>
      </c>
    </row>
    <row r="1129" spans="1:5" x14ac:dyDescent="0.45">
      <c r="A1129" s="18" t="s">
        <v>1160</v>
      </c>
      <c r="B1129" s="13">
        <v>1950.0031200000001</v>
      </c>
      <c r="C1129">
        <f>SUM($B$4:B1129)</f>
        <v>20709371.975430045</v>
      </c>
      <c r="D1129" s="26">
        <f t="shared" si="34"/>
        <v>0.65269780369907271</v>
      </c>
      <c r="E1129" t="str">
        <f t="shared" si="35"/>
        <v>C</v>
      </c>
    </row>
    <row r="1130" spans="1:5" x14ac:dyDescent="0.45">
      <c r="A1130" s="25" t="s">
        <v>723</v>
      </c>
      <c r="B1130" s="13">
        <v>1950.0031200000001</v>
      </c>
      <c r="C1130">
        <f>SUM($B$4:B1130)</f>
        <v>20711321.978550047</v>
      </c>
      <c r="D1130" s="26">
        <f t="shared" si="34"/>
        <v>0.65275926199704237</v>
      </c>
      <c r="E1130" t="str">
        <f t="shared" si="35"/>
        <v>C</v>
      </c>
    </row>
    <row r="1131" spans="1:5" x14ac:dyDescent="0.45">
      <c r="A1131" s="18" t="s">
        <v>1171</v>
      </c>
      <c r="B1131" s="13">
        <v>1925.29872</v>
      </c>
      <c r="C1131">
        <f>SUM($B$4:B1131)</f>
        <v>20713247.277270045</v>
      </c>
      <c r="D1131" s="26">
        <f t="shared" si="34"/>
        <v>0.65281994168580837</v>
      </c>
      <c r="E1131" t="str">
        <f t="shared" si="35"/>
        <v>C</v>
      </c>
    </row>
    <row r="1132" spans="1:5" x14ac:dyDescent="0.45">
      <c r="A1132" s="25" t="s">
        <v>722</v>
      </c>
      <c r="B1132" s="13">
        <v>1925.29872</v>
      </c>
      <c r="C1132">
        <f>SUM($B$4:B1132)</f>
        <v>20715172.575990044</v>
      </c>
      <c r="D1132" s="26">
        <f t="shared" si="34"/>
        <v>0.65288062137457437</v>
      </c>
      <c r="E1132" t="str">
        <f t="shared" si="35"/>
        <v>C</v>
      </c>
    </row>
    <row r="1133" spans="1:5" x14ac:dyDescent="0.45">
      <c r="A1133" s="18" t="s">
        <v>1189</v>
      </c>
      <c r="B1133" s="13">
        <v>1886.9915999999998</v>
      </c>
      <c r="C1133">
        <f>SUM($B$4:B1133)</f>
        <v>20717059.567590043</v>
      </c>
      <c r="D1133" s="26">
        <f t="shared" si="34"/>
        <v>0.65294009373686424</v>
      </c>
      <c r="E1133" t="str">
        <f t="shared" si="35"/>
        <v>C</v>
      </c>
    </row>
    <row r="1134" spans="1:5" x14ac:dyDescent="0.45">
      <c r="A1134" s="25" t="s">
        <v>723</v>
      </c>
      <c r="B1134" s="13">
        <v>1886.9915999999998</v>
      </c>
      <c r="C1134">
        <f>SUM($B$4:B1134)</f>
        <v>20718946.559190042</v>
      </c>
      <c r="D1134" s="26">
        <f t="shared" si="34"/>
        <v>0.65299956609915399</v>
      </c>
      <c r="E1134" t="str">
        <f t="shared" si="35"/>
        <v>C</v>
      </c>
    </row>
    <row r="1135" spans="1:5" x14ac:dyDescent="0.45">
      <c r="A1135" s="18" t="s">
        <v>1276</v>
      </c>
      <c r="B1135" s="13">
        <v>1846.8040799999999</v>
      </c>
      <c r="C1135">
        <f>SUM($B$4:B1135)</f>
        <v>20720793.363270041</v>
      </c>
      <c r="D1135" s="26">
        <f t="shared" si="34"/>
        <v>0.65305777187035308</v>
      </c>
      <c r="E1135" t="str">
        <f t="shared" si="35"/>
        <v>C</v>
      </c>
    </row>
    <row r="1136" spans="1:5" x14ac:dyDescent="0.45">
      <c r="A1136" s="25" t="s">
        <v>726</v>
      </c>
      <c r="B1136" s="13">
        <v>1846.8040799999999</v>
      </c>
      <c r="C1136">
        <f>SUM($B$4:B1136)</f>
        <v>20722640.167350039</v>
      </c>
      <c r="D1136" s="26">
        <f t="shared" si="34"/>
        <v>0.65311597764155205</v>
      </c>
      <c r="E1136" t="str">
        <f t="shared" si="35"/>
        <v>C</v>
      </c>
    </row>
    <row r="1137" spans="1:5" x14ac:dyDescent="0.45">
      <c r="A1137" s="18" t="s">
        <v>1190</v>
      </c>
      <c r="B1137" s="13">
        <v>1808.04592</v>
      </c>
      <c r="C1137">
        <f>SUM($B$4:B1137)</f>
        <v>20724448.213270038</v>
      </c>
      <c r="D1137" s="26">
        <f t="shared" si="34"/>
        <v>0.65317296187083584</v>
      </c>
      <c r="E1137" t="str">
        <f t="shared" si="35"/>
        <v>C</v>
      </c>
    </row>
    <row r="1138" spans="1:5" x14ac:dyDescent="0.45">
      <c r="A1138" s="25" t="s">
        <v>721</v>
      </c>
      <c r="B1138" s="13">
        <v>1808.04592</v>
      </c>
      <c r="C1138">
        <f>SUM($B$4:B1138)</f>
        <v>20726256.259190038</v>
      </c>
      <c r="D1138" s="26">
        <f t="shared" si="34"/>
        <v>0.65322994610011964</v>
      </c>
      <c r="E1138" t="str">
        <f t="shared" si="35"/>
        <v>C</v>
      </c>
    </row>
    <row r="1139" spans="1:5" x14ac:dyDescent="0.45">
      <c r="A1139" s="18" t="s">
        <v>1307</v>
      </c>
      <c r="B1139" s="13">
        <v>1801.4076000000002</v>
      </c>
      <c r="C1139">
        <f>SUM($B$4:B1139)</f>
        <v>20728057.666790038</v>
      </c>
      <c r="D1139" s="26">
        <f t="shared" si="34"/>
        <v>0.65328672110930297</v>
      </c>
      <c r="E1139" t="str">
        <f t="shared" si="35"/>
        <v>C</v>
      </c>
    </row>
    <row r="1140" spans="1:5" x14ac:dyDescent="0.45">
      <c r="A1140" s="25" t="s">
        <v>726</v>
      </c>
      <c r="B1140" s="13">
        <v>1801.4076000000002</v>
      </c>
      <c r="C1140">
        <f>SUM($B$4:B1140)</f>
        <v>20729859.074390039</v>
      </c>
      <c r="D1140" s="26">
        <f t="shared" si="34"/>
        <v>0.65334349611848641</v>
      </c>
      <c r="E1140" t="str">
        <f t="shared" si="35"/>
        <v>C</v>
      </c>
    </row>
    <row r="1141" spans="1:5" x14ac:dyDescent="0.45">
      <c r="A1141" s="18" t="s">
        <v>938</v>
      </c>
      <c r="B1141" s="13">
        <v>1774.8072</v>
      </c>
      <c r="C1141">
        <f>SUM($B$4:B1141)</f>
        <v>20731633.881590039</v>
      </c>
      <c r="D1141" s="26">
        <f t="shared" si="34"/>
        <v>0.65339943276218582</v>
      </c>
      <c r="E1141" t="str">
        <f t="shared" si="35"/>
        <v>C</v>
      </c>
    </row>
    <row r="1142" spans="1:5" x14ac:dyDescent="0.45">
      <c r="A1142" s="25" t="s">
        <v>726</v>
      </c>
      <c r="B1142" s="13">
        <v>1774.8072</v>
      </c>
      <c r="C1142">
        <f>SUM($B$4:B1142)</f>
        <v>20733408.688790038</v>
      </c>
      <c r="D1142" s="26">
        <f t="shared" si="34"/>
        <v>0.65345536940588533</v>
      </c>
      <c r="E1142" t="str">
        <f t="shared" si="35"/>
        <v>C</v>
      </c>
    </row>
    <row r="1143" spans="1:5" x14ac:dyDescent="0.45">
      <c r="A1143" s="18" t="s">
        <v>754</v>
      </c>
      <c r="B1143" s="13">
        <v>1756.6999999999998</v>
      </c>
      <c r="C1143">
        <f>SUM($B$4:B1143)</f>
        <v>20735165.388790037</v>
      </c>
      <c r="D1143" s="26">
        <f t="shared" si="34"/>
        <v>0.65351073536450144</v>
      </c>
      <c r="E1143" t="str">
        <f t="shared" si="35"/>
        <v>C</v>
      </c>
    </row>
    <row r="1144" spans="1:5" x14ac:dyDescent="0.45">
      <c r="A1144" s="25" t="s">
        <v>722</v>
      </c>
      <c r="B1144" s="13">
        <v>1756.6999999999998</v>
      </c>
      <c r="C1144">
        <f>SUM($B$4:B1144)</f>
        <v>20736922.088790037</v>
      </c>
      <c r="D1144" s="26">
        <f t="shared" si="34"/>
        <v>0.65356610132311754</v>
      </c>
      <c r="E1144" t="str">
        <f t="shared" si="35"/>
        <v>C</v>
      </c>
    </row>
    <row r="1145" spans="1:5" x14ac:dyDescent="0.45">
      <c r="A1145" s="18" t="s">
        <v>1186</v>
      </c>
      <c r="B1145" s="13">
        <v>1662.6945600000001</v>
      </c>
      <c r="C1145">
        <f>SUM($B$4:B1145)</f>
        <v>20738584.783350036</v>
      </c>
      <c r="D1145" s="26">
        <f t="shared" si="34"/>
        <v>0.65361850450988834</v>
      </c>
      <c r="E1145" t="str">
        <f t="shared" si="35"/>
        <v>C</v>
      </c>
    </row>
    <row r="1146" spans="1:5" x14ac:dyDescent="0.45">
      <c r="A1146" s="25" t="s">
        <v>721</v>
      </c>
      <c r="B1146" s="13">
        <v>1662.6945600000001</v>
      </c>
      <c r="C1146">
        <f>SUM($B$4:B1146)</f>
        <v>20740247.477910034</v>
      </c>
      <c r="D1146" s="26">
        <f t="shared" si="34"/>
        <v>0.65367090769665903</v>
      </c>
      <c r="E1146" t="str">
        <f t="shared" si="35"/>
        <v>C</v>
      </c>
    </row>
    <row r="1147" spans="1:5" x14ac:dyDescent="0.45">
      <c r="A1147" s="18" t="s">
        <v>836</v>
      </c>
      <c r="B1147" s="13">
        <v>1660.3999999999999</v>
      </c>
      <c r="C1147">
        <f>SUM($B$4:B1147)</f>
        <v>20741907.877910033</v>
      </c>
      <c r="D1147" s="26">
        <f t="shared" si="34"/>
        <v>0.6537232385657239</v>
      </c>
      <c r="E1147" t="str">
        <f t="shared" si="35"/>
        <v>C</v>
      </c>
    </row>
    <row r="1148" spans="1:5" x14ac:dyDescent="0.45">
      <c r="A1148" s="25" t="s">
        <v>723</v>
      </c>
      <c r="B1148" s="13">
        <v>1660.3999999999999</v>
      </c>
      <c r="C1148">
        <f>SUM($B$4:B1148)</f>
        <v>20743568.277910031</v>
      </c>
      <c r="D1148" s="26">
        <f t="shared" si="34"/>
        <v>0.65377556943478876</v>
      </c>
      <c r="E1148" t="str">
        <f t="shared" si="35"/>
        <v>C</v>
      </c>
    </row>
    <row r="1149" spans="1:5" x14ac:dyDescent="0.45">
      <c r="A1149" s="18" t="s">
        <v>815</v>
      </c>
      <c r="B1149" s="13">
        <v>1654.8966000000003</v>
      </c>
      <c r="C1149">
        <f>SUM($B$4:B1149)</f>
        <v>20745223.174510032</v>
      </c>
      <c r="D1149" s="26">
        <f t="shared" si="34"/>
        <v>0.65382772685305568</v>
      </c>
      <c r="E1149" t="str">
        <f t="shared" si="35"/>
        <v>C</v>
      </c>
    </row>
    <row r="1150" spans="1:5" x14ac:dyDescent="0.45">
      <c r="A1150" s="25" t="s">
        <v>721</v>
      </c>
      <c r="B1150" s="13">
        <v>1654.8966000000003</v>
      </c>
      <c r="C1150">
        <f>SUM($B$4:B1150)</f>
        <v>20746878.071110032</v>
      </c>
      <c r="D1150" s="26">
        <f t="shared" si="34"/>
        <v>0.65387988427132271</v>
      </c>
      <c r="E1150" t="str">
        <f t="shared" si="35"/>
        <v>C</v>
      </c>
    </row>
    <row r="1151" spans="1:5" x14ac:dyDescent="0.45">
      <c r="A1151" s="18" t="s">
        <v>1032</v>
      </c>
      <c r="B1151" s="13">
        <v>1641.7107199999998</v>
      </c>
      <c r="C1151">
        <f>SUM($B$4:B1151)</f>
        <v>20748519.781830031</v>
      </c>
      <c r="D1151" s="26">
        <f t="shared" si="34"/>
        <v>0.6539316261098741</v>
      </c>
      <c r="E1151" t="str">
        <f t="shared" si="35"/>
        <v>C</v>
      </c>
    </row>
    <row r="1152" spans="1:5" x14ac:dyDescent="0.45">
      <c r="A1152" s="25" t="s">
        <v>726</v>
      </c>
      <c r="B1152" s="13">
        <v>1641.7107199999998</v>
      </c>
      <c r="C1152">
        <f>SUM($B$4:B1152)</f>
        <v>20750161.49255003</v>
      </c>
      <c r="D1152" s="26">
        <f t="shared" si="34"/>
        <v>0.65398336794842538</v>
      </c>
      <c r="E1152" t="str">
        <f t="shared" si="35"/>
        <v>C</v>
      </c>
    </row>
    <row r="1153" spans="1:5" x14ac:dyDescent="0.45">
      <c r="A1153" s="18" t="s">
        <v>1216</v>
      </c>
      <c r="B1153" s="13">
        <v>1547.3500000000001</v>
      </c>
      <c r="C1153">
        <f>SUM($B$4:B1153)</f>
        <v>20751708.842550032</v>
      </c>
      <c r="D1153" s="26">
        <f t="shared" si="34"/>
        <v>0.65403213581776265</v>
      </c>
      <c r="E1153" t="str">
        <f t="shared" si="35"/>
        <v>C</v>
      </c>
    </row>
    <row r="1154" spans="1:5" x14ac:dyDescent="0.45">
      <c r="A1154" s="25" t="s">
        <v>727</v>
      </c>
      <c r="B1154" s="13">
        <v>1547.3500000000001</v>
      </c>
      <c r="C1154">
        <f>SUM($B$4:B1154)</f>
        <v>20753256.192550033</v>
      </c>
      <c r="D1154" s="26">
        <f t="shared" si="34"/>
        <v>0.65408090368709992</v>
      </c>
      <c r="E1154" t="str">
        <f t="shared" si="35"/>
        <v>C</v>
      </c>
    </row>
    <row r="1155" spans="1:5" x14ac:dyDescent="0.45">
      <c r="A1155" s="18" t="s">
        <v>842</v>
      </c>
      <c r="B1155" s="13">
        <v>1499.22</v>
      </c>
      <c r="C1155">
        <f>SUM($B$4:B1155)</f>
        <v>20754755.412550032</v>
      </c>
      <c r="D1155" s="26">
        <f t="shared" si="34"/>
        <v>0.65412815464200202</v>
      </c>
      <c r="E1155" t="str">
        <f t="shared" si="35"/>
        <v>C</v>
      </c>
    </row>
    <row r="1156" spans="1:5" x14ac:dyDescent="0.45">
      <c r="A1156" s="25" t="s">
        <v>723</v>
      </c>
      <c r="B1156" s="13">
        <v>1499.22</v>
      </c>
      <c r="C1156">
        <f>SUM($B$4:B1156)</f>
        <v>20756254.632550031</v>
      </c>
      <c r="D1156" s="26">
        <f t="shared" si="34"/>
        <v>0.65417540559690412</v>
      </c>
      <c r="E1156" t="str">
        <f t="shared" si="35"/>
        <v>C</v>
      </c>
    </row>
    <row r="1157" spans="1:5" x14ac:dyDescent="0.45">
      <c r="A1157" s="18" t="s">
        <v>867</v>
      </c>
      <c r="B1157" s="13">
        <v>1446.9507000000001</v>
      </c>
      <c r="C1157">
        <f>SUM($B$4:B1157)</f>
        <v>20757701.583250031</v>
      </c>
      <c r="D1157" s="26">
        <f t="shared" ref="D1157:D1220" si="36">C1157/SUM($B$4:$B$1255)</f>
        <v>0.65422100917894754</v>
      </c>
      <c r="E1157" t="str">
        <f t="shared" ref="E1157:E1220" si="37">IF(D1157&gt;=0.8,"A",IF(D1157&gt;=0.95,"B","C"))</f>
        <v>C</v>
      </c>
    </row>
    <row r="1158" spans="1:5" x14ac:dyDescent="0.45">
      <c r="A1158" s="25" t="s">
        <v>727</v>
      </c>
      <c r="B1158" s="13">
        <v>1446.9507000000001</v>
      </c>
      <c r="C1158">
        <f>SUM($B$4:B1158)</f>
        <v>20759148.533950031</v>
      </c>
      <c r="D1158" s="26">
        <f t="shared" si="36"/>
        <v>0.65426661276099107</v>
      </c>
      <c r="E1158" t="str">
        <f t="shared" si="37"/>
        <v>C</v>
      </c>
    </row>
    <row r="1159" spans="1:5" x14ac:dyDescent="0.45">
      <c r="A1159" s="18" t="s">
        <v>1081</v>
      </c>
      <c r="B1159" s="13">
        <v>1122.0896000000002</v>
      </c>
      <c r="C1159">
        <f>SUM($B$4:B1159)</f>
        <v>20760270.623550031</v>
      </c>
      <c r="D1159" s="26">
        <f t="shared" si="36"/>
        <v>0.65430197768747667</v>
      </c>
      <c r="E1159" t="str">
        <f t="shared" si="37"/>
        <v>C</v>
      </c>
    </row>
    <row r="1160" spans="1:5" x14ac:dyDescent="0.45">
      <c r="A1160" s="25" t="s">
        <v>722</v>
      </c>
      <c r="B1160" s="13">
        <v>1122.0896000000002</v>
      </c>
      <c r="C1160">
        <f>SUM($B$4:B1160)</f>
        <v>20761392.713150032</v>
      </c>
      <c r="D1160" s="26">
        <f t="shared" si="36"/>
        <v>0.65433734261396226</v>
      </c>
      <c r="E1160" t="str">
        <f t="shared" si="37"/>
        <v>C</v>
      </c>
    </row>
    <row r="1161" spans="1:5" x14ac:dyDescent="0.45">
      <c r="A1161" s="18" t="s">
        <v>1068</v>
      </c>
      <c r="B1161" s="13">
        <v>1115.1975999999997</v>
      </c>
      <c r="C1161">
        <f>SUM($B$4:B1161)</f>
        <v>20762507.910750031</v>
      </c>
      <c r="D1161" s="26">
        <f t="shared" si="36"/>
        <v>0.65437249032510836</v>
      </c>
      <c r="E1161" t="str">
        <f t="shared" si="37"/>
        <v>C</v>
      </c>
    </row>
    <row r="1162" spans="1:5" x14ac:dyDescent="0.45">
      <c r="A1162" s="25" t="s">
        <v>723</v>
      </c>
      <c r="B1162" s="13">
        <v>1115.1975999999997</v>
      </c>
      <c r="C1162">
        <f>SUM($B$4:B1162)</f>
        <v>20763623.108350031</v>
      </c>
      <c r="D1162" s="26">
        <f t="shared" si="36"/>
        <v>0.65440763803625457</v>
      </c>
      <c r="E1162" t="str">
        <f t="shared" si="37"/>
        <v>C</v>
      </c>
    </row>
    <row r="1163" spans="1:5" x14ac:dyDescent="0.45">
      <c r="A1163" s="18" t="s">
        <v>1018</v>
      </c>
      <c r="B1163" s="13">
        <v>1098.9470800000001</v>
      </c>
      <c r="C1163">
        <f>SUM($B$4:B1163)</f>
        <v>20764722.055430032</v>
      </c>
      <c r="D1163" s="26">
        <f t="shared" si="36"/>
        <v>0.65444227357934825</v>
      </c>
      <c r="E1163" t="str">
        <f t="shared" si="37"/>
        <v>C</v>
      </c>
    </row>
    <row r="1164" spans="1:5" x14ac:dyDescent="0.45">
      <c r="A1164" s="25" t="s">
        <v>722</v>
      </c>
      <c r="B1164" s="13">
        <v>1098.9470800000001</v>
      </c>
      <c r="C1164">
        <f>SUM($B$4:B1164)</f>
        <v>20765821.002510034</v>
      </c>
      <c r="D1164" s="26">
        <f t="shared" si="36"/>
        <v>0.65447690912244194</v>
      </c>
      <c r="E1164" t="str">
        <f t="shared" si="37"/>
        <v>C</v>
      </c>
    </row>
    <row r="1165" spans="1:5" x14ac:dyDescent="0.45">
      <c r="A1165" s="18" t="s">
        <v>1327</v>
      </c>
      <c r="B1165" s="13">
        <v>1062.5902000000001</v>
      </c>
      <c r="C1165">
        <f>SUM($B$4:B1165)</f>
        <v>20766883.592710033</v>
      </c>
      <c r="D1165" s="26">
        <f t="shared" si="36"/>
        <v>0.65451039880482309</v>
      </c>
      <c r="E1165" t="str">
        <f t="shared" si="37"/>
        <v>C</v>
      </c>
    </row>
    <row r="1166" spans="1:5" x14ac:dyDescent="0.45">
      <c r="A1166" s="25" t="s">
        <v>723</v>
      </c>
      <c r="B1166" s="13">
        <v>1062.5902000000001</v>
      </c>
      <c r="C1166">
        <f>SUM($B$4:B1166)</f>
        <v>20767946.182910033</v>
      </c>
      <c r="D1166" s="26">
        <f t="shared" si="36"/>
        <v>0.65454388848720435</v>
      </c>
      <c r="E1166" t="str">
        <f t="shared" si="37"/>
        <v>C</v>
      </c>
    </row>
    <row r="1167" spans="1:5" x14ac:dyDescent="0.45">
      <c r="A1167" s="18" t="s">
        <v>1345</v>
      </c>
      <c r="B1167" s="13">
        <v>1030.7574</v>
      </c>
      <c r="C1167">
        <f>SUM($B$4:B1167)</f>
        <v>20768976.940310031</v>
      </c>
      <c r="D1167" s="26">
        <f t="shared" si="36"/>
        <v>0.65457637489441767</v>
      </c>
      <c r="E1167" t="str">
        <f t="shared" si="37"/>
        <v>C</v>
      </c>
    </row>
    <row r="1168" spans="1:5" x14ac:dyDescent="0.45">
      <c r="A1168" s="25" t="s">
        <v>727</v>
      </c>
      <c r="B1168" s="13">
        <v>1030.7574</v>
      </c>
      <c r="C1168">
        <f>SUM($B$4:B1168)</f>
        <v>20770007.69771003</v>
      </c>
      <c r="D1168" s="26">
        <f t="shared" si="36"/>
        <v>0.65460886130163098</v>
      </c>
      <c r="E1168" t="str">
        <f t="shared" si="37"/>
        <v>C</v>
      </c>
    </row>
    <row r="1169" spans="1:5" x14ac:dyDescent="0.45">
      <c r="A1169" s="18" t="s">
        <v>1243</v>
      </c>
      <c r="B1169" s="13">
        <v>1010.3759200000001</v>
      </c>
      <c r="C1169">
        <f>SUM($B$4:B1169)</f>
        <v>20771018.073630031</v>
      </c>
      <c r="D1169" s="26">
        <f t="shared" si="36"/>
        <v>0.65464070534522045</v>
      </c>
      <c r="E1169" t="str">
        <f t="shared" si="37"/>
        <v>C</v>
      </c>
    </row>
    <row r="1170" spans="1:5" x14ac:dyDescent="0.45">
      <c r="A1170" s="25" t="s">
        <v>727</v>
      </c>
      <c r="B1170" s="13">
        <v>1010.3759200000001</v>
      </c>
      <c r="C1170">
        <f>SUM($B$4:B1170)</f>
        <v>20772028.449550033</v>
      </c>
      <c r="D1170" s="26">
        <f t="shared" si="36"/>
        <v>0.65467254938880981</v>
      </c>
      <c r="E1170" t="str">
        <f t="shared" si="37"/>
        <v>C</v>
      </c>
    </row>
    <row r="1171" spans="1:5" x14ac:dyDescent="0.45">
      <c r="A1171" s="18" t="s">
        <v>1202</v>
      </c>
      <c r="B1171" s="13">
        <v>1009.2969000000002</v>
      </c>
      <c r="C1171">
        <f>SUM($B$4:B1171)</f>
        <v>20773037.746450033</v>
      </c>
      <c r="D1171" s="26">
        <f t="shared" si="36"/>
        <v>0.65470435942489846</v>
      </c>
      <c r="E1171" t="str">
        <f t="shared" si="37"/>
        <v>C</v>
      </c>
    </row>
    <row r="1172" spans="1:5" x14ac:dyDescent="0.45">
      <c r="A1172" s="25" t="s">
        <v>725</v>
      </c>
      <c r="B1172" s="13">
        <v>1009.2969000000002</v>
      </c>
      <c r="C1172">
        <f>SUM($B$4:B1172)</f>
        <v>20774047.043350033</v>
      </c>
      <c r="D1172" s="26">
        <f t="shared" si="36"/>
        <v>0.65473616946098701</v>
      </c>
      <c r="E1172" t="str">
        <f t="shared" si="37"/>
        <v>C</v>
      </c>
    </row>
    <row r="1173" spans="1:5" x14ac:dyDescent="0.45">
      <c r="A1173" s="18" t="s">
        <v>1187</v>
      </c>
      <c r="B1173" s="13">
        <v>930.17574000000002</v>
      </c>
      <c r="C1173">
        <f>SUM($B$4:B1173)</f>
        <v>20774977.219090033</v>
      </c>
      <c r="D1173" s="26">
        <f t="shared" si="36"/>
        <v>0.65476548583346195</v>
      </c>
      <c r="E1173" t="str">
        <f t="shared" si="37"/>
        <v>C</v>
      </c>
    </row>
    <row r="1174" spans="1:5" x14ac:dyDescent="0.45">
      <c r="A1174" s="25" t="s">
        <v>727</v>
      </c>
      <c r="B1174" s="13">
        <v>930.17574000000002</v>
      </c>
      <c r="C1174">
        <f>SUM($B$4:B1174)</f>
        <v>20775907.394830033</v>
      </c>
      <c r="D1174" s="26">
        <f t="shared" si="36"/>
        <v>0.65479480220593678</v>
      </c>
      <c r="E1174" t="str">
        <f t="shared" si="37"/>
        <v>C</v>
      </c>
    </row>
    <row r="1175" spans="1:5" x14ac:dyDescent="0.45">
      <c r="A1175" s="18" t="s">
        <v>948</v>
      </c>
      <c r="B1175" s="13">
        <v>908.03700000000003</v>
      </c>
      <c r="C1175">
        <f>SUM($B$4:B1175)</f>
        <v>20776815.431830034</v>
      </c>
      <c r="D1175" s="26">
        <f t="shared" si="36"/>
        <v>0.6548234208311795</v>
      </c>
      <c r="E1175" t="str">
        <f t="shared" si="37"/>
        <v>C</v>
      </c>
    </row>
    <row r="1176" spans="1:5" x14ac:dyDescent="0.45">
      <c r="A1176" s="25" t="s">
        <v>727</v>
      </c>
      <c r="B1176" s="13">
        <v>908.03700000000003</v>
      </c>
      <c r="C1176">
        <f>SUM($B$4:B1176)</f>
        <v>20777723.468830034</v>
      </c>
      <c r="D1176" s="26">
        <f t="shared" si="36"/>
        <v>0.65485203945642223</v>
      </c>
      <c r="E1176" t="str">
        <f t="shared" si="37"/>
        <v>C</v>
      </c>
    </row>
    <row r="1177" spans="1:5" x14ac:dyDescent="0.45">
      <c r="A1177" s="18" t="s">
        <v>1038</v>
      </c>
      <c r="B1177" s="13">
        <v>879.05840000000001</v>
      </c>
      <c r="C1177">
        <f>SUM($B$4:B1177)</f>
        <v>20778602.527230036</v>
      </c>
      <c r="D1177" s="26">
        <f t="shared" si="36"/>
        <v>0.65487974476239119</v>
      </c>
      <c r="E1177" t="str">
        <f t="shared" si="37"/>
        <v>C</v>
      </c>
    </row>
    <row r="1178" spans="1:5" x14ac:dyDescent="0.45">
      <c r="A1178" s="25" t="s">
        <v>723</v>
      </c>
      <c r="B1178" s="13">
        <v>879.05840000000001</v>
      </c>
      <c r="C1178">
        <f>SUM($B$4:B1178)</f>
        <v>20779481.585630037</v>
      </c>
      <c r="D1178" s="26">
        <f t="shared" si="36"/>
        <v>0.65490745006836015</v>
      </c>
      <c r="E1178" t="str">
        <f t="shared" si="37"/>
        <v>C</v>
      </c>
    </row>
    <row r="1179" spans="1:5" x14ac:dyDescent="0.45">
      <c r="A1179" s="18" t="s">
        <v>1245</v>
      </c>
      <c r="B1179" s="13">
        <v>855.72881999999993</v>
      </c>
      <c r="C1179">
        <f>SUM($B$4:B1179)</f>
        <v>20780337.314450037</v>
      </c>
      <c r="D1179" s="26">
        <f t="shared" si="36"/>
        <v>0.6549344200953624</v>
      </c>
      <c r="E1179" t="str">
        <f t="shared" si="37"/>
        <v>C</v>
      </c>
    </row>
    <row r="1180" spans="1:5" x14ac:dyDescent="0.45">
      <c r="A1180" s="25" t="s">
        <v>721</v>
      </c>
      <c r="B1180" s="13">
        <v>855.72881999999993</v>
      </c>
      <c r="C1180">
        <f>SUM($B$4:B1180)</f>
        <v>20781193.043270037</v>
      </c>
      <c r="D1180" s="26">
        <f t="shared" si="36"/>
        <v>0.65496139012236454</v>
      </c>
      <c r="E1180" t="str">
        <f t="shared" si="37"/>
        <v>C</v>
      </c>
    </row>
    <row r="1181" spans="1:5" x14ac:dyDescent="0.45">
      <c r="A1181" s="18" t="s">
        <v>855</v>
      </c>
      <c r="B1181" s="13">
        <v>853.32276999999988</v>
      </c>
      <c r="C1181">
        <f>SUM($B$4:B1181)</f>
        <v>20782046.366040036</v>
      </c>
      <c r="D1181" s="26">
        <f t="shared" si="36"/>
        <v>0.65498828431782763</v>
      </c>
      <c r="E1181" t="str">
        <f t="shared" si="37"/>
        <v>C</v>
      </c>
    </row>
    <row r="1182" spans="1:5" x14ac:dyDescent="0.45">
      <c r="A1182" s="25" t="s">
        <v>721</v>
      </c>
      <c r="B1182" s="13">
        <v>853.32276999999988</v>
      </c>
      <c r="C1182">
        <f>SUM($B$4:B1182)</f>
        <v>20782899.688810036</v>
      </c>
      <c r="D1182" s="26">
        <f t="shared" si="36"/>
        <v>0.65501517851329072</v>
      </c>
      <c r="E1182" t="str">
        <f t="shared" si="37"/>
        <v>C</v>
      </c>
    </row>
    <row r="1183" spans="1:5" x14ac:dyDescent="0.45">
      <c r="A1183" s="18" t="s">
        <v>1297</v>
      </c>
      <c r="B1183" s="13">
        <v>841.00536</v>
      </c>
      <c r="C1183">
        <f>SUM($B$4:B1183)</f>
        <v>20783740.694170035</v>
      </c>
      <c r="D1183" s="26">
        <f t="shared" si="36"/>
        <v>0.65504168450062938</v>
      </c>
      <c r="E1183" t="str">
        <f t="shared" si="37"/>
        <v>C</v>
      </c>
    </row>
    <row r="1184" spans="1:5" x14ac:dyDescent="0.45">
      <c r="A1184" s="25" t="s">
        <v>724</v>
      </c>
      <c r="B1184" s="13">
        <v>841.00536</v>
      </c>
      <c r="C1184">
        <f>SUM($B$4:B1184)</f>
        <v>20784581.699530035</v>
      </c>
      <c r="D1184" s="26">
        <f t="shared" si="36"/>
        <v>0.65506819048796794</v>
      </c>
      <c r="E1184" t="str">
        <f t="shared" si="37"/>
        <v>C</v>
      </c>
    </row>
    <row r="1185" spans="1:5" x14ac:dyDescent="0.45">
      <c r="A1185" s="18" t="s">
        <v>844</v>
      </c>
      <c r="B1185" s="13">
        <v>765.99195000000009</v>
      </c>
      <c r="C1185">
        <f>SUM($B$4:B1185)</f>
        <v>20785347.691480037</v>
      </c>
      <c r="D1185" s="26">
        <f t="shared" si="36"/>
        <v>0.65509233227575414</v>
      </c>
      <c r="E1185" t="str">
        <f t="shared" si="37"/>
        <v>C</v>
      </c>
    </row>
    <row r="1186" spans="1:5" x14ac:dyDescent="0.45">
      <c r="A1186" s="25" t="s">
        <v>722</v>
      </c>
      <c r="B1186" s="13">
        <v>765.99195000000009</v>
      </c>
      <c r="C1186">
        <f>SUM($B$4:B1186)</f>
        <v>20786113.683430038</v>
      </c>
      <c r="D1186" s="26">
        <f t="shared" si="36"/>
        <v>0.65511647406354045</v>
      </c>
      <c r="E1186" t="str">
        <f t="shared" si="37"/>
        <v>C</v>
      </c>
    </row>
    <row r="1187" spans="1:5" x14ac:dyDescent="0.45">
      <c r="A1187" s="18" t="s">
        <v>970</v>
      </c>
      <c r="B1187" s="13">
        <v>748.22303999999997</v>
      </c>
      <c r="C1187">
        <f>SUM($B$4:B1187)</f>
        <v>20786861.906470038</v>
      </c>
      <c r="D1187" s="26">
        <f t="shared" si="36"/>
        <v>0.65514005582813784</v>
      </c>
      <c r="E1187" t="str">
        <f t="shared" si="37"/>
        <v>C</v>
      </c>
    </row>
    <row r="1188" spans="1:5" x14ac:dyDescent="0.45">
      <c r="A1188" s="25" t="s">
        <v>722</v>
      </c>
      <c r="B1188" s="13">
        <v>748.22303999999997</v>
      </c>
      <c r="C1188">
        <f>SUM($B$4:B1188)</f>
        <v>20787610.129510038</v>
      </c>
      <c r="D1188" s="26">
        <f t="shared" si="36"/>
        <v>0.65516363759273522</v>
      </c>
      <c r="E1188" t="str">
        <f t="shared" si="37"/>
        <v>C</v>
      </c>
    </row>
    <row r="1189" spans="1:5" x14ac:dyDescent="0.45">
      <c r="A1189" s="18" t="s">
        <v>1144</v>
      </c>
      <c r="B1189" s="13">
        <v>741.43835999999999</v>
      </c>
      <c r="C1189">
        <f>SUM($B$4:B1189)</f>
        <v>20788351.567870036</v>
      </c>
      <c r="D1189" s="26">
        <f t="shared" si="36"/>
        <v>0.65518700552440035</v>
      </c>
      <c r="E1189" t="str">
        <f t="shared" si="37"/>
        <v>C</v>
      </c>
    </row>
    <row r="1190" spans="1:5" x14ac:dyDescent="0.45">
      <c r="A1190" s="25" t="s">
        <v>722</v>
      </c>
      <c r="B1190" s="13">
        <v>741.43835999999999</v>
      </c>
      <c r="C1190">
        <f>SUM($B$4:B1190)</f>
        <v>20789093.006230034</v>
      </c>
      <c r="D1190" s="26">
        <f t="shared" si="36"/>
        <v>0.65521037345606548</v>
      </c>
      <c r="E1190" t="str">
        <f t="shared" si="37"/>
        <v>C</v>
      </c>
    </row>
    <row r="1191" spans="1:5" x14ac:dyDescent="0.45">
      <c r="A1191" s="18" t="s">
        <v>1050</v>
      </c>
      <c r="B1191" s="13">
        <v>703.2428000000001</v>
      </c>
      <c r="C1191">
        <f>SUM($B$4:B1191)</f>
        <v>20789796.249030035</v>
      </c>
      <c r="D1191" s="26">
        <f t="shared" si="36"/>
        <v>0.65523253757729383</v>
      </c>
      <c r="E1191" t="str">
        <f t="shared" si="37"/>
        <v>C</v>
      </c>
    </row>
    <row r="1192" spans="1:5" x14ac:dyDescent="0.45">
      <c r="A1192" s="25" t="s">
        <v>721</v>
      </c>
      <c r="B1192" s="13">
        <v>703.2428000000001</v>
      </c>
      <c r="C1192">
        <f>SUM($B$4:B1192)</f>
        <v>20790499.491830036</v>
      </c>
      <c r="D1192" s="26">
        <f t="shared" si="36"/>
        <v>0.65525470169852229</v>
      </c>
      <c r="E1192" t="str">
        <f t="shared" si="37"/>
        <v>C</v>
      </c>
    </row>
    <row r="1193" spans="1:5" x14ac:dyDescent="0.45">
      <c r="A1193" s="18" t="s">
        <v>735</v>
      </c>
      <c r="B1193" s="13">
        <v>685.06776000000002</v>
      </c>
      <c r="C1193">
        <f>SUM($B$4:B1193)</f>
        <v>20791184.559590034</v>
      </c>
      <c r="D1193" s="26">
        <f t="shared" si="36"/>
        <v>0.65527629299655232</v>
      </c>
      <c r="E1193" t="str">
        <f t="shared" si="37"/>
        <v>C</v>
      </c>
    </row>
    <row r="1194" spans="1:5" x14ac:dyDescent="0.45">
      <c r="A1194" s="25" t="s">
        <v>722</v>
      </c>
      <c r="B1194" s="13">
        <v>685.06776000000002</v>
      </c>
      <c r="C1194">
        <f>SUM($B$4:B1194)</f>
        <v>20791869.627350032</v>
      </c>
      <c r="D1194" s="26">
        <f t="shared" si="36"/>
        <v>0.65529788429458236</v>
      </c>
      <c r="E1194" t="str">
        <f t="shared" si="37"/>
        <v>C</v>
      </c>
    </row>
    <row r="1195" spans="1:5" x14ac:dyDescent="0.45">
      <c r="A1195" s="18" t="s">
        <v>1009</v>
      </c>
      <c r="B1195" s="13">
        <v>667.74</v>
      </c>
      <c r="C1195">
        <f>SUM($B$4:B1195)</f>
        <v>20792537.367350031</v>
      </c>
      <c r="D1195" s="26">
        <f t="shared" si="36"/>
        <v>0.6553189294731594</v>
      </c>
      <c r="E1195" t="str">
        <f t="shared" si="37"/>
        <v>C</v>
      </c>
    </row>
    <row r="1196" spans="1:5" x14ac:dyDescent="0.45">
      <c r="A1196" s="25" t="s">
        <v>724</v>
      </c>
      <c r="B1196" s="13">
        <v>667.74</v>
      </c>
      <c r="C1196">
        <f>SUM($B$4:B1196)</f>
        <v>20793205.107350029</v>
      </c>
      <c r="D1196" s="26">
        <f t="shared" si="36"/>
        <v>0.65533997465173632</v>
      </c>
      <c r="E1196" t="str">
        <f t="shared" si="37"/>
        <v>C</v>
      </c>
    </row>
    <row r="1197" spans="1:5" x14ac:dyDescent="0.45">
      <c r="A1197" s="18" t="s">
        <v>957</v>
      </c>
      <c r="B1197" s="13">
        <v>667.15008</v>
      </c>
      <c r="C1197">
        <f>SUM($B$4:B1197)</f>
        <v>20793872.257430028</v>
      </c>
      <c r="D1197" s="26">
        <f t="shared" si="36"/>
        <v>0.65536100123778973</v>
      </c>
      <c r="E1197" t="str">
        <f t="shared" si="37"/>
        <v>C</v>
      </c>
    </row>
    <row r="1198" spans="1:5" x14ac:dyDescent="0.45">
      <c r="A1198" s="25" t="s">
        <v>721</v>
      </c>
      <c r="B1198" s="13">
        <v>667.15008</v>
      </c>
      <c r="C1198">
        <f>SUM($B$4:B1198)</f>
        <v>20794539.407510027</v>
      </c>
      <c r="D1198" s="26">
        <f t="shared" si="36"/>
        <v>0.65538202782384314</v>
      </c>
      <c r="E1198" t="str">
        <f t="shared" si="37"/>
        <v>C</v>
      </c>
    </row>
    <row r="1199" spans="1:5" x14ac:dyDescent="0.45">
      <c r="A1199" s="18" t="s">
        <v>817</v>
      </c>
      <c r="B1199" s="13">
        <v>624.43503999999996</v>
      </c>
      <c r="C1199">
        <f>SUM($B$4:B1199)</f>
        <v>20795163.842550028</v>
      </c>
      <c r="D1199" s="26">
        <f t="shared" si="36"/>
        <v>0.65540170815889365</v>
      </c>
      <c r="E1199" t="str">
        <f t="shared" si="37"/>
        <v>C</v>
      </c>
    </row>
    <row r="1200" spans="1:5" x14ac:dyDescent="0.45">
      <c r="A1200" s="25" t="s">
        <v>726</v>
      </c>
      <c r="B1200" s="13">
        <v>624.43503999999996</v>
      </c>
      <c r="C1200">
        <f>SUM($B$4:B1200)</f>
        <v>20795788.277590029</v>
      </c>
      <c r="D1200" s="26">
        <f t="shared" si="36"/>
        <v>0.65542138849394405</v>
      </c>
      <c r="E1200" t="str">
        <f t="shared" si="37"/>
        <v>C</v>
      </c>
    </row>
    <row r="1201" spans="1:5" x14ac:dyDescent="0.45">
      <c r="A1201" s="18" t="s">
        <v>1257</v>
      </c>
      <c r="B1201" s="13">
        <v>618.19979999999987</v>
      </c>
      <c r="C1201">
        <f>SUM($B$4:B1201)</f>
        <v>20796406.477390029</v>
      </c>
      <c r="D1201" s="26">
        <f t="shared" si="36"/>
        <v>0.6554408723127767</v>
      </c>
      <c r="E1201" t="str">
        <f t="shared" si="37"/>
        <v>C</v>
      </c>
    </row>
    <row r="1202" spans="1:5" x14ac:dyDescent="0.45">
      <c r="A1202" s="25" t="s">
        <v>724</v>
      </c>
      <c r="B1202" s="13">
        <v>618.19979999999987</v>
      </c>
      <c r="C1202">
        <f>SUM($B$4:B1202)</f>
        <v>20797024.677190028</v>
      </c>
      <c r="D1202" s="26">
        <f t="shared" si="36"/>
        <v>0.65546035613160936</v>
      </c>
      <c r="E1202" t="str">
        <f t="shared" si="37"/>
        <v>C</v>
      </c>
    </row>
    <row r="1203" spans="1:5" x14ac:dyDescent="0.45">
      <c r="A1203" s="18" t="s">
        <v>974</v>
      </c>
      <c r="B1203" s="13">
        <v>607.30668000000003</v>
      </c>
      <c r="C1203">
        <f>SUM($B$4:B1203)</f>
        <v>20797631.983870029</v>
      </c>
      <c r="D1203" s="26">
        <f t="shared" si="36"/>
        <v>0.65547949663170169</v>
      </c>
      <c r="E1203" t="str">
        <f t="shared" si="37"/>
        <v>C</v>
      </c>
    </row>
    <row r="1204" spans="1:5" x14ac:dyDescent="0.45">
      <c r="A1204" s="25" t="s">
        <v>726</v>
      </c>
      <c r="B1204" s="13">
        <v>607.30668000000003</v>
      </c>
      <c r="C1204">
        <f>SUM($B$4:B1204)</f>
        <v>20798239.290550031</v>
      </c>
      <c r="D1204" s="26">
        <f t="shared" si="36"/>
        <v>0.65549863713179413</v>
      </c>
      <c r="E1204" t="str">
        <f t="shared" si="37"/>
        <v>C</v>
      </c>
    </row>
    <row r="1205" spans="1:5" x14ac:dyDescent="0.45">
      <c r="A1205" s="18" t="s">
        <v>779</v>
      </c>
      <c r="B1205" s="13">
        <v>599.53200000000004</v>
      </c>
      <c r="C1205">
        <f>SUM($B$4:B1205)</f>
        <v>20798838.822550032</v>
      </c>
      <c r="D1205" s="26">
        <f t="shared" si="36"/>
        <v>0.655517532597099</v>
      </c>
      <c r="E1205" t="str">
        <f t="shared" si="37"/>
        <v>C</v>
      </c>
    </row>
    <row r="1206" spans="1:5" x14ac:dyDescent="0.45">
      <c r="A1206" s="25" t="s">
        <v>726</v>
      </c>
      <c r="B1206" s="13">
        <v>599.53200000000004</v>
      </c>
      <c r="C1206">
        <f>SUM($B$4:B1206)</f>
        <v>20799438.354550034</v>
      </c>
      <c r="D1206" s="26">
        <f t="shared" si="36"/>
        <v>0.65553642806240398</v>
      </c>
      <c r="E1206" t="str">
        <f t="shared" si="37"/>
        <v>C</v>
      </c>
    </row>
    <row r="1207" spans="1:5" x14ac:dyDescent="0.45">
      <c r="A1207" s="18" t="s">
        <v>847</v>
      </c>
      <c r="B1207" s="13">
        <v>592.92849000000001</v>
      </c>
      <c r="C1207">
        <f>SUM($B$4:B1207)</f>
        <v>20800031.283040036</v>
      </c>
      <c r="D1207" s="26">
        <f t="shared" si="36"/>
        <v>0.65555511540471612</v>
      </c>
      <c r="E1207" t="str">
        <f t="shared" si="37"/>
        <v>C</v>
      </c>
    </row>
    <row r="1208" spans="1:5" x14ac:dyDescent="0.45">
      <c r="A1208" s="25" t="s">
        <v>725</v>
      </c>
      <c r="B1208" s="13">
        <v>592.92849000000001</v>
      </c>
      <c r="C1208">
        <f>SUM($B$4:B1208)</f>
        <v>20800624.211530037</v>
      </c>
      <c r="D1208" s="26">
        <f t="shared" si="36"/>
        <v>0.65557380274702826</v>
      </c>
      <c r="E1208" t="str">
        <f t="shared" si="37"/>
        <v>C</v>
      </c>
    </row>
    <row r="1209" spans="1:5" x14ac:dyDescent="0.45">
      <c r="A1209" s="18" t="s">
        <v>990</v>
      </c>
      <c r="B1209" s="13">
        <v>560.36831999999993</v>
      </c>
      <c r="C1209">
        <f>SUM($B$4:B1209)</f>
        <v>20801184.579850037</v>
      </c>
      <c r="D1209" s="26">
        <f t="shared" si="36"/>
        <v>0.65559146388963363</v>
      </c>
      <c r="E1209" t="str">
        <f t="shared" si="37"/>
        <v>C</v>
      </c>
    </row>
    <row r="1210" spans="1:5" x14ac:dyDescent="0.45">
      <c r="A1210" s="25" t="s">
        <v>724</v>
      </c>
      <c r="B1210" s="13">
        <v>560.36831999999993</v>
      </c>
      <c r="C1210">
        <f>SUM($B$4:B1210)</f>
        <v>20801744.948170036</v>
      </c>
      <c r="D1210" s="26">
        <f t="shared" si="36"/>
        <v>0.655609125032239</v>
      </c>
      <c r="E1210" t="str">
        <f t="shared" si="37"/>
        <v>C</v>
      </c>
    </row>
    <row r="1211" spans="1:5" x14ac:dyDescent="0.45">
      <c r="A1211" s="18" t="s">
        <v>837</v>
      </c>
      <c r="B1211" s="13">
        <v>549.80010000000004</v>
      </c>
      <c r="C1211">
        <f>SUM($B$4:B1211)</f>
        <v>20802294.748270035</v>
      </c>
      <c r="D1211" s="26">
        <f t="shared" si="36"/>
        <v>0.65562645309598566</v>
      </c>
      <c r="E1211" t="str">
        <f t="shared" si="37"/>
        <v>C</v>
      </c>
    </row>
    <row r="1212" spans="1:5" x14ac:dyDescent="0.45">
      <c r="A1212" s="25" t="s">
        <v>727</v>
      </c>
      <c r="B1212" s="13">
        <v>549.80010000000004</v>
      </c>
      <c r="C1212">
        <f>SUM($B$4:B1212)</f>
        <v>20802844.548370034</v>
      </c>
      <c r="D1212" s="26">
        <f t="shared" si="36"/>
        <v>0.65564378115973232</v>
      </c>
      <c r="E1212" t="str">
        <f t="shared" si="37"/>
        <v>C</v>
      </c>
    </row>
    <row r="1213" spans="1:5" x14ac:dyDescent="0.45">
      <c r="A1213" s="18" t="s">
        <v>1258</v>
      </c>
      <c r="B1213" s="13">
        <v>534.57695999999999</v>
      </c>
      <c r="C1213">
        <f>SUM($B$4:B1213)</f>
        <v>20803379.125330035</v>
      </c>
      <c r="D1213" s="26">
        <f t="shared" si="36"/>
        <v>0.65566062943538805</v>
      </c>
      <c r="E1213" t="str">
        <f t="shared" si="37"/>
        <v>C</v>
      </c>
    </row>
    <row r="1214" spans="1:5" x14ac:dyDescent="0.45">
      <c r="A1214" s="25" t="s">
        <v>726</v>
      </c>
      <c r="B1214" s="13">
        <v>534.57695999999999</v>
      </c>
      <c r="C1214">
        <f>SUM($B$4:B1214)</f>
        <v>20803913.702290036</v>
      </c>
      <c r="D1214" s="26">
        <f t="shared" si="36"/>
        <v>0.6556774777110439</v>
      </c>
      <c r="E1214" t="str">
        <f t="shared" si="37"/>
        <v>C</v>
      </c>
    </row>
    <row r="1215" spans="1:5" x14ac:dyDescent="0.45">
      <c r="A1215" s="18" t="s">
        <v>811</v>
      </c>
      <c r="B1215" s="13">
        <v>524.81174999999996</v>
      </c>
      <c r="C1215">
        <f>SUM($B$4:B1215)</f>
        <v>20804438.514040034</v>
      </c>
      <c r="D1215" s="26">
        <f t="shared" si="36"/>
        <v>0.65569401821632745</v>
      </c>
      <c r="E1215" t="str">
        <f t="shared" si="37"/>
        <v>C</v>
      </c>
    </row>
    <row r="1216" spans="1:5" x14ac:dyDescent="0.45">
      <c r="A1216" s="25" t="s">
        <v>726</v>
      </c>
      <c r="B1216" s="13">
        <v>524.81174999999996</v>
      </c>
      <c r="C1216">
        <f>SUM($B$4:B1216)</f>
        <v>20804963.325790033</v>
      </c>
      <c r="D1216" s="26">
        <f t="shared" si="36"/>
        <v>0.6557105587216111</v>
      </c>
      <c r="E1216" t="str">
        <f t="shared" si="37"/>
        <v>C</v>
      </c>
    </row>
    <row r="1217" spans="1:5" x14ac:dyDescent="0.45">
      <c r="A1217" s="18" t="s">
        <v>834</v>
      </c>
      <c r="B1217" s="13">
        <v>518.65436999999997</v>
      </c>
      <c r="C1217">
        <f>SUM($B$4:B1217)</f>
        <v>20805481.980160031</v>
      </c>
      <c r="D1217" s="26">
        <f t="shared" si="36"/>
        <v>0.65572690516459253</v>
      </c>
      <c r="E1217" t="str">
        <f t="shared" si="37"/>
        <v>C</v>
      </c>
    </row>
    <row r="1218" spans="1:5" x14ac:dyDescent="0.45">
      <c r="A1218" s="25" t="s">
        <v>724</v>
      </c>
      <c r="B1218" s="13">
        <v>518.65436999999997</v>
      </c>
      <c r="C1218">
        <f>SUM($B$4:B1218)</f>
        <v>20806000.63453003</v>
      </c>
      <c r="D1218" s="26">
        <f t="shared" si="36"/>
        <v>0.65574325160757385</v>
      </c>
      <c r="E1218" t="str">
        <f t="shared" si="37"/>
        <v>C</v>
      </c>
    </row>
    <row r="1219" spans="1:5" x14ac:dyDescent="0.45">
      <c r="A1219" s="18" t="s">
        <v>1300</v>
      </c>
      <c r="B1219" s="13">
        <v>496.98660000000001</v>
      </c>
      <c r="C1219">
        <f>SUM($B$4:B1219)</f>
        <v>20806497.621130031</v>
      </c>
      <c r="D1219" s="26">
        <f t="shared" si="36"/>
        <v>0.65575891514689677</v>
      </c>
      <c r="E1219" t="str">
        <f t="shared" si="37"/>
        <v>C</v>
      </c>
    </row>
    <row r="1220" spans="1:5" x14ac:dyDescent="0.45">
      <c r="A1220" s="25" t="s">
        <v>721</v>
      </c>
      <c r="B1220" s="13">
        <v>496.98660000000001</v>
      </c>
      <c r="C1220">
        <f>SUM($B$4:B1220)</f>
        <v>20806994.607730031</v>
      </c>
      <c r="D1220" s="26">
        <f t="shared" si="36"/>
        <v>0.65577457868621958</v>
      </c>
      <c r="E1220" t="str">
        <f t="shared" si="37"/>
        <v>C</v>
      </c>
    </row>
    <row r="1221" spans="1:5" x14ac:dyDescent="0.45">
      <c r="A1221" s="18" t="s">
        <v>1115</v>
      </c>
      <c r="B1221" s="13">
        <v>434.45248000000004</v>
      </c>
      <c r="C1221">
        <f>SUM($B$4:B1221)</f>
        <v>20807429.060210031</v>
      </c>
      <c r="D1221" s="26">
        <f t="shared" ref="D1221:D1251" si="38">C1221/SUM($B$4:$B$1255)</f>
        <v>0.65578827133609052</v>
      </c>
      <c r="E1221" t="str">
        <f t="shared" ref="E1221:E1251" si="39">IF(D1221&gt;=0.8,"A",IF(D1221&gt;=0.95,"B","C"))</f>
        <v>C</v>
      </c>
    </row>
    <row r="1222" spans="1:5" x14ac:dyDescent="0.45">
      <c r="A1222" s="25" t="s">
        <v>725</v>
      </c>
      <c r="B1222" s="13">
        <v>434.45248000000004</v>
      </c>
      <c r="C1222">
        <f>SUM($B$4:B1222)</f>
        <v>20807863.51269003</v>
      </c>
      <c r="D1222" s="26">
        <f t="shared" si="38"/>
        <v>0.65580196398596147</v>
      </c>
      <c r="E1222" t="str">
        <f t="shared" si="39"/>
        <v>C</v>
      </c>
    </row>
    <row r="1223" spans="1:5" x14ac:dyDescent="0.45">
      <c r="A1223" s="18" t="s">
        <v>1311</v>
      </c>
      <c r="B1223" s="13">
        <v>370.86</v>
      </c>
      <c r="C1223">
        <f>SUM($B$4:B1223)</f>
        <v>20808234.372690029</v>
      </c>
      <c r="D1223" s="26">
        <f t="shared" si="38"/>
        <v>0.65581365239002154</v>
      </c>
      <c r="E1223" t="str">
        <f t="shared" si="39"/>
        <v>C</v>
      </c>
    </row>
    <row r="1224" spans="1:5" x14ac:dyDescent="0.45">
      <c r="A1224" s="25" t="s">
        <v>724</v>
      </c>
      <c r="B1224" s="13">
        <v>370.86</v>
      </c>
      <c r="C1224">
        <f>SUM($B$4:B1224)</f>
        <v>20808605.232690029</v>
      </c>
      <c r="D1224" s="26">
        <f t="shared" si="38"/>
        <v>0.65582534079408161</v>
      </c>
      <c r="E1224" t="str">
        <f t="shared" si="39"/>
        <v>C</v>
      </c>
    </row>
    <row r="1225" spans="1:5" x14ac:dyDescent="0.45">
      <c r="A1225" s="18" t="s">
        <v>905</v>
      </c>
      <c r="B1225" s="13">
        <v>321.93290999999999</v>
      </c>
      <c r="C1225">
        <f>SUM($B$4:B1225)</f>
        <v>20808927.165600028</v>
      </c>
      <c r="D1225" s="26">
        <f t="shared" si="38"/>
        <v>0.65583548716180073</v>
      </c>
      <c r="E1225" t="str">
        <f t="shared" si="39"/>
        <v>C</v>
      </c>
    </row>
    <row r="1226" spans="1:5" x14ac:dyDescent="0.45">
      <c r="A1226" s="25" t="s">
        <v>721</v>
      </c>
      <c r="B1226" s="13">
        <v>321.93290999999999</v>
      </c>
      <c r="C1226">
        <f>SUM($B$4:B1226)</f>
        <v>20809249.098510027</v>
      </c>
      <c r="D1226" s="26">
        <f t="shared" si="38"/>
        <v>0.65584563352951986</v>
      </c>
      <c r="E1226" t="str">
        <f t="shared" si="39"/>
        <v>C</v>
      </c>
    </row>
    <row r="1227" spans="1:5" x14ac:dyDescent="0.45">
      <c r="A1227" s="18" t="s">
        <v>1356</v>
      </c>
      <c r="B1227" s="13">
        <v>266.17821999999995</v>
      </c>
      <c r="C1227">
        <f>SUM($B$4:B1227)</f>
        <v>20809515.276730027</v>
      </c>
      <c r="D1227" s="26">
        <f t="shared" si="38"/>
        <v>0.65585402267525517</v>
      </c>
      <c r="E1227" t="str">
        <f t="shared" si="39"/>
        <v>C</v>
      </c>
    </row>
    <row r="1228" spans="1:5" x14ac:dyDescent="0.45">
      <c r="A1228" s="25" t="s">
        <v>725</v>
      </c>
      <c r="B1228" s="13">
        <v>266.17821999999995</v>
      </c>
      <c r="C1228">
        <f>SUM($B$4:B1228)</f>
        <v>20809781.454950027</v>
      </c>
      <c r="D1228" s="26">
        <f t="shared" si="38"/>
        <v>0.65586241182099037</v>
      </c>
      <c r="E1228" t="str">
        <f t="shared" si="39"/>
        <v>C</v>
      </c>
    </row>
    <row r="1229" spans="1:5" x14ac:dyDescent="0.45">
      <c r="A1229" s="18" t="s">
        <v>782</v>
      </c>
      <c r="B1229" s="13">
        <v>215.19839999999996</v>
      </c>
      <c r="C1229">
        <f>SUM($B$4:B1229)</f>
        <v>20809996.653350025</v>
      </c>
      <c r="D1229" s="26">
        <f t="shared" si="38"/>
        <v>0.6558691942344409</v>
      </c>
      <c r="E1229" t="str">
        <f t="shared" si="39"/>
        <v>C</v>
      </c>
    </row>
    <row r="1230" spans="1:5" x14ac:dyDescent="0.45">
      <c r="A1230" s="25" t="s">
        <v>723</v>
      </c>
      <c r="B1230" s="13">
        <v>215.19839999999996</v>
      </c>
      <c r="C1230">
        <f>SUM($B$4:B1230)</f>
        <v>20810211.851750024</v>
      </c>
      <c r="D1230" s="26">
        <f t="shared" si="38"/>
        <v>0.65587597664789143</v>
      </c>
      <c r="E1230" t="str">
        <f t="shared" si="39"/>
        <v>C</v>
      </c>
    </row>
    <row r="1231" spans="1:5" x14ac:dyDescent="0.45">
      <c r="A1231" s="18" t="s">
        <v>824</v>
      </c>
      <c r="B1231" s="13">
        <v>147.00756000000001</v>
      </c>
      <c r="C1231">
        <f>SUM($B$4:B1231)</f>
        <v>20810358.859310023</v>
      </c>
      <c r="D1231" s="26">
        <f t="shared" si="38"/>
        <v>0.65588060988890196</v>
      </c>
      <c r="E1231" t="str">
        <f t="shared" si="39"/>
        <v>C</v>
      </c>
    </row>
    <row r="1232" spans="1:5" x14ac:dyDescent="0.45">
      <c r="A1232" s="25" t="s">
        <v>726</v>
      </c>
      <c r="B1232" s="13">
        <v>147.00756000000001</v>
      </c>
      <c r="C1232">
        <f>SUM($B$4:B1232)</f>
        <v>20810505.866870023</v>
      </c>
      <c r="D1232" s="26">
        <f t="shared" si="38"/>
        <v>0.65588524312991248</v>
      </c>
      <c r="E1232" t="str">
        <f t="shared" si="39"/>
        <v>C</v>
      </c>
    </row>
    <row r="1233" spans="1:5" x14ac:dyDescent="0.45">
      <c r="A1233" s="18" t="s">
        <v>1219</v>
      </c>
      <c r="B1233" s="13">
        <v>110.14919999999999</v>
      </c>
      <c r="C1233">
        <f>SUM($B$4:B1233)</f>
        <v>20810616.016070023</v>
      </c>
      <c r="D1233" s="26">
        <f t="shared" si="38"/>
        <v>0.65588871470505272</v>
      </c>
      <c r="E1233" t="str">
        <f t="shared" si="39"/>
        <v>C</v>
      </c>
    </row>
    <row r="1234" spans="1:5" x14ac:dyDescent="0.45">
      <c r="A1234" s="25" t="s">
        <v>724</v>
      </c>
      <c r="B1234" s="13">
        <v>110.14919999999999</v>
      </c>
      <c r="C1234">
        <f>SUM($B$4:B1234)</f>
        <v>20810726.165270023</v>
      </c>
      <c r="D1234" s="26">
        <f t="shared" si="38"/>
        <v>0.65589218628019286</v>
      </c>
      <c r="E1234" t="str">
        <f t="shared" si="39"/>
        <v>C</v>
      </c>
    </row>
    <row r="1235" spans="1:5" x14ac:dyDescent="0.45">
      <c r="A1235" s="18" t="s">
        <v>900</v>
      </c>
      <c r="B1235" s="13">
        <v>97.0154</v>
      </c>
      <c r="C1235">
        <f>SUM($B$4:B1235)</f>
        <v>20810823.180670023</v>
      </c>
      <c r="D1235" s="26">
        <f t="shared" si="38"/>
        <v>0.65589524391702414</v>
      </c>
      <c r="E1235" t="str">
        <f t="shared" si="39"/>
        <v>C</v>
      </c>
    </row>
    <row r="1236" spans="1:5" x14ac:dyDescent="0.45">
      <c r="A1236" s="25" t="s">
        <v>721</v>
      </c>
      <c r="B1236" s="13">
        <v>97.0154</v>
      </c>
      <c r="C1236">
        <f>SUM($B$4:B1236)</f>
        <v>20810920.196070023</v>
      </c>
      <c r="D1236" s="26">
        <f t="shared" si="38"/>
        <v>0.65589830155385542</v>
      </c>
      <c r="E1236" t="str">
        <f t="shared" si="39"/>
        <v>C</v>
      </c>
    </row>
    <row r="1237" spans="1:5" x14ac:dyDescent="0.45">
      <c r="A1237" s="18" t="s">
        <v>1013</v>
      </c>
      <c r="B1237" s="13">
        <v>76.138720000000006</v>
      </c>
      <c r="C1237">
        <f>SUM($B$4:B1237)</f>
        <v>20810996.334790021</v>
      </c>
      <c r="D1237" s="26">
        <f t="shared" si="38"/>
        <v>0.65590070121983179</v>
      </c>
      <c r="E1237" t="str">
        <f t="shared" si="39"/>
        <v>C</v>
      </c>
    </row>
    <row r="1238" spans="1:5" x14ac:dyDescent="0.45">
      <c r="A1238" s="25" t="s">
        <v>724</v>
      </c>
      <c r="B1238" s="13">
        <v>76.138720000000006</v>
      </c>
      <c r="C1238">
        <f>SUM($B$4:B1238)</f>
        <v>20811072.473510019</v>
      </c>
      <c r="D1238" s="26">
        <f t="shared" si="38"/>
        <v>0.65590310088580805</v>
      </c>
      <c r="E1238" t="str">
        <f t="shared" si="39"/>
        <v>C</v>
      </c>
    </row>
    <row r="1239" spans="1:5" x14ac:dyDescent="0.45">
      <c r="A1239" s="18" t="s">
        <v>1025</v>
      </c>
      <c r="B1239" s="13">
        <v>66.920760000000001</v>
      </c>
      <c r="C1239">
        <f>SUM($B$4:B1239)</f>
        <v>20811139.394270018</v>
      </c>
      <c r="D1239" s="26">
        <f t="shared" si="38"/>
        <v>0.65590521002910429</v>
      </c>
      <c r="E1239" t="str">
        <f t="shared" si="39"/>
        <v>C</v>
      </c>
    </row>
    <row r="1240" spans="1:5" x14ac:dyDescent="0.45">
      <c r="A1240" s="25" t="s">
        <v>726</v>
      </c>
      <c r="B1240" s="13">
        <v>66.920760000000001</v>
      </c>
      <c r="C1240">
        <f>SUM($B$4:B1240)</f>
        <v>20811206.315030016</v>
      </c>
      <c r="D1240" s="26">
        <f t="shared" si="38"/>
        <v>0.65590731917240064</v>
      </c>
      <c r="E1240" t="str">
        <f t="shared" si="39"/>
        <v>C</v>
      </c>
    </row>
    <row r="1241" spans="1:5" x14ac:dyDescent="0.45">
      <c r="A1241" s="18" t="s">
        <v>840</v>
      </c>
      <c r="B1241" s="13">
        <v>34.689059999999998</v>
      </c>
      <c r="C1241">
        <f>SUM($B$4:B1241)</f>
        <v>20811241.004090015</v>
      </c>
      <c r="D1241" s="26">
        <f t="shared" si="38"/>
        <v>0.6559084124683876</v>
      </c>
      <c r="E1241" t="str">
        <f t="shared" si="39"/>
        <v>C</v>
      </c>
    </row>
    <row r="1242" spans="1:5" x14ac:dyDescent="0.45">
      <c r="A1242" s="25" t="s">
        <v>723</v>
      </c>
      <c r="B1242" s="13">
        <v>34.689059999999998</v>
      </c>
      <c r="C1242">
        <f>SUM($B$4:B1242)</f>
        <v>20811275.693150014</v>
      </c>
      <c r="D1242" s="26">
        <f t="shared" si="38"/>
        <v>0.65590950576437457</v>
      </c>
      <c r="E1242" t="str">
        <f t="shared" si="39"/>
        <v>C</v>
      </c>
    </row>
    <row r="1243" spans="1:5" x14ac:dyDescent="0.45">
      <c r="A1243" s="18" t="s">
        <v>908</v>
      </c>
      <c r="B1243" s="13">
        <v>18.659839999999999</v>
      </c>
      <c r="C1243">
        <f>SUM($B$4:B1243)</f>
        <v>20811294.352990013</v>
      </c>
      <c r="D1243" s="26">
        <f t="shared" si="38"/>
        <v>0.65591009386702681</v>
      </c>
      <c r="E1243" t="str">
        <f t="shared" si="39"/>
        <v>C</v>
      </c>
    </row>
    <row r="1244" spans="1:5" x14ac:dyDescent="0.45">
      <c r="A1244" s="25" t="s">
        <v>727</v>
      </c>
      <c r="B1244" s="13">
        <v>18.659839999999999</v>
      </c>
      <c r="C1244">
        <f>SUM($B$4:B1244)</f>
        <v>20811313.012830012</v>
      </c>
      <c r="D1244" s="26">
        <f t="shared" si="38"/>
        <v>0.65591068196967905</v>
      </c>
      <c r="E1244" t="str">
        <f t="shared" si="39"/>
        <v>C</v>
      </c>
    </row>
    <row r="1245" spans="1:5" x14ac:dyDescent="0.45">
      <c r="A1245" s="18" t="s">
        <v>730</v>
      </c>
      <c r="B1245" s="13">
        <v>0</v>
      </c>
      <c r="C1245">
        <f>SUM($B$4:B1245)</f>
        <v>20811313.012830012</v>
      </c>
      <c r="D1245" s="26">
        <f t="shared" si="38"/>
        <v>0.65591068196967905</v>
      </c>
      <c r="E1245" t="str">
        <f t="shared" si="39"/>
        <v>C</v>
      </c>
    </row>
    <row r="1246" spans="1:5" x14ac:dyDescent="0.45">
      <c r="A1246" s="25" t="s">
        <v>723</v>
      </c>
      <c r="B1246" s="13">
        <v>0</v>
      </c>
      <c r="C1246">
        <f>SUM($B$4:B1246)</f>
        <v>20811313.012830012</v>
      </c>
      <c r="D1246" s="26">
        <f t="shared" si="38"/>
        <v>0.65591068196967905</v>
      </c>
      <c r="E1246" t="str">
        <f t="shared" si="39"/>
        <v>C</v>
      </c>
    </row>
    <row r="1247" spans="1:5" x14ac:dyDescent="0.45">
      <c r="A1247" s="18" t="s">
        <v>1342</v>
      </c>
      <c r="B1247" s="13">
        <v>0</v>
      </c>
      <c r="C1247">
        <f>SUM($B$4:B1247)</f>
        <v>20811313.012830012</v>
      </c>
      <c r="D1247" s="26">
        <f t="shared" si="38"/>
        <v>0.65591068196967905</v>
      </c>
      <c r="E1247" t="str">
        <f t="shared" si="39"/>
        <v>C</v>
      </c>
    </row>
    <row r="1248" spans="1:5" x14ac:dyDescent="0.45">
      <c r="A1248" s="25" t="s">
        <v>726</v>
      </c>
      <c r="B1248" s="13">
        <v>0</v>
      </c>
      <c r="C1248">
        <f>SUM($B$4:B1248)</f>
        <v>20811313.012830012</v>
      </c>
      <c r="D1248" s="26">
        <f t="shared" si="38"/>
        <v>0.65591068196967905</v>
      </c>
      <c r="E1248" t="str">
        <f t="shared" si="39"/>
        <v>C</v>
      </c>
    </row>
    <row r="1249" spans="1:5" x14ac:dyDescent="0.45">
      <c r="A1249" s="18" t="s">
        <v>786</v>
      </c>
      <c r="B1249" s="13">
        <v>0</v>
      </c>
      <c r="C1249">
        <f>SUM($B$4:B1249)</f>
        <v>20811313.012830012</v>
      </c>
      <c r="D1249" s="26">
        <f t="shared" si="38"/>
        <v>0.65591068196967905</v>
      </c>
      <c r="E1249" t="str">
        <f t="shared" si="39"/>
        <v>C</v>
      </c>
    </row>
    <row r="1250" spans="1:5" x14ac:dyDescent="0.45">
      <c r="A1250" s="25" t="s">
        <v>727</v>
      </c>
      <c r="B1250" s="13">
        <v>0</v>
      </c>
      <c r="C1250">
        <f>SUM($B$4:B1250)</f>
        <v>20811313.012830012</v>
      </c>
      <c r="D1250" s="26">
        <f t="shared" si="38"/>
        <v>0.65591068196967905</v>
      </c>
      <c r="E1250" t="str">
        <f t="shared" si="39"/>
        <v>C</v>
      </c>
    </row>
    <row r="1251" spans="1:5" x14ac:dyDescent="0.45">
      <c r="A1251" s="18" t="s">
        <v>1435</v>
      </c>
      <c r="B1251" s="13">
        <v>10917569.56968</v>
      </c>
      <c r="C1251">
        <f>SUM($B$4:B1251)</f>
        <v>31728882.582510009</v>
      </c>
      <c r="D1251" s="26">
        <f t="shared" si="38"/>
        <v>1</v>
      </c>
      <c r="E1251" t="str">
        <f t="shared" si="39"/>
        <v>A</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35"/>
  <sheetViews>
    <sheetView topLeftCell="U1" workbookViewId="0">
      <pane ySplit="1" topLeftCell="A612" activePane="bottomLeft" state="frozen"/>
      <selection activeCell="AB1" sqref="AB1"/>
      <selection pane="bottomLeft" activeCell="AE635" sqref="AE635"/>
    </sheetView>
  </sheetViews>
  <sheetFormatPr defaultRowHeight="14.25" x14ac:dyDescent="0.45"/>
  <cols>
    <col min="1" max="1" width="15.53125" style="3" bestFit="1" customWidth="1"/>
    <col min="2" max="2" width="10.19921875" style="5" bestFit="1" customWidth="1"/>
    <col min="3" max="3" width="18.06640625" style="9" customWidth="1"/>
    <col min="4" max="4" width="10.19921875" style="5" customWidth="1"/>
    <col min="5" max="5" width="20.3984375" style="5" bestFit="1" customWidth="1"/>
    <col min="6" max="7" width="20.3984375" style="9" customWidth="1"/>
    <col min="8" max="8" width="7.9296875" style="3" bestFit="1" customWidth="1"/>
    <col min="9" max="9" width="13.53125" style="3" bestFit="1" customWidth="1"/>
    <col min="10" max="10" width="11.73046875" style="3" bestFit="1" customWidth="1"/>
    <col min="11" max="11" width="32.6640625" style="13" bestFit="1" customWidth="1"/>
    <col min="12" max="12" width="15.86328125" style="3" bestFit="1" customWidth="1"/>
    <col min="13" max="13" width="10.59765625" style="3" bestFit="1" customWidth="1"/>
    <col min="14" max="14" width="15.59765625" style="13" bestFit="1" customWidth="1"/>
    <col min="15" max="15" width="21.86328125" style="3" bestFit="1" customWidth="1"/>
    <col min="16" max="16" width="17.86328125" style="3" bestFit="1" customWidth="1"/>
    <col min="17" max="17" width="17.86328125" style="13" customWidth="1"/>
    <col min="18" max="18" width="9.53125" style="3" bestFit="1" customWidth="1"/>
    <col min="19" max="19" width="8.46484375" style="7" bestFit="1" customWidth="1"/>
    <col min="20" max="20" width="15.6640625" style="7" bestFit="1" customWidth="1"/>
    <col min="21" max="22" width="17" style="7" bestFit="1" customWidth="1"/>
    <col min="23" max="23" width="17" style="7" customWidth="1"/>
    <col min="24" max="24" width="16.19921875" style="16" bestFit="1" customWidth="1"/>
    <col min="25" max="25" width="13" bestFit="1" customWidth="1"/>
    <col min="26" max="26" width="16.19921875" style="16" bestFit="1" customWidth="1"/>
    <col min="27" max="27" width="16.19921875" style="16" customWidth="1"/>
    <col min="28" max="28" width="7.86328125" style="9" bestFit="1" customWidth="1"/>
    <col min="29" max="29" width="15.46484375" style="9" bestFit="1" customWidth="1"/>
    <col min="30" max="30" width="13.796875" style="9" bestFit="1" customWidth="1"/>
    <col min="31" max="31" width="13.796875" style="9" customWidth="1"/>
    <col min="32" max="32" width="16.73046875" style="9" bestFit="1" customWidth="1"/>
    <col min="33" max="33" width="16" bestFit="1" customWidth="1"/>
    <col min="34" max="34" width="16" customWidth="1"/>
    <col min="35" max="35" width="12.33203125" bestFit="1" customWidth="1"/>
    <col min="36" max="36" width="12.33203125" style="5" customWidth="1"/>
    <col min="37" max="37" width="21.46484375" customWidth="1"/>
    <col min="38" max="38" width="16.9296875" bestFit="1" customWidth="1"/>
  </cols>
  <sheetData>
    <row r="1" spans="1:40" x14ac:dyDescent="0.45">
      <c r="A1" s="2" t="s">
        <v>0</v>
      </c>
      <c r="B1" s="4" t="s">
        <v>1</v>
      </c>
      <c r="C1" s="8" t="s">
        <v>1416</v>
      </c>
      <c r="D1" s="4" t="s">
        <v>1417</v>
      </c>
      <c r="E1" s="4" t="s">
        <v>1424</v>
      </c>
      <c r="F1" s="8" t="s">
        <v>1415</v>
      </c>
      <c r="G1" s="8" t="s">
        <v>1519</v>
      </c>
      <c r="H1" s="2" t="s">
        <v>2</v>
      </c>
      <c r="I1" s="2" t="s">
        <v>3</v>
      </c>
      <c r="J1" s="2" t="s">
        <v>1421</v>
      </c>
      <c r="K1" s="12" t="s">
        <v>1429</v>
      </c>
      <c r="L1" s="2" t="s">
        <v>4</v>
      </c>
      <c r="M1" s="2" t="s">
        <v>5</v>
      </c>
      <c r="N1" s="12" t="s">
        <v>1423</v>
      </c>
      <c r="O1" s="2" t="s">
        <v>1422</v>
      </c>
      <c r="P1" s="2" t="s">
        <v>1432</v>
      </c>
      <c r="Q1" s="12" t="s">
        <v>1433</v>
      </c>
      <c r="R1" s="2" t="s">
        <v>6</v>
      </c>
      <c r="S1" s="6" t="s">
        <v>7</v>
      </c>
      <c r="T1" s="6" t="s">
        <v>1524</v>
      </c>
      <c r="U1" s="6" t="s">
        <v>1418</v>
      </c>
      <c r="V1" s="6" t="s">
        <v>1418</v>
      </c>
      <c r="W1" s="6" t="s">
        <v>1527</v>
      </c>
      <c r="X1" s="15" t="s">
        <v>1420</v>
      </c>
      <c r="Y1" s="1" t="s">
        <v>1419</v>
      </c>
      <c r="Z1" s="15" t="s">
        <v>1420</v>
      </c>
      <c r="AA1" s="15" t="s">
        <v>1526</v>
      </c>
      <c r="AB1" s="8" t="s">
        <v>8</v>
      </c>
      <c r="AC1" s="10" t="s">
        <v>1525</v>
      </c>
      <c r="AD1" s="10" t="s">
        <v>1425</v>
      </c>
      <c r="AE1" s="10" t="s">
        <v>1520</v>
      </c>
      <c r="AF1" s="10" t="s">
        <v>1426</v>
      </c>
      <c r="AG1" s="11" t="s">
        <v>1427</v>
      </c>
      <c r="AH1" s="11" t="s">
        <v>1528</v>
      </c>
      <c r="AI1" s="11" t="s">
        <v>1428</v>
      </c>
      <c r="AJ1" s="17" t="s">
        <v>1437</v>
      </c>
      <c r="AK1" s="11" t="s">
        <v>1436</v>
      </c>
      <c r="AL1">
        <v>0</v>
      </c>
      <c r="AM1">
        <v>0</v>
      </c>
      <c r="AN1">
        <v>0</v>
      </c>
    </row>
    <row r="2" spans="1:40" x14ac:dyDescent="0.45">
      <c r="A2" s="3" t="s">
        <v>9</v>
      </c>
      <c r="B2" s="5">
        <v>45362</v>
      </c>
      <c r="C2" s="9" t="str">
        <f t="shared" ref="C2:C65" si="0">TEXT(B2,"MMM-YYYY")</f>
        <v>Mar-2024</v>
      </c>
      <c r="D2" s="5" t="str">
        <f t="shared" ref="D2:D65" si="1">YEAR(B2)&amp; "-Q"&amp;ROUNDUP(MONTH(B2)/3,0)</f>
        <v>2024-Q1</v>
      </c>
      <c r="E2" s="5">
        <v>45388</v>
      </c>
      <c r="F2" s="9">
        <f>E2-B2</f>
        <v>26</v>
      </c>
      <c r="G2" s="9" t="str">
        <f>IF(F2&lt;=7,"ACHIEVED","NOT ACHIEVED")</f>
        <v>NOT ACHIEVED</v>
      </c>
      <c r="H2" s="3" t="s">
        <v>640</v>
      </c>
      <c r="I2" s="3" t="s">
        <v>644</v>
      </c>
      <c r="J2" s="3" t="s">
        <v>656</v>
      </c>
      <c r="K2" s="13" t="str">
        <f>H2&amp;" &gt; "&amp;I2&amp;" &gt; "&amp;J2</f>
        <v>Africa &gt; Kenya &gt; Kisumu</v>
      </c>
      <c r="L2" s="3" t="s">
        <v>695</v>
      </c>
      <c r="M2" s="3" t="s">
        <v>701</v>
      </c>
      <c r="N2" s="13" t="str">
        <f>IF(ISBLANK(M2),"Unknown",M2)</f>
        <v>Retail</v>
      </c>
      <c r="O2" s="3" t="s">
        <v>706</v>
      </c>
      <c r="P2" s="3" t="s">
        <v>721</v>
      </c>
      <c r="Q2" s="13" t="str">
        <f t="shared" ref="Q2:Q65" si="2">IF(U2&lt;=$AM$2,"Low",IF(U2&lt;=$AM$3,"Medium","High"))</f>
        <v>Low</v>
      </c>
      <c r="R2" s="3" t="s">
        <v>728</v>
      </c>
      <c r="S2" s="7">
        <v>279.24</v>
      </c>
      <c r="T2" s="7">
        <f>S2*(1+$AM$6)</f>
        <v>321.12599999999998</v>
      </c>
      <c r="U2" s="7">
        <v>608.9</v>
      </c>
      <c r="V2" s="7">
        <f>IF(U2&lt;0,"",U2)</f>
        <v>608.9</v>
      </c>
      <c r="W2" s="7">
        <f>V2*(1+$AM$6)</f>
        <v>700.2349999999999</v>
      </c>
      <c r="X2" s="16">
        <v>0.112</v>
      </c>
      <c r="Y2" t="str">
        <f>IF(X2&gt;0.3,"Excess dis","OK")</f>
        <v>OK</v>
      </c>
      <c r="Z2" s="16">
        <f>IF(X2&gt;0.3,0.3,X2)</f>
        <v>0.112</v>
      </c>
      <c r="AA2" s="16">
        <f>MIN(Z2,$AM$5)</f>
        <v>0.112</v>
      </c>
      <c r="AB2" s="9">
        <v>9</v>
      </c>
      <c r="AC2" s="9">
        <f>AB2*(1+$AM$7)</f>
        <v>10.799999999999999</v>
      </c>
      <c r="AD2" s="9">
        <f t="shared" ref="AD2:AD33" si="3">V2*AB2*(1-Z2)</f>
        <v>4866.3287999999993</v>
      </c>
      <c r="AE2" s="9">
        <f>W2*AC2*(1+AA2)</f>
        <v>8409.5422559999988</v>
      </c>
      <c r="AF2" s="9">
        <f t="shared" ref="AF2:AF33" si="4">S2*AB2</f>
        <v>2513.16</v>
      </c>
      <c r="AG2" s="9">
        <f>AD2-AF2</f>
        <v>2353.1687999999995</v>
      </c>
      <c r="AH2" s="9">
        <f>AE2-AF2</f>
        <v>5896.382255999999</v>
      </c>
      <c r="AI2">
        <f t="shared" ref="AI2:AI33" si="5">IF(AD2=0,0,AG2/AD2)</f>
        <v>0.48356140670149533</v>
      </c>
      <c r="AJ2" s="5">
        <f t="shared" ref="AJ2:AJ65" si="6">MIN(IF($I$2:$I$632=I2, $B$2:$B$632))</f>
        <v>44928</v>
      </c>
      <c r="AK2" t="str">
        <f>TEXT(AJ2,"MMM-YYYY")</f>
        <v>Jan-2023</v>
      </c>
      <c r="AL2" t="s">
        <v>1430</v>
      </c>
      <c r="AM2">
        <f>_xlfn.PERCENTILE.INC(V:V,0.33)</f>
        <v>815.10700000000008</v>
      </c>
      <c r="AN2">
        <v>0</v>
      </c>
    </row>
    <row r="3" spans="1:40" x14ac:dyDescent="0.45">
      <c r="A3" s="3" t="s">
        <v>18</v>
      </c>
      <c r="B3" s="5">
        <v>45798</v>
      </c>
      <c r="C3" s="9" t="str">
        <f t="shared" si="0"/>
        <v>May-2025</v>
      </c>
      <c r="D3" s="5" t="str">
        <f t="shared" si="1"/>
        <v>2025-Q2</v>
      </c>
      <c r="E3" s="5">
        <v>45817</v>
      </c>
      <c r="F3" s="9">
        <f t="shared" ref="F3:F66" si="7">E3-B3</f>
        <v>19</v>
      </c>
      <c r="G3" s="9" t="str">
        <f t="shared" ref="G3:G66" si="8">IF(F3&lt;=7,"ACHIEVED","NOT ACHIEVED")</f>
        <v>NOT ACHIEVED</v>
      </c>
      <c r="H3" s="3" t="s">
        <v>642</v>
      </c>
      <c r="I3" s="3" t="s">
        <v>649</v>
      </c>
      <c r="J3" s="3" t="s">
        <v>664</v>
      </c>
      <c r="K3" s="13" t="str">
        <f>H3&amp;" &gt; "&amp;I3&amp;" &gt; "&amp;J3</f>
        <v>Americas &gt; Brazil &gt; São Paulo</v>
      </c>
      <c r="L3" s="3" t="s">
        <v>697</v>
      </c>
      <c r="M3" s="3" t="s">
        <v>702</v>
      </c>
      <c r="N3" s="13" t="str">
        <f t="shared" ref="N3:N65" si="9">IF(ISBLANK(M3),"Unknown",M3)</f>
        <v>Online</v>
      </c>
      <c r="O3" s="3" t="s">
        <v>714</v>
      </c>
      <c r="P3" s="3" t="s">
        <v>721</v>
      </c>
      <c r="Q3" s="13" t="str">
        <f t="shared" si="2"/>
        <v>High</v>
      </c>
      <c r="R3" s="3" t="s">
        <v>737</v>
      </c>
      <c r="S3" s="7">
        <v>1331.38</v>
      </c>
      <c r="T3" s="7">
        <f t="shared" ref="T3:T66" si="10">S3*(1+$AM$6)</f>
        <v>1531.087</v>
      </c>
      <c r="U3" s="7">
        <v>2309.56</v>
      </c>
      <c r="V3" s="7">
        <f t="shared" ref="V3:V65" si="11">IF(U3&lt;0,"",U3)</f>
        <v>2309.56</v>
      </c>
      <c r="W3" s="7">
        <f t="shared" ref="W3:W66" si="12">V3*(1+$AM$6)</f>
        <v>2655.9939999999997</v>
      </c>
      <c r="X3" s="16">
        <v>0.14899999999999999</v>
      </c>
      <c r="Y3" t="str">
        <f t="shared" ref="Y3:Y65" si="13">IF(X3&gt;0.3,"Excess dis","OK")</f>
        <v>OK</v>
      </c>
      <c r="Z3" s="16">
        <f t="shared" ref="Z3:Z65" si="14">IF(X3&gt;0.3,0.3,X3)</f>
        <v>0.14899999999999999</v>
      </c>
      <c r="AA3" s="16">
        <f t="shared" ref="AA3:AA66" si="15">MIN(Z3,$AM$5)</f>
        <v>0.14899999999999999</v>
      </c>
      <c r="AB3" s="9">
        <v>31</v>
      </c>
      <c r="AC3" s="9">
        <f t="shared" ref="AC3:AC66" si="16">AB3*(1+$AM$7)</f>
        <v>37.199999999999996</v>
      </c>
      <c r="AD3" s="9">
        <f t="shared" si="3"/>
        <v>60928.502359999999</v>
      </c>
      <c r="AE3" s="9">
        <f t="shared" ref="AE3:AE66" si="17">W3*AC3*(1+AA3)</f>
        <v>113524.62034319997</v>
      </c>
      <c r="AF3" s="9">
        <f t="shared" si="4"/>
        <v>41272.780000000006</v>
      </c>
      <c r="AG3" s="9">
        <f t="shared" ref="AG3:AG65" si="18">AD3-AF3</f>
        <v>19655.722359999992</v>
      </c>
      <c r="AH3" s="9">
        <f t="shared" ref="AH3:AH66" si="19">AE3-AF3</f>
        <v>72251.840343199961</v>
      </c>
      <c r="AI3">
        <f t="shared" si="5"/>
        <v>0.32260307735553528</v>
      </c>
      <c r="AJ3" s="5">
        <f t="shared" si="6"/>
        <v>44928</v>
      </c>
      <c r="AK3" t="str">
        <f t="shared" ref="AK3:AK65" si="20">TEXT(AJ3,"MMM-YYYY")</f>
        <v>Jan-2023</v>
      </c>
      <c r="AL3" t="s">
        <v>1431</v>
      </c>
      <c r="AM3">
        <f>_xlfn.PERCENTILE.INC(V2:V632,0.66)</f>
        <v>1620.05</v>
      </c>
      <c r="AN3">
        <v>0</v>
      </c>
    </row>
    <row r="4" spans="1:40" x14ac:dyDescent="0.45">
      <c r="A4" s="3" t="s">
        <v>21</v>
      </c>
      <c r="B4" s="5">
        <v>45722</v>
      </c>
      <c r="C4" s="9" t="str">
        <f t="shared" si="0"/>
        <v>Mar-2025</v>
      </c>
      <c r="D4" s="5" t="str">
        <f t="shared" si="1"/>
        <v>2025-Q1</v>
      </c>
      <c r="E4" s="5">
        <v>45747</v>
      </c>
      <c r="F4" s="9">
        <f t="shared" si="7"/>
        <v>25</v>
      </c>
      <c r="G4" s="9" t="str">
        <f t="shared" si="8"/>
        <v>NOT ACHIEVED</v>
      </c>
      <c r="H4" s="3" t="s">
        <v>642</v>
      </c>
      <c r="I4" s="3" t="s">
        <v>649</v>
      </c>
      <c r="J4" s="3" t="s">
        <v>666</v>
      </c>
      <c r="K4" s="13" t="str">
        <f t="shared" ref="K4:K66" si="21">H4&amp;" &gt; "&amp;I4&amp;" &gt; "&amp;J4</f>
        <v>Americas &gt; Brazil &gt; Brasília</v>
      </c>
      <c r="L4" s="3" t="s">
        <v>697</v>
      </c>
      <c r="M4" s="3" t="s">
        <v>702</v>
      </c>
      <c r="N4" s="13" t="str">
        <f t="shared" si="9"/>
        <v>Online</v>
      </c>
      <c r="O4" s="3" t="s">
        <v>707</v>
      </c>
      <c r="P4" s="3" t="s">
        <v>721</v>
      </c>
      <c r="Q4" s="13" t="str">
        <f t="shared" si="2"/>
        <v>Low</v>
      </c>
      <c r="R4" s="3" t="s">
        <v>740</v>
      </c>
      <c r="S4" s="7">
        <v>331.57</v>
      </c>
      <c r="T4" s="7">
        <f t="shared" si="10"/>
        <v>381.30549999999994</v>
      </c>
      <c r="U4" s="7">
        <v>548.4</v>
      </c>
      <c r="V4" s="7">
        <f t="shared" si="11"/>
        <v>548.4</v>
      </c>
      <c r="W4" s="7">
        <f t="shared" si="12"/>
        <v>630.66</v>
      </c>
      <c r="X4" s="16">
        <v>9.4E-2</v>
      </c>
      <c r="Y4" t="str">
        <f t="shared" si="13"/>
        <v>OK</v>
      </c>
      <c r="Z4" s="16">
        <f t="shared" si="14"/>
        <v>9.4E-2</v>
      </c>
      <c r="AA4" s="16">
        <f t="shared" si="15"/>
        <v>9.4E-2</v>
      </c>
      <c r="AB4" s="9">
        <v>10</v>
      </c>
      <c r="AC4" s="9">
        <f t="shared" si="16"/>
        <v>12</v>
      </c>
      <c r="AD4" s="9">
        <f t="shared" si="3"/>
        <v>4968.5039999999999</v>
      </c>
      <c r="AE4" s="9">
        <f t="shared" si="17"/>
        <v>8279.3044800000007</v>
      </c>
      <c r="AF4" s="9">
        <f t="shared" si="4"/>
        <v>3315.7</v>
      </c>
      <c r="AG4" s="9">
        <f t="shared" si="18"/>
        <v>1652.8040000000001</v>
      </c>
      <c r="AH4" s="9">
        <f t="shared" si="19"/>
        <v>4963.6044800000009</v>
      </c>
      <c r="AI4">
        <f t="shared" si="5"/>
        <v>0.33265626836568918</v>
      </c>
      <c r="AJ4" s="5">
        <f t="shared" si="6"/>
        <v>44928</v>
      </c>
      <c r="AK4" t="str">
        <f t="shared" si="20"/>
        <v>Jan-2023</v>
      </c>
      <c r="AL4">
        <v>0</v>
      </c>
      <c r="AM4">
        <v>0</v>
      </c>
      <c r="AN4">
        <v>0</v>
      </c>
    </row>
    <row r="5" spans="1:40" x14ac:dyDescent="0.45">
      <c r="A5" s="3" t="s">
        <v>23</v>
      </c>
      <c r="B5" s="5">
        <v>45901</v>
      </c>
      <c r="C5" s="9" t="str">
        <f t="shared" si="0"/>
        <v>Sep-2025</v>
      </c>
      <c r="D5" s="5" t="str">
        <f t="shared" si="1"/>
        <v>2025-Q3</v>
      </c>
      <c r="E5" s="5">
        <v>45930</v>
      </c>
      <c r="F5" s="9">
        <f t="shared" si="7"/>
        <v>29</v>
      </c>
      <c r="G5" s="9" t="str">
        <f t="shared" si="8"/>
        <v>NOT ACHIEVED</v>
      </c>
      <c r="H5" s="3" t="s">
        <v>642</v>
      </c>
      <c r="I5" s="3" t="s">
        <v>649</v>
      </c>
      <c r="J5" s="3" t="s">
        <v>666</v>
      </c>
      <c r="K5" s="13" t="str">
        <f t="shared" si="21"/>
        <v>Americas &gt; Brazil &gt; Brasília</v>
      </c>
      <c r="L5" s="3" t="s">
        <v>696</v>
      </c>
      <c r="M5" s="3" t="s">
        <v>701</v>
      </c>
      <c r="N5" s="13" t="str">
        <f t="shared" si="9"/>
        <v>Retail</v>
      </c>
      <c r="O5" s="3" t="s">
        <v>717</v>
      </c>
      <c r="P5" s="3" t="s">
        <v>727</v>
      </c>
      <c r="Q5" s="13" t="str">
        <f t="shared" si="2"/>
        <v>Low</v>
      </c>
      <c r="R5" s="3" t="s">
        <v>742</v>
      </c>
      <c r="S5" s="7">
        <v>780.59</v>
      </c>
      <c r="T5" s="7">
        <f t="shared" si="10"/>
        <v>897.67849999999999</v>
      </c>
      <c r="U5" s="7">
        <v>631.57000000000005</v>
      </c>
      <c r="V5" s="7">
        <f t="shared" si="11"/>
        <v>631.57000000000005</v>
      </c>
      <c r="W5" s="7">
        <f t="shared" si="12"/>
        <v>726.30550000000005</v>
      </c>
      <c r="X5" s="16">
        <v>0</v>
      </c>
      <c r="Y5" t="str">
        <f t="shared" si="13"/>
        <v>OK</v>
      </c>
      <c r="Z5" s="16">
        <f t="shared" si="14"/>
        <v>0</v>
      </c>
      <c r="AA5" s="16">
        <f t="shared" si="15"/>
        <v>0</v>
      </c>
      <c r="AB5" s="9">
        <v>12</v>
      </c>
      <c r="AC5" s="9">
        <f t="shared" si="16"/>
        <v>14.399999999999999</v>
      </c>
      <c r="AD5" s="9">
        <f t="shared" si="3"/>
        <v>7578.84</v>
      </c>
      <c r="AE5" s="9">
        <f t="shared" si="17"/>
        <v>10458.799199999999</v>
      </c>
      <c r="AF5" s="9">
        <f t="shared" si="4"/>
        <v>9367.08</v>
      </c>
      <c r="AG5" s="9">
        <f t="shared" si="18"/>
        <v>-1788.2399999999998</v>
      </c>
      <c r="AH5" s="9">
        <f t="shared" si="19"/>
        <v>1091.7191999999995</v>
      </c>
      <c r="AI5">
        <f t="shared" si="5"/>
        <v>-0.23595167598207639</v>
      </c>
      <c r="AJ5" s="5">
        <f t="shared" si="6"/>
        <v>44928</v>
      </c>
      <c r="AK5" t="str">
        <f t="shared" si="20"/>
        <v>Jan-2023</v>
      </c>
      <c r="AL5" t="s">
        <v>1521</v>
      </c>
      <c r="AM5" s="26">
        <v>0.25</v>
      </c>
      <c r="AN5">
        <v>0</v>
      </c>
    </row>
    <row r="6" spans="1:40" x14ac:dyDescent="0.45">
      <c r="A6" s="3" t="s">
        <v>27</v>
      </c>
      <c r="B6" s="5">
        <v>45858</v>
      </c>
      <c r="C6" s="9" t="str">
        <f t="shared" si="0"/>
        <v>Jul-2025</v>
      </c>
      <c r="D6" s="5" t="str">
        <f t="shared" si="1"/>
        <v>2025-Q3</v>
      </c>
      <c r="E6" s="5">
        <v>45874</v>
      </c>
      <c r="F6" s="9">
        <f t="shared" si="7"/>
        <v>16</v>
      </c>
      <c r="G6" s="9" t="str">
        <f t="shared" si="8"/>
        <v>NOT ACHIEVED</v>
      </c>
      <c r="H6" s="3" t="s">
        <v>642</v>
      </c>
      <c r="I6" s="3" t="s">
        <v>649</v>
      </c>
      <c r="J6" s="3" t="s">
        <v>666</v>
      </c>
      <c r="K6" s="13" t="str">
        <f t="shared" si="21"/>
        <v>Americas &gt; Brazil &gt; Brasília</v>
      </c>
      <c r="L6" s="3" t="s">
        <v>700</v>
      </c>
      <c r="M6" s="3" t="s">
        <v>703</v>
      </c>
      <c r="N6" s="13" t="str">
        <f t="shared" si="9"/>
        <v>Marketplace</v>
      </c>
      <c r="O6" s="3" t="s">
        <v>709</v>
      </c>
      <c r="P6" s="3" t="s">
        <v>727</v>
      </c>
      <c r="Q6" s="13" t="str">
        <f t="shared" si="2"/>
        <v>High</v>
      </c>
      <c r="R6" s="3" t="s">
        <v>746</v>
      </c>
      <c r="S6" s="7">
        <v>1068.17</v>
      </c>
      <c r="T6" s="7">
        <f t="shared" si="10"/>
        <v>1228.3955000000001</v>
      </c>
      <c r="U6" s="7">
        <v>2375.37</v>
      </c>
      <c r="V6" s="7">
        <f t="shared" si="11"/>
        <v>2375.37</v>
      </c>
      <c r="W6" s="7">
        <f t="shared" si="12"/>
        <v>2731.6754999999998</v>
      </c>
      <c r="X6" s="16">
        <v>0.109</v>
      </c>
      <c r="Y6" t="str">
        <f t="shared" si="13"/>
        <v>OK</v>
      </c>
      <c r="Z6" s="16">
        <f t="shared" si="14"/>
        <v>0.109</v>
      </c>
      <c r="AA6" s="16">
        <f t="shared" si="15"/>
        <v>0.109</v>
      </c>
      <c r="AB6" s="9">
        <v>18</v>
      </c>
      <c r="AC6" s="9">
        <f t="shared" si="16"/>
        <v>21.599999999999998</v>
      </c>
      <c r="AD6" s="9">
        <f t="shared" si="3"/>
        <v>38096.18406</v>
      </c>
      <c r="AE6" s="9">
        <f t="shared" si="17"/>
        <v>65435.64759719999</v>
      </c>
      <c r="AF6" s="9">
        <f t="shared" si="4"/>
        <v>19227.060000000001</v>
      </c>
      <c r="AG6" s="9">
        <f t="shared" si="18"/>
        <v>18869.124059999998</v>
      </c>
      <c r="AH6" s="9">
        <f t="shared" si="19"/>
        <v>46208.587597199992</v>
      </c>
      <c r="AI6">
        <f t="shared" si="5"/>
        <v>0.49530220744108822</v>
      </c>
      <c r="AJ6" s="5">
        <f t="shared" si="6"/>
        <v>44928</v>
      </c>
      <c r="AK6" t="str">
        <f t="shared" si="20"/>
        <v>Jan-2023</v>
      </c>
      <c r="AL6" t="s">
        <v>1522</v>
      </c>
      <c r="AM6" s="26">
        <v>0.15</v>
      </c>
      <c r="AN6">
        <v>0</v>
      </c>
    </row>
    <row r="7" spans="1:40" x14ac:dyDescent="0.45">
      <c r="A7" s="3" t="s">
        <v>33</v>
      </c>
      <c r="B7" s="5">
        <v>44964</v>
      </c>
      <c r="C7" s="9" t="str">
        <f t="shared" si="0"/>
        <v>Feb-2023</v>
      </c>
      <c r="D7" s="5" t="str">
        <f t="shared" si="1"/>
        <v>2023-Q1</v>
      </c>
      <c r="E7" s="5">
        <v>44969</v>
      </c>
      <c r="F7" s="9">
        <f t="shared" si="7"/>
        <v>5</v>
      </c>
      <c r="G7" s="9" t="str">
        <f t="shared" si="8"/>
        <v>ACHIEVED</v>
      </c>
      <c r="H7" s="3" t="s">
        <v>642</v>
      </c>
      <c r="I7" s="3" t="s">
        <v>649</v>
      </c>
      <c r="J7" s="3" t="s">
        <v>664</v>
      </c>
      <c r="K7" s="13" t="str">
        <f t="shared" si="21"/>
        <v>Americas &gt; Brazil &gt; São Paulo</v>
      </c>
      <c r="L7" s="3" t="s">
        <v>696</v>
      </c>
      <c r="M7" s="3" t="s">
        <v>702</v>
      </c>
      <c r="N7" s="13" t="str">
        <f t="shared" si="9"/>
        <v>Online</v>
      </c>
      <c r="O7" s="3" t="s">
        <v>719</v>
      </c>
      <c r="P7" s="3" t="s">
        <v>721</v>
      </c>
      <c r="Q7" s="13" t="str">
        <f t="shared" si="2"/>
        <v>High</v>
      </c>
      <c r="R7" s="3" t="s">
        <v>752</v>
      </c>
      <c r="S7" s="7">
        <v>948.55</v>
      </c>
      <c r="T7" s="7">
        <f t="shared" si="10"/>
        <v>1090.8324999999998</v>
      </c>
      <c r="U7" s="7">
        <v>2089.16</v>
      </c>
      <c r="V7" s="7">
        <f t="shared" si="11"/>
        <v>2089.16</v>
      </c>
      <c r="W7" s="7">
        <f t="shared" si="12"/>
        <v>2402.5339999999997</v>
      </c>
      <c r="X7" s="16">
        <v>7.0000000000000001E-3</v>
      </c>
      <c r="Y7" t="str">
        <f t="shared" si="13"/>
        <v>OK</v>
      </c>
      <c r="Z7" s="16">
        <f t="shared" si="14"/>
        <v>7.0000000000000001E-3</v>
      </c>
      <c r="AA7" s="16">
        <f t="shared" si="15"/>
        <v>7.0000000000000001E-3</v>
      </c>
      <c r="AB7" s="9">
        <v>12</v>
      </c>
      <c r="AC7" s="9">
        <f t="shared" si="16"/>
        <v>14.399999999999999</v>
      </c>
      <c r="AD7" s="9">
        <f t="shared" si="3"/>
        <v>24894.430559999997</v>
      </c>
      <c r="AE7" s="9">
        <f t="shared" si="17"/>
        <v>34838.66502719999</v>
      </c>
      <c r="AF7" s="9">
        <f t="shared" si="4"/>
        <v>11382.599999999999</v>
      </c>
      <c r="AG7" s="9">
        <f t="shared" si="18"/>
        <v>13511.830559999999</v>
      </c>
      <c r="AH7" s="9">
        <f t="shared" si="19"/>
        <v>23456.065027199991</v>
      </c>
      <c r="AI7">
        <f t="shared" si="5"/>
        <v>0.54276519912492427</v>
      </c>
      <c r="AJ7" s="5">
        <f t="shared" si="6"/>
        <v>44928</v>
      </c>
      <c r="AK7" t="str">
        <f t="shared" si="20"/>
        <v>Jan-2023</v>
      </c>
      <c r="AL7" t="s">
        <v>1523</v>
      </c>
      <c r="AM7" s="26">
        <v>0.2</v>
      </c>
      <c r="AN7">
        <v>0</v>
      </c>
    </row>
    <row r="8" spans="1:40" x14ac:dyDescent="0.45">
      <c r="A8" s="3" t="s">
        <v>34</v>
      </c>
      <c r="B8" s="5">
        <v>45473</v>
      </c>
      <c r="C8" s="9" t="str">
        <f t="shared" si="0"/>
        <v>Jun-2024</v>
      </c>
      <c r="D8" s="5" t="str">
        <f t="shared" si="1"/>
        <v>2024-Q2</v>
      </c>
      <c r="E8" s="5">
        <v>45487</v>
      </c>
      <c r="F8" s="9">
        <f t="shared" si="7"/>
        <v>14</v>
      </c>
      <c r="G8" s="9" t="str">
        <f t="shared" si="8"/>
        <v>NOT ACHIEVED</v>
      </c>
      <c r="H8" s="3" t="s">
        <v>642</v>
      </c>
      <c r="I8" s="3" t="s">
        <v>649</v>
      </c>
      <c r="J8" s="3" t="s">
        <v>666</v>
      </c>
      <c r="K8" s="13" t="str">
        <f t="shared" si="21"/>
        <v>Americas &gt; Brazil &gt; Brasília</v>
      </c>
      <c r="L8" s="3" t="s">
        <v>696</v>
      </c>
      <c r="M8" s="3" t="s">
        <v>701</v>
      </c>
      <c r="N8" s="13" t="str">
        <f t="shared" si="9"/>
        <v>Retail</v>
      </c>
      <c r="O8" s="3" t="s">
        <v>706</v>
      </c>
      <c r="P8" s="3" t="s">
        <v>727</v>
      </c>
      <c r="Q8" s="13" t="str">
        <f t="shared" si="2"/>
        <v>High</v>
      </c>
      <c r="R8" s="3" t="s">
        <v>753</v>
      </c>
      <c r="S8" s="7">
        <v>1491.85</v>
      </c>
      <c r="T8" s="7">
        <f t="shared" si="10"/>
        <v>1715.6274999999998</v>
      </c>
      <c r="U8" s="7">
        <v>2583.02</v>
      </c>
      <c r="V8" s="7">
        <f t="shared" si="11"/>
        <v>2583.02</v>
      </c>
      <c r="W8" s="7">
        <f t="shared" si="12"/>
        <v>2970.473</v>
      </c>
      <c r="X8" s="16">
        <v>0.16800000000000001</v>
      </c>
      <c r="Y8" t="str">
        <f t="shared" si="13"/>
        <v>OK</v>
      </c>
      <c r="Z8" s="16">
        <f t="shared" si="14"/>
        <v>0.16800000000000001</v>
      </c>
      <c r="AA8" s="16">
        <f t="shared" si="15"/>
        <v>0.16800000000000001</v>
      </c>
      <c r="AB8" s="9">
        <v>4</v>
      </c>
      <c r="AC8" s="9">
        <f t="shared" si="16"/>
        <v>4.8</v>
      </c>
      <c r="AD8" s="9">
        <f t="shared" si="3"/>
        <v>8596.2905599999995</v>
      </c>
      <c r="AE8" s="9">
        <f t="shared" si="17"/>
        <v>16653.659827199997</v>
      </c>
      <c r="AF8" s="9">
        <f t="shared" si="4"/>
        <v>5967.4</v>
      </c>
      <c r="AG8" s="9">
        <f t="shared" si="18"/>
        <v>2628.8905599999998</v>
      </c>
      <c r="AH8" s="9">
        <f t="shared" si="19"/>
        <v>10686.259827199998</v>
      </c>
      <c r="AI8">
        <f t="shared" si="5"/>
        <v>0.30581685689321325</v>
      </c>
      <c r="AJ8" s="5">
        <f t="shared" si="6"/>
        <v>44928</v>
      </c>
      <c r="AK8" t="str">
        <f t="shared" si="20"/>
        <v>Jan-2023</v>
      </c>
      <c r="AL8">
        <v>0</v>
      </c>
      <c r="AM8">
        <v>0</v>
      </c>
      <c r="AN8">
        <v>0</v>
      </c>
    </row>
    <row r="9" spans="1:40" x14ac:dyDescent="0.45">
      <c r="A9" s="3" t="s">
        <v>64</v>
      </c>
      <c r="B9" s="5">
        <v>45753</v>
      </c>
      <c r="C9" s="9" t="str">
        <f t="shared" si="0"/>
        <v>Apr-2025</v>
      </c>
      <c r="D9" s="5" t="str">
        <f t="shared" si="1"/>
        <v>2025-Q2</v>
      </c>
      <c r="E9" s="5">
        <v>45777</v>
      </c>
      <c r="F9" s="9">
        <f t="shared" si="7"/>
        <v>24</v>
      </c>
      <c r="G9" s="9" t="str">
        <f t="shared" si="8"/>
        <v>NOT ACHIEVED</v>
      </c>
      <c r="H9" s="3" t="s">
        <v>642</v>
      </c>
      <c r="I9" s="3" t="s">
        <v>649</v>
      </c>
      <c r="J9" s="3" t="s">
        <v>666</v>
      </c>
      <c r="K9" s="13" t="str">
        <f t="shared" si="21"/>
        <v>Americas &gt; Brazil &gt; Brasília</v>
      </c>
      <c r="L9" s="3" t="s">
        <v>696</v>
      </c>
      <c r="M9" s="3" t="s">
        <v>702</v>
      </c>
      <c r="N9" s="13" t="str">
        <f t="shared" si="9"/>
        <v>Online</v>
      </c>
      <c r="O9" s="3" t="s">
        <v>717</v>
      </c>
      <c r="P9" s="3" t="s">
        <v>726</v>
      </c>
      <c r="Q9" s="13" t="str">
        <f t="shared" si="2"/>
        <v>Medium</v>
      </c>
      <c r="R9" s="3" t="s">
        <v>783</v>
      </c>
      <c r="S9" s="7">
        <v>855.78</v>
      </c>
      <c r="T9" s="7">
        <f t="shared" si="10"/>
        <v>984.14699999999993</v>
      </c>
      <c r="U9" s="7">
        <v>977.38</v>
      </c>
      <c r="V9" s="7">
        <f t="shared" si="11"/>
        <v>977.38</v>
      </c>
      <c r="W9" s="7">
        <f t="shared" si="12"/>
        <v>1123.9869999999999</v>
      </c>
      <c r="X9" s="16">
        <v>0.14699999999999999</v>
      </c>
      <c r="Y9" t="str">
        <f t="shared" si="13"/>
        <v>OK</v>
      </c>
      <c r="Z9" s="16">
        <f t="shared" si="14"/>
        <v>0.14699999999999999</v>
      </c>
      <c r="AA9" s="16">
        <f t="shared" si="15"/>
        <v>0.14699999999999999</v>
      </c>
      <c r="AB9" s="9">
        <v>38</v>
      </c>
      <c r="AC9" s="9">
        <f t="shared" si="16"/>
        <v>45.6</v>
      </c>
      <c r="AD9" s="9">
        <f t="shared" si="3"/>
        <v>31680.795320000001</v>
      </c>
      <c r="AE9" s="9">
        <f t="shared" si="17"/>
        <v>58788.116858399997</v>
      </c>
      <c r="AF9" s="9">
        <f t="shared" si="4"/>
        <v>32519.64</v>
      </c>
      <c r="AG9" s="9">
        <f t="shared" si="18"/>
        <v>-838.84467999999833</v>
      </c>
      <c r="AH9" s="9">
        <f t="shared" si="19"/>
        <v>26268.476858399998</v>
      </c>
      <c r="AI9">
        <f t="shared" si="5"/>
        <v>-2.6478018355506307E-2</v>
      </c>
      <c r="AJ9" s="5">
        <f t="shared" si="6"/>
        <v>44928</v>
      </c>
      <c r="AK9" t="str">
        <f t="shared" si="20"/>
        <v>Jan-2023</v>
      </c>
      <c r="AL9">
        <v>0</v>
      </c>
      <c r="AM9">
        <v>0</v>
      </c>
      <c r="AN9">
        <v>0</v>
      </c>
    </row>
    <row r="10" spans="1:40" x14ac:dyDescent="0.45">
      <c r="A10" s="3" t="s">
        <v>65</v>
      </c>
      <c r="B10" s="5">
        <v>45697</v>
      </c>
      <c r="C10" s="9" t="str">
        <f t="shared" si="0"/>
        <v>Feb-2025</v>
      </c>
      <c r="D10" s="5" t="str">
        <f t="shared" si="1"/>
        <v>2025-Q1</v>
      </c>
      <c r="E10" s="5">
        <v>45717</v>
      </c>
      <c r="F10" s="9">
        <f t="shared" si="7"/>
        <v>20</v>
      </c>
      <c r="G10" s="9" t="str">
        <f t="shared" si="8"/>
        <v>NOT ACHIEVED</v>
      </c>
      <c r="H10" s="3" t="s">
        <v>642</v>
      </c>
      <c r="I10" s="3" t="s">
        <v>649</v>
      </c>
      <c r="J10" s="3" t="s">
        <v>664</v>
      </c>
      <c r="K10" s="13" t="str">
        <f t="shared" si="21"/>
        <v>Americas &gt; Brazil &gt; São Paulo</v>
      </c>
      <c r="L10" s="3" t="s">
        <v>695</v>
      </c>
      <c r="M10" s="3" t="s">
        <v>704</v>
      </c>
      <c r="N10" s="13" t="str">
        <f t="shared" si="9"/>
        <v>Distributor</v>
      </c>
      <c r="O10" s="3" t="s">
        <v>711</v>
      </c>
      <c r="P10" s="3" t="s">
        <v>725</v>
      </c>
      <c r="Q10" s="13" t="str">
        <f t="shared" si="2"/>
        <v>High</v>
      </c>
      <c r="R10" s="3" t="s">
        <v>784</v>
      </c>
      <c r="S10" s="7">
        <v>1154.6400000000001</v>
      </c>
      <c r="T10" s="7">
        <f t="shared" si="10"/>
        <v>1327.836</v>
      </c>
      <c r="U10" s="7">
        <v>2794.13</v>
      </c>
      <c r="V10" s="7">
        <f t="shared" si="11"/>
        <v>2794.13</v>
      </c>
      <c r="W10" s="7">
        <f t="shared" si="12"/>
        <v>3213.2494999999999</v>
      </c>
      <c r="X10" s="16">
        <v>3.5000000000000003E-2</v>
      </c>
      <c r="Y10" t="str">
        <f t="shared" si="13"/>
        <v>OK</v>
      </c>
      <c r="Z10" s="16">
        <f t="shared" si="14"/>
        <v>3.5000000000000003E-2</v>
      </c>
      <c r="AA10" s="16">
        <f t="shared" si="15"/>
        <v>3.5000000000000003E-2</v>
      </c>
      <c r="AB10" s="9">
        <v>11</v>
      </c>
      <c r="AC10" s="9">
        <f t="shared" si="16"/>
        <v>13.2</v>
      </c>
      <c r="AD10" s="9">
        <f t="shared" si="3"/>
        <v>29659.68995</v>
      </c>
      <c r="AE10" s="9">
        <f t="shared" si="17"/>
        <v>43899.414668999991</v>
      </c>
      <c r="AF10" s="9">
        <f t="shared" si="4"/>
        <v>12701.04</v>
      </c>
      <c r="AG10" s="9">
        <f t="shared" si="18"/>
        <v>16958.649949999999</v>
      </c>
      <c r="AH10" s="9">
        <f t="shared" si="19"/>
        <v>31198.37466899999</v>
      </c>
      <c r="AI10">
        <f t="shared" si="5"/>
        <v>0.57177435025749479</v>
      </c>
      <c r="AJ10" s="5">
        <f t="shared" si="6"/>
        <v>44928</v>
      </c>
      <c r="AK10" t="str">
        <f t="shared" si="20"/>
        <v>Jan-2023</v>
      </c>
      <c r="AL10">
        <v>0</v>
      </c>
      <c r="AM10">
        <v>0</v>
      </c>
      <c r="AN10">
        <v>0</v>
      </c>
    </row>
    <row r="11" spans="1:40" x14ac:dyDescent="0.45">
      <c r="A11" s="3" t="s">
        <v>74</v>
      </c>
      <c r="B11" s="5">
        <v>45263</v>
      </c>
      <c r="C11" s="9" t="str">
        <f t="shared" si="0"/>
        <v>Dec-2023</v>
      </c>
      <c r="D11" s="5" t="str">
        <f t="shared" si="1"/>
        <v>2023-Q4</v>
      </c>
      <c r="E11" s="5">
        <v>45286</v>
      </c>
      <c r="F11" s="9">
        <f t="shared" si="7"/>
        <v>23</v>
      </c>
      <c r="G11" s="9" t="str">
        <f t="shared" si="8"/>
        <v>NOT ACHIEVED</v>
      </c>
      <c r="H11" s="3" t="s">
        <v>642</v>
      </c>
      <c r="I11" s="3" t="s">
        <v>649</v>
      </c>
      <c r="J11" s="3" t="s">
        <v>686</v>
      </c>
      <c r="K11" s="13" t="str">
        <f t="shared" si="21"/>
        <v>Americas &gt; Brazil &gt; Rio de Janeiro</v>
      </c>
      <c r="L11" s="3" t="s">
        <v>696</v>
      </c>
      <c r="M11" s="3" t="s">
        <v>701</v>
      </c>
      <c r="N11" s="13" t="str">
        <f t="shared" si="9"/>
        <v>Retail</v>
      </c>
      <c r="O11" s="3" t="s">
        <v>713</v>
      </c>
      <c r="P11" s="3" t="s">
        <v>724</v>
      </c>
      <c r="Q11" s="13" t="str">
        <f t="shared" si="2"/>
        <v>Medium</v>
      </c>
      <c r="R11" s="3" t="s">
        <v>793</v>
      </c>
      <c r="S11" s="7">
        <v>1303.1099999999999</v>
      </c>
      <c r="T11" s="7">
        <f t="shared" si="10"/>
        <v>1498.5764999999997</v>
      </c>
      <c r="U11" s="7">
        <v>1145.67</v>
      </c>
      <c r="V11" s="7">
        <f t="shared" si="11"/>
        <v>1145.67</v>
      </c>
      <c r="W11" s="7">
        <f t="shared" si="12"/>
        <v>1317.5205000000001</v>
      </c>
      <c r="X11" s="16">
        <v>0.184</v>
      </c>
      <c r="Y11" t="str">
        <f t="shared" si="13"/>
        <v>OK</v>
      </c>
      <c r="Z11" s="16">
        <f t="shared" si="14"/>
        <v>0.184</v>
      </c>
      <c r="AA11" s="16">
        <f t="shared" si="15"/>
        <v>0.184</v>
      </c>
      <c r="AB11" s="9">
        <v>13</v>
      </c>
      <c r="AC11" s="9">
        <f t="shared" si="16"/>
        <v>15.6</v>
      </c>
      <c r="AD11" s="9">
        <f t="shared" si="3"/>
        <v>12153.267360000002</v>
      </c>
      <c r="AE11" s="9">
        <f t="shared" si="17"/>
        <v>24335.130643200002</v>
      </c>
      <c r="AF11" s="9">
        <f t="shared" si="4"/>
        <v>16940.43</v>
      </c>
      <c r="AG11" s="9">
        <f t="shared" si="18"/>
        <v>-4787.1626399999986</v>
      </c>
      <c r="AH11" s="9">
        <f t="shared" si="19"/>
        <v>7394.7006432000017</v>
      </c>
      <c r="AI11">
        <f t="shared" si="5"/>
        <v>-0.39389922875851208</v>
      </c>
      <c r="AJ11" s="5">
        <f t="shared" si="6"/>
        <v>44928</v>
      </c>
      <c r="AK11" t="str">
        <f t="shared" si="20"/>
        <v>Jan-2023</v>
      </c>
      <c r="AL11">
        <v>0</v>
      </c>
      <c r="AM11">
        <v>0</v>
      </c>
      <c r="AN11">
        <v>0</v>
      </c>
    </row>
    <row r="12" spans="1:40" x14ac:dyDescent="0.45">
      <c r="A12" s="3" t="s">
        <v>80</v>
      </c>
      <c r="B12" s="5">
        <v>45756</v>
      </c>
      <c r="C12" s="9" t="str">
        <f t="shared" si="0"/>
        <v>Apr-2025</v>
      </c>
      <c r="D12" s="5" t="str">
        <f t="shared" si="1"/>
        <v>2025-Q2</v>
      </c>
      <c r="E12" s="5">
        <v>45783</v>
      </c>
      <c r="F12" s="9">
        <f t="shared" si="7"/>
        <v>27</v>
      </c>
      <c r="G12" s="9" t="str">
        <f t="shared" si="8"/>
        <v>NOT ACHIEVED</v>
      </c>
      <c r="H12" s="3" t="s">
        <v>642</v>
      </c>
      <c r="I12" s="3" t="s">
        <v>649</v>
      </c>
      <c r="J12" s="3" t="s">
        <v>666</v>
      </c>
      <c r="K12" s="13" t="str">
        <f t="shared" si="21"/>
        <v>Americas &gt; Brazil &gt; Brasília</v>
      </c>
      <c r="L12" s="3" t="s">
        <v>700</v>
      </c>
      <c r="M12" s="3" t="s">
        <v>703</v>
      </c>
      <c r="N12" s="13" t="str">
        <f t="shared" si="9"/>
        <v>Marketplace</v>
      </c>
      <c r="O12" s="3" t="s">
        <v>715</v>
      </c>
      <c r="P12" s="3" t="s">
        <v>725</v>
      </c>
      <c r="Q12" s="13" t="str">
        <f t="shared" si="2"/>
        <v>Low</v>
      </c>
      <c r="R12" s="3" t="s">
        <v>799</v>
      </c>
      <c r="S12" s="7">
        <v>264.19</v>
      </c>
      <c r="T12" s="7">
        <f t="shared" si="10"/>
        <v>303.81849999999997</v>
      </c>
      <c r="U12" s="7">
        <v>620.92999999999995</v>
      </c>
      <c r="V12" s="7">
        <f t="shared" si="11"/>
        <v>620.92999999999995</v>
      </c>
      <c r="W12" s="7">
        <f t="shared" si="12"/>
        <v>714.06949999999983</v>
      </c>
      <c r="X12" s="16">
        <v>0.14199999999999999</v>
      </c>
      <c r="Y12" t="str">
        <f t="shared" si="13"/>
        <v>OK</v>
      </c>
      <c r="Z12" s="16">
        <f t="shared" si="14"/>
        <v>0.14199999999999999</v>
      </c>
      <c r="AA12" s="16">
        <f t="shared" si="15"/>
        <v>0.14199999999999999</v>
      </c>
      <c r="AB12" s="9">
        <v>12</v>
      </c>
      <c r="AC12" s="9">
        <f t="shared" si="16"/>
        <v>14.399999999999999</v>
      </c>
      <c r="AD12" s="9">
        <f t="shared" si="3"/>
        <v>6393.0952799999995</v>
      </c>
      <c r="AE12" s="9">
        <f t="shared" si="17"/>
        <v>11742.730113599995</v>
      </c>
      <c r="AF12" s="9">
        <f t="shared" si="4"/>
        <v>3170.2799999999997</v>
      </c>
      <c r="AG12" s="9">
        <f t="shared" si="18"/>
        <v>3222.8152799999998</v>
      </c>
      <c r="AH12" s="9">
        <f t="shared" si="19"/>
        <v>8572.4501135999963</v>
      </c>
      <c r="AI12">
        <f t="shared" si="5"/>
        <v>0.50410875152794532</v>
      </c>
      <c r="AJ12" s="5">
        <f t="shared" si="6"/>
        <v>44928</v>
      </c>
      <c r="AK12" t="str">
        <f t="shared" si="20"/>
        <v>Jan-2023</v>
      </c>
      <c r="AL12">
        <v>0</v>
      </c>
      <c r="AM12">
        <v>0</v>
      </c>
      <c r="AN12">
        <v>0</v>
      </c>
    </row>
    <row r="13" spans="1:40" x14ac:dyDescent="0.45">
      <c r="A13" s="3" t="s">
        <v>85</v>
      </c>
      <c r="B13" s="5">
        <v>45532</v>
      </c>
      <c r="C13" s="9" t="str">
        <f t="shared" si="0"/>
        <v>Aug-2024</v>
      </c>
      <c r="D13" s="5" t="str">
        <f t="shared" si="1"/>
        <v>2024-Q3</v>
      </c>
      <c r="E13" s="5">
        <v>45560</v>
      </c>
      <c r="F13" s="9">
        <f t="shared" si="7"/>
        <v>28</v>
      </c>
      <c r="G13" s="9" t="str">
        <f t="shared" si="8"/>
        <v>NOT ACHIEVED</v>
      </c>
      <c r="H13" s="3" t="s">
        <v>642</v>
      </c>
      <c r="I13" s="3" t="s">
        <v>649</v>
      </c>
      <c r="J13" s="3" t="s">
        <v>686</v>
      </c>
      <c r="K13" s="13" t="str">
        <f t="shared" si="21"/>
        <v>Americas &gt; Brazil &gt; Rio de Janeiro</v>
      </c>
      <c r="L13" s="3" t="s">
        <v>697</v>
      </c>
      <c r="M13" s="3" t="s">
        <v>702</v>
      </c>
      <c r="N13" s="13" t="str">
        <f t="shared" si="9"/>
        <v>Online</v>
      </c>
      <c r="O13" s="3" t="s">
        <v>1443</v>
      </c>
      <c r="P13" s="3" t="s">
        <v>727</v>
      </c>
      <c r="Q13" s="13" t="str">
        <f t="shared" si="2"/>
        <v>High</v>
      </c>
      <c r="R13" s="3" t="s">
        <v>804</v>
      </c>
      <c r="S13" s="7">
        <v>1394.65</v>
      </c>
      <c r="T13" s="7">
        <f t="shared" si="10"/>
        <v>1603.8475000000001</v>
      </c>
      <c r="U13" s="7">
        <v>3144.1</v>
      </c>
      <c r="V13" s="7">
        <f t="shared" si="11"/>
        <v>3144.1</v>
      </c>
      <c r="W13" s="7">
        <f t="shared" si="12"/>
        <v>3615.7149999999997</v>
      </c>
      <c r="X13" s="16">
        <v>0.13400000000000001</v>
      </c>
      <c r="Y13" t="str">
        <f t="shared" si="13"/>
        <v>OK</v>
      </c>
      <c r="Z13" s="16">
        <f t="shared" si="14"/>
        <v>0.13400000000000001</v>
      </c>
      <c r="AA13" s="16">
        <f t="shared" si="15"/>
        <v>0.13400000000000001</v>
      </c>
      <c r="AB13" s="9">
        <v>13</v>
      </c>
      <c r="AC13" s="9">
        <f t="shared" si="16"/>
        <v>15.6</v>
      </c>
      <c r="AD13" s="9">
        <f t="shared" si="3"/>
        <v>35396.277799999996</v>
      </c>
      <c r="AE13" s="9">
        <f t="shared" si="17"/>
        <v>63963.444635999986</v>
      </c>
      <c r="AF13" s="9">
        <f t="shared" si="4"/>
        <v>18130.45</v>
      </c>
      <c r="AG13" s="9">
        <f t="shared" si="18"/>
        <v>17265.827799999995</v>
      </c>
      <c r="AH13" s="9">
        <f t="shared" si="19"/>
        <v>45832.994635999989</v>
      </c>
      <c r="AI13">
        <f t="shared" si="5"/>
        <v>0.4877865378263021</v>
      </c>
      <c r="AJ13" s="5">
        <f t="shared" si="6"/>
        <v>44928</v>
      </c>
      <c r="AK13" t="str">
        <f t="shared" si="20"/>
        <v>Jan-2023</v>
      </c>
      <c r="AL13">
        <v>0</v>
      </c>
      <c r="AM13">
        <v>0</v>
      </c>
      <c r="AN13">
        <v>0</v>
      </c>
    </row>
    <row r="14" spans="1:40" x14ac:dyDescent="0.45">
      <c r="A14" s="3" t="s">
        <v>86</v>
      </c>
      <c r="B14" s="5">
        <v>45473</v>
      </c>
      <c r="C14" s="9" t="str">
        <f t="shared" si="0"/>
        <v>Jun-2024</v>
      </c>
      <c r="D14" s="5" t="str">
        <f t="shared" si="1"/>
        <v>2024-Q2</v>
      </c>
      <c r="E14" s="5">
        <v>45478</v>
      </c>
      <c r="F14" s="9">
        <f t="shared" si="7"/>
        <v>5</v>
      </c>
      <c r="G14" s="9" t="str">
        <f t="shared" si="8"/>
        <v>ACHIEVED</v>
      </c>
      <c r="H14" s="3" t="s">
        <v>642</v>
      </c>
      <c r="I14" s="3" t="s">
        <v>649</v>
      </c>
      <c r="J14" s="3" t="s">
        <v>686</v>
      </c>
      <c r="K14" s="13" t="str">
        <f t="shared" si="21"/>
        <v>Americas &gt; Brazil &gt; Rio de Janeiro</v>
      </c>
      <c r="L14" s="3" t="s">
        <v>699</v>
      </c>
      <c r="M14" s="3" t="s">
        <v>705</v>
      </c>
      <c r="N14" s="13" t="str">
        <f t="shared" si="9"/>
        <v>Direct</v>
      </c>
      <c r="O14" s="3" t="s">
        <v>710</v>
      </c>
      <c r="P14" s="3" t="s">
        <v>727</v>
      </c>
      <c r="Q14" s="13" t="str">
        <f t="shared" si="2"/>
        <v>High</v>
      </c>
      <c r="R14" s="3" t="s">
        <v>805</v>
      </c>
      <c r="S14" s="7">
        <v>1112.98</v>
      </c>
      <c r="T14" s="7">
        <f t="shared" si="10"/>
        <v>1279.9269999999999</v>
      </c>
      <c r="U14" s="7">
        <v>2095.73</v>
      </c>
      <c r="V14" s="7">
        <f t="shared" si="11"/>
        <v>2095.73</v>
      </c>
      <c r="W14" s="7">
        <f t="shared" si="12"/>
        <v>2410.0895</v>
      </c>
      <c r="X14" s="16">
        <v>7.1999999999999995E-2</v>
      </c>
      <c r="Y14" t="str">
        <f t="shared" si="13"/>
        <v>OK</v>
      </c>
      <c r="Z14" s="16">
        <f t="shared" si="14"/>
        <v>7.1999999999999995E-2</v>
      </c>
      <c r="AA14" s="16">
        <f t="shared" si="15"/>
        <v>7.1999999999999995E-2</v>
      </c>
      <c r="AB14" s="9">
        <v>17</v>
      </c>
      <c r="AC14" s="9">
        <f t="shared" si="16"/>
        <v>20.399999999999999</v>
      </c>
      <c r="AD14" s="9">
        <f t="shared" si="3"/>
        <v>33062.236480000007</v>
      </c>
      <c r="AE14" s="9">
        <f t="shared" si="17"/>
        <v>52705.765257600004</v>
      </c>
      <c r="AF14" s="9">
        <f t="shared" si="4"/>
        <v>18920.66</v>
      </c>
      <c r="AG14" s="9">
        <f t="shared" si="18"/>
        <v>14141.576480000007</v>
      </c>
      <c r="AH14" s="9">
        <f t="shared" si="19"/>
        <v>33785.105257600007</v>
      </c>
      <c r="AI14">
        <f t="shared" si="5"/>
        <v>0.42772594916724777</v>
      </c>
      <c r="AJ14" s="5">
        <f t="shared" si="6"/>
        <v>44928</v>
      </c>
      <c r="AK14" t="str">
        <f t="shared" si="20"/>
        <v>Jan-2023</v>
      </c>
      <c r="AL14">
        <v>0</v>
      </c>
      <c r="AM14">
        <v>0</v>
      </c>
      <c r="AN14">
        <v>0</v>
      </c>
    </row>
    <row r="15" spans="1:40" x14ac:dyDescent="0.45">
      <c r="A15" s="3" t="s">
        <v>101</v>
      </c>
      <c r="B15" s="5">
        <v>45101</v>
      </c>
      <c r="C15" s="9" t="str">
        <f t="shared" si="0"/>
        <v>Jun-2023</v>
      </c>
      <c r="D15" s="5" t="str">
        <f t="shared" si="1"/>
        <v>2023-Q2</v>
      </c>
      <c r="E15" s="5">
        <v>45106</v>
      </c>
      <c r="F15" s="9">
        <f t="shared" si="7"/>
        <v>5</v>
      </c>
      <c r="G15" s="9" t="str">
        <f t="shared" si="8"/>
        <v>ACHIEVED</v>
      </c>
      <c r="H15" s="3" t="s">
        <v>642</v>
      </c>
      <c r="I15" s="3" t="s">
        <v>649</v>
      </c>
      <c r="J15" s="3" t="s">
        <v>686</v>
      </c>
      <c r="K15" s="13" t="str">
        <f t="shared" si="21"/>
        <v>Americas &gt; Brazil &gt; Rio de Janeiro</v>
      </c>
      <c r="L15" s="3" t="s">
        <v>697</v>
      </c>
      <c r="M15" s="3" t="s">
        <v>701</v>
      </c>
      <c r="N15" s="13" t="str">
        <f t="shared" si="9"/>
        <v>Retail</v>
      </c>
      <c r="O15" s="3" t="s">
        <v>712</v>
      </c>
      <c r="P15" s="3" t="s">
        <v>722</v>
      </c>
      <c r="Q15" s="13" t="str">
        <f t="shared" si="2"/>
        <v>Medium</v>
      </c>
      <c r="R15" s="3" t="s">
        <v>820</v>
      </c>
      <c r="S15" s="7">
        <v>804.01</v>
      </c>
      <c r="T15" s="7">
        <f t="shared" si="10"/>
        <v>924.61149999999986</v>
      </c>
      <c r="U15" s="7">
        <v>1405.07</v>
      </c>
      <c r="V15" s="7">
        <f t="shared" si="11"/>
        <v>1405.07</v>
      </c>
      <c r="W15" s="7">
        <f t="shared" si="12"/>
        <v>1615.8304999999998</v>
      </c>
      <c r="X15" s="16">
        <v>9.6000000000000002E-2</v>
      </c>
      <c r="Y15" t="str">
        <f t="shared" si="13"/>
        <v>OK</v>
      </c>
      <c r="Z15" s="16">
        <f t="shared" si="14"/>
        <v>9.6000000000000002E-2</v>
      </c>
      <c r="AA15" s="16">
        <f t="shared" si="15"/>
        <v>9.6000000000000002E-2</v>
      </c>
      <c r="AB15" s="9">
        <v>8</v>
      </c>
      <c r="AC15" s="9">
        <f t="shared" si="16"/>
        <v>9.6</v>
      </c>
      <c r="AD15" s="9">
        <f t="shared" si="3"/>
        <v>10161.46624</v>
      </c>
      <c r="AE15" s="9">
        <f t="shared" si="17"/>
        <v>17001.1221888</v>
      </c>
      <c r="AF15" s="9">
        <f t="shared" si="4"/>
        <v>6432.08</v>
      </c>
      <c r="AG15" s="9">
        <f t="shared" si="18"/>
        <v>3729.3862399999998</v>
      </c>
      <c r="AH15" s="9">
        <f t="shared" si="19"/>
        <v>10569.0421888</v>
      </c>
      <c r="AI15">
        <f t="shared" si="5"/>
        <v>0.36701260939287439</v>
      </c>
      <c r="AJ15" s="5">
        <f t="shared" si="6"/>
        <v>44928</v>
      </c>
      <c r="AK15" t="str">
        <f t="shared" si="20"/>
        <v>Jan-2023</v>
      </c>
      <c r="AL15">
        <v>0</v>
      </c>
      <c r="AM15">
        <v>0</v>
      </c>
      <c r="AN15">
        <v>0</v>
      </c>
    </row>
    <row r="16" spans="1:40" x14ac:dyDescent="0.45">
      <c r="A16" s="3" t="s">
        <v>124</v>
      </c>
      <c r="B16" s="5">
        <v>44987</v>
      </c>
      <c r="C16" s="9" t="str">
        <f t="shared" si="0"/>
        <v>Mar-2023</v>
      </c>
      <c r="D16" s="5" t="str">
        <f t="shared" si="1"/>
        <v>2023-Q1</v>
      </c>
      <c r="E16" s="5">
        <v>44990</v>
      </c>
      <c r="F16" s="9">
        <f t="shared" si="7"/>
        <v>3</v>
      </c>
      <c r="G16" s="9" t="str">
        <f t="shared" si="8"/>
        <v>ACHIEVED</v>
      </c>
      <c r="H16" s="3" t="s">
        <v>642</v>
      </c>
      <c r="I16" s="3" t="s">
        <v>649</v>
      </c>
      <c r="J16" s="3" t="s">
        <v>666</v>
      </c>
      <c r="K16" s="13" t="str">
        <f t="shared" si="21"/>
        <v>Americas &gt; Brazil &gt; Brasília</v>
      </c>
      <c r="L16" s="3" t="s">
        <v>700</v>
      </c>
      <c r="M16" s="3" t="s">
        <v>705</v>
      </c>
      <c r="N16" s="13" t="str">
        <f t="shared" si="9"/>
        <v>Direct</v>
      </c>
      <c r="O16" s="3" t="s">
        <v>709</v>
      </c>
      <c r="P16" s="3" t="s">
        <v>726</v>
      </c>
      <c r="Q16" s="13" t="str">
        <f t="shared" si="2"/>
        <v>High</v>
      </c>
      <c r="R16" s="3" t="s">
        <v>843</v>
      </c>
      <c r="S16" s="7">
        <v>1473.58</v>
      </c>
      <c r="T16" s="7">
        <f t="shared" si="10"/>
        <v>1694.6169999999997</v>
      </c>
      <c r="U16" s="7">
        <v>3436.52</v>
      </c>
      <c r="V16" s="7">
        <f t="shared" si="11"/>
        <v>3436.52</v>
      </c>
      <c r="W16" s="7">
        <f t="shared" si="12"/>
        <v>3951.9979999999996</v>
      </c>
      <c r="X16" s="16">
        <v>0.108</v>
      </c>
      <c r="Y16" t="str">
        <f t="shared" si="13"/>
        <v>OK</v>
      </c>
      <c r="Z16" s="16">
        <f t="shared" si="14"/>
        <v>0.108</v>
      </c>
      <c r="AA16" s="16">
        <f t="shared" si="15"/>
        <v>0.108</v>
      </c>
      <c r="AB16" s="9">
        <v>8</v>
      </c>
      <c r="AC16" s="9">
        <f t="shared" si="16"/>
        <v>9.6</v>
      </c>
      <c r="AD16" s="9">
        <f t="shared" si="3"/>
        <v>24523.006720000001</v>
      </c>
      <c r="AE16" s="9">
        <f t="shared" si="17"/>
        <v>42036.612326399998</v>
      </c>
      <c r="AF16" s="9">
        <f t="shared" si="4"/>
        <v>11788.64</v>
      </c>
      <c r="AG16" s="9">
        <f t="shared" si="18"/>
        <v>12734.366720000002</v>
      </c>
      <c r="AH16" s="9">
        <f t="shared" si="19"/>
        <v>30247.972326399999</v>
      </c>
      <c r="AI16">
        <f t="shared" si="5"/>
        <v>0.51928243813652564</v>
      </c>
      <c r="AJ16" s="5">
        <f t="shared" si="6"/>
        <v>44928</v>
      </c>
      <c r="AK16" t="str">
        <f t="shared" si="20"/>
        <v>Jan-2023</v>
      </c>
      <c r="AL16">
        <v>0</v>
      </c>
      <c r="AM16">
        <v>0</v>
      </c>
      <c r="AN16">
        <v>0</v>
      </c>
    </row>
    <row r="17" spans="1:40" x14ac:dyDescent="0.45">
      <c r="A17" s="3" t="s">
        <v>132</v>
      </c>
      <c r="B17" s="5">
        <v>45598</v>
      </c>
      <c r="C17" s="9" t="str">
        <f t="shared" si="0"/>
        <v>Nov-2024</v>
      </c>
      <c r="D17" s="5" t="str">
        <f t="shared" si="1"/>
        <v>2024-Q4</v>
      </c>
      <c r="E17" s="5">
        <v>45625</v>
      </c>
      <c r="F17" s="9">
        <f t="shared" si="7"/>
        <v>27</v>
      </c>
      <c r="G17" s="9" t="str">
        <f t="shared" si="8"/>
        <v>NOT ACHIEVED</v>
      </c>
      <c r="H17" s="3" t="s">
        <v>642</v>
      </c>
      <c r="I17" s="3" t="s">
        <v>649</v>
      </c>
      <c r="J17" s="3" t="s">
        <v>666</v>
      </c>
      <c r="K17" s="13" t="str">
        <f t="shared" si="21"/>
        <v>Americas &gt; Brazil &gt; Brasília</v>
      </c>
      <c r="L17" s="3" t="s">
        <v>699</v>
      </c>
      <c r="M17" s="3" t="s">
        <v>705</v>
      </c>
      <c r="N17" s="13" t="str">
        <f t="shared" si="9"/>
        <v>Direct</v>
      </c>
      <c r="O17" s="3" t="s">
        <v>708</v>
      </c>
      <c r="P17" s="3" t="s">
        <v>723</v>
      </c>
      <c r="Q17" s="13" t="str">
        <f t="shared" si="2"/>
        <v>Medium</v>
      </c>
      <c r="R17" s="3" t="s">
        <v>851</v>
      </c>
      <c r="S17" s="7">
        <v>1363.51</v>
      </c>
      <c r="T17" s="7">
        <f t="shared" si="10"/>
        <v>1568.0364999999999</v>
      </c>
      <c r="U17" s="7">
        <v>1433.9</v>
      </c>
      <c r="V17" s="7">
        <f t="shared" si="11"/>
        <v>1433.9</v>
      </c>
      <c r="W17" s="7">
        <f t="shared" si="12"/>
        <v>1648.9849999999999</v>
      </c>
      <c r="X17" s="16">
        <v>5.7000000000000002E-2</v>
      </c>
      <c r="Y17" t="str">
        <f t="shared" si="13"/>
        <v>OK</v>
      </c>
      <c r="Z17" s="16">
        <f t="shared" si="14"/>
        <v>5.7000000000000002E-2</v>
      </c>
      <c r="AA17" s="16">
        <f t="shared" si="15"/>
        <v>5.7000000000000002E-2</v>
      </c>
      <c r="AB17" s="9">
        <v>8</v>
      </c>
      <c r="AC17" s="9">
        <f t="shared" si="16"/>
        <v>9.6</v>
      </c>
      <c r="AD17" s="9">
        <f t="shared" si="3"/>
        <v>10817.3416</v>
      </c>
      <c r="AE17" s="9">
        <f t="shared" si="17"/>
        <v>16732.580591999995</v>
      </c>
      <c r="AF17" s="9">
        <f t="shared" si="4"/>
        <v>10908.08</v>
      </c>
      <c r="AG17" s="9">
        <f t="shared" si="18"/>
        <v>-90.738400000000183</v>
      </c>
      <c r="AH17" s="9">
        <f t="shared" si="19"/>
        <v>5824.5005919999949</v>
      </c>
      <c r="AI17">
        <f t="shared" si="5"/>
        <v>-8.3882346842037592E-3</v>
      </c>
      <c r="AJ17" s="5">
        <f t="shared" si="6"/>
        <v>44928</v>
      </c>
      <c r="AK17" t="str">
        <f t="shared" si="20"/>
        <v>Jan-2023</v>
      </c>
      <c r="AL17">
        <v>0</v>
      </c>
      <c r="AM17">
        <v>0</v>
      </c>
      <c r="AN17">
        <v>0</v>
      </c>
    </row>
    <row r="18" spans="1:40" x14ac:dyDescent="0.45">
      <c r="A18" s="3" t="s">
        <v>139</v>
      </c>
      <c r="B18" s="5">
        <v>45700</v>
      </c>
      <c r="C18" s="9" t="str">
        <f t="shared" si="0"/>
        <v>Feb-2025</v>
      </c>
      <c r="D18" s="5" t="str">
        <f t="shared" si="1"/>
        <v>2025-Q1</v>
      </c>
      <c r="E18" s="5">
        <v>45716</v>
      </c>
      <c r="F18" s="9">
        <f t="shared" si="7"/>
        <v>16</v>
      </c>
      <c r="G18" s="9" t="str">
        <f t="shared" si="8"/>
        <v>NOT ACHIEVED</v>
      </c>
      <c r="H18" s="3" t="s">
        <v>642</v>
      </c>
      <c r="I18" s="3" t="s">
        <v>649</v>
      </c>
      <c r="J18" s="3" t="s">
        <v>664</v>
      </c>
      <c r="K18" s="13" t="str">
        <f t="shared" si="21"/>
        <v>Americas &gt; Brazil &gt; São Paulo</v>
      </c>
      <c r="L18" s="3" t="s">
        <v>697</v>
      </c>
      <c r="M18" s="3" t="s">
        <v>705</v>
      </c>
      <c r="N18" s="13" t="str">
        <f t="shared" si="9"/>
        <v>Direct</v>
      </c>
      <c r="O18" s="3" t="s">
        <v>711</v>
      </c>
      <c r="P18" s="3" t="s">
        <v>726</v>
      </c>
      <c r="Q18" s="13" t="str">
        <f t="shared" si="2"/>
        <v>Medium</v>
      </c>
      <c r="R18" s="3" t="s">
        <v>858</v>
      </c>
      <c r="S18" s="7">
        <v>414.95</v>
      </c>
      <c r="T18" s="7">
        <f t="shared" si="10"/>
        <v>477.19249999999994</v>
      </c>
      <c r="U18" s="7">
        <v>1027.73</v>
      </c>
      <c r="V18" s="7">
        <f t="shared" si="11"/>
        <v>1027.73</v>
      </c>
      <c r="W18" s="7">
        <f t="shared" si="12"/>
        <v>1181.8895</v>
      </c>
      <c r="X18" s="16">
        <v>6.3E-2</v>
      </c>
      <c r="Y18" t="str">
        <f t="shared" si="13"/>
        <v>OK</v>
      </c>
      <c r="Z18" s="16">
        <f t="shared" si="14"/>
        <v>6.3E-2</v>
      </c>
      <c r="AA18" s="16">
        <f t="shared" si="15"/>
        <v>6.3E-2</v>
      </c>
      <c r="AB18" s="9">
        <v>8</v>
      </c>
      <c r="AC18" s="9">
        <f t="shared" si="16"/>
        <v>9.6</v>
      </c>
      <c r="AD18" s="9">
        <f t="shared" si="3"/>
        <v>7703.8640800000003</v>
      </c>
      <c r="AE18" s="9">
        <f t="shared" si="17"/>
        <v>12060.945969599999</v>
      </c>
      <c r="AF18" s="9">
        <f t="shared" si="4"/>
        <v>3319.6</v>
      </c>
      <c r="AG18" s="9">
        <f t="shared" si="18"/>
        <v>4384.2640800000008</v>
      </c>
      <c r="AH18" s="9">
        <f t="shared" si="19"/>
        <v>8741.3459695999991</v>
      </c>
      <c r="AI18">
        <f t="shared" si="5"/>
        <v>0.56909935513815568</v>
      </c>
      <c r="AJ18" s="5">
        <f t="shared" si="6"/>
        <v>44928</v>
      </c>
      <c r="AK18" t="str">
        <f t="shared" si="20"/>
        <v>Jan-2023</v>
      </c>
      <c r="AL18">
        <v>0</v>
      </c>
      <c r="AM18">
        <v>0</v>
      </c>
      <c r="AN18">
        <v>0</v>
      </c>
    </row>
    <row r="19" spans="1:40" x14ac:dyDescent="0.45">
      <c r="A19" s="3" t="s">
        <v>153</v>
      </c>
      <c r="B19" s="5">
        <v>45112</v>
      </c>
      <c r="C19" s="9" t="str">
        <f t="shared" si="0"/>
        <v>Jul-2023</v>
      </c>
      <c r="D19" s="5" t="str">
        <f t="shared" si="1"/>
        <v>2023-Q3</v>
      </c>
      <c r="E19" s="5">
        <v>45121</v>
      </c>
      <c r="F19" s="9">
        <f t="shared" si="7"/>
        <v>9</v>
      </c>
      <c r="G19" s="9" t="str">
        <f t="shared" si="8"/>
        <v>NOT ACHIEVED</v>
      </c>
      <c r="H19" s="3" t="s">
        <v>642</v>
      </c>
      <c r="I19" s="3" t="s">
        <v>649</v>
      </c>
      <c r="J19" s="3" t="s">
        <v>666</v>
      </c>
      <c r="K19" s="13" t="str">
        <f t="shared" si="21"/>
        <v>Americas &gt; Brazil &gt; Brasília</v>
      </c>
      <c r="L19" s="3" t="s">
        <v>700</v>
      </c>
      <c r="M19" s="3" t="s">
        <v>705</v>
      </c>
      <c r="N19" s="13" t="str">
        <f t="shared" si="9"/>
        <v>Direct</v>
      </c>
      <c r="O19" s="3" t="s">
        <v>711</v>
      </c>
      <c r="P19" s="3" t="s">
        <v>723</v>
      </c>
      <c r="Q19" s="13" t="str">
        <f t="shared" si="2"/>
        <v>Medium</v>
      </c>
      <c r="R19" s="3" t="s">
        <v>872</v>
      </c>
      <c r="S19" s="7">
        <v>578.85</v>
      </c>
      <c r="T19" s="7">
        <f t="shared" si="10"/>
        <v>665.67750000000001</v>
      </c>
      <c r="U19" s="7">
        <v>998.76</v>
      </c>
      <c r="V19" s="7">
        <f t="shared" si="11"/>
        <v>998.76</v>
      </c>
      <c r="W19" s="7">
        <f t="shared" si="12"/>
        <v>1148.5739999999998</v>
      </c>
      <c r="X19" s="16">
        <v>8.2000000000000003E-2</v>
      </c>
      <c r="Y19" t="str">
        <f t="shared" si="13"/>
        <v>OK</v>
      </c>
      <c r="Z19" s="16">
        <f t="shared" si="14"/>
        <v>8.2000000000000003E-2</v>
      </c>
      <c r="AA19" s="16">
        <f t="shared" si="15"/>
        <v>8.2000000000000003E-2</v>
      </c>
      <c r="AB19" s="9">
        <v>28</v>
      </c>
      <c r="AC19" s="9">
        <f t="shared" si="16"/>
        <v>33.6</v>
      </c>
      <c r="AD19" s="9">
        <f t="shared" si="3"/>
        <v>25672.127039999999</v>
      </c>
      <c r="AE19" s="9">
        <f t="shared" si="17"/>
        <v>41756.637484799998</v>
      </c>
      <c r="AF19" s="9">
        <f t="shared" si="4"/>
        <v>16207.800000000001</v>
      </c>
      <c r="AG19" s="9">
        <f t="shared" si="18"/>
        <v>9464.3270399999983</v>
      </c>
      <c r="AH19" s="9">
        <f t="shared" si="19"/>
        <v>25548.837484799995</v>
      </c>
      <c r="AI19">
        <f t="shared" si="5"/>
        <v>0.36866158480960831</v>
      </c>
      <c r="AJ19" s="5">
        <f t="shared" si="6"/>
        <v>44928</v>
      </c>
      <c r="AK19" t="str">
        <f t="shared" si="20"/>
        <v>Jan-2023</v>
      </c>
      <c r="AL19">
        <v>0</v>
      </c>
      <c r="AM19">
        <v>0</v>
      </c>
      <c r="AN19">
        <v>0</v>
      </c>
    </row>
    <row r="20" spans="1:40" x14ac:dyDescent="0.45">
      <c r="A20" s="3" t="s">
        <v>171</v>
      </c>
      <c r="B20" s="5">
        <v>45385</v>
      </c>
      <c r="C20" s="9" t="str">
        <f t="shared" si="0"/>
        <v>Apr-2024</v>
      </c>
      <c r="D20" s="5" t="str">
        <f t="shared" si="1"/>
        <v>2024-Q2</v>
      </c>
      <c r="E20" s="5">
        <v>45389</v>
      </c>
      <c r="F20" s="9">
        <f t="shared" si="7"/>
        <v>4</v>
      </c>
      <c r="G20" s="9" t="str">
        <f t="shared" si="8"/>
        <v>ACHIEVED</v>
      </c>
      <c r="H20" s="3" t="s">
        <v>642</v>
      </c>
      <c r="I20" s="3" t="s">
        <v>649</v>
      </c>
      <c r="J20" s="3" t="s">
        <v>666</v>
      </c>
      <c r="K20" s="13" t="str">
        <f t="shared" si="21"/>
        <v>Americas &gt; Brazil &gt; Brasília</v>
      </c>
      <c r="L20" s="3" t="s">
        <v>697</v>
      </c>
      <c r="M20" s="3" t="s">
        <v>705</v>
      </c>
      <c r="N20" s="13" t="str">
        <f t="shared" si="9"/>
        <v>Direct</v>
      </c>
      <c r="O20" s="3" t="s">
        <v>719</v>
      </c>
      <c r="P20" s="3" t="s">
        <v>724</v>
      </c>
      <c r="Q20" s="13" t="str">
        <f t="shared" si="2"/>
        <v>Medium</v>
      </c>
      <c r="R20" s="3" t="s">
        <v>890</v>
      </c>
      <c r="S20" s="7">
        <v>1023.27</v>
      </c>
      <c r="T20" s="7">
        <f t="shared" si="10"/>
        <v>1176.7604999999999</v>
      </c>
      <c r="U20" s="7">
        <v>1343.64</v>
      </c>
      <c r="V20" s="7">
        <f t="shared" si="11"/>
        <v>1343.64</v>
      </c>
      <c r="W20" s="7">
        <f t="shared" si="12"/>
        <v>1545.1859999999999</v>
      </c>
      <c r="X20" s="16">
        <v>0.13300000000000001</v>
      </c>
      <c r="Y20" t="str">
        <f t="shared" si="13"/>
        <v>OK</v>
      </c>
      <c r="Z20" s="16">
        <f t="shared" si="14"/>
        <v>0.13300000000000001</v>
      </c>
      <c r="AA20" s="16">
        <f t="shared" si="15"/>
        <v>0.13300000000000001</v>
      </c>
      <c r="AB20" s="9">
        <v>7</v>
      </c>
      <c r="AC20" s="9">
        <f t="shared" si="16"/>
        <v>8.4</v>
      </c>
      <c r="AD20" s="9">
        <f t="shared" si="3"/>
        <v>8154.5511600000009</v>
      </c>
      <c r="AE20" s="9">
        <f t="shared" si="17"/>
        <v>14705.844199200001</v>
      </c>
      <c r="AF20" s="9">
        <f t="shared" si="4"/>
        <v>7162.8899999999994</v>
      </c>
      <c r="AG20" s="9">
        <f t="shared" si="18"/>
        <v>991.66116000000147</v>
      </c>
      <c r="AH20" s="9">
        <f t="shared" si="19"/>
        <v>7542.9541992000013</v>
      </c>
      <c r="AI20">
        <f t="shared" si="5"/>
        <v>0.12160830688810116</v>
      </c>
      <c r="AJ20" s="5">
        <f t="shared" si="6"/>
        <v>44928</v>
      </c>
      <c r="AK20" t="str">
        <f t="shared" si="20"/>
        <v>Jan-2023</v>
      </c>
      <c r="AL20">
        <v>0</v>
      </c>
      <c r="AM20">
        <v>0</v>
      </c>
      <c r="AN20">
        <v>0</v>
      </c>
    </row>
    <row r="21" spans="1:40" x14ac:dyDescent="0.45">
      <c r="A21" s="3" t="s">
        <v>189</v>
      </c>
      <c r="B21" s="5">
        <v>45915</v>
      </c>
      <c r="C21" s="9" t="str">
        <f t="shared" si="0"/>
        <v>Sep-2025</v>
      </c>
      <c r="D21" s="5" t="str">
        <f t="shared" si="1"/>
        <v>2025-Q3</v>
      </c>
      <c r="E21" s="5">
        <v>45918</v>
      </c>
      <c r="F21" s="9">
        <f t="shared" si="7"/>
        <v>3</v>
      </c>
      <c r="G21" s="9" t="str">
        <f t="shared" si="8"/>
        <v>ACHIEVED</v>
      </c>
      <c r="H21" s="3" t="s">
        <v>642</v>
      </c>
      <c r="I21" s="3" t="s">
        <v>649</v>
      </c>
      <c r="J21" s="3" t="s">
        <v>686</v>
      </c>
      <c r="K21" s="13" t="str">
        <f t="shared" si="21"/>
        <v>Americas &gt; Brazil &gt; Rio de Janeiro</v>
      </c>
      <c r="L21" s="3" t="s">
        <v>697</v>
      </c>
      <c r="M21" s="3" t="s">
        <v>705</v>
      </c>
      <c r="N21" s="13" t="str">
        <f t="shared" si="9"/>
        <v>Direct</v>
      </c>
      <c r="O21" s="3" t="s">
        <v>710</v>
      </c>
      <c r="P21" s="3" t="s">
        <v>727</v>
      </c>
      <c r="Q21" s="13" t="str">
        <f t="shared" si="2"/>
        <v>Low</v>
      </c>
      <c r="R21" s="3" t="s">
        <v>908</v>
      </c>
      <c r="S21" s="7">
        <v>5.5</v>
      </c>
      <c r="T21" s="7">
        <f t="shared" si="10"/>
        <v>6.3249999999999993</v>
      </c>
      <c r="U21" s="7">
        <v>5.92</v>
      </c>
      <c r="V21" s="7">
        <f t="shared" si="11"/>
        <v>5.92</v>
      </c>
      <c r="W21" s="7">
        <f t="shared" si="12"/>
        <v>6.8079999999999998</v>
      </c>
      <c r="X21" s="16">
        <v>0.21199999999999999</v>
      </c>
      <c r="Y21" t="str">
        <f t="shared" si="13"/>
        <v>OK</v>
      </c>
      <c r="Z21" s="16">
        <f t="shared" si="14"/>
        <v>0.21199999999999999</v>
      </c>
      <c r="AA21" s="16">
        <f t="shared" si="15"/>
        <v>0.21199999999999999</v>
      </c>
      <c r="AB21" s="9">
        <v>4</v>
      </c>
      <c r="AC21" s="9">
        <f t="shared" si="16"/>
        <v>4.8</v>
      </c>
      <c r="AD21" s="9">
        <f t="shared" si="3"/>
        <v>18.659839999999999</v>
      </c>
      <c r="AE21" s="9">
        <f t="shared" si="17"/>
        <v>39.606220799999996</v>
      </c>
      <c r="AF21" s="9">
        <f t="shared" si="4"/>
        <v>22</v>
      </c>
      <c r="AG21" s="9">
        <f t="shared" si="18"/>
        <v>-3.3401600000000009</v>
      </c>
      <c r="AH21" s="9">
        <f t="shared" si="19"/>
        <v>17.606220799999996</v>
      </c>
      <c r="AI21">
        <f t="shared" si="5"/>
        <v>-0.17900260666758133</v>
      </c>
      <c r="AJ21" s="5">
        <f t="shared" si="6"/>
        <v>44928</v>
      </c>
      <c r="AK21" t="str">
        <f t="shared" si="20"/>
        <v>Jan-2023</v>
      </c>
      <c r="AL21">
        <v>0</v>
      </c>
      <c r="AM21">
        <v>0</v>
      </c>
      <c r="AN21">
        <v>0</v>
      </c>
    </row>
    <row r="22" spans="1:40" x14ac:dyDescent="0.45">
      <c r="A22" s="3" t="s">
        <v>196</v>
      </c>
      <c r="B22" s="5">
        <v>45126</v>
      </c>
      <c r="C22" s="9" t="str">
        <f t="shared" si="0"/>
        <v>Jul-2023</v>
      </c>
      <c r="D22" s="5" t="str">
        <f t="shared" si="1"/>
        <v>2023-Q3</v>
      </c>
      <c r="E22" s="5">
        <v>45138</v>
      </c>
      <c r="F22" s="9">
        <f t="shared" si="7"/>
        <v>12</v>
      </c>
      <c r="G22" s="9" t="str">
        <f t="shared" si="8"/>
        <v>NOT ACHIEVED</v>
      </c>
      <c r="H22" s="3" t="s">
        <v>642</v>
      </c>
      <c r="I22" s="3" t="s">
        <v>649</v>
      </c>
      <c r="J22" s="3" t="s">
        <v>686</v>
      </c>
      <c r="K22" s="13" t="str">
        <f t="shared" si="21"/>
        <v>Americas &gt; Brazil &gt; Rio de Janeiro</v>
      </c>
      <c r="L22" s="3" t="s">
        <v>695</v>
      </c>
      <c r="M22" s="3" t="s">
        <v>701</v>
      </c>
      <c r="N22" s="13" t="str">
        <f t="shared" si="9"/>
        <v>Retail</v>
      </c>
      <c r="O22" s="3" t="s">
        <v>706</v>
      </c>
      <c r="P22" s="3" t="s">
        <v>726</v>
      </c>
      <c r="Q22" s="13" t="str">
        <f t="shared" si="2"/>
        <v>High</v>
      </c>
      <c r="R22" s="3" t="s">
        <v>915</v>
      </c>
      <c r="S22" s="7">
        <v>1334.64</v>
      </c>
      <c r="T22" s="7">
        <f t="shared" si="10"/>
        <v>1534.836</v>
      </c>
      <c r="U22" s="7">
        <v>2273.42</v>
      </c>
      <c r="V22" s="7">
        <f t="shared" si="11"/>
        <v>2273.42</v>
      </c>
      <c r="W22" s="7">
        <f t="shared" si="12"/>
        <v>2614.433</v>
      </c>
      <c r="X22" s="16">
        <v>0.11799999999999999</v>
      </c>
      <c r="Y22" t="str">
        <f t="shared" si="13"/>
        <v>OK</v>
      </c>
      <c r="Z22" s="16">
        <f t="shared" si="14"/>
        <v>0.11799999999999999</v>
      </c>
      <c r="AA22" s="16">
        <f t="shared" si="15"/>
        <v>0.11799999999999999</v>
      </c>
      <c r="AB22" s="9">
        <v>14</v>
      </c>
      <c r="AC22" s="9">
        <f t="shared" si="16"/>
        <v>16.8</v>
      </c>
      <c r="AD22" s="9">
        <f t="shared" si="3"/>
        <v>28072.190160000002</v>
      </c>
      <c r="AE22" s="9">
        <f t="shared" si="17"/>
        <v>49105.326379199993</v>
      </c>
      <c r="AF22" s="9">
        <f t="shared" si="4"/>
        <v>18684.960000000003</v>
      </c>
      <c r="AG22" s="9">
        <f t="shared" si="18"/>
        <v>9387.2301599999992</v>
      </c>
      <c r="AH22" s="9">
        <f t="shared" si="19"/>
        <v>30420.36637919999</v>
      </c>
      <c r="AI22">
        <f t="shared" si="5"/>
        <v>0.33439607335575267</v>
      </c>
      <c r="AJ22" s="5">
        <f t="shared" si="6"/>
        <v>44928</v>
      </c>
      <c r="AK22" t="str">
        <f t="shared" si="20"/>
        <v>Jan-2023</v>
      </c>
      <c r="AL22">
        <v>0</v>
      </c>
      <c r="AM22">
        <v>0</v>
      </c>
      <c r="AN22">
        <v>0</v>
      </c>
    </row>
    <row r="23" spans="1:40" x14ac:dyDescent="0.45">
      <c r="A23" s="3" t="s">
        <v>197</v>
      </c>
      <c r="B23" s="5">
        <v>45431</v>
      </c>
      <c r="C23" s="9" t="str">
        <f t="shared" si="0"/>
        <v>May-2024</v>
      </c>
      <c r="D23" s="5" t="str">
        <f t="shared" si="1"/>
        <v>2024-Q2</v>
      </c>
      <c r="E23" s="5">
        <v>45451</v>
      </c>
      <c r="F23" s="9">
        <f t="shared" si="7"/>
        <v>20</v>
      </c>
      <c r="G23" s="9" t="str">
        <f t="shared" si="8"/>
        <v>NOT ACHIEVED</v>
      </c>
      <c r="H23" s="3" t="s">
        <v>642</v>
      </c>
      <c r="I23" s="3" t="s">
        <v>649</v>
      </c>
      <c r="J23" s="3" t="s">
        <v>666</v>
      </c>
      <c r="K23" s="13" t="str">
        <f t="shared" si="21"/>
        <v>Americas &gt; Brazil &gt; Brasília</v>
      </c>
      <c r="L23" s="3" t="s">
        <v>699</v>
      </c>
      <c r="M23" s="3" t="s">
        <v>701</v>
      </c>
      <c r="N23" s="13" t="str">
        <f t="shared" si="9"/>
        <v>Retail</v>
      </c>
      <c r="O23" s="3" t="s">
        <v>712</v>
      </c>
      <c r="P23" s="3" t="s">
        <v>726</v>
      </c>
      <c r="Q23" s="13" t="str">
        <f t="shared" si="2"/>
        <v>Medium</v>
      </c>
      <c r="R23" s="3" t="s">
        <v>916</v>
      </c>
      <c r="S23" s="7">
        <v>1075.9000000000001</v>
      </c>
      <c r="T23" s="7">
        <f t="shared" si="10"/>
        <v>1237.2850000000001</v>
      </c>
      <c r="U23" s="7">
        <v>1242.1500000000001</v>
      </c>
      <c r="V23" s="7">
        <f t="shared" si="11"/>
        <v>1242.1500000000001</v>
      </c>
      <c r="W23" s="7">
        <f t="shared" si="12"/>
        <v>1428.4725000000001</v>
      </c>
      <c r="X23" s="16">
        <v>1.2E-2</v>
      </c>
      <c r="Y23" t="str">
        <f t="shared" si="13"/>
        <v>OK</v>
      </c>
      <c r="Z23" s="16">
        <f t="shared" si="14"/>
        <v>1.2E-2</v>
      </c>
      <c r="AA23" s="16">
        <f t="shared" si="15"/>
        <v>1.2E-2</v>
      </c>
      <c r="AB23" s="9">
        <v>7</v>
      </c>
      <c r="AC23" s="9">
        <f t="shared" si="16"/>
        <v>8.4</v>
      </c>
      <c r="AD23" s="9">
        <f t="shared" si="3"/>
        <v>8590.7094000000016</v>
      </c>
      <c r="AE23" s="9">
        <f t="shared" si="17"/>
        <v>12143.159028000002</v>
      </c>
      <c r="AF23" s="9">
        <f t="shared" si="4"/>
        <v>7531.3000000000011</v>
      </c>
      <c r="AG23" s="9">
        <f t="shared" si="18"/>
        <v>1059.4094000000005</v>
      </c>
      <c r="AH23" s="9">
        <f t="shared" si="19"/>
        <v>4611.8590280000008</v>
      </c>
      <c r="AI23">
        <f t="shared" si="5"/>
        <v>0.12332036280961853</v>
      </c>
      <c r="AJ23" s="5">
        <f t="shared" si="6"/>
        <v>44928</v>
      </c>
      <c r="AK23" t="str">
        <f t="shared" si="20"/>
        <v>Jan-2023</v>
      </c>
      <c r="AL23">
        <v>0</v>
      </c>
      <c r="AM23">
        <v>0</v>
      </c>
      <c r="AN23">
        <v>0</v>
      </c>
    </row>
    <row r="24" spans="1:40" x14ac:dyDescent="0.45">
      <c r="A24" s="3" t="s">
        <v>203</v>
      </c>
      <c r="B24" s="5">
        <v>45557</v>
      </c>
      <c r="C24" s="9" t="str">
        <f t="shared" si="0"/>
        <v>Sep-2024</v>
      </c>
      <c r="D24" s="5" t="str">
        <f t="shared" si="1"/>
        <v>2024-Q3</v>
      </c>
      <c r="E24" s="5">
        <v>45566</v>
      </c>
      <c r="F24" s="9">
        <f t="shared" si="7"/>
        <v>9</v>
      </c>
      <c r="G24" s="9" t="str">
        <f t="shared" si="8"/>
        <v>NOT ACHIEVED</v>
      </c>
      <c r="H24" s="3" t="s">
        <v>642</v>
      </c>
      <c r="I24" s="3" t="s">
        <v>649</v>
      </c>
      <c r="J24" s="3" t="s">
        <v>664</v>
      </c>
      <c r="K24" s="13" t="str">
        <f t="shared" si="21"/>
        <v>Americas &gt; Brazil &gt; São Paulo</v>
      </c>
      <c r="L24" s="3" t="s">
        <v>697</v>
      </c>
      <c r="M24" s="3" t="s">
        <v>702</v>
      </c>
      <c r="N24" s="13" t="str">
        <f t="shared" si="9"/>
        <v>Online</v>
      </c>
      <c r="O24" s="3" t="s">
        <v>717</v>
      </c>
      <c r="P24" s="3" t="s">
        <v>726</v>
      </c>
      <c r="Q24" s="13" t="str">
        <f t="shared" si="2"/>
        <v>High</v>
      </c>
      <c r="R24" s="3" t="s">
        <v>922</v>
      </c>
      <c r="S24" s="7">
        <v>1378.8</v>
      </c>
      <c r="T24" s="7">
        <f t="shared" si="10"/>
        <v>1585.62</v>
      </c>
      <c r="U24" s="7">
        <v>1952.04</v>
      </c>
      <c r="V24" s="7">
        <f t="shared" si="11"/>
        <v>1952.04</v>
      </c>
      <c r="W24" s="7">
        <f t="shared" si="12"/>
        <v>2244.846</v>
      </c>
      <c r="X24" s="16">
        <v>0.159</v>
      </c>
      <c r="Y24" t="str">
        <f t="shared" si="13"/>
        <v>OK</v>
      </c>
      <c r="Z24" s="16">
        <f t="shared" si="14"/>
        <v>0.159</v>
      </c>
      <c r="AA24" s="16">
        <f t="shared" si="15"/>
        <v>0.159</v>
      </c>
      <c r="AB24" s="9">
        <v>19</v>
      </c>
      <c r="AC24" s="9">
        <f t="shared" si="16"/>
        <v>22.8</v>
      </c>
      <c r="AD24" s="9">
        <f t="shared" si="3"/>
        <v>31191.64716</v>
      </c>
      <c r="AE24" s="9">
        <f t="shared" si="17"/>
        <v>59320.504519200003</v>
      </c>
      <c r="AF24" s="9">
        <f t="shared" si="4"/>
        <v>26197.200000000001</v>
      </c>
      <c r="AG24" s="9">
        <f t="shared" si="18"/>
        <v>4994.4471599999997</v>
      </c>
      <c r="AH24" s="9">
        <f t="shared" si="19"/>
        <v>33123.304519199999</v>
      </c>
      <c r="AI24">
        <f t="shared" si="5"/>
        <v>0.16012130216723058</v>
      </c>
      <c r="AJ24" s="5">
        <f t="shared" si="6"/>
        <v>44928</v>
      </c>
      <c r="AK24" t="str">
        <f t="shared" si="20"/>
        <v>Jan-2023</v>
      </c>
      <c r="AL24">
        <v>0</v>
      </c>
      <c r="AM24">
        <v>0</v>
      </c>
      <c r="AN24">
        <v>0</v>
      </c>
    </row>
    <row r="25" spans="1:40" x14ac:dyDescent="0.45">
      <c r="A25" s="3" t="s">
        <v>222</v>
      </c>
      <c r="B25" s="5">
        <v>45240</v>
      </c>
      <c r="C25" s="9" t="str">
        <f t="shared" si="0"/>
        <v>Nov-2023</v>
      </c>
      <c r="D25" s="5" t="str">
        <f t="shared" si="1"/>
        <v>2023-Q4</v>
      </c>
      <c r="E25" s="5">
        <v>45258</v>
      </c>
      <c r="F25" s="9">
        <f t="shared" si="7"/>
        <v>18</v>
      </c>
      <c r="G25" s="9" t="str">
        <f t="shared" si="8"/>
        <v>NOT ACHIEVED</v>
      </c>
      <c r="H25" s="3" t="s">
        <v>642</v>
      </c>
      <c r="I25" s="3" t="s">
        <v>649</v>
      </c>
      <c r="J25" s="3" t="s">
        <v>666</v>
      </c>
      <c r="K25" s="13" t="str">
        <f t="shared" si="21"/>
        <v>Americas &gt; Brazil &gt; Brasília</v>
      </c>
      <c r="L25" s="3" t="s">
        <v>696</v>
      </c>
      <c r="M25" s="3" t="s">
        <v>703</v>
      </c>
      <c r="N25" s="13" t="str">
        <f t="shared" si="9"/>
        <v>Marketplace</v>
      </c>
      <c r="O25" s="3" t="s">
        <v>710</v>
      </c>
      <c r="P25" s="3" t="s">
        <v>727</v>
      </c>
      <c r="Q25" s="13" t="str">
        <f t="shared" si="2"/>
        <v>Low</v>
      </c>
      <c r="R25" s="3" t="s">
        <v>941</v>
      </c>
      <c r="S25" s="7">
        <v>388.51</v>
      </c>
      <c r="T25" s="7">
        <f t="shared" si="10"/>
        <v>446.78649999999993</v>
      </c>
      <c r="U25" s="7">
        <v>776.46</v>
      </c>
      <c r="V25" s="7">
        <f t="shared" si="11"/>
        <v>776.46</v>
      </c>
      <c r="W25" s="7">
        <f t="shared" si="12"/>
        <v>892.92899999999997</v>
      </c>
      <c r="X25" s="16">
        <v>0.157</v>
      </c>
      <c r="Y25" t="str">
        <f t="shared" si="13"/>
        <v>OK</v>
      </c>
      <c r="Z25" s="16">
        <f t="shared" si="14"/>
        <v>0.157</v>
      </c>
      <c r="AA25" s="16">
        <f t="shared" si="15"/>
        <v>0.157</v>
      </c>
      <c r="AB25" s="9">
        <v>12</v>
      </c>
      <c r="AC25" s="9">
        <f t="shared" si="16"/>
        <v>14.399999999999999</v>
      </c>
      <c r="AD25" s="9">
        <f t="shared" si="3"/>
        <v>7854.6693599999999</v>
      </c>
      <c r="AE25" s="9">
        <f t="shared" si="17"/>
        <v>14876.9114832</v>
      </c>
      <c r="AF25" s="9">
        <f t="shared" si="4"/>
        <v>4662.12</v>
      </c>
      <c r="AG25" s="9">
        <f t="shared" si="18"/>
        <v>3192.54936</v>
      </c>
      <c r="AH25" s="9">
        <f t="shared" si="19"/>
        <v>10214.791483199999</v>
      </c>
      <c r="AI25">
        <f t="shared" si="5"/>
        <v>0.40645241876864946</v>
      </c>
      <c r="AJ25" s="5">
        <f t="shared" si="6"/>
        <v>44928</v>
      </c>
      <c r="AK25" t="str">
        <f t="shared" si="20"/>
        <v>Jan-2023</v>
      </c>
      <c r="AL25">
        <v>0</v>
      </c>
      <c r="AM25">
        <v>0</v>
      </c>
      <c r="AN25">
        <v>0</v>
      </c>
    </row>
    <row r="26" spans="1:40" x14ac:dyDescent="0.45">
      <c r="A26" s="3" t="s">
        <v>227</v>
      </c>
      <c r="B26" s="5">
        <v>45554</v>
      </c>
      <c r="C26" s="9" t="str">
        <f t="shared" si="0"/>
        <v>Sep-2024</v>
      </c>
      <c r="D26" s="5" t="str">
        <f t="shared" si="1"/>
        <v>2024-Q3</v>
      </c>
      <c r="E26" s="5">
        <v>45579</v>
      </c>
      <c r="F26" s="9">
        <f t="shared" si="7"/>
        <v>25</v>
      </c>
      <c r="G26" s="9" t="str">
        <f t="shared" si="8"/>
        <v>NOT ACHIEVED</v>
      </c>
      <c r="H26" s="3" t="s">
        <v>642</v>
      </c>
      <c r="I26" s="3" t="s">
        <v>649</v>
      </c>
      <c r="J26" s="3" t="s">
        <v>686</v>
      </c>
      <c r="K26" s="13" t="str">
        <f t="shared" si="21"/>
        <v>Americas &gt; Brazil &gt; Rio de Janeiro</v>
      </c>
      <c r="L26" s="3" t="s">
        <v>699</v>
      </c>
      <c r="M26" s="3" t="s">
        <v>701</v>
      </c>
      <c r="N26" s="13" t="str">
        <f t="shared" si="9"/>
        <v>Retail</v>
      </c>
      <c r="O26" s="3" t="s">
        <v>717</v>
      </c>
      <c r="P26" s="3" t="s">
        <v>722</v>
      </c>
      <c r="Q26" s="13" t="str">
        <f t="shared" si="2"/>
        <v>Medium</v>
      </c>
      <c r="R26" s="3" t="s">
        <v>946</v>
      </c>
      <c r="S26" s="7">
        <v>386.96</v>
      </c>
      <c r="T26" s="7">
        <f t="shared" si="10"/>
        <v>445.00399999999996</v>
      </c>
      <c r="U26" s="7">
        <v>937.46</v>
      </c>
      <c r="V26" s="7">
        <f t="shared" si="11"/>
        <v>937.46</v>
      </c>
      <c r="W26" s="7">
        <f t="shared" si="12"/>
        <v>1078.079</v>
      </c>
      <c r="X26" s="16">
        <v>0.26600000000000001</v>
      </c>
      <c r="Y26" t="str">
        <f t="shared" si="13"/>
        <v>OK</v>
      </c>
      <c r="Z26" s="16">
        <f t="shared" si="14"/>
        <v>0.26600000000000001</v>
      </c>
      <c r="AA26" s="16">
        <f t="shared" si="15"/>
        <v>0.25</v>
      </c>
      <c r="AB26" s="9">
        <v>41</v>
      </c>
      <c r="AC26" s="9">
        <f t="shared" si="16"/>
        <v>49.199999999999996</v>
      </c>
      <c r="AD26" s="9">
        <f t="shared" si="3"/>
        <v>28211.92124</v>
      </c>
      <c r="AE26" s="9">
        <f t="shared" si="17"/>
        <v>66301.858499999988</v>
      </c>
      <c r="AF26" s="9">
        <f t="shared" si="4"/>
        <v>15865.359999999999</v>
      </c>
      <c r="AG26" s="9">
        <f t="shared" si="18"/>
        <v>12346.561240000001</v>
      </c>
      <c r="AH26" s="9">
        <f t="shared" si="19"/>
        <v>50436.498499999987</v>
      </c>
      <c r="AI26">
        <f t="shared" si="5"/>
        <v>0.43763631462626335</v>
      </c>
      <c r="AJ26" s="5">
        <f t="shared" si="6"/>
        <v>44928</v>
      </c>
      <c r="AK26" t="str">
        <f t="shared" si="20"/>
        <v>Jan-2023</v>
      </c>
      <c r="AL26">
        <v>0</v>
      </c>
      <c r="AM26">
        <v>0</v>
      </c>
      <c r="AN26">
        <v>0</v>
      </c>
    </row>
    <row r="27" spans="1:40" x14ac:dyDescent="0.45">
      <c r="A27" s="3" t="s">
        <v>233</v>
      </c>
      <c r="B27" s="5">
        <v>45279</v>
      </c>
      <c r="C27" s="9" t="str">
        <f t="shared" si="0"/>
        <v>Dec-2023</v>
      </c>
      <c r="D27" s="5" t="str">
        <f t="shared" si="1"/>
        <v>2023-Q4</v>
      </c>
      <c r="E27" s="5">
        <v>45280</v>
      </c>
      <c r="F27" s="9">
        <f t="shared" si="7"/>
        <v>1</v>
      </c>
      <c r="G27" s="9" t="str">
        <f t="shared" si="8"/>
        <v>ACHIEVED</v>
      </c>
      <c r="H27" s="3" t="s">
        <v>642</v>
      </c>
      <c r="I27" s="3" t="s">
        <v>649</v>
      </c>
      <c r="J27" s="3" t="s">
        <v>686</v>
      </c>
      <c r="K27" s="13" t="str">
        <f t="shared" si="21"/>
        <v>Americas &gt; Brazil &gt; Rio de Janeiro</v>
      </c>
      <c r="L27" s="3" t="s">
        <v>698</v>
      </c>
      <c r="M27" s="3" t="s">
        <v>704</v>
      </c>
      <c r="N27" s="13" t="str">
        <f t="shared" si="9"/>
        <v>Distributor</v>
      </c>
      <c r="O27" s="3" t="s">
        <v>707</v>
      </c>
      <c r="P27" s="3" t="s">
        <v>724</v>
      </c>
      <c r="Q27" s="13" t="str">
        <f t="shared" si="2"/>
        <v>High</v>
      </c>
      <c r="R27" s="3" t="s">
        <v>952</v>
      </c>
      <c r="S27" s="7">
        <v>1080.43</v>
      </c>
      <c r="T27" s="7">
        <f t="shared" si="10"/>
        <v>1242.4945</v>
      </c>
      <c r="U27" s="7">
        <v>2529.15</v>
      </c>
      <c r="V27" s="7">
        <f t="shared" si="11"/>
        <v>2529.15</v>
      </c>
      <c r="W27" s="7">
        <f t="shared" si="12"/>
        <v>2908.5225</v>
      </c>
      <c r="X27" s="16">
        <v>0.14699999999999999</v>
      </c>
      <c r="Y27" t="str">
        <f t="shared" si="13"/>
        <v>OK</v>
      </c>
      <c r="Z27" s="16">
        <f t="shared" si="14"/>
        <v>0.14699999999999999</v>
      </c>
      <c r="AA27" s="16">
        <f t="shared" si="15"/>
        <v>0.14699999999999999</v>
      </c>
      <c r="AB27" s="9">
        <v>10</v>
      </c>
      <c r="AC27" s="9">
        <f t="shared" si="16"/>
        <v>12</v>
      </c>
      <c r="AD27" s="9">
        <f t="shared" si="3"/>
        <v>21573.6495</v>
      </c>
      <c r="AE27" s="9">
        <f t="shared" si="17"/>
        <v>40032.903690000006</v>
      </c>
      <c r="AF27" s="9">
        <f t="shared" si="4"/>
        <v>10804.300000000001</v>
      </c>
      <c r="AG27" s="9">
        <f t="shared" si="18"/>
        <v>10769.349499999998</v>
      </c>
      <c r="AH27" s="9">
        <f t="shared" si="19"/>
        <v>29228.603690000004</v>
      </c>
      <c r="AI27">
        <f t="shared" si="5"/>
        <v>0.49918997247081437</v>
      </c>
      <c r="AJ27" s="5">
        <f t="shared" si="6"/>
        <v>44928</v>
      </c>
      <c r="AK27" t="str">
        <f t="shared" si="20"/>
        <v>Jan-2023</v>
      </c>
      <c r="AL27">
        <v>0</v>
      </c>
      <c r="AM27">
        <v>0</v>
      </c>
      <c r="AN27">
        <v>0</v>
      </c>
    </row>
    <row r="28" spans="1:40" x14ac:dyDescent="0.45">
      <c r="A28" s="3" t="s">
        <v>239</v>
      </c>
      <c r="B28" s="5">
        <v>45771</v>
      </c>
      <c r="C28" s="9" t="str">
        <f t="shared" si="0"/>
        <v>Apr-2025</v>
      </c>
      <c r="D28" s="5" t="str">
        <f t="shared" si="1"/>
        <v>2025-Q2</v>
      </c>
      <c r="E28" s="5">
        <v>45783</v>
      </c>
      <c r="F28" s="9">
        <f t="shared" si="7"/>
        <v>12</v>
      </c>
      <c r="G28" s="9" t="str">
        <f t="shared" si="8"/>
        <v>NOT ACHIEVED</v>
      </c>
      <c r="H28" s="3" t="s">
        <v>642</v>
      </c>
      <c r="I28" s="3" t="s">
        <v>649</v>
      </c>
      <c r="J28" s="3" t="s">
        <v>666</v>
      </c>
      <c r="K28" s="13" t="str">
        <f t="shared" si="21"/>
        <v>Americas &gt; Brazil &gt; Brasília</v>
      </c>
      <c r="L28" s="3" t="s">
        <v>698</v>
      </c>
      <c r="M28" s="3" t="s">
        <v>702</v>
      </c>
      <c r="N28" s="13" t="str">
        <f t="shared" si="9"/>
        <v>Online</v>
      </c>
      <c r="O28" s="3" t="s">
        <v>706</v>
      </c>
      <c r="P28" s="3" t="s">
        <v>724</v>
      </c>
      <c r="Q28" s="13" t="str">
        <f t="shared" si="2"/>
        <v>Medium</v>
      </c>
      <c r="R28" s="3" t="s">
        <v>958</v>
      </c>
      <c r="S28" s="7">
        <v>394.13</v>
      </c>
      <c r="T28" s="7">
        <f t="shared" si="10"/>
        <v>453.24949999999995</v>
      </c>
      <c r="U28" s="7">
        <v>932.29</v>
      </c>
      <c r="V28" s="7">
        <f t="shared" si="11"/>
        <v>932.29</v>
      </c>
      <c r="W28" s="7">
        <f t="shared" si="12"/>
        <v>1072.1334999999999</v>
      </c>
      <c r="X28" s="16">
        <v>0.109</v>
      </c>
      <c r="Y28" t="str">
        <f t="shared" si="13"/>
        <v>OK</v>
      </c>
      <c r="Z28" s="16">
        <f t="shared" si="14"/>
        <v>0.109</v>
      </c>
      <c r="AA28" s="16">
        <f t="shared" si="15"/>
        <v>0.109</v>
      </c>
      <c r="AB28" s="9">
        <v>7</v>
      </c>
      <c r="AC28" s="9">
        <f t="shared" si="16"/>
        <v>8.4</v>
      </c>
      <c r="AD28" s="9">
        <f t="shared" si="3"/>
        <v>5814.6927299999998</v>
      </c>
      <c r="AE28" s="9">
        <f t="shared" si="17"/>
        <v>9987.5668325999995</v>
      </c>
      <c r="AF28" s="9">
        <f t="shared" si="4"/>
        <v>2758.91</v>
      </c>
      <c r="AG28" s="9">
        <f t="shared" si="18"/>
        <v>3055.7827299999999</v>
      </c>
      <c r="AH28" s="9">
        <f t="shared" si="19"/>
        <v>7228.6568325999997</v>
      </c>
      <c r="AI28">
        <f t="shared" si="5"/>
        <v>0.5255278089303268</v>
      </c>
      <c r="AJ28" s="5">
        <f t="shared" si="6"/>
        <v>44928</v>
      </c>
      <c r="AK28" t="str">
        <f t="shared" si="20"/>
        <v>Jan-2023</v>
      </c>
      <c r="AL28">
        <v>0</v>
      </c>
      <c r="AM28">
        <v>0</v>
      </c>
      <c r="AN28">
        <v>0</v>
      </c>
    </row>
    <row r="29" spans="1:40" x14ac:dyDescent="0.45">
      <c r="A29" s="3" t="s">
        <v>252</v>
      </c>
      <c r="B29" s="5">
        <v>45035</v>
      </c>
      <c r="C29" s="9" t="str">
        <f t="shared" si="0"/>
        <v>Apr-2023</v>
      </c>
      <c r="D29" s="5" t="str">
        <f t="shared" si="1"/>
        <v>2023-Q2</v>
      </c>
      <c r="E29" s="5">
        <v>45044</v>
      </c>
      <c r="F29" s="9">
        <f t="shared" si="7"/>
        <v>9</v>
      </c>
      <c r="G29" s="9" t="str">
        <f t="shared" si="8"/>
        <v>NOT ACHIEVED</v>
      </c>
      <c r="H29" s="3" t="s">
        <v>642</v>
      </c>
      <c r="I29" s="3" t="s">
        <v>649</v>
      </c>
      <c r="J29" s="3" t="s">
        <v>686</v>
      </c>
      <c r="K29" s="13" t="str">
        <f t="shared" si="21"/>
        <v>Americas &gt; Brazil &gt; Rio de Janeiro</v>
      </c>
      <c r="L29" s="3" t="s">
        <v>695</v>
      </c>
      <c r="M29" s="3" t="s">
        <v>704</v>
      </c>
      <c r="N29" s="13" t="str">
        <f t="shared" si="9"/>
        <v>Distributor</v>
      </c>
      <c r="O29" s="3" t="s">
        <v>718</v>
      </c>
      <c r="P29" s="3" t="s">
        <v>724</v>
      </c>
      <c r="Q29" s="13" t="str">
        <f t="shared" si="2"/>
        <v>Medium</v>
      </c>
      <c r="R29" s="3" t="s">
        <v>971</v>
      </c>
      <c r="S29" s="7">
        <v>1013.54</v>
      </c>
      <c r="T29" s="7">
        <f t="shared" si="10"/>
        <v>1165.5709999999999</v>
      </c>
      <c r="U29" s="7">
        <v>927.93</v>
      </c>
      <c r="V29" s="7">
        <f t="shared" si="11"/>
        <v>927.93</v>
      </c>
      <c r="W29" s="7">
        <f t="shared" si="12"/>
        <v>1067.1194999999998</v>
      </c>
      <c r="X29" s="16">
        <v>0.17499999999999999</v>
      </c>
      <c r="Y29" t="str">
        <f t="shared" si="13"/>
        <v>OK</v>
      </c>
      <c r="Z29" s="16">
        <f t="shared" si="14"/>
        <v>0.17499999999999999</v>
      </c>
      <c r="AA29" s="16">
        <f t="shared" si="15"/>
        <v>0.17499999999999999</v>
      </c>
      <c r="AB29" s="9">
        <v>16</v>
      </c>
      <c r="AC29" s="9">
        <f t="shared" si="16"/>
        <v>19.2</v>
      </c>
      <c r="AD29" s="9">
        <f t="shared" si="3"/>
        <v>12248.675999999999</v>
      </c>
      <c r="AE29" s="9">
        <f t="shared" si="17"/>
        <v>24074.215919999999</v>
      </c>
      <c r="AF29" s="9">
        <f t="shared" si="4"/>
        <v>16216.64</v>
      </c>
      <c r="AG29" s="9">
        <f t="shared" si="18"/>
        <v>-3967.9639999999999</v>
      </c>
      <c r="AH29" s="9">
        <f t="shared" si="19"/>
        <v>7857.5759199999993</v>
      </c>
      <c r="AI29">
        <f t="shared" si="5"/>
        <v>-0.32395044166406234</v>
      </c>
      <c r="AJ29" s="5">
        <f t="shared" si="6"/>
        <v>44928</v>
      </c>
      <c r="AK29" t="str">
        <f t="shared" si="20"/>
        <v>Jan-2023</v>
      </c>
      <c r="AL29">
        <v>0</v>
      </c>
      <c r="AM29">
        <v>0</v>
      </c>
      <c r="AN29">
        <v>0</v>
      </c>
    </row>
    <row r="30" spans="1:40" x14ac:dyDescent="0.45">
      <c r="A30" s="3" t="s">
        <v>267</v>
      </c>
      <c r="B30" s="5">
        <v>45210</v>
      </c>
      <c r="C30" s="9" t="str">
        <f t="shared" si="0"/>
        <v>Oct-2023</v>
      </c>
      <c r="D30" s="5" t="str">
        <f t="shared" si="1"/>
        <v>2023-Q4</v>
      </c>
      <c r="E30" s="5">
        <v>45212</v>
      </c>
      <c r="F30" s="9">
        <f t="shared" si="7"/>
        <v>2</v>
      </c>
      <c r="G30" s="9" t="str">
        <f t="shared" si="8"/>
        <v>ACHIEVED</v>
      </c>
      <c r="H30" s="3" t="s">
        <v>642</v>
      </c>
      <c r="I30" s="3" t="s">
        <v>649</v>
      </c>
      <c r="J30" s="3" t="s">
        <v>666</v>
      </c>
      <c r="K30" s="13" t="str">
        <f t="shared" si="21"/>
        <v>Americas &gt; Brazil &gt; Brasília</v>
      </c>
      <c r="L30" s="3" t="s">
        <v>698</v>
      </c>
      <c r="M30" s="3" t="s">
        <v>704</v>
      </c>
      <c r="N30" s="13" t="str">
        <f t="shared" si="9"/>
        <v>Distributor</v>
      </c>
      <c r="O30" s="3" t="s">
        <v>1443</v>
      </c>
      <c r="P30" s="3" t="s">
        <v>727</v>
      </c>
      <c r="Q30" s="13" t="str">
        <f t="shared" si="2"/>
        <v>Low</v>
      </c>
      <c r="R30" s="3" t="s">
        <v>986</v>
      </c>
      <c r="S30" s="7">
        <v>715.94</v>
      </c>
      <c r="T30" s="7">
        <f t="shared" si="10"/>
        <v>823.33100000000002</v>
      </c>
      <c r="U30" s="7">
        <v>550.07000000000005</v>
      </c>
      <c r="V30" s="7">
        <f t="shared" si="11"/>
        <v>550.07000000000005</v>
      </c>
      <c r="W30" s="7">
        <f t="shared" si="12"/>
        <v>632.58050000000003</v>
      </c>
      <c r="X30" s="16">
        <v>0.14000000000000001</v>
      </c>
      <c r="Y30" t="str">
        <f t="shared" si="13"/>
        <v>OK</v>
      </c>
      <c r="Z30" s="16">
        <f t="shared" si="14"/>
        <v>0.14000000000000001</v>
      </c>
      <c r="AA30" s="16">
        <f t="shared" si="15"/>
        <v>0.14000000000000001</v>
      </c>
      <c r="AB30" s="9">
        <v>16</v>
      </c>
      <c r="AC30" s="9">
        <f t="shared" si="16"/>
        <v>19.2</v>
      </c>
      <c r="AD30" s="9">
        <f t="shared" si="3"/>
        <v>7568.9632000000001</v>
      </c>
      <c r="AE30" s="9">
        <f t="shared" si="17"/>
        <v>13845.921984000001</v>
      </c>
      <c r="AF30" s="9">
        <f t="shared" si="4"/>
        <v>11455.04</v>
      </c>
      <c r="AG30" s="9">
        <f t="shared" si="18"/>
        <v>-3886.0768000000007</v>
      </c>
      <c r="AH30" s="9">
        <f t="shared" si="19"/>
        <v>2390.8819839999996</v>
      </c>
      <c r="AI30">
        <f t="shared" si="5"/>
        <v>-0.51342260456491595</v>
      </c>
      <c r="AJ30" s="5">
        <f t="shared" si="6"/>
        <v>44928</v>
      </c>
      <c r="AK30" t="str">
        <f t="shared" si="20"/>
        <v>Jan-2023</v>
      </c>
      <c r="AL30">
        <v>0</v>
      </c>
      <c r="AM30">
        <v>0</v>
      </c>
      <c r="AN30">
        <v>0</v>
      </c>
    </row>
    <row r="31" spans="1:40" x14ac:dyDescent="0.45">
      <c r="A31" s="3" t="s">
        <v>270</v>
      </c>
      <c r="B31" s="5">
        <v>45142</v>
      </c>
      <c r="C31" s="9" t="str">
        <f t="shared" si="0"/>
        <v>Aug-2023</v>
      </c>
      <c r="D31" s="5" t="str">
        <f t="shared" si="1"/>
        <v>2023-Q3</v>
      </c>
      <c r="E31" s="5">
        <v>45162</v>
      </c>
      <c r="F31" s="9">
        <f t="shared" si="7"/>
        <v>20</v>
      </c>
      <c r="G31" s="9" t="str">
        <f t="shared" si="8"/>
        <v>NOT ACHIEVED</v>
      </c>
      <c r="H31" s="3" t="s">
        <v>642</v>
      </c>
      <c r="I31" s="3" t="s">
        <v>649</v>
      </c>
      <c r="J31" s="3" t="s">
        <v>666</v>
      </c>
      <c r="K31" s="13" t="str">
        <f t="shared" si="21"/>
        <v>Americas &gt; Brazil &gt; Brasília</v>
      </c>
      <c r="L31" s="3" t="s">
        <v>697</v>
      </c>
      <c r="M31" s="3" t="s">
        <v>705</v>
      </c>
      <c r="N31" s="13" t="str">
        <f t="shared" si="9"/>
        <v>Direct</v>
      </c>
      <c r="O31" s="3" t="s">
        <v>1443</v>
      </c>
      <c r="P31" s="3" t="s">
        <v>723</v>
      </c>
      <c r="Q31" s="13" t="str">
        <f t="shared" si="2"/>
        <v>Medium</v>
      </c>
      <c r="R31" s="3" t="s">
        <v>989</v>
      </c>
      <c r="S31" s="7">
        <v>582.88</v>
      </c>
      <c r="T31" s="7">
        <f t="shared" si="10"/>
        <v>670.3119999999999</v>
      </c>
      <c r="U31" s="7">
        <v>1044.1400000000001</v>
      </c>
      <c r="V31" s="7">
        <f t="shared" si="11"/>
        <v>1044.1400000000001</v>
      </c>
      <c r="W31" s="7">
        <f t="shared" si="12"/>
        <v>1200.761</v>
      </c>
      <c r="X31" s="16">
        <v>0.216</v>
      </c>
      <c r="Y31" t="str">
        <f t="shared" si="13"/>
        <v>OK</v>
      </c>
      <c r="Z31" s="16">
        <f t="shared" si="14"/>
        <v>0.216</v>
      </c>
      <c r="AA31" s="16">
        <f t="shared" si="15"/>
        <v>0.216</v>
      </c>
      <c r="AB31" s="9">
        <v>10</v>
      </c>
      <c r="AC31" s="9">
        <f t="shared" si="16"/>
        <v>12</v>
      </c>
      <c r="AD31" s="9">
        <f t="shared" si="3"/>
        <v>8186.057600000001</v>
      </c>
      <c r="AE31" s="9">
        <f t="shared" si="17"/>
        <v>17521.504512</v>
      </c>
      <c r="AF31" s="9">
        <f t="shared" si="4"/>
        <v>5828.8</v>
      </c>
      <c r="AG31" s="9">
        <f t="shared" si="18"/>
        <v>2357.2576000000008</v>
      </c>
      <c r="AH31" s="9">
        <f t="shared" si="19"/>
        <v>11692.704512</v>
      </c>
      <c r="AI31">
        <f t="shared" si="5"/>
        <v>0.28796005539956138</v>
      </c>
      <c r="AJ31" s="5">
        <f t="shared" si="6"/>
        <v>44928</v>
      </c>
      <c r="AK31" t="str">
        <f t="shared" si="20"/>
        <v>Jan-2023</v>
      </c>
      <c r="AL31">
        <v>0</v>
      </c>
      <c r="AM31">
        <v>0</v>
      </c>
      <c r="AN31">
        <v>0</v>
      </c>
    </row>
    <row r="32" spans="1:40" x14ac:dyDescent="0.45">
      <c r="A32" s="3" t="s">
        <v>276</v>
      </c>
      <c r="B32" s="5">
        <v>45284</v>
      </c>
      <c r="C32" s="9" t="str">
        <f t="shared" si="0"/>
        <v>Dec-2023</v>
      </c>
      <c r="D32" s="5" t="str">
        <f t="shared" si="1"/>
        <v>2023-Q4</v>
      </c>
      <c r="E32" s="5">
        <v>45292</v>
      </c>
      <c r="F32" s="9">
        <f t="shared" si="7"/>
        <v>8</v>
      </c>
      <c r="G32" s="9" t="str">
        <f t="shared" si="8"/>
        <v>NOT ACHIEVED</v>
      </c>
      <c r="H32" s="3" t="s">
        <v>642</v>
      </c>
      <c r="I32" s="3" t="s">
        <v>649</v>
      </c>
      <c r="J32" s="3" t="s">
        <v>664</v>
      </c>
      <c r="K32" s="13" t="str">
        <f t="shared" si="21"/>
        <v>Americas &gt; Brazil &gt; São Paulo</v>
      </c>
      <c r="L32" s="3" t="s">
        <v>696</v>
      </c>
      <c r="M32" s="3" t="s">
        <v>705</v>
      </c>
      <c r="N32" s="13" t="str">
        <f t="shared" si="9"/>
        <v>Direct</v>
      </c>
      <c r="O32" s="3" t="s">
        <v>706</v>
      </c>
      <c r="P32" s="3" t="s">
        <v>724</v>
      </c>
      <c r="Q32" s="13" t="str">
        <f t="shared" si="2"/>
        <v>Low</v>
      </c>
      <c r="R32" s="3" t="s">
        <v>995</v>
      </c>
      <c r="S32" s="7">
        <v>526.49</v>
      </c>
      <c r="T32" s="7">
        <f t="shared" si="10"/>
        <v>605.46349999999995</v>
      </c>
      <c r="U32" s="7">
        <v>496.2</v>
      </c>
      <c r="V32" s="7">
        <f t="shared" si="11"/>
        <v>496.2</v>
      </c>
      <c r="W32" s="7">
        <f t="shared" si="12"/>
        <v>570.63</v>
      </c>
      <c r="X32" s="16">
        <v>0</v>
      </c>
      <c r="Y32" t="str">
        <f t="shared" si="13"/>
        <v>OK</v>
      </c>
      <c r="Z32" s="16">
        <f t="shared" si="14"/>
        <v>0</v>
      </c>
      <c r="AA32" s="16">
        <f t="shared" si="15"/>
        <v>0</v>
      </c>
      <c r="AB32" s="9">
        <v>14</v>
      </c>
      <c r="AC32" s="9">
        <f t="shared" si="16"/>
        <v>16.8</v>
      </c>
      <c r="AD32" s="9">
        <f t="shared" si="3"/>
        <v>6946.8</v>
      </c>
      <c r="AE32" s="9">
        <f t="shared" si="17"/>
        <v>9586.5840000000007</v>
      </c>
      <c r="AF32" s="9">
        <f t="shared" si="4"/>
        <v>7370.8600000000006</v>
      </c>
      <c r="AG32" s="9">
        <f t="shared" si="18"/>
        <v>-424.0600000000004</v>
      </c>
      <c r="AH32" s="9">
        <f t="shared" si="19"/>
        <v>2215.7240000000002</v>
      </c>
      <c r="AI32">
        <f t="shared" si="5"/>
        <v>-6.1043933897621985E-2</v>
      </c>
      <c r="AJ32" s="5">
        <f t="shared" si="6"/>
        <v>44928</v>
      </c>
      <c r="AK32" t="str">
        <f t="shared" si="20"/>
        <v>Jan-2023</v>
      </c>
      <c r="AL32">
        <v>0</v>
      </c>
      <c r="AM32">
        <v>0</v>
      </c>
      <c r="AN32">
        <v>0</v>
      </c>
    </row>
    <row r="33" spans="1:40" x14ac:dyDescent="0.45">
      <c r="A33" s="3" t="s">
        <v>278</v>
      </c>
      <c r="B33" s="5">
        <v>45141</v>
      </c>
      <c r="C33" s="9" t="str">
        <f t="shared" si="0"/>
        <v>Aug-2023</v>
      </c>
      <c r="D33" s="5" t="str">
        <f t="shared" si="1"/>
        <v>2023-Q3</v>
      </c>
      <c r="E33" s="5">
        <v>45152</v>
      </c>
      <c r="F33" s="9">
        <f t="shared" si="7"/>
        <v>11</v>
      </c>
      <c r="G33" s="9" t="str">
        <f t="shared" si="8"/>
        <v>NOT ACHIEVED</v>
      </c>
      <c r="H33" s="3" t="s">
        <v>642</v>
      </c>
      <c r="I33" s="3" t="s">
        <v>649</v>
      </c>
      <c r="J33" s="3" t="s">
        <v>666</v>
      </c>
      <c r="K33" s="13" t="str">
        <f t="shared" si="21"/>
        <v>Americas &gt; Brazil &gt; Brasília</v>
      </c>
      <c r="L33" s="3" t="s">
        <v>695</v>
      </c>
      <c r="M33" s="3" t="s">
        <v>705</v>
      </c>
      <c r="N33" s="13" t="str">
        <f t="shared" si="9"/>
        <v>Direct</v>
      </c>
      <c r="O33" s="3" t="s">
        <v>707</v>
      </c>
      <c r="P33" s="3" t="s">
        <v>727</v>
      </c>
      <c r="Q33" s="13" t="str">
        <f t="shared" si="2"/>
        <v>Low</v>
      </c>
      <c r="R33" s="3" t="s">
        <v>997</v>
      </c>
      <c r="S33" s="7">
        <v>232.73</v>
      </c>
      <c r="T33" s="7">
        <f t="shared" si="10"/>
        <v>267.63949999999994</v>
      </c>
      <c r="U33" s="7">
        <v>334.19</v>
      </c>
      <c r="V33" s="7">
        <f t="shared" si="11"/>
        <v>334.19</v>
      </c>
      <c r="W33" s="7">
        <f t="shared" si="12"/>
        <v>384.31849999999997</v>
      </c>
      <c r="X33" s="16">
        <v>0.13400000000000001</v>
      </c>
      <c r="Y33" t="str">
        <f t="shared" si="13"/>
        <v>OK</v>
      </c>
      <c r="Z33" s="16">
        <f t="shared" si="14"/>
        <v>0.13400000000000001</v>
      </c>
      <c r="AA33" s="16">
        <f t="shared" si="15"/>
        <v>0.13400000000000001</v>
      </c>
      <c r="AB33" s="9">
        <v>25</v>
      </c>
      <c r="AC33" s="9">
        <f t="shared" si="16"/>
        <v>30</v>
      </c>
      <c r="AD33" s="9">
        <f t="shared" si="3"/>
        <v>7235.2134999999998</v>
      </c>
      <c r="AE33" s="9">
        <f t="shared" si="17"/>
        <v>13074.515369999997</v>
      </c>
      <c r="AF33" s="9">
        <f t="shared" si="4"/>
        <v>5818.25</v>
      </c>
      <c r="AG33" s="9">
        <f t="shared" si="18"/>
        <v>1416.9634999999998</v>
      </c>
      <c r="AH33" s="9">
        <f t="shared" si="19"/>
        <v>7256.2653699999973</v>
      </c>
      <c r="AI33">
        <f t="shared" si="5"/>
        <v>0.1958426658729559</v>
      </c>
      <c r="AJ33" s="5">
        <f t="shared" si="6"/>
        <v>44928</v>
      </c>
      <c r="AK33" t="str">
        <f t="shared" si="20"/>
        <v>Jan-2023</v>
      </c>
      <c r="AL33">
        <v>0</v>
      </c>
      <c r="AM33">
        <v>0</v>
      </c>
      <c r="AN33">
        <v>0</v>
      </c>
    </row>
    <row r="34" spans="1:40" x14ac:dyDescent="0.45">
      <c r="A34" s="3" t="s">
        <v>283</v>
      </c>
      <c r="B34" s="5">
        <v>45316</v>
      </c>
      <c r="C34" s="9" t="str">
        <f t="shared" si="0"/>
        <v>Jan-2024</v>
      </c>
      <c r="D34" s="5" t="str">
        <f t="shared" si="1"/>
        <v>2024-Q1</v>
      </c>
      <c r="E34" s="5">
        <v>45318</v>
      </c>
      <c r="F34" s="9">
        <f t="shared" si="7"/>
        <v>2</v>
      </c>
      <c r="G34" s="9" t="str">
        <f t="shared" si="8"/>
        <v>ACHIEVED</v>
      </c>
      <c r="H34" s="3" t="s">
        <v>642</v>
      </c>
      <c r="I34" s="3" t="s">
        <v>649</v>
      </c>
      <c r="J34" s="3" t="s">
        <v>664</v>
      </c>
      <c r="K34" s="13" t="str">
        <f t="shared" si="21"/>
        <v>Americas &gt; Brazil &gt; São Paulo</v>
      </c>
      <c r="L34" s="3" t="s">
        <v>697</v>
      </c>
      <c r="M34" s="3" t="s">
        <v>703</v>
      </c>
      <c r="N34" s="13" t="str">
        <f t="shared" si="9"/>
        <v>Marketplace</v>
      </c>
      <c r="O34" s="3" t="s">
        <v>719</v>
      </c>
      <c r="P34" s="3" t="s">
        <v>725</v>
      </c>
      <c r="Q34" s="13" t="str">
        <f t="shared" si="2"/>
        <v>High</v>
      </c>
      <c r="R34" s="3" t="s">
        <v>1002</v>
      </c>
      <c r="S34" s="7">
        <v>1410.97</v>
      </c>
      <c r="T34" s="7">
        <f t="shared" si="10"/>
        <v>1622.6154999999999</v>
      </c>
      <c r="U34" s="7">
        <v>1650.75</v>
      </c>
      <c r="V34" s="7">
        <f t="shared" si="11"/>
        <v>1650.75</v>
      </c>
      <c r="W34" s="7">
        <f t="shared" si="12"/>
        <v>1898.3625</v>
      </c>
      <c r="X34" s="16">
        <v>0.13500000000000001</v>
      </c>
      <c r="Y34" t="str">
        <f t="shared" si="13"/>
        <v>OK</v>
      </c>
      <c r="Z34" s="16">
        <f t="shared" si="14"/>
        <v>0.13500000000000001</v>
      </c>
      <c r="AA34" s="16">
        <f t="shared" si="15"/>
        <v>0.13500000000000001</v>
      </c>
      <c r="AB34" s="9">
        <v>6</v>
      </c>
      <c r="AC34" s="9">
        <f t="shared" si="16"/>
        <v>7.1999999999999993</v>
      </c>
      <c r="AD34" s="9">
        <f t="shared" ref="AD34:AD65" si="22">V34*AB34*(1-Z34)</f>
        <v>8567.3924999999999</v>
      </c>
      <c r="AE34" s="9">
        <f t="shared" si="17"/>
        <v>15513.41835</v>
      </c>
      <c r="AF34" s="9">
        <f t="shared" ref="AF34:AF65" si="23">S34*AB34</f>
        <v>8465.82</v>
      </c>
      <c r="AG34" s="9">
        <f t="shared" si="18"/>
        <v>101.57250000000022</v>
      </c>
      <c r="AH34" s="9">
        <f t="shared" si="19"/>
        <v>7047.5983500000002</v>
      </c>
      <c r="AI34">
        <f t="shared" ref="AI34:AI65" si="24">IF(AD34=0,0,AG34/AD34)</f>
        <v>1.1855707556295596E-2</v>
      </c>
      <c r="AJ34" s="5">
        <f t="shared" si="6"/>
        <v>44928</v>
      </c>
      <c r="AK34" t="str">
        <f t="shared" si="20"/>
        <v>Jan-2023</v>
      </c>
      <c r="AL34">
        <v>0</v>
      </c>
      <c r="AM34">
        <v>0</v>
      </c>
      <c r="AN34">
        <v>0</v>
      </c>
    </row>
    <row r="35" spans="1:40" x14ac:dyDescent="0.45">
      <c r="A35" s="3" t="s">
        <v>299</v>
      </c>
      <c r="B35" s="5">
        <v>45746</v>
      </c>
      <c r="C35" s="9" t="str">
        <f t="shared" si="0"/>
        <v>Mar-2025</v>
      </c>
      <c r="D35" s="5" t="str">
        <f t="shared" si="1"/>
        <v>2025-Q1</v>
      </c>
      <c r="E35" s="5">
        <v>45754</v>
      </c>
      <c r="F35" s="9">
        <f t="shared" si="7"/>
        <v>8</v>
      </c>
      <c r="G35" s="9" t="str">
        <f t="shared" si="8"/>
        <v>NOT ACHIEVED</v>
      </c>
      <c r="H35" s="3" t="s">
        <v>642</v>
      </c>
      <c r="I35" s="3" t="s">
        <v>649</v>
      </c>
      <c r="J35" s="3" t="s">
        <v>664</v>
      </c>
      <c r="K35" s="13" t="str">
        <f t="shared" si="21"/>
        <v>Americas &gt; Brazil &gt; São Paulo</v>
      </c>
      <c r="L35" s="3" t="s">
        <v>697</v>
      </c>
      <c r="M35" s="3" t="s">
        <v>705</v>
      </c>
      <c r="N35" s="13" t="str">
        <f t="shared" si="9"/>
        <v>Direct</v>
      </c>
      <c r="O35" s="3" t="s">
        <v>710</v>
      </c>
      <c r="P35" s="3" t="s">
        <v>722</v>
      </c>
      <c r="Q35" s="13" t="str">
        <f t="shared" si="2"/>
        <v>Low</v>
      </c>
      <c r="R35" s="3" t="s">
        <v>1018</v>
      </c>
      <c r="S35" s="7">
        <v>71.62</v>
      </c>
      <c r="T35" s="7">
        <f t="shared" si="10"/>
        <v>82.363</v>
      </c>
      <c r="U35" s="7">
        <v>118.37</v>
      </c>
      <c r="V35" s="7">
        <f t="shared" si="11"/>
        <v>118.37</v>
      </c>
      <c r="W35" s="7">
        <f t="shared" si="12"/>
        <v>136.12549999999999</v>
      </c>
      <c r="X35" s="16">
        <v>0.156</v>
      </c>
      <c r="Y35" t="str">
        <f t="shared" si="13"/>
        <v>OK</v>
      </c>
      <c r="Z35" s="16">
        <f t="shared" si="14"/>
        <v>0.156</v>
      </c>
      <c r="AA35" s="16">
        <f t="shared" si="15"/>
        <v>0.156</v>
      </c>
      <c r="AB35" s="9">
        <v>11</v>
      </c>
      <c r="AC35" s="9">
        <f t="shared" si="16"/>
        <v>13.2</v>
      </c>
      <c r="AD35" s="9">
        <f t="shared" si="22"/>
        <v>1098.9470800000001</v>
      </c>
      <c r="AE35" s="9">
        <f t="shared" si="17"/>
        <v>2077.1662295999995</v>
      </c>
      <c r="AF35" s="9">
        <f t="shared" si="23"/>
        <v>787.82</v>
      </c>
      <c r="AG35" s="9">
        <f t="shared" si="18"/>
        <v>311.12708000000009</v>
      </c>
      <c r="AH35" s="9">
        <f t="shared" si="19"/>
        <v>1289.3462295999993</v>
      </c>
      <c r="AI35">
        <f t="shared" si="24"/>
        <v>0.28311379652603474</v>
      </c>
      <c r="AJ35" s="5">
        <f t="shared" si="6"/>
        <v>44928</v>
      </c>
      <c r="AK35" t="str">
        <f t="shared" si="20"/>
        <v>Jan-2023</v>
      </c>
      <c r="AL35">
        <v>0</v>
      </c>
      <c r="AM35">
        <v>0</v>
      </c>
      <c r="AN35">
        <v>0</v>
      </c>
    </row>
    <row r="36" spans="1:40" x14ac:dyDescent="0.45">
      <c r="A36" s="3" t="s">
        <v>310</v>
      </c>
      <c r="B36" s="5">
        <v>45125</v>
      </c>
      <c r="C36" s="9" t="str">
        <f t="shared" si="0"/>
        <v>Jul-2023</v>
      </c>
      <c r="D36" s="5" t="str">
        <f t="shared" si="1"/>
        <v>2023-Q3</v>
      </c>
      <c r="E36" s="5">
        <v>45129</v>
      </c>
      <c r="F36" s="9">
        <f t="shared" si="7"/>
        <v>4</v>
      </c>
      <c r="G36" s="9" t="str">
        <f t="shared" si="8"/>
        <v>ACHIEVED</v>
      </c>
      <c r="H36" s="3" t="s">
        <v>642</v>
      </c>
      <c r="I36" s="3" t="s">
        <v>649</v>
      </c>
      <c r="J36" s="3" t="s">
        <v>664</v>
      </c>
      <c r="K36" s="13" t="str">
        <f t="shared" si="21"/>
        <v>Americas &gt; Brazil &gt; São Paulo</v>
      </c>
      <c r="L36" s="3" t="s">
        <v>698</v>
      </c>
      <c r="M36" s="3" t="s">
        <v>705</v>
      </c>
      <c r="N36" s="13" t="str">
        <f t="shared" si="9"/>
        <v>Direct</v>
      </c>
      <c r="O36" s="3" t="s">
        <v>715</v>
      </c>
      <c r="P36" s="3" t="s">
        <v>723</v>
      </c>
      <c r="Q36" s="13" t="str">
        <f t="shared" si="2"/>
        <v>High</v>
      </c>
      <c r="R36" s="3" t="s">
        <v>1029</v>
      </c>
      <c r="S36" s="7">
        <v>1269.55</v>
      </c>
      <c r="T36" s="7">
        <f t="shared" si="10"/>
        <v>1459.9824999999998</v>
      </c>
      <c r="U36" s="7">
        <v>2071.1</v>
      </c>
      <c r="V36" s="7">
        <f t="shared" si="11"/>
        <v>2071.1</v>
      </c>
      <c r="W36" s="7">
        <f t="shared" si="12"/>
        <v>2381.7649999999999</v>
      </c>
      <c r="X36" s="16">
        <v>0.129</v>
      </c>
      <c r="Y36" t="str">
        <f t="shared" si="13"/>
        <v>OK</v>
      </c>
      <c r="Z36" s="16">
        <f t="shared" si="14"/>
        <v>0.129</v>
      </c>
      <c r="AA36" s="16">
        <f t="shared" si="15"/>
        <v>0.129</v>
      </c>
      <c r="AB36" s="9">
        <v>22</v>
      </c>
      <c r="AC36" s="9">
        <f t="shared" si="16"/>
        <v>26.4</v>
      </c>
      <c r="AD36" s="9">
        <f t="shared" si="22"/>
        <v>39686.4182</v>
      </c>
      <c r="AE36" s="9">
        <f t="shared" si="17"/>
        <v>70989.934883999988</v>
      </c>
      <c r="AF36" s="9">
        <f t="shared" si="23"/>
        <v>27930.1</v>
      </c>
      <c r="AG36" s="9">
        <f t="shared" si="18"/>
        <v>11756.318200000002</v>
      </c>
      <c r="AH36" s="9">
        <f t="shared" si="19"/>
        <v>43059.834883999989</v>
      </c>
      <c r="AI36">
        <f t="shared" si="24"/>
        <v>0.29623026549672354</v>
      </c>
      <c r="AJ36" s="5">
        <f t="shared" si="6"/>
        <v>44928</v>
      </c>
      <c r="AK36" t="str">
        <f t="shared" si="20"/>
        <v>Jan-2023</v>
      </c>
      <c r="AL36">
        <v>0</v>
      </c>
      <c r="AM36">
        <v>0</v>
      </c>
      <c r="AN36">
        <v>0</v>
      </c>
    </row>
    <row r="37" spans="1:40" x14ac:dyDescent="0.45">
      <c r="A37" s="3" t="s">
        <v>319</v>
      </c>
      <c r="B37" s="5">
        <v>45435</v>
      </c>
      <c r="C37" s="9" t="str">
        <f t="shared" si="0"/>
        <v>May-2024</v>
      </c>
      <c r="D37" s="5" t="str">
        <f t="shared" si="1"/>
        <v>2024-Q2</v>
      </c>
      <c r="E37" s="5">
        <v>45449</v>
      </c>
      <c r="F37" s="9">
        <f t="shared" si="7"/>
        <v>14</v>
      </c>
      <c r="G37" s="9" t="str">
        <f t="shared" si="8"/>
        <v>NOT ACHIEVED</v>
      </c>
      <c r="H37" s="3" t="s">
        <v>642</v>
      </c>
      <c r="I37" s="3" t="s">
        <v>649</v>
      </c>
      <c r="J37" s="3" t="s">
        <v>686</v>
      </c>
      <c r="K37" s="13" t="str">
        <f t="shared" si="21"/>
        <v>Americas &gt; Brazil &gt; Rio de Janeiro</v>
      </c>
      <c r="L37" s="3" t="s">
        <v>697</v>
      </c>
      <c r="M37" s="3" t="s">
        <v>702</v>
      </c>
      <c r="N37" s="13" t="str">
        <f t="shared" si="9"/>
        <v>Online</v>
      </c>
      <c r="O37" s="3" t="s">
        <v>708</v>
      </c>
      <c r="P37" s="3" t="s">
        <v>723</v>
      </c>
      <c r="Q37" s="13" t="str">
        <f t="shared" si="2"/>
        <v>Low</v>
      </c>
      <c r="R37" s="3" t="s">
        <v>1038</v>
      </c>
      <c r="S37" s="7">
        <v>51.13</v>
      </c>
      <c r="T37" s="7">
        <f t="shared" si="10"/>
        <v>58.799500000000002</v>
      </c>
      <c r="U37" s="7">
        <v>57.53</v>
      </c>
      <c r="V37" s="7">
        <f t="shared" si="11"/>
        <v>57.53</v>
      </c>
      <c r="W37" s="7">
        <f t="shared" si="12"/>
        <v>66.159499999999994</v>
      </c>
      <c r="X37" s="16">
        <v>4.4999999999999998E-2</v>
      </c>
      <c r="Y37" t="str">
        <f t="shared" si="13"/>
        <v>OK</v>
      </c>
      <c r="Z37" s="16">
        <f t="shared" si="14"/>
        <v>4.4999999999999998E-2</v>
      </c>
      <c r="AA37" s="16">
        <f t="shared" si="15"/>
        <v>4.4999999999999998E-2</v>
      </c>
      <c r="AB37" s="9">
        <v>16</v>
      </c>
      <c r="AC37" s="9">
        <f t="shared" si="16"/>
        <v>19.2</v>
      </c>
      <c r="AD37" s="9">
        <f t="shared" si="22"/>
        <v>879.05840000000001</v>
      </c>
      <c r="AE37" s="9">
        <f t="shared" si="17"/>
        <v>1327.4242079999997</v>
      </c>
      <c r="AF37" s="9">
        <f t="shared" si="23"/>
        <v>818.08</v>
      </c>
      <c r="AG37" s="9">
        <f t="shared" si="18"/>
        <v>60.978399999999965</v>
      </c>
      <c r="AH37" s="9">
        <f t="shared" si="19"/>
        <v>509.34420799999964</v>
      </c>
      <c r="AI37">
        <f t="shared" si="24"/>
        <v>6.9367859973808302E-2</v>
      </c>
      <c r="AJ37" s="5">
        <f t="shared" si="6"/>
        <v>44928</v>
      </c>
      <c r="AK37" t="str">
        <f t="shared" si="20"/>
        <v>Jan-2023</v>
      </c>
      <c r="AL37">
        <v>0</v>
      </c>
      <c r="AM37">
        <v>0</v>
      </c>
      <c r="AN37">
        <v>0</v>
      </c>
    </row>
    <row r="38" spans="1:40" x14ac:dyDescent="0.45">
      <c r="A38" s="3" t="s">
        <v>325</v>
      </c>
      <c r="B38" s="5">
        <v>45244</v>
      </c>
      <c r="C38" s="9" t="str">
        <f t="shared" si="0"/>
        <v>Nov-2023</v>
      </c>
      <c r="D38" s="5" t="str">
        <f t="shared" si="1"/>
        <v>2023-Q4</v>
      </c>
      <c r="E38" s="5">
        <v>45260</v>
      </c>
      <c r="F38" s="9">
        <f t="shared" si="7"/>
        <v>16</v>
      </c>
      <c r="G38" s="9" t="str">
        <f t="shared" si="8"/>
        <v>NOT ACHIEVED</v>
      </c>
      <c r="H38" s="3" t="s">
        <v>642</v>
      </c>
      <c r="I38" s="3" t="s">
        <v>649</v>
      </c>
      <c r="J38" s="3" t="s">
        <v>664</v>
      </c>
      <c r="K38" s="13" t="str">
        <f t="shared" si="21"/>
        <v>Americas &gt; Brazil &gt; São Paulo</v>
      </c>
      <c r="L38" s="3" t="s">
        <v>700</v>
      </c>
      <c r="M38" s="3" t="s">
        <v>705</v>
      </c>
      <c r="N38" s="13" t="str">
        <f t="shared" si="9"/>
        <v>Direct</v>
      </c>
      <c r="O38" s="3" t="s">
        <v>717</v>
      </c>
      <c r="P38" s="3" t="s">
        <v>723</v>
      </c>
      <c r="Q38" s="13" t="str">
        <f t="shared" si="2"/>
        <v>Medium</v>
      </c>
      <c r="R38" s="3" t="s">
        <v>1044</v>
      </c>
      <c r="S38" s="7">
        <v>1017.92</v>
      </c>
      <c r="T38" s="7">
        <f t="shared" si="10"/>
        <v>1170.6079999999999</v>
      </c>
      <c r="U38" s="7">
        <v>1175.25</v>
      </c>
      <c r="V38" s="7">
        <f t="shared" si="11"/>
        <v>1175.25</v>
      </c>
      <c r="W38" s="7">
        <f t="shared" si="12"/>
        <v>1351.5374999999999</v>
      </c>
      <c r="X38" s="16">
        <v>7.4999999999999997E-2</v>
      </c>
      <c r="Y38" t="str">
        <f t="shared" si="13"/>
        <v>OK</v>
      </c>
      <c r="Z38" s="16">
        <f t="shared" si="14"/>
        <v>7.4999999999999997E-2</v>
      </c>
      <c r="AA38" s="16">
        <f t="shared" si="15"/>
        <v>7.4999999999999997E-2</v>
      </c>
      <c r="AB38" s="9">
        <v>15</v>
      </c>
      <c r="AC38" s="9">
        <f t="shared" si="16"/>
        <v>18</v>
      </c>
      <c r="AD38" s="9">
        <f t="shared" si="22"/>
        <v>16306.59375</v>
      </c>
      <c r="AE38" s="9">
        <f t="shared" si="17"/>
        <v>26152.250624999997</v>
      </c>
      <c r="AF38" s="9">
        <f t="shared" si="23"/>
        <v>15268.8</v>
      </c>
      <c r="AG38" s="9">
        <f t="shared" si="18"/>
        <v>1037.7937500000007</v>
      </c>
      <c r="AH38" s="9">
        <f t="shared" si="19"/>
        <v>10883.450624999998</v>
      </c>
      <c r="AI38">
        <f t="shared" si="24"/>
        <v>6.3642583234159542E-2</v>
      </c>
      <c r="AJ38" s="5">
        <f t="shared" si="6"/>
        <v>44928</v>
      </c>
      <c r="AK38" t="str">
        <f t="shared" si="20"/>
        <v>Jan-2023</v>
      </c>
      <c r="AL38">
        <v>0</v>
      </c>
      <c r="AM38">
        <v>0</v>
      </c>
      <c r="AN38">
        <v>0</v>
      </c>
    </row>
    <row r="39" spans="1:40" x14ac:dyDescent="0.45">
      <c r="A39" s="3" t="s">
        <v>331</v>
      </c>
      <c r="B39" s="5">
        <v>45340</v>
      </c>
      <c r="C39" s="9" t="str">
        <f t="shared" si="0"/>
        <v>Feb-2024</v>
      </c>
      <c r="D39" s="5" t="str">
        <f t="shared" si="1"/>
        <v>2024-Q1</v>
      </c>
      <c r="E39" s="5">
        <v>45362</v>
      </c>
      <c r="F39" s="9">
        <f t="shared" si="7"/>
        <v>22</v>
      </c>
      <c r="G39" s="9" t="str">
        <f t="shared" si="8"/>
        <v>NOT ACHIEVED</v>
      </c>
      <c r="H39" s="3" t="s">
        <v>642</v>
      </c>
      <c r="I39" s="3" t="s">
        <v>649</v>
      </c>
      <c r="J39" s="3" t="s">
        <v>664</v>
      </c>
      <c r="K39" s="13" t="str">
        <f t="shared" si="21"/>
        <v>Americas &gt; Brazil &gt; São Paulo</v>
      </c>
      <c r="L39" s="3" t="s">
        <v>698</v>
      </c>
      <c r="M39" s="3" t="s">
        <v>702</v>
      </c>
      <c r="N39" s="13" t="str">
        <f t="shared" si="9"/>
        <v>Online</v>
      </c>
      <c r="O39" s="3" t="s">
        <v>714</v>
      </c>
      <c r="P39" s="3" t="s">
        <v>721</v>
      </c>
      <c r="Q39" s="13" t="str">
        <f t="shared" si="2"/>
        <v>Low</v>
      </c>
      <c r="R39" s="3" t="s">
        <v>1050</v>
      </c>
      <c r="S39" s="7">
        <v>80.48</v>
      </c>
      <c r="T39" s="7">
        <f t="shared" si="10"/>
        <v>92.551999999999992</v>
      </c>
      <c r="U39" s="7">
        <v>65.650000000000006</v>
      </c>
      <c r="V39" s="7">
        <f t="shared" si="11"/>
        <v>65.650000000000006</v>
      </c>
      <c r="W39" s="7">
        <f t="shared" si="12"/>
        <v>75.497500000000002</v>
      </c>
      <c r="X39" s="16">
        <v>0.17599999999999999</v>
      </c>
      <c r="Y39" t="str">
        <f t="shared" si="13"/>
        <v>OK</v>
      </c>
      <c r="Z39" s="16">
        <f t="shared" si="14"/>
        <v>0.17599999999999999</v>
      </c>
      <c r="AA39" s="16">
        <f t="shared" si="15"/>
        <v>0.17599999999999999</v>
      </c>
      <c r="AB39" s="9">
        <v>13</v>
      </c>
      <c r="AC39" s="9">
        <f t="shared" si="16"/>
        <v>15.6</v>
      </c>
      <c r="AD39" s="9">
        <f t="shared" si="22"/>
        <v>703.2428000000001</v>
      </c>
      <c r="AE39" s="9">
        <f t="shared" si="17"/>
        <v>1385.046936</v>
      </c>
      <c r="AF39" s="9">
        <f t="shared" si="23"/>
        <v>1046.24</v>
      </c>
      <c r="AG39" s="9">
        <f t="shared" si="18"/>
        <v>-342.99719999999991</v>
      </c>
      <c r="AH39" s="9">
        <f t="shared" si="19"/>
        <v>338.80693599999995</v>
      </c>
      <c r="AI39">
        <f t="shared" si="24"/>
        <v>-0.48773652570634191</v>
      </c>
      <c r="AJ39" s="5">
        <f t="shared" si="6"/>
        <v>44928</v>
      </c>
      <c r="AK39" t="str">
        <f t="shared" si="20"/>
        <v>Jan-2023</v>
      </c>
      <c r="AL39">
        <v>0</v>
      </c>
      <c r="AM39">
        <v>0</v>
      </c>
      <c r="AN39">
        <v>0</v>
      </c>
    </row>
    <row r="40" spans="1:40" x14ac:dyDescent="0.45">
      <c r="A40" s="3" t="s">
        <v>332</v>
      </c>
      <c r="B40" s="5">
        <v>45544</v>
      </c>
      <c r="C40" s="9" t="str">
        <f t="shared" si="0"/>
        <v>Sep-2024</v>
      </c>
      <c r="D40" s="5" t="str">
        <f t="shared" si="1"/>
        <v>2024-Q3</v>
      </c>
      <c r="E40" s="5">
        <v>45573</v>
      </c>
      <c r="F40" s="9">
        <f t="shared" si="7"/>
        <v>29</v>
      </c>
      <c r="G40" s="9" t="str">
        <f t="shared" si="8"/>
        <v>NOT ACHIEVED</v>
      </c>
      <c r="H40" s="3" t="s">
        <v>642</v>
      </c>
      <c r="I40" s="3" t="s">
        <v>649</v>
      </c>
      <c r="J40" s="3" t="s">
        <v>664</v>
      </c>
      <c r="K40" s="13" t="str">
        <f t="shared" si="21"/>
        <v>Americas &gt; Brazil &gt; São Paulo</v>
      </c>
      <c r="L40" s="3" t="s">
        <v>696</v>
      </c>
      <c r="M40" s="3" t="s">
        <v>705</v>
      </c>
      <c r="N40" s="13" t="str">
        <f t="shared" si="9"/>
        <v>Direct</v>
      </c>
      <c r="O40" s="3" t="s">
        <v>707</v>
      </c>
      <c r="P40" s="3" t="s">
        <v>721</v>
      </c>
      <c r="Q40" s="13" t="str">
        <f t="shared" si="2"/>
        <v>High</v>
      </c>
      <c r="R40" s="3" t="s">
        <v>1051</v>
      </c>
      <c r="S40" s="7">
        <v>1010.33</v>
      </c>
      <c r="T40" s="7">
        <f t="shared" si="10"/>
        <v>1161.8795</v>
      </c>
      <c r="U40" s="7">
        <v>2492.14</v>
      </c>
      <c r="V40" s="7">
        <f t="shared" si="11"/>
        <v>2492.14</v>
      </c>
      <c r="W40" s="7">
        <f t="shared" si="12"/>
        <v>2865.9609999999998</v>
      </c>
      <c r="X40" s="16">
        <v>5.0999999999999997E-2</v>
      </c>
      <c r="Y40" t="str">
        <f t="shared" si="13"/>
        <v>OK</v>
      </c>
      <c r="Z40" s="16">
        <f t="shared" si="14"/>
        <v>5.0999999999999997E-2</v>
      </c>
      <c r="AA40" s="16">
        <f t="shared" si="15"/>
        <v>5.0999999999999997E-2</v>
      </c>
      <c r="AB40" s="9">
        <v>11</v>
      </c>
      <c r="AC40" s="9">
        <f t="shared" si="16"/>
        <v>13.2</v>
      </c>
      <c r="AD40" s="9">
        <f t="shared" si="22"/>
        <v>26015.449459999996</v>
      </c>
      <c r="AE40" s="9">
        <f t="shared" si="17"/>
        <v>39760.050145199988</v>
      </c>
      <c r="AF40" s="9">
        <f t="shared" si="23"/>
        <v>11113.630000000001</v>
      </c>
      <c r="AG40" s="9">
        <f t="shared" si="18"/>
        <v>14901.819459999995</v>
      </c>
      <c r="AH40" s="9">
        <f t="shared" si="19"/>
        <v>28646.420145199987</v>
      </c>
      <c r="AI40">
        <f t="shared" si="24"/>
        <v>0.57280653493656752</v>
      </c>
      <c r="AJ40" s="5">
        <f t="shared" si="6"/>
        <v>44928</v>
      </c>
      <c r="AK40" t="str">
        <f t="shared" si="20"/>
        <v>Jan-2023</v>
      </c>
      <c r="AL40">
        <v>0</v>
      </c>
      <c r="AM40">
        <v>0</v>
      </c>
      <c r="AN40">
        <v>0</v>
      </c>
    </row>
    <row r="41" spans="1:40" x14ac:dyDescent="0.45">
      <c r="A41" s="3" t="s">
        <v>336</v>
      </c>
      <c r="B41" s="5">
        <v>45796</v>
      </c>
      <c r="C41" s="9" t="str">
        <f t="shared" si="0"/>
        <v>May-2025</v>
      </c>
      <c r="D41" s="5" t="str">
        <f t="shared" si="1"/>
        <v>2025-Q2</v>
      </c>
      <c r="E41" s="5">
        <v>45801</v>
      </c>
      <c r="F41" s="9">
        <f t="shared" si="7"/>
        <v>5</v>
      </c>
      <c r="G41" s="9" t="str">
        <f t="shared" si="8"/>
        <v>ACHIEVED</v>
      </c>
      <c r="H41" s="3" t="s">
        <v>642</v>
      </c>
      <c r="I41" s="3" t="s">
        <v>649</v>
      </c>
      <c r="J41" s="3" t="s">
        <v>664</v>
      </c>
      <c r="K41" s="13" t="str">
        <f t="shared" si="21"/>
        <v>Americas &gt; Brazil &gt; São Paulo</v>
      </c>
      <c r="L41" s="3" t="s">
        <v>699</v>
      </c>
      <c r="M41" s="3" t="s">
        <v>704</v>
      </c>
      <c r="N41" s="13" t="str">
        <f t="shared" si="9"/>
        <v>Distributor</v>
      </c>
      <c r="O41" s="3" t="s">
        <v>710</v>
      </c>
      <c r="P41" s="3" t="s">
        <v>726</v>
      </c>
      <c r="Q41" s="13" t="str">
        <f t="shared" si="2"/>
        <v>Medium</v>
      </c>
      <c r="R41" s="3" t="s">
        <v>1055</v>
      </c>
      <c r="S41" s="7">
        <v>383.77</v>
      </c>
      <c r="T41" s="7">
        <f t="shared" si="10"/>
        <v>441.33549999999997</v>
      </c>
      <c r="U41" s="7">
        <v>952.56</v>
      </c>
      <c r="V41" s="7">
        <f t="shared" si="11"/>
        <v>952.56</v>
      </c>
      <c r="W41" s="7">
        <f t="shared" si="12"/>
        <v>1095.444</v>
      </c>
      <c r="X41" s="16">
        <v>0.3</v>
      </c>
      <c r="Y41" t="str">
        <f t="shared" si="13"/>
        <v>OK</v>
      </c>
      <c r="Z41" s="16">
        <f t="shared" si="14"/>
        <v>0.3</v>
      </c>
      <c r="AA41" s="16">
        <f t="shared" si="15"/>
        <v>0.25</v>
      </c>
      <c r="AB41" s="9">
        <v>10</v>
      </c>
      <c r="AC41" s="9">
        <f t="shared" si="16"/>
        <v>12</v>
      </c>
      <c r="AD41" s="9">
        <f t="shared" si="22"/>
        <v>6667.9199999999983</v>
      </c>
      <c r="AE41" s="9">
        <f t="shared" si="17"/>
        <v>16431.66</v>
      </c>
      <c r="AF41" s="9">
        <f t="shared" si="23"/>
        <v>3837.7</v>
      </c>
      <c r="AG41" s="9">
        <f t="shared" si="18"/>
        <v>2830.2199999999984</v>
      </c>
      <c r="AH41" s="9">
        <f t="shared" si="19"/>
        <v>12593.96</v>
      </c>
      <c r="AI41">
        <f t="shared" si="24"/>
        <v>0.42445320279787385</v>
      </c>
      <c r="AJ41" s="5">
        <f t="shared" si="6"/>
        <v>44928</v>
      </c>
      <c r="AK41" t="str">
        <f t="shared" si="20"/>
        <v>Jan-2023</v>
      </c>
      <c r="AL41">
        <v>0</v>
      </c>
      <c r="AM41">
        <v>0</v>
      </c>
      <c r="AN41">
        <v>0</v>
      </c>
    </row>
    <row r="42" spans="1:40" x14ac:dyDescent="0.45">
      <c r="A42" s="3" t="s">
        <v>345</v>
      </c>
      <c r="B42" s="5">
        <v>45340</v>
      </c>
      <c r="C42" s="9" t="str">
        <f t="shared" si="0"/>
        <v>Feb-2024</v>
      </c>
      <c r="D42" s="5" t="str">
        <f t="shared" si="1"/>
        <v>2024-Q1</v>
      </c>
      <c r="E42" s="5">
        <v>45354</v>
      </c>
      <c r="F42" s="9">
        <f t="shared" si="7"/>
        <v>14</v>
      </c>
      <c r="G42" s="9" t="str">
        <f t="shared" si="8"/>
        <v>NOT ACHIEVED</v>
      </c>
      <c r="H42" s="3" t="s">
        <v>642</v>
      </c>
      <c r="I42" s="3" t="s">
        <v>649</v>
      </c>
      <c r="J42" s="3" t="s">
        <v>1444</v>
      </c>
      <c r="K42" s="13" t="str">
        <f t="shared" si="21"/>
        <v>Americas &gt; Brazil &gt; Unkown</v>
      </c>
      <c r="L42" s="3" t="s">
        <v>700</v>
      </c>
      <c r="M42" s="3" t="s">
        <v>704</v>
      </c>
      <c r="N42" s="13" t="str">
        <f t="shared" si="9"/>
        <v>Distributor</v>
      </c>
      <c r="O42" s="3" t="s">
        <v>714</v>
      </c>
      <c r="P42" s="3" t="s">
        <v>722</v>
      </c>
      <c r="Q42" s="13" t="str">
        <f t="shared" si="2"/>
        <v>Medium</v>
      </c>
      <c r="R42" s="3" t="s">
        <v>1064</v>
      </c>
      <c r="S42" s="7">
        <v>624.23</v>
      </c>
      <c r="T42" s="7">
        <f t="shared" si="10"/>
        <v>717.86450000000002</v>
      </c>
      <c r="U42" s="7">
        <v>1318.37</v>
      </c>
      <c r="V42" s="7">
        <f t="shared" si="11"/>
        <v>1318.37</v>
      </c>
      <c r="W42" s="7">
        <f t="shared" si="12"/>
        <v>1516.1254999999996</v>
      </c>
      <c r="X42" s="16">
        <v>0.21</v>
      </c>
      <c r="Y42" t="str">
        <f t="shared" si="13"/>
        <v>OK</v>
      </c>
      <c r="Z42" s="16">
        <f t="shared" si="14"/>
        <v>0.21</v>
      </c>
      <c r="AA42" s="16">
        <f t="shared" si="15"/>
        <v>0.21</v>
      </c>
      <c r="AB42" s="9">
        <v>37</v>
      </c>
      <c r="AC42" s="9">
        <f t="shared" si="16"/>
        <v>44.4</v>
      </c>
      <c r="AD42" s="9">
        <f t="shared" si="22"/>
        <v>38535.955099999999</v>
      </c>
      <c r="AE42" s="9">
        <f t="shared" si="17"/>
        <v>81452.326361999978</v>
      </c>
      <c r="AF42" s="9">
        <f t="shared" si="23"/>
        <v>23096.510000000002</v>
      </c>
      <c r="AG42" s="9">
        <f t="shared" si="18"/>
        <v>15439.445099999997</v>
      </c>
      <c r="AH42" s="9">
        <f t="shared" si="19"/>
        <v>58355.816361999976</v>
      </c>
      <c r="AI42">
        <f t="shared" si="24"/>
        <v>0.40065038118128793</v>
      </c>
      <c r="AJ42" s="5">
        <f t="shared" si="6"/>
        <v>44928</v>
      </c>
      <c r="AK42" t="str">
        <f t="shared" si="20"/>
        <v>Jan-2023</v>
      </c>
      <c r="AL42">
        <v>0</v>
      </c>
      <c r="AM42">
        <v>0</v>
      </c>
      <c r="AN42">
        <v>0</v>
      </c>
    </row>
    <row r="43" spans="1:40" x14ac:dyDescent="0.45">
      <c r="A43" s="3" t="s">
        <v>362</v>
      </c>
      <c r="B43" s="5">
        <v>45603</v>
      </c>
      <c r="C43" s="9" t="str">
        <f t="shared" si="0"/>
        <v>Nov-2024</v>
      </c>
      <c r="D43" s="5" t="str">
        <f t="shared" si="1"/>
        <v>2024-Q4</v>
      </c>
      <c r="E43" s="5">
        <v>45622</v>
      </c>
      <c r="F43" s="9">
        <f t="shared" si="7"/>
        <v>19</v>
      </c>
      <c r="G43" s="9" t="str">
        <f t="shared" si="8"/>
        <v>NOT ACHIEVED</v>
      </c>
      <c r="H43" s="3" t="s">
        <v>642</v>
      </c>
      <c r="I43" s="3" t="s">
        <v>649</v>
      </c>
      <c r="J43" s="3" t="s">
        <v>686</v>
      </c>
      <c r="K43" s="13" t="str">
        <f t="shared" si="21"/>
        <v>Americas &gt; Brazil &gt; Rio de Janeiro</v>
      </c>
      <c r="L43" s="3" t="s">
        <v>697</v>
      </c>
      <c r="M43" s="3" t="s">
        <v>704</v>
      </c>
      <c r="N43" s="13" t="str">
        <f t="shared" si="9"/>
        <v>Distributor</v>
      </c>
      <c r="O43" s="3" t="s">
        <v>707</v>
      </c>
      <c r="P43" s="3" t="s">
        <v>722</v>
      </c>
      <c r="Q43" s="13" t="str">
        <f t="shared" si="2"/>
        <v>Low</v>
      </c>
      <c r="R43" s="3" t="s">
        <v>1081</v>
      </c>
      <c r="S43" s="7">
        <v>55.35</v>
      </c>
      <c r="T43" s="7">
        <f t="shared" si="10"/>
        <v>63.652499999999996</v>
      </c>
      <c r="U43" s="7">
        <v>128.68</v>
      </c>
      <c r="V43" s="7">
        <f t="shared" si="11"/>
        <v>128.68</v>
      </c>
      <c r="W43" s="7">
        <f t="shared" si="12"/>
        <v>147.982</v>
      </c>
      <c r="X43" s="16">
        <v>0.128</v>
      </c>
      <c r="Y43" t="str">
        <f t="shared" si="13"/>
        <v>OK</v>
      </c>
      <c r="Z43" s="16">
        <f t="shared" si="14"/>
        <v>0.128</v>
      </c>
      <c r="AA43" s="16">
        <f t="shared" si="15"/>
        <v>0.128</v>
      </c>
      <c r="AB43" s="9">
        <v>10</v>
      </c>
      <c r="AC43" s="9">
        <f t="shared" si="16"/>
        <v>12</v>
      </c>
      <c r="AD43" s="9">
        <f t="shared" si="22"/>
        <v>1122.0896000000002</v>
      </c>
      <c r="AE43" s="9">
        <f t="shared" si="17"/>
        <v>2003.0843520000003</v>
      </c>
      <c r="AF43" s="9">
        <f t="shared" si="23"/>
        <v>553.5</v>
      </c>
      <c r="AG43" s="9">
        <f t="shared" si="18"/>
        <v>568.58960000000025</v>
      </c>
      <c r="AH43" s="9">
        <f t="shared" si="19"/>
        <v>1449.5843520000003</v>
      </c>
      <c r="AI43">
        <f t="shared" si="24"/>
        <v>0.50672388372550647</v>
      </c>
      <c r="AJ43" s="5">
        <f t="shared" si="6"/>
        <v>44928</v>
      </c>
      <c r="AK43" t="str">
        <f t="shared" si="20"/>
        <v>Jan-2023</v>
      </c>
      <c r="AL43">
        <v>0</v>
      </c>
      <c r="AM43">
        <v>0</v>
      </c>
      <c r="AN43">
        <v>0</v>
      </c>
    </row>
    <row r="44" spans="1:40" x14ac:dyDescent="0.45">
      <c r="A44" s="3" t="s">
        <v>364</v>
      </c>
      <c r="B44" s="5">
        <v>45883</v>
      </c>
      <c r="C44" s="9" t="str">
        <f t="shared" si="0"/>
        <v>Aug-2025</v>
      </c>
      <c r="D44" s="5" t="str">
        <f t="shared" si="1"/>
        <v>2025-Q3</v>
      </c>
      <c r="E44" s="5">
        <v>45911</v>
      </c>
      <c r="F44" s="9">
        <f t="shared" si="7"/>
        <v>28</v>
      </c>
      <c r="G44" s="9" t="str">
        <f t="shared" si="8"/>
        <v>NOT ACHIEVED</v>
      </c>
      <c r="H44" s="3" t="s">
        <v>642</v>
      </c>
      <c r="I44" s="3" t="s">
        <v>649</v>
      </c>
      <c r="J44" s="3" t="s">
        <v>664</v>
      </c>
      <c r="K44" s="13" t="str">
        <f t="shared" si="21"/>
        <v>Americas &gt; Brazil &gt; São Paulo</v>
      </c>
      <c r="L44" s="3" t="s">
        <v>697</v>
      </c>
      <c r="M44" s="3" t="s">
        <v>705</v>
      </c>
      <c r="N44" s="13" t="str">
        <f t="shared" si="9"/>
        <v>Direct</v>
      </c>
      <c r="O44" s="3" t="s">
        <v>715</v>
      </c>
      <c r="P44" s="3" t="s">
        <v>722</v>
      </c>
      <c r="Q44" s="13" t="str">
        <f t="shared" si="2"/>
        <v>High</v>
      </c>
      <c r="R44" s="3" t="s">
        <v>1083</v>
      </c>
      <c r="S44" s="7">
        <v>1203.02</v>
      </c>
      <c r="T44" s="7">
        <f t="shared" si="10"/>
        <v>1383.473</v>
      </c>
      <c r="U44" s="7">
        <v>2439.33</v>
      </c>
      <c r="V44" s="7">
        <f t="shared" si="11"/>
        <v>2439.33</v>
      </c>
      <c r="W44" s="7">
        <f t="shared" si="12"/>
        <v>2805.2294999999999</v>
      </c>
      <c r="X44" s="16">
        <v>0</v>
      </c>
      <c r="Y44" t="str">
        <f t="shared" si="13"/>
        <v>OK</v>
      </c>
      <c r="Z44" s="16">
        <f t="shared" si="14"/>
        <v>0</v>
      </c>
      <c r="AA44" s="16">
        <f t="shared" si="15"/>
        <v>0</v>
      </c>
      <c r="AB44" s="9">
        <v>18</v>
      </c>
      <c r="AC44" s="9">
        <f t="shared" si="16"/>
        <v>21.599999999999998</v>
      </c>
      <c r="AD44" s="9">
        <f t="shared" si="22"/>
        <v>43907.94</v>
      </c>
      <c r="AE44" s="9">
        <f t="shared" si="17"/>
        <v>60592.95719999999</v>
      </c>
      <c r="AF44" s="9">
        <f t="shared" si="23"/>
        <v>21654.36</v>
      </c>
      <c r="AG44" s="9">
        <f t="shared" si="18"/>
        <v>22253.58</v>
      </c>
      <c r="AH44" s="9">
        <f t="shared" si="19"/>
        <v>38938.597199999989</v>
      </c>
      <c r="AI44">
        <f t="shared" si="24"/>
        <v>0.50682359500354612</v>
      </c>
      <c r="AJ44" s="5">
        <f t="shared" si="6"/>
        <v>44928</v>
      </c>
      <c r="AK44" t="str">
        <f t="shared" si="20"/>
        <v>Jan-2023</v>
      </c>
      <c r="AL44">
        <v>0</v>
      </c>
      <c r="AM44">
        <v>0</v>
      </c>
      <c r="AN44">
        <v>0</v>
      </c>
    </row>
    <row r="45" spans="1:40" x14ac:dyDescent="0.45">
      <c r="A45" s="3" t="s">
        <v>365</v>
      </c>
      <c r="B45" s="5">
        <v>45385</v>
      </c>
      <c r="C45" s="9" t="str">
        <f t="shared" si="0"/>
        <v>Apr-2024</v>
      </c>
      <c r="D45" s="5" t="str">
        <f t="shared" si="1"/>
        <v>2024-Q2</v>
      </c>
      <c r="E45" s="5">
        <v>45403</v>
      </c>
      <c r="F45" s="9">
        <f t="shared" si="7"/>
        <v>18</v>
      </c>
      <c r="G45" s="9" t="str">
        <f t="shared" si="8"/>
        <v>NOT ACHIEVED</v>
      </c>
      <c r="H45" s="3" t="s">
        <v>642</v>
      </c>
      <c r="I45" s="3" t="s">
        <v>649</v>
      </c>
      <c r="J45" s="3" t="s">
        <v>666</v>
      </c>
      <c r="K45" s="13" t="str">
        <f t="shared" si="21"/>
        <v>Americas &gt; Brazil &gt; Brasília</v>
      </c>
      <c r="L45" s="3" t="s">
        <v>699</v>
      </c>
      <c r="M45" s="3" t="s">
        <v>704</v>
      </c>
      <c r="N45" s="13" t="str">
        <f t="shared" si="9"/>
        <v>Distributor</v>
      </c>
      <c r="O45" s="3" t="s">
        <v>711</v>
      </c>
      <c r="P45" s="3" t="s">
        <v>723</v>
      </c>
      <c r="Q45" s="13" t="str">
        <f t="shared" si="2"/>
        <v>High</v>
      </c>
      <c r="R45" s="3" t="s">
        <v>1084</v>
      </c>
      <c r="S45" s="7">
        <v>1176.69</v>
      </c>
      <c r="T45" s="7">
        <f t="shared" si="10"/>
        <v>1353.1934999999999</v>
      </c>
      <c r="U45" s="7">
        <v>2201.54</v>
      </c>
      <c r="V45" s="7">
        <f t="shared" si="11"/>
        <v>2201.54</v>
      </c>
      <c r="W45" s="7">
        <f t="shared" si="12"/>
        <v>2531.7709999999997</v>
      </c>
      <c r="X45" s="16">
        <v>0.17</v>
      </c>
      <c r="Y45" t="str">
        <f t="shared" si="13"/>
        <v>OK</v>
      </c>
      <c r="Z45" s="16">
        <f t="shared" si="14"/>
        <v>0.17</v>
      </c>
      <c r="AA45" s="16">
        <f t="shared" si="15"/>
        <v>0.17</v>
      </c>
      <c r="AB45" s="9">
        <v>27</v>
      </c>
      <c r="AC45" s="9">
        <f t="shared" si="16"/>
        <v>32.4</v>
      </c>
      <c r="AD45" s="9">
        <f t="shared" si="22"/>
        <v>49336.511399999996</v>
      </c>
      <c r="AE45" s="9">
        <f t="shared" si="17"/>
        <v>95974.375067999994</v>
      </c>
      <c r="AF45" s="9">
        <f t="shared" si="23"/>
        <v>31770.63</v>
      </c>
      <c r="AG45" s="9">
        <f t="shared" si="18"/>
        <v>17565.881399999995</v>
      </c>
      <c r="AH45" s="9">
        <f t="shared" si="19"/>
        <v>64203.745067999989</v>
      </c>
      <c r="AI45">
        <f t="shared" si="24"/>
        <v>0.35604222717701106</v>
      </c>
      <c r="AJ45" s="5">
        <f t="shared" si="6"/>
        <v>44928</v>
      </c>
      <c r="AK45" t="str">
        <f t="shared" si="20"/>
        <v>Jan-2023</v>
      </c>
      <c r="AL45">
        <v>0</v>
      </c>
      <c r="AM45">
        <v>0</v>
      </c>
      <c r="AN45">
        <v>0</v>
      </c>
    </row>
    <row r="46" spans="1:40" x14ac:dyDescent="0.45">
      <c r="A46" s="3" t="s">
        <v>387</v>
      </c>
      <c r="B46" s="5">
        <v>45694</v>
      </c>
      <c r="C46" s="9" t="str">
        <f t="shared" si="0"/>
        <v>Feb-2025</v>
      </c>
      <c r="D46" s="5" t="str">
        <f t="shared" si="1"/>
        <v>2025-Q1</v>
      </c>
      <c r="E46" s="5">
        <v>45703</v>
      </c>
      <c r="F46" s="9">
        <f t="shared" si="7"/>
        <v>9</v>
      </c>
      <c r="G46" s="9" t="str">
        <f t="shared" si="8"/>
        <v>NOT ACHIEVED</v>
      </c>
      <c r="H46" s="3" t="s">
        <v>642</v>
      </c>
      <c r="I46" s="3" t="s">
        <v>649</v>
      </c>
      <c r="J46" s="3" t="s">
        <v>664</v>
      </c>
      <c r="K46" s="13" t="str">
        <f t="shared" si="21"/>
        <v>Americas &gt; Brazil &gt; São Paulo</v>
      </c>
      <c r="L46" s="3" t="s">
        <v>697</v>
      </c>
      <c r="M46" s="3" t="s">
        <v>704</v>
      </c>
      <c r="N46" s="13" t="str">
        <f t="shared" si="9"/>
        <v>Distributor</v>
      </c>
      <c r="O46" s="3" t="s">
        <v>715</v>
      </c>
      <c r="P46" s="3" t="s">
        <v>723</v>
      </c>
      <c r="Q46" s="13" t="str">
        <f t="shared" si="2"/>
        <v>High</v>
      </c>
      <c r="R46" s="3" t="s">
        <v>1106</v>
      </c>
      <c r="S46" s="7">
        <v>837.39</v>
      </c>
      <c r="T46" s="7">
        <f t="shared" si="10"/>
        <v>962.99849999999992</v>
      </c>
      <c r="U46" s="7">
        <v>1905.42</v>
      </c>
      <c r="V46" s="7">
        <f t="shared" si="11"/>
        <v>1905.42</v>
      </c>
      <c r="W46" s="7">
        <f t="shared" si="12"/>
        <v>2191.2329999999997</v>
      </c>
      <c r="X46" s="16">
        <v>3.2000000000000001E-2</v>
      </c>
      <c r="Y46" t="str">
        <f t="shared" si="13"/>
        <v>OK</v>
      </c>
      <c r="Z46" s="16">
        <f t="shared" si="14"/>
        <v>3.2000000000000001E-2</v>
      </c>
      <c r="AA46" s="16">
        <f t="shared" si="15"/>
        <v>3.2000000000000001E-2</v>
      </c>
      <c r="AB46" s="9">
        <v>18</v>
      </c>
      <c r="AC46" s="9">
        <f t="shared" si="16"/>
        <v>21.599999999999998</v>
      </c>
      <c r="AD46" s="9">
        <f t="shared" si="22"/>
        <v>33200.038079999998</v>
      </c>
      <c r="AE46" s="9">
        <f t="shared" si="17"/>
        <v>48845.213049599995</v>
      </c>
      <c r="AF46" s="9">
        <f t="shared" si="23"/>
        <v>15073.02</v>
      </c>
      <c r="AG46" s="9">
        <f t="shared" si="18"/>
        <v>18127.018079999998</v>
      </c>
      <c r="AH46" s="9">
        <f t="shared" si="19"/>
        <v>33772.193049599999</v>
      </c>
      <c r="AI46">
        <f t="shared" si="24"/>
        <v>0.54599389423350919</v>
      </c>
      <c r="AJ46" s="5">
        <f t="shared" si="6"/>
        <v>44928</v>
      </c>
      <c r="AK46" t="str">
        <f t="shared" si="20"/>
        <v>Jan-2023</v>
      </c>
      <c r="AL46">
        <v>0</v>
      </c>
      <c r="AM46">
        <v>0</v>
      </c>
      <c r="AN46">
        <v>0</v>
      </c>
    </row>
    <row r="47" spans="1:40" x14ac:dyDescent="0.45">
      <c r="A47" s="3" t="s">
        <v>412</v>
      </c>
      <c r="B47" s="5">
        <v>45677</v>
      </c>
      <c r="C47" s="9" t="str">
        <f t="shared" si="0"/>
        <v>Jan-2025</v>
      </c>
      <c r="D47" s="5" t="str">
        <f t="shared" si="1"/>
        <v>2025-Q1</v>
      </c>
      <c r="E47" s="5">
        <v>45691</v>
      </c>
      <c r="F47" s="9">
        <f t="shared" si="7"/>
        <v>14</v>
      </c>
      <c r="G47" s="9" t="str">
        <f t="shared" si="8"/>
        <v>NOT ACHIEVED</v>
      </c>
      <c r="H47" s="3" t="s">
        <v>642</v>
      </c>
      <c r="I47" s="3" t="s">
        <v>649</v>
      </c>
      <c r="J47" s="3" t="s">
        <v>666</v>
      </c>
      <c r="K47" s="13" t="str">
        <f t="shared" si="21"/>
        <v>Americas &gt; Brazil &gt; Brasília</v>
      </c>
      <c r="L47" s="3" t="s">
        <v>700</v>
      </c>
      <c r="M47" s="3" t="s">
        <v>703</v>
      </c>
      <c r="N47" s="13" t="str">
        <f t="shared" si="9"/>
        <v>Marketplace</v>
      </c>
      <c r="O47" s="3" t="s">
        <v>715</v>
      </c>
      <c r="P47" s="3" t="s">
        <v>721</v>
      </c>
      <c r="Q47" s="13" t="str">
        <f t="shared" si="2"/>
        <v>Medium</v>
      </c>
      <c r="R47" s="3" t="s">
        <v>1130</v>
      </c>
      <c r="S47" s="7">
        <v>974.11</v>
      </c>
      <c r="T47" s="7">
        <f t="shared" si="10"/>
        <v>1120.2265</v>
      </c>
      <c r="U47" s="7">
        <v>880.99</v>
      </c>
      <c r="V47" s="7">
        <f t="shared" si="11"/>
        <v>880.99</v>
      </c>
      <c r="W47" s="7">
        <f t="shared" si="12"/>
        <v>1013.1384999999999</v>
      </c>
      <c r="X47" s="16">
        <v>0.111</v>
      </c>
      <c r="Y47" t="str">
        <f t="shared" si="13"/>
        <v>OK</v>
      </c>
      <c r="Z47" s="16">
        <f t="shared" si="14"/>
        <v>0.111</v>
      </c>
      <c r="AA47" s="16">
        <f t="shared" si="15"/>
        <v>0.111</v>
      </c>
      <c r="AB47" s="9">
        <v>10</v>
      </c>
      <c r="AC47" s="9">
        <f t="shared" si="16"/>
        <v>12</v>
      </c>
      <c r="AD47" s="9">
        <f t="shared" si="22"/>
        <v>7832.0010999999995</v>
      </c>
      <c r="AE47" s="9">
        <f t="shared" si="17"/>
        <v>13507.162481999998</v>
      </c>
      <c r="AF47" s="9">
        <f t="shared" si="23"/>
        <v>9741.1</v>
      </c>
      <c r="AG47" s="9">
        <f t="shared" si="18"/>
        <v>-1909.0989000000009</v>
      </c>
      <c r="AH47" s="9">
        <f t="shared" si="19"/>
        <v>3766.0624819999975</v>
      </c>
      <c r="AI47">
        <f t="shared" si="24"/>
        <v>-0.2437562093805121</v>
      </c>
      <c r="AJ47" s="5">
        <f t="shared" si="6"/>
        <v>44928</v>
      </c>
      <c r="AK47" t="str">
        <f t="shared" si="20"/>
        <v>Jan-2023</v>
      </c>
      <c r="AL47">
        <v>0</v>
      </c>
      <c r="AM47">
        <v>0</v>
      </c>
      <c r="AN47">
        <v>0</v>
      </c>
    </row>
    <row r="48" spans="1:40" x14ac:dyDescent="0.45">
      <c r="A48" s="3" t="s">
        <v>464</v>
      </c>
      <c r="B48" s="5">
        <v>45265</v>
      </c>
      <c r="C48" s="9" t="str">
        <f t="shared" si="0"/>
        <v>Dec-2023</v>
      </c>
      <c r="D48" s="5" t="str">
        <f t="shared" si="1"/>
        <v>2023-Q4</v>
      </c>
      <c r="E48" s="5">
        <v>45272</v>
      </c>
      <c r="F48" s="9">
        <f t="shared" si="7"/>
        <v>7</v>
      </c>
      <c r="G48" s="9" t="str">
        <f t="shared" si="8"/>
        <v>ACHIEVED</v>
      </c>
      <c r="H48" s="3" t="s">
        <v>642</v>
      </c>
      <c r="I48" s="3" t="s">
        <v>649</v>
      </c>
      <c r="J48" s="3" t="s">
        <v>666</v>
      </c>
      <c r="K48" s="13" t="str">
        <f t="shared" si="21"/>
        <v>Americas &gt; Brazil &gt; Brasília</v>
      </c>
      <c r="L48" s="3" t="s">
        <v>695</v>
      </c>
      <c r="M48" s="3" t="s">
        <v>705</v>
      </c>
      <c r="N48" s="13" t="str">
        <f t="shared" si="9"/>
        <v>Direct</v>
      </c>
      <c r="O48" s="3" t="s">
        <v>715</v>
      </c>
      <c r="P48" s="3" t="s">
        <v>724</v>
      </c>
      <c r="Q48" s="13" t="str">
        <f t="shared" si="2"/>
        <v>Low</v>
      </c>
      <c r="R48" s="3" t="s">
        <v>1182</v>
      </c>
      <c r="S48" s="7">
        <v>307.43</v>
      </c>
      <c r="T48" s="7">
        <f t="shared" si="10"/>
        <v>353.54449999999997</v>
      </c>
      <c r="U48" s="7">
        <v>495.19</v>
      </c>
      <c r="V48" s="7">
        <f t="shared" si="11"/>
        <v>495.19</v>
      </c>
      <c r="W48" s="7">
        <f t="shared" si="12"/>
        <v>569.46849999999995</v>
      </c>
      <c r="X48" s="16">
        <v>0</v>
      </c>
      <c r="Y48" t="str">
        <f t="shared" si="13"/>
        <v>OK</v>
      </c>
      <c r="Z48" s="16">
        <f t="shared" si="14"/>
        <v>0</v>
      </c>
      <c r="AA48" s="16">
        <f t="shared" si="15"/>
        <v>0</v>
      </c>
      <c r="AB48" s="9">
        <v>42</v>
      </c>
      <c r="AC48" s="9">
        <f t="shared" si="16"/>
        <v>50.4</v>
      </c>
      <c r="AD48" s="9">
        <f t="shared" si="22"/>
        <v>20797.98</v>
      </c>
      <c r="AE48" s="9">
        <f t="shared" si="17"/>
        <v>28701.212399999997</v>
      </c>
      <c r="AF48" s="9">
        <f t="shared" si="23"/>
        <v>12912.06</v>
      </c>
      <c r="AG48" s="9">
        <f t="shared" si="18"/>
        <v>7885.92</v>
      </c>
      <c r="AH48" s="9">
        <f t="shared" si="19"/>
        <v>15789.152399999997</v>
      </c>
      <c r="AI48">
        <f t="shared" si="24"/>
        <v>0.37916759223732305</v>
      </c>
      <c r="AJ48" s="5">
        <f t="shared" si="6"/>
        <v>44928</v>
      </c>
      <c r="AK48" t="str">
        <f t="shared" si="20"/>
        <v>Jan-2023</v>
      </c>
      <c r="AL48">
        <v>0</v>
      </c>
      <c r="AM48">
        <v>0</v>
      </c>
      <c r="AN48">
        <v>0</v>
      </c>
    </row>
    <row r="49" spans="1:40" x14ac:dyDescent="0.45">
      <c r="A49" s="3" t="s">
        <v>483</v>
      </c>
      <c r="B49" s="5">
        <v>45069</v>
      </c>
      <c r="C49" s="9" t="str">
        <f t="shared" si="0"/>
        <v>May-2023</v>
      </c>
      <c r="D49" s="5" t="str">
        <f t="shared" si="1"/>
        <v>2023-Q2</v>
      </c>
      <c r="E49" s="5">
        <v>45071</v>
      </c>
      <c r="F49" s="9">
        <f t="shared" si="7"/>
        <v>2</v>
      </c>
      <c r="G49" s="9" t="str">
        <f t="shared" si="8"/>
        <v>ACHIEVED</v>
      </c>
      <c r="H49" s="3" t="s">
        <v>642</v>
      </c>
      <c r="I49" s="3" t="s">
        <v>649</v>
      </c>
      <c r="J49" s="3" t="s">
        <v>686</v>
      </c>
      <c r="K49" s="13" t="str">
        <f t="shared" si="21"/>
        <v>Americas &gt; Brazil &gt; Rio de Janeiro</v>
      </c>
      <c r="L49" s="3" t="s">
        <v>700</v>
      </c>
      <c r="M49" s="3" t="s">
        <v>701</v>
      </c>
      <c r="N49" s="13" t="str">
        <f t="shared" si="9"/>
        <v>Retail</v>
      </c>
      <c r="O49" s="3" t="s">
        <v>718</v>
      </c>
      <c r="P49" s="3" t="s">
        <v>722</v>
      </c>
      <c r="Q49" s="13" t="str">
        <f t="shared" si="2"/>
        <v>Medium</v>
      </c>
      <c r="R49" s="3" t="s">
        <v>1201</v>
      </c>
      <c r="S49" s="7">
        <v>690.49</v>
      </c>
      <c r="T49" s="7">
        <f t="shared" si="10"/>
        <v>794.06349999999998</v>
      </c>
      <c r="U49" s="7">
        <v>1290.29</v>
      </c>
      <c r="V49" s="7">
        <f t="shared" si="11"/>
        <v>1290.29</v>
      </c>
      <c r="W49" s="7">
        <f t="shared" si="12"/>
        <v>1483.8334999999997</v>
      </c>
      <c r="X49" s="16">
        <v>4.2000000000000003E-2</v>
      </c>
      <c r="Y49" t="str">
        <f t="shared" si="13"/>
        <v>OK</v>
      </c>
      <c r="Z49" s="16">
        <f t="shared" si="14"/>
        <v>4.2000000000000003E-2</v>
      </c>
      <c r="AA49" s="16">
        <f t="shared" si="15"/>
        <v>4.2000000000000003E-2</v>
      </c>
      <c r="AB49" s="9">
        <v>22</v>
      </c>
      <c r="AC49" s="9">
        <f t="shared" si="16"/>
        <v>26.4</v>
      </c>
      <c r="AD49" s="9">
        <f t="shared" si="22"/>
        <v>27194.152039999997</v>
      </c>
      <c r="AE49" s="9">
        <f t="shared" si="17"/>
        <v>40818.478984799985</v>
      </c>
      <c r="AF49" s="9">
        <f t="shared" si="23"/>
        <v>15190.78</v>
      </c>
      <c r="AG49" s="9">
        <f t="shared" si="18"/>
        <v>12003.372039999997</v>
      </c>
      <c r="AH49" s="9">
        <f t="shared" si="19"/>
        <v>25627.698984799987</v>
      </c>
      <c r="AI49">
        <f t="shared" si="24"/>
        <v>0.44139534199647718</v>
      </c>
      <c r="AJ49" s="5">
        <f t="shared" si="6"/>
        <v>44928</v>
      </c>
      <c r="AK49" t="str">
        <f t="shared" si="20"/>
        <v>Jan-2023</v>
      </c>
      <c r="AL49">
        <v>0</v>
      </c>
      <c r="AM49">
        <v>0</v>
      </c>
      <c r="AN49">
        <v>0</v>
      </c>
    </row>
    <row r="50" spans="1:40" x14ac:dyDescent="0.45">
      <c r="A50" s="3" t="s">
        <v>492</v>
      </c>
      <c r="B50" s="5">
        <v>45148</v>
      </c>
      <c r="C50" s="9" t="str">
        <f t="shared" si="0"/>
        <v>Aug-2023</v>
      </c>
      <c r="D50" s="5" t="str">
        <f t="shared" si="1"/>
        <v>2023-Q3</v>
      </c>
      <c r="E50" s="5">
        <v>45153</v>
      </c>
      <c r="F50" s="9">
        <f t="shared" si="7"/>
        <v>5</v>
      </c>
      <c r="G50" s="9" t="str">
        <f t="shared" si="8"/>
        <v>ACHIEVED</v>
      </c>
      <c r="H50" s="3" t="s">
        <v>642</v>
      </c>
      <c r="I50" s="3" t="s">
        <v>649</v>
      </c>
      <c r="J50" s="3" t="s">
        <v>664</v>
      </c>
      <c r="K50" s="13" t="str">
        <f t="shared" si="21"/>
        <v>Americas &gt; Brazil &gt; São Paulo</v>
      </c>
      <c r="L50" s="3" t="s">
        <v>696</v>
      </c>
      <c r="M50" s="3" t="s">
        <v>705</v>
      </c>
      <c r="N50" s="13" t="str">
        <f t="shared" si="9"/>
        <v>Direct</v>
      </c>
      <c r="O50" s="3" t="s">
        <v>709</v>
      </c>
      <c r="P50" s="3" t="s">
        <v>723</v>
      </c>
      <c r="Q50" s="13" t="str">
        <f t="shared" si="2"/>
        <v>High</v>
      </c>
      <c r="R50" s="3" t="s">
        <v>1210</v>
      </c>
      <c r="S50" s="7">
        <v>1307.52</v>
      </c>
      <c r="T50" s="7">
        <f t="shared" si="10"/>
        <v>1503.6479999999999</v>
      </c>
      <c r="U50" s="7">
        <v>1921.65</v>
      </c>
      <c r="V50" s="7">
        <f t="shared" si="11"/>
        <v>1921.65</v>
      </c>
      <c r="W50" s="7">
        <f t="shared" si="12"/>
        <v>2209.8975</v>
      </c>
      <c r="X50" s="16">
        <v>0.123</v>
      </c>
      <c r="Y50" t="str">
        <f t="shared" si="13"/>
        <v>OK</v>
      </c>
      <c r="Z50" s="16">
        <f t="shared" si="14"/>
        <v>0.123</v>
      </c>
      <c r="AA50" s="16">
        <f t="shared" si="15"/>
        <v>0.123</v>
      </c>
      <c r="AB50" s="9">
        <v>13</v>
      </c>
      <c r="AC50" s="9">
        <f t="shared" si="16"/>
        <v>15.6</v>
      </c>
      <c r="AD50" s="9">
        <f t="shared" si="22"/>
        <v>21908.731650000002</v>
      </c>
      <c r="AE50" s="9">
        <f t="shared" si="17"/>
        <v>38714.752323000001</v>
      </c>
      <c r="AF50" s="9">
        <f t="shared" si="23"/>
        <v>16997.759999999998</v>
      </c>
      <c r="AG50" s="9">
        <f t="shared" si="18"/>
        <v>4910.9716500000031</v>
      </c>
      <c r="AH50" s="9">
        <f t="shared" si="19"/>
        <v>21716.992323000002</v>
      </c>
      <c r="AI50">
        <f t="shared" si="24"/>
        <v>0.22415590863289445</v>
      </c>
      <c r="AJ50" s="5">
        <f t="shared" si="6"/>
        <v>44928</v>
      </c>
      <c r="AK50" t="str">
        <f t="shared" si="20"/>
        <v>Jan-2023</v>
      </c>
      <c r="AL50">
        <v>0</v>
      </c>
      <c r="AM50">
        <v>0</v>
      </c>
      <c r="AN50">
        <v>0</v>
      </c>
    </row>
    <row r="51" spans="1:40" x14ac:dyDescent="0.45">
      <c r="A51" s="3" t="s">
        <v>501</v>
      </c>
      <c r="B51" s="5">
        <v>45352</v>
      </c>
      <c r="C51" s="9" t="str">
        <f t="shared" si="0"/>
        <v>Mar-2024</v>
      </c>
      <c r="D51" s="5" t="str">
        <f t="shared" si="1"/>
        <v>2024-Q1</v>
      </c>
      <c r="E51" s="5">
        <v>45357</v>
      </c>
      <c r="F51" s="9">
        <f t="shared" si="7"/>
        <v>5</v>
      </c>
      <c r="G51" s="9" t="str">
        <f t="shared" si="8"/>
        <v>ACHIEVED</v>
      </c>
      <c r="H51" s="3" t="s">
        <v>642</v>
      </c>
      <c r="I51" s="3" t="s">
        <v>649</v>
      </c>
      <c r="J51" s="3" t="s">
        <v>664</v>
      </c>
      <c r="K51" s="13" t="str">
        <f t="shared" si="21"/>
        <v>Americas &gt; Brazil &gt; São Paulo</v>
      </c>
      <c r="L51" s="3" t="s">
        <v>697</v>
      </c>
      <c r="M51" s="3" t="s">
        <v>705</v>
      </c>
      <c r="N51" s="13" t="str">
        <f t="shared" si="9"/>
        <v>Direct</v>
      </c>
      <c r="O51" s="3" t="s">
        <v>708</v>
      </c>
      <c r="P51" s="3" t="s">
        <v>724</v>
      </c>
      <c r="Q51" s="13" t="str">
        <f t="shared" si="2"/>
        <v>Low</v>
      </c>
      <c r="R51" s="3" t="s">
        <v>1219</v>
      </c>
      <c r="S51" s="7">
        <v>5.34</v>
      </c>
      <c r="T51" s="7">
        <f t="shared" si="10"/>
        <v>6.1409999999999991</v>
      </c>
      <c r="U51" s="7">
        <v>12.69</v>
      </c>
      <c r="V51" s="7">
        <f t="shared" si="11"/>
        <v>12.69</v>
      </c>
      <c r="W51" s="7">
        <f t="shared" si="12"/>
        <v>14.593499999999999</v>
      </c>
      <c r="X51" s="16">
        <v>0.13200000000000001</v>
      </c>
      <c r="Y51" t="str">
        <f t="shared" si="13"/>
        <v>OK</v>
      </c>
      <c r="Z51" s="16">
        <f t="shared" si="14"/>
        <v>0.13200000000000001</v>
      </c>
      <c r="AA51" s="16">
        <f t="shared" si="15"/>
        <v>0.13200000000000001</v>
      </c>
      <c r="AB51" s="9">
        <v>10</v>
      </c>
      <c r="AC51" s="9">
        <f t="shared" si="16"/>
        <v>12</v>
      </c>
      <c r="AD51" s="9">
        <f t="shared" si="22"/>
        <v>110.14919999999999</v>
      </c>
      <c r="AE51" s="9">
        <f t="shared" si="17"/>
        <v>198.23810399999999</v>
      </c>
      <c r="AF51" s="9">
        <f t="shared" si="23"/>
        <v>53.4</v>
      </c>
      <c r="AG51" s="9">
        <f t="shared" si="18"/>
        <v>56.749199999999995</v>
      </c>
      <c r="AH51" s="9">
        <f t="shared" si="19"/>
        <v>144.83810399999999</v>
      </c>
      <c r="AI51">
        <f t="shared" si="24"/>
        <v>0.51520301554618642</v>
      </c>
      <c r="AJ51" s="5">
        <f t="shared" si="6"/>
        <v>44928</v>
      </c>
      <c r="AK51" t="str">
        <f t="shared" si="20"/>
        <v>Jan-2023</v>
      </c>
      <c r="AL51">
        <v>0</v>
      </c>
      <c r="AM51">
        <v>0</v>
      </c>
      <c r="AN51">
        <v>0</v>
      </c>
    </row>
    <row r="52" spans="1:40" x14ac:dyDescent="0.45">
      <c r="A52" s="3" t="s">
        <v>504</v>
      </c>
      <c r="B52" s="5">
        <v>45097</v>
      </c>
      <c r="C52" s="9" t="str">
        <f t="shared" si="0"/>
        <v>Jun-2023</v>
      </c>
      <c r="D52" s="5" t="str">
        <f t="shared" si="1"/>
        <v>2023-Q2</v>
      </c>
      <c r="E52" s="5">
        <v>45111</v>
      </c>
      <c r="F52" s="9">
        <f t="shared" si="7"/>
        <v>14</v>
      </c>
      <c r="G52" s="9" t="str">
        <f t="shared" si="8"/>
        <v>NOT ACHIEVED</v>
      </c>
      <c r="H52" s="3" t="s">
        <v>642</v>
      </c>
      <c r="I52" s="3" t="s">
        <v>649</v>
      </c>
      <c r="J52" s="3" t="s">
        <v>666</v>
      </c>
      <c r="K52" s="13" t="str">
        <f t="shared" si="21"/>
        <v>Americas &gt; Brazil &gt; Brasília</v>
      </c>
      <c r="L52" s="3" t="s">
        <v>697</v>
      </c>
      <c r="M52" s="3" t="s">
        <v>705</v>
      </c>
      <c r="N52" s="13" t="str">
        <f t="shared" si="9"/>
        <v>Direct</v>
      </c>
      <c r="O52" s="3" t="s">
        <v>706</v>
      </c>
      <c r="P52" s="3" t="s">
        <v>723</v>
      </c>
      <c r="Q52" s="13" t="str">
        <f t="shared" si="2"/>
        <v>High</v>
      </c>
      <c r="R52" s="3" t="s">
        <v>1222</v>
      </c>
      <c r="S52" s="7">
        <v>1292.8599999999999</v>
      </c>
      <c r="T52" s="7">
        <f t="shared" si="10"/>
        <v>1486.7889999999998</v>
      </c>
      <c r="U52" s="7">
        <v>2981.01</v>
      </c>
      <c r="V52" s="7">
        <f t="shared" si="11"/>
        <v>2981.01</v>
      </c>
      <c r="W52" s="7">
        <f t="shared" si="12"/>
        <v>3428.1615000000002</v>
      </c>
      <c r="X52" s="16">
        <v>0.14199999999999999</v>
      </c>
      <c r="Y52" t="str">
        <f t="shared" si="13"/>
        <v>OK</v>
      </c>
      <c r="Z52" s="16">
        <f t="shared" si="14"/>
        <v>0.14199999999999999</v>
      </c>
      <c r="AA52" s="16">
        <f t="shared" si="15"/>
        <v>0.14199999999999999</v>
      </c>
      <c r="AB52" s="9">
        <v>12</v>
      </c>
      <c r="AC52" s="9">
        <f t="shared" si="16"/>
        <v>14.399999999999999</v>
      </c>
      <c r="AD52" s="9">
        <f t="shared" si="22"/>
        <v>30692.47896</v>
      </c>
      <c r="AE52" s="9">
        <f t="shared" si="17"/>
        <v>56375.430235199994</v>
      </c>
      <c r="AF52" s="9">
        <f t="shared" si="23"/>
        <v>15514.32</v>
      </c>
      <c r="AG52" s="9">
        <f t="shared" si="18"/>
        <v>15178.158960000001</v>
      </c>
      <c r="AH52" s="9">
        <f t="shared" si="19"/>
        <v>40861.110235199994</v>
      </c>
      <c r="AI52">
        <f t="shared" si="24"/>
        <v>0.49452372288927687</v>
      </c>
      <c r="AJ52" s="5">
        <f t="shared" si="6"/>
        <v>44928</v>
      </c>
      <c r="AK52" t="str">
        <f t="shared" si="20"/>
        <v>Jan-2023</v>
      </c>
      <c r="AL52">
        <v>0</v>
      </c>
      <c r="AM52">
        <v>0</v>
      </c>
      <c r="AN52">
        <v>0</v>
      </c>
    </row>
    <row r="53" spans="1:40" x14ac:dyDescent="0.45">
      <c r="A53" s="3" t="s">
        <v>506</v>
      </c>
      <c r="B53" s="5">
        <v>45224</v>
      </c>
      <c r="C53" s="9" t="str">
        <f t="shared" si="0"/>
        <v>Oct-2023</v>
      </c>
      <c r="D53" s="5" t="str">
        <f t="shared" si="1"/>
        <v>2023-Q4</v>
      </c>
      <c r="E53" s="5">
        <v>45227</v>
      </c>
      <c r="F53" s="9">
        <f t="shared" si="7"/>
        <v>3</v>
      </c>
      <c r="G53" s="9" t="str">
        <f t="shared" si="8"/>
        <v>ACHIEVED</v>
      </c>
      <c r="H53" s="3" t="s">
        <v>642</v>
      </c>
      <c r="I53" s="3" t="s">
        <v>649</v>
      </c>
      <c r="J53" s="3" t="s">
        <v>666</v>
      </c>
      <c r="K53" s="13" t="str">
        <f t="shared" si="21"/>
        <v>Americas &gt; Brazil &gt; Brasília</v>
      </c>
      <c r="L53" s="3" t="s">
        <v>695</v>
      </c>
      <c r="M53" s="3" t="s">
        <v>704</v>
      </c>
      <c r="N53" s="13" t="str">
        <f t="shared" si="9"/>
        <v>Distributor</v>
      </c>
      <c r="O53" s="3" t="s">
        <v>710</v>
      </c>
      <c r="P53" s="3" t="s">
        <v>727</v>
      </c>
      <c r="Q53" s="13" t="str">
        <f t="shared" si="2"/>
        <v>Medium</v>
      </c>
      <c r="R53" s="3" t="s">
        <v>1224</v>
      </c>
      <c r="S53" s="7">
        <v>509.31</v>
      </c>
      <c r="T53" s="7">
        <f t="shared" si="10"/>
        <v>585.70650000000001</v>
      </c>
      <c r="U53" s="7">
        <v>1145.9000000000001</v>
      </c>
      <c r="V53" s="7">
        <f t="shared" si="11"/>
        <v>1145.9000000000001</v>
      </c>
      <c r="W53" s="7">
        <f t="shared" si="12"/>
        <v>1317.7850000000001</v>
      </c>
      <c r="X53" s="16">
        <v>5.7000000000000002E-2</v>
      </c>
      <c r="Y53" t="str">
        <f t="shared" si="13"/>
        <v>OK</v>
      </c>
      <c r="Z53" s="16">
        <f t="shared" si="14"/>
        <v>5.7000000000000002E-2</v>
      </c>
      <c r="AA53" s="16">
        <f t="shared" si="15"/>
        <v>5.7000000000000002E-2</v>
      </c>
      <c r="AB53" s="9">
        <v>8</v>
      </c>
      <c r="AC53" s="9">
        <f t="shared" si="16"/>
        <v>9.6</v>
      </c>
      <c r="AD53" s="9">
        <f t="shared" si="22"/>
        <v>8644.6696000000011</v>
      </c>
      <c r="AE53" s="9">
        <f t="shared" si="17"/>
        <v>13371.827952</v>
      </c>
      <c r="AF53" s="9">
        <f t="shared" si="23"/>
        <v>4074.48</v>
      </c>
      <c r="AG53" s="9">
        <f t="shared" si="18"/>
        <v>4570.1896000000015</v>
      </c>
      <c r="AH53" s="9">
        <f t="shared" si="19"/>
        <v>9297.3479520000001</v>
      </c>
      <c r="AI53">
        <f t="shared" si="24"/>
        <v>0.52867140231709964</v>
      </c>
      <c r="AJ53" s="5">
        <f t="shared" si="6"/>
        <v>44928</v>
      </c>
      <c r="AK53" t="str">
        <f t="shared" si="20"/>
        <v>Jan-2023</v>
      </c>
      <c r="AL53">
        <v>0</v>
      </c>
      <c r="AM53">
        <v>0</v>
      </c>
      <c r="AN53">
        <v>0</v>
      </c>
    </row>
    <row r="54" spans="1:40" x14ac:dyDescent="0.45">
      <c r="A54" s="3" t="s">
        <v>507</v>
      </c>
      <c r="B54" s="5">
        <v>45908</v>
      </c>
      <c r="C54" s="9" t="str">
        <f t="shared" si="0"/>
        <v>Sep-2025</v>
      </c>
      <c r="D54" s="5" t="str">
        <f t="shared" si="1"/>
        <v>2025-Q3</v>
      </c>
      <c r="E54" s="5">
        <v>45935</v>
      </c>
      <c r="F54" s="9">
        <f t="shared" si="7"/>
        <v>27</v>
      </c>
      <c r="G54" s="9" t="str">
        <f t="shared" si="8"/>
        <v>NOT ACHIEVED</v>
      </c>
      <c r="H54" s="3" t="s">
        <v>642</v>
      </c>
      <c r="I54" s="3" t="s">
        <v>649</v>
      </c>
      <c r="J54" s="3" t="s">
        <v>686</v>
      </c>
      <c r="K54" s="13" t="str">
        <f t="shared" si="21"/>
        <v>Americas &gt; Brazil &gt; Rio de Janeiro</v>
      </c>
      <c r="L54" s="3" t="s">
        <v>696</v>
      </c>
      <c r="M54" s="3" t="s">
        <v>702</v>
      </c>
      <c r="N54" s="13" t="str">
        <f t="shared" si="9"/>
        <v>Online</v>
      </c>
      <c r="O54" s="3" t="s">
        <v>706</v>
      </c>
      <c r="P54" s="3" t="s">
        <v>726</v>
      </c>
      <c r="Q54" s="13" t="str">
        <f t="shared" si="2"/>
        <v>High</v>
      </c>
      <c r="R54" s="3" t="s">
        <v>1225</v>
      </c>
      <c r="S54" s="7">
        <v>660.78</v>
      </c>
      <c r="T54" s="7">
        <f t="shared" si="10"/>
        <v>759.89699999999993</v>
      </c>
      <c r="U54" s="7">
        <v>1630.39</v>
      </c>
      <c r="V54" s="7">
        <f t="shared" si="11"/>
        <v>1630.39</v>
      </c>
      <c r="W54" s="7">
        <f t="shared" si="12"/>
        <v>1874.9485</v>
      </c>
      <c r="X54" s="16">
        <v>0.218</v>
      </c>
      <c r="Y54" t="str">
        <f t="shared" si="13"/>
        <v>OK</v>
      </c>
      <c r="Z54" s="16">
        <f t="shared" si="14"/>
        <v>0.218</v>
      </c>
      <c r="AA54" s="16">
        <f t="shared" si="15"/>
        <v>0.218</v>
      </c>
      <c r="AB54" s="9">
        <v>13</v>
      </c>
      <c r="AC54" s="9">
        <f t="shared" si="16"/>
        <v>15.6</v>
      </c>
      <c r="AD54" s="9">
        <f t="shared" si="22"/>
        <v>16574.544740000001</v>
      </c>
      <c r="AE54" s="9">
        <f t="shared" si="17"/>
        <v>35625.521458800002</v>
      </c>
      <c r="AF54" s="9">
        <f t="shared" si="23"/>
        <v>8590.14</v>
      </c>
      <c r="AG54" s="9">
        <f t="shared" si="18"/>
        <v>7984.4047400000018</v>
      </c>
      <c r="AH54" s="9">
        <f t="shared" si="19"/>
        <v>27035.381458800002</v>
      </c>
      <c r="AI54">
        <f t="shared" si="24"/>
        <v>0.48172694123724097</v>
      </c>
      <c r="AJ54" s="5">
        <f t="shared" si="6"/>
        <v>44928</v>
      </c>
      <c r="AK54" t="str">
        <f t="shared" si="20"/>
        <v>Jan-2023</v>
      </c>
      <c r="AL54">
        <v>0</v>
      </c>
      <c r="AM54">
        <v>0</v>
      </c>
      <c r="AN54">
        <v>0</v>
      </c>
    </row>
    <row r="55" spans="1:40" x14ac:dyDescent="0.45">
      <c r="A55" s="3" t="s">
        <v>512</v>
      </c>
      <c r="B55" s="5">
        <v>45726</v>
      </c>
      <c r="C55" s="9" t="str">
        <f t="shared" si="0"/>
        <v>Mar-2025</v>
      </c>
      <c r="D55" s="5" t="str">
        <f t="shared" si="1"/>
        <v>2025-Q1</v>
      </c>
      <c r="E55" s="5">
        <v>45743</v>
      </c>
      <c r="F55" s="9">
        <f t="shared" si="7"/>
        <v>17</v>
      </c>
      <c r="G55" s="9" t="str">
        <f t="shared" si="8"/>
        <v>NOT ACHIEVED</v>
      </c>
      <c r="H55" s="3" t="s">
        <v>642</v>
      </c>
      <c r="I55" s="3" t="s">
        <v>649</v>
      </c>
      <c r="J55" s="3" t="s">
        <v>686</v>
      </c>
      <c r="K55" s="13" t="str">
        <f t="shared" si="21"/>
        <v>Americas &gt; Brazil &gt; Rio de Janeiro</v>
      </c>
      <c r="L55" s="3" t="s">
        <v>700</v>
      </c>
      <c r="M55" s="3" t="s">
        <v>705</v>
      </c>
      <c r="N55" s="13" t="str">
        <f t="shared" si="9"/>
        <v>Direct</v>
      </c>
      <c r="O55" s="3" t="s">
        <v>715</v>
      </c>
      <c r="P55" s="3" t="s">
        <v>723</v>
      </c>
      <c r="Q55" s="13" t="str">
        <f t="shared" si="2"/>
        <v>Medium</v>
      </c>
      <c r="R55" s="3" t="s">
        <v>1230</v>
      </c>
      <c r="S55" s="7">
        <v>996.73</v>
      </c>
      <c r="T55" s="7">
        <f t="shared" si="10"/>
        <v>1146.2394999999999</v>
      </c>
      <c r="U55" s="7">
        <v>1217.43</v>
      </c>
      <c r="V55" s="7">
        <f t="shared" si="11"/>
        <v>1217.43</v>
      </c>
      <c r="W55" s="7">
        <f t="shared" si="12"/>
        <v>1400.0445</v>
      </c>
      <c r="X55" s="16">
        <v>7.0000000000000007E-2</v>
      </c>
      <c r="Y55" t="str">
        <f t="shared" si="13"/>
        <v>OK</v>
      </c>
      <c r="Z55" s="16">
        <f t="shared" si="14"/>
        <v>7.0000000000000007E-2</v>
      </c>
      <c r="AA55" s="16">
        <f t="shared" si="15"/>
        <v>7.0000000000000007E-2</v>
      </c>
      <c r="AB55" s="9">
        <v>9</v>
      </c>
      <c r="AC55" s="9">
        <f t="shared" si="16"/>
        <v>10.799999999999999</v>
      </c>
      <c r="AD55" s="9">
        <f t="shared" si="22"/>
        <v>10189.8891</v>
      </c>
      <c r="AE55" s="9">
        <f t="shared" si="17"/>
        <v>16178.914241999999</v>
      </c>
      <c r="AF55" s="9">
        <f t="shared" si="23"/>
        <v>8970.57</v>
      </c>
      <c r="AG55" s="9">
        <f t="shared" si="18"/>
        <v>1219.3191000000006</v>
      </c>
      <c r="AH55" s="9">
        <f t="shared" si="19"/>
        <v>7208.3442419999992</v>
      </c>
      <c r="AI55">
        <f t="shared" si="24"/>
        <v>0.11965970267527255</v>
      </c>
      <c r="AJ55" s="5">
        <f t="shared" si="6"/>
        <v>44928</v>
      </c>
      <c r="AK55" t="str">
        <f t="shared" si="20"/>
        <v>Jan-2023</v>
      </c>
      <c r="AL55">
        <v>0</v>
      </c>
      <c r="AM55">
        <v>0</v>
      </c>
      <c r="AN55">
        <v>0</v>
      </c>
    </row>
    <row r="56" spans="1:40" x14ac:dyDescent="0.45">
      <c r="A56" s="3" t="s">
        <v>543</v>
      </c>
      <c r="B56" s="5">
        <v>45667</v>
      </c>
      <c r="C56" s="9" t="str">
        <f t="shared" si="0"/>
        <v>Jan-2025</v>
      </c>
      <c r="D56" s="5" t="str">
        <f t="shared" si="1"/>
        <v>2025-Q1</v>
      </c>
      <c r="E56" s="5">
        <v>45694</v>
      </c>
      <c r="F56" s="9">
        <f t="shared" si="7"/>
        <v>27</v>
      </c>
      <c r="G56" s="9" t="str">
        <f t="shared" si="8"/>
        <v>NOT ACHIEVED</v>
      </c>
      <c r="H56" s="3" t="s">
        <v>642</v>
      </c>
      <c r="I56" s="3" t="s">
        <v>649</v>
      </c>
      <c r="J56" s="3" t="s">
        <v>666</v>
      </c>
      <c r="K56" s="13" t="str">
        <f t="shared" si="21"/>
        <v>Americas &gt; Brazil &gt; Brasília</v>
      </c>
      <c r="L56" s="3" t="s">
        <v>697</v>
      </c>
      <c r="M56" s="3" t="s">
        <v>701</v>
      </c>
      <c r="N56" s="13" t="str">
        <f t="shared" si="9"/>
        <v>Retail</v>
      </c>
      <c r="O56" s="3" t="s">
        <v>711</v>
      </c>
      <c r="P56" s="3" t="s">
        <v>725</v>
      </c>
      <c r="Q56" s="13" t="str">
        <f t="shared" si="2"/>
        <v>Medium</v>
      </c>
      <c r="R56" s="3" t="s">
        <v>1261</v>
      </c>
      <c r="S56" s="7">
        <v>725.62</v>
      </c>
      <c r="T56" s="7">
        <f t="shared" si="10"/>
        <v>834.46299999999997</v>
      </c>
      <c r="U56" s="7">
        <v>1559.19</v>
      </c>
      <c r="V56" s="7">
        <f t="shared" si="11"/>
        <v>1559.19</v>
      </c>
      <c r="W56" s="7">
        <f t="shared" si="12"/>
        <v>1793.0684999999999</v>
      </c>
      <c r="X56" s="16">
        <v>0.19</v>
      </c>
      <c r="Y56" t="str">
        <f t="shared" si="13"/>
        <v>OK</v>
      </c>
      <c r="Z56" s="16">
        <f t="shared" si="14"/>
        <v>0.19</v>
      </c>
      <c r="AA56" s="16">
        <f t="shared" si="15"/>
        <v>0.19</v>
      </c>
      <c r="AB56" s="9">
        <v>12</v>
      </c>
      <c r="AC56" s="9">
        <f t="shared" si="16"/>
        <v>14.399999999999999</v>
      </c>
      <c r="AD56" s="9">
        <f t="shared" si="22"/>
        <v>15155.326800000001</v>
      </c>
      <c r="AE56" s="9">
        <f t="shared" si="17"/>
        <v>30726.021815999993</v>
      </c>
      <c r="AF56" s="9">
        <f t="shared" si="23"/>
        <v>8707.44</v>
      </c>
      <c r="AG56" s="9">
        <f t="shared" si="18"/>
        <v>6447.8868000000002</v>
      </c>
      <c r="AH56" s="9">
        <f t="shared" si="19"/>
        <v>22018.581815999991</v>
      </c>
      <c r="AI56">
        <f t="shared" si="24"/>
        <v>0.42545349797405885</v>
      </c>
      <c r="AJ56" s="5">
        <f t="shared" si="6"/>
        <v>44928</v>
      </c>
      <c r="AK56" t="str">
        <f t="shared" si="20"/>
        <v>Jan-2023</v>
      </c>
      <c r="AL56">
        <v>0</v>
      </c>
      <c r="AM56">
        <v>0</v>
      </c>
      <c r="AN56">
        <v>0</v>
      </c>
    </row>
    <row r="57" spans="1:40" x14ac:dyDescent="0.45">
      <c r="A57" s="3" t="s">
        <v>557</v>
      </c>
      <c r="B57" s="5">
        <v>45486</v>
      </c>
      <c r="C57" s="9" t="str">
        <f t="shared" si="0"/>
        <v>Jul-2024</v>
      </c>
      <c r="D57" s="5" t="str">
        <f t="shared" si="1"/>
        <v>2024-Q3</v>
      </c>
      <c r="E57" s="5">
        <v>45507</v>
      </c>
      <c r="F57" s="9">
        <f t="shared" si="7"/>
        <v>21</v>
      </c>
      <c r="G57" s="9" t="str">
        <f t="shared" si="8"/>
        <v>NOT ACHIEVED</v>
      </c>
      <c r="H57" s="3" t="s">
        <v>642</v>
      </c>
      <c r="I57" s="3" t="s">
        <v>649</v>
      </c>
      <c r="J57" s="3" t="s">
        <v>686</v>
      </c>
      <c r="K57" s="13" t="str">
        <f t="shared" si="21"/>
        <v>Americas &gt; Brazil &gt; Rio de Janeiro</v>
      </c>
      <c r="L57" s="3" t="s">
        <v>695</v>
      </c>
      <c r="M57" s="3" t="s">
        <v>703</v>
      </c>
      <c r="N57" s="13" t="str">
        <f t="shared" si="9"/>
        <v>Marketplace</v>
      </c>
      <c r="O57" s="3" t="s">
        <v>718</v>
      </c>
      <c r="P57" s="3" t="s">
        <v>726</v>
      </c>
      <c r="Q57" s="13" t="str">
        <f t="shared" si="2"/>
        <v>Medium</v>
      </c>
      <c r="R57" s="3" t="s">
        <v>1274</v>
      </c>
      <c r="S57" s="7">
        <v>702.98</v>
      </c>
      <c r="T57" s="7">
        <f t="shared" si="10"/>
        <v>808.42699999999991</v>
      </c>
      <c r="U57" s="7">
        <v>1104.8</v>
      </c>
      <c r="V57" s="7">
        <f t="shared" si="11"/>
        <v>1104.8</v>
      </c>
      <c r="W57" s="7">
        <f t="shared" si="12"/>
        <v>1270.5199999999998</v>
      </c>
      <c r="X57" s="16">
        <v>0.17499999999999999</v>
      </c>
      <c r="Y57" t="str">
        <f t="shared" si="13"/>
        <v>OK</v>
      </c>
      <c r="Z57" s="16">
        <f t="shared" si="14"/>
        <v>0.17499999999999999</v>
      </c>
      <c r="AA57" s="16">
        <f t="shared" si="15"/>
        <v>0.17499999999999999</v>
      </c>
      <c r="AB57" s="9">
        <v>12</v>
      </c>
      <c r="AC57" s="9">
        <f t="shared" si="16"/>
        <v>14.399999999999999</v>
      </c>
      <c r="AD57" s="9">
        <f t="shared" si="22"/>
        <v>10937.519999999999</v>
      </c>
      <c r="AE57" s="9">
        <f t="shared" si="17"/>
        <v>21497.198399999994</v>
      </c>
      <c r="AF57" s="9">
        <f t="shared" si="23"/>
        <v>8435.76</v>
      </c>
      <c r="AG57" s="9">
        <f t="shared" si="18"/>
        <v>2501.7599999999984</v>
      </c>
      <c r="AH57" s="9">
        <f t="shared" si="19"/>
        <v>13061.438399999994</v>
      </c>
      <c r="AI57">
        <f t="shared" si="24"/>
        <v>0.22873192460448061</v>
      </c>
      <c r="AJ57" s="5">
        <f t="shared" si="6"/>
        <v>44928</v>
      </c>
      <c r="AK57" t="str">
        <f t="shared" si="20"/>
        <v>Jan-2023</v>
      </c>
      <c r="AL57">
        <v>0</v>
      </c>
      <c r="AM57">
        <v>0</v>
      </c>
      <c r="AN57">
        <v>0</v>
      </c>
    </row>
    <row r="58" spans="1:40" x14ac:dyDescent="0.45">
      <c r="A58" s="3" t="s">
        <v>559</v>
      </c>
      <c r="B58" s="5">
        <v>45875</v>
      </c>
      <c r="C58" s="9" t="str">
        <f t="shared" si="0"/>
        <v>Aug-2025</v>
      </c>
      <c r="D58" s="5" t="str">
        <f t="shared" si="1"/>
        <v>2025-Q3</v>
      </c>
      <c r="E58" s="5">
        <v>45892</v>
      </c>
      <c r="F58" s="9">
        <f t="shared" si="7"/>
        <v>17</v>
      </c>
      <c r="G58" s="9" t="str">
        <f t="shared" si="8"/>
        <v>NOT ACHIEVED</v>
      </c>
      <c r="H58" s="3" t="s">
        <v>642</v>
      </c>
      <c r="I58" s="3" t="s">
        <v>649</v>
      </c>
      <c r="J58" s="3" t="s">
        <v>666</v>
      </c>
      <c r="K58" s="13" t="str">
        <f t="shared" si="21"/>
        <v>Americas &gt; Brazil &gt; Brasília</v>
      </c>
      <c r="L58" s="3" t="s">
        <v>698</v>
      </c>
      <c r="M58" s="3" t="s">
        <v>704</v>
      </c>
      <c r="N58" s="13" t="str">
        <f t="shared" si="9"/>
        <v>Distributor</v>
      </c>
      <c r="O58" s="3" t="s">
        <v>714</v>
      </c>
      <c r="P58" s="3" t="s">
        <v>726</v>
      </c>
      <c r="Q58" s="13" t="str">
        <f t="shared" si="2"/>
        <v>Low</v>
      </c>
      <c r="R58" s="3" t="s">
        <v>1276</v>
      </c>
      <c r="S58" s="7">
        <v>86.64</v>
      </c>
      <c r="T58" s="7">
        <f t="shared" si="10"/>
        <v>99.635999999999996</v>
      </c>
      <c r="U58" s="7">
        <v>213.06</v>
      </c>
      <c r="V58" s="7">
        <f t="shared" si="11"/>
        <v>213.06</v>
      </c>
      <c r="W58" s="7">
        <f t="shared" si="12"/>
        <v>245.01899999999998</v>
      </c>
      <c r="X58" s="16">
        <v>0.21199999999999999</v>
      </c>
      <c r="Y58" t="str">
        <f t="shared" si="13"/>
        <v>OK</v>
      </c>
      <c r="Z58" s="16">
        <f t="shared" si="14"/>
        <v>0.21199999999999999</v>
      </c>
      <c r="AA58" s="16">
        <f t="shared" si="15"/>
        <v>0.21199999999999999</v>
      </c>
      <c r="AB58" s="9">
        <v>11</v>
      </c>
      <c r="AC58" s="9">
        <f t="shared" si="16"/>
        <v>13.2</v>
      </c>
      <c r="AD58" s="9">
        <f t="shared" si="22"/>
        <v>1846.8040799999999</v>
      </c>
      <c r="AE58" s="9">
        <f t="shared" si="17"/>
        <v>3919.9119695999989</v>
      </c>
      <c r="AF58" s="9">
        <f t="shared" si="23"/>
        <v>953.04</v>
      </c>
      <c r="AG58" s="9">
        <f t="shared" si="18"/>
        <v>893.76407999999992</v>
      </c>
      <c r="AH58" s="9">
        <f t="shared" si="19"/>
        <v>2966.8719695999989</v>
      </c>
      <c r="AI58">
        <f t="shared" si="24"/>
        <v>0.48395175735154322</v>
      </c>
      <c r="AJ58" s="5">
        <f t="shared" si="6"/>
        <v>44928</v>
      </c>
      <c r="AK58" t="str">
        <f t="shared" si="20"/>
        <v>Jan-2023</v>
      </c>
      <c r="AL58">
        <v>0</v>
      </c>
      <c r="AM58">
        <v>0</v>
      </c>
      <c r="AN58">
        <v>0</v>
      </c>
    </row>
    <row r="59" spans="1:40" x14ac:dyDescent="0.45">
      <c r="A59" s="3" t="s">
        <v>589</v>
      </c>
      <c r="B59" s="5">
        <v>45080</v>
      </c>
      <c r="C59" s="9" t="str">
        <f t="shared" si="0"/>
        <v>Jun-2023</v>
      </c>
      <c r="D59" s="5" t="str">
        <f t="shared" si="1"/>
        <v>2023-Q2</v>
      </c>
      <c r="E59" s="5">
        <v>45108</v>
      </c>
      <c r="F59" s="9">
        <f t="shared" si="7"/>
        <v>28</v>
      </c>
      <c r="G59" s="9" t="str">
        <f t="shared" si="8"/>
        <v>NOT ACHIEVED</v>
      </c>
      <c r="H59" s="3" t="s">
        <v>642</v>
      </c>
      <c r="I59" s="3" t="s">
        <v>649</v>
      </c>
      <c r="J59" s="3" t="s">
        <v>666</v>
      </c>
      <c r="K59" s="13" t="str">
        <f t="shared" si="21"/>
        <v>Americas &gt; Brazil &gt; Brasília</v>
      </c>
      <c r="L59" s="3" t="s">
        <v>699</v>
      </c>
      <c r="M59" s="3" t="s">
        <v>703</v>
      </c>
      <c r="N59" s="13" t="str">
        <f t="shared" si="9"/>
        <v>Marketplace</v>
      </c>
      <c r="O59" s="3" t="s">
        <v>714</v>
      </c>
      <c r="P59" s="3" t="s">
        <v>721</v>
      </c>
      <c r="Q59" s="13" t="str">
        <f t="shared" si="2"/>
        <v>High</v>
      </c>
      <c r="R59" s="3" t="s">
        <v>1306</v>
      </c>
      <c r="S59" s="7">
        <v>860.4</v>
      </c>
      <c r="T59" s="7">
        <f t="shared" si="10"/>
        <v>989.45999999999992</v>
      </c>
      <c r="U59" s="7">
        <v>2066.6</v>
      </c>
      <c r="V59" s="7">
        <f t="shared" si="11"/>
        <v>2066.6</v>
      </c>
      <c r="W59" s="7">
        <f t="shared" si="12"/>
        <v>2376.5899999999997</v>
      </c>
      <c r="X59" s="16">
        <v>0.01</v>
      </c>
      <c r="Y59" t="str">
        <f t="shared" si="13"/>
        <v>OK</v>
      </c>
      <c r="Z59" s="16">
        <f t="shared" si="14"/>
        <v>0.01</v>
      </c>
      <c r="AA59" s="16">
        <f t="shared" si="15"/>
        <v>0.01</v>
      </c>
      <c r="AB59" s="9">
        <v>3</v>
      </c>
      <c r="AC59" s="9">
        <f t="shared" si="16"/>
        <v>3.5999999999999996</v>
      </c>
      <c r="AD59" s="9">
        <f t="shared" si="22"/>
        <v>6137.8019999999988</v>
      </c>
      <c r="AE59" s="9">
        <f t="shared" si="17"/>
        <v>8641.2812399999984</v>
      </c>
      <c r="AF59" s="9">
        <f t="shared" si="23"/>
        <v>2581.1999999999998</v>
      </c>
      <c r="AG59" s="9">
        <f t="shared" si="18"/>
        <v>3556.601999999999</v>
      </c>
      <c r="AH59" s="9">
        <f t="shared" si="19"/>
        <v>6060.0812399999986</v>
      </c>
      <c r="AI59">
        <f t="shared" si="24"/>
        <v>0.57945857491004105</v>
      </c>
      <c r="AJ59" s="5">
        <f t="shared" si="6"/>
        <v>44928</v>
      </c>
      <c r="AK59" t="str">
        <f t="shared" si="20"/>
        <v>Jan-2023</v>
      </c>
      <c r="AL59">
        <v>0</v>
      </c>
      <c r="AM59">
        <v>0</v>
      </c>
      <c r="AN59">
        <v>0</v>
      </c>
    </row>
    <row r="60" spans="1:40" x14ac:dyDescent="0.45">
      <c r="A60" s="3" t="s">
        <v>590</v>
      </c>
      <c r="B60" s="5">
        <v>44955</v>
      </c>
      <c r="C60" s="9" t="str">
        <f t="shared" si="0"/>
        <v>Jan-2023</v>
      </c>
      <c r="D60" s="5" t="str">
        <f t="shared" si="1"/>
        <v>2023-Q1</v>
      </c>
      <c r="E60" s="5">
        <v>44963</v>
      </c>
      <c r="F60" s="9">
        <f t="shared" si="7"/>
        <v>8</v>
      </c>
      <c r="G60" s="9" t="str">
        <f t="shared" si="8"/>
        <v>NOT ACHIEVED</v>
      </c>
      <c r="H60" s="3" t="s">
        <v>642</v>
      </c>
      <c r="I60" s="3" t="s">
        <v>649</v>
      </c>
      <c r="J60" s="3" t="s">
        <v>666</v>
      </c>
      <c r="K60" s="13" t="str">
        <f t="shared" si="21"/>
        <v>Americas &gt; Brazil &gt; Brasília</v>
      </c>
      <c r="L60" s="3" t="s">
        <v>695</v>
      </c>
      <c r="M60" s="3" t="s">
        <v>703</v>
      </c>
      <c r="N60" s="13" t="str">
        <f t="shared" si="9"/>
        <v>Marketplace</v>
      </c>
      <c r="O60" s="3" t="s">
        <v>720</v>
      </c>
      <c r="P60" s="3" t="s">
        <v>726</v>
      </c>
      <c r="Q60" s="13" t="str">
        <f t="shared" si="2"/>
        <v>Low</v>
      </c>
      <c r="R60" s="3" t="s">
        <v>1307</v>
      </c>
      <c r="S60" s="7">
        <v>41.84</v>
      </c>
      <c r="T60" s="7">
        <f t="shared" si="10"/>
        <v>48.116</v>
      </c>
      <c r="U60" s="7">
        <v>86.2</v>
      </c>
      <c r="V60" s="7">
        <f t="shared" si="11"/>
        <v>86.2</v>
      </c>
      <c r="W60" s="7">
        <f t="shared" si="12"/>
        <v>99.13</v>
      </c>
      <c r="X60" s="16">
        <v>0.22600000000000001</v>
      </c>
      <c r="Y60" t="str">
        <f t="shared" si="13"/>
        <v>OK</v>
      </c>
      <c r="Z60" s="16">
        <f t="shared" si="14"/>
        <v>0.22600000000000001</v>
      </c>
      <c r="AA60" s="16">
        <f t="shared" si="15"/>
        <v>0.22600000000000001</v>
      </c>
      <c r="AB60" s="9">
        <v>27</v>
      </c>
      <c r="AC60" s="9">
        <f t="shared" si="16"/>
        <v>32.4</v>
      </c>
      <c r="AD60" s="9">
        <f t="shared" si="22"/>
        <v>1801.4076000000002</v>
      </c>
      <c r="AE60" s="9">
        <f t="shared" si="17"/>
        <v>3937.6815119999997</v>
      </c>
      <c r="AF60" s="9">
        <f t="shared" si="23"/>
        <v>1129.68</v>
      </c>
      <c r="AG60" s="9">
        <f t="shared" si="18"/>
        <v>671.72760000000017</v>
      </c>
      <c r="AH60" s="9">
        <f t="shared" si="19"/>
        <v>2808.0015119999998</v>
      </c>
      <c r="AI60">
        <f t="shared" si="24"/>
        <v>0.37289039970742882</v>
      </c>
      <c r="AJ60" s="5">
        <f t="shared" si="6"/>
        <v>44928</v>
      </c>
      <c r="AK60" t="str">
        <f t="shared" si="20"/>
        <v>Jan-2023</v>
      </c>
      <c r="AL60">
        <v>0</v>
      </c>
      <c r="AM60">
        <v>0</v>
      </c>
      <c r="AN60">
        <v>0</v>
      </c>
    </row>
    <row r="61" spans="1:40" x14ac:dyDescent="0.45">
      <c r="A61" s="3" t="s">
        <v>593</v>
      </c>
      <c r="B61" s="5">
        <v>45764</v>
      </c>
      <c r="C61" s="9" t="str">
        <f t="shared" si="0"/>
        <v>Apr-2025</v>
      </c>
      <c r="D61" s="5" t="str">
        <f t="shared" si="1"/>
        <v>2025-Q2</v>
      </c>
      <c r="E61" s="5">
        <v>45764</v>
      </c>
      <c r="F61" s="9">
        <f t="shared" si="7"/>
        <v>0</v>
      </c>
      <c r="G61" s="9" t="str">
        <f t="shared" si="8"/>
        <v>ACHIEVED</v>
      </c>
      <c r="H61" s="3" t="s">
        <v>642</v>
      </c>
      <c r="I61" s="3" t="s">
        <v>649</v>
      </c>
      <c r="J61" s="3" t="s">
        <v>664</v>
      </c>
      <c r="K61" s="13" t="str">
        <f t="shared" si="21"/>
        <v>Americas &gt; Brazil &gt; São Paulo</v>
      </c>
      <c r="L61" s="3" t="s">
        <v>695</v>
      </c>
      <c r="M61" s="3" t="s">
        <v>704</v>
      </c>
      <c r="N61" s="13" t="str">
        <f t="shared" si="9"/>
        <v>Distributor</v>
      </c>
      <c r="O61" s="3" t="s">
        <v>710</v>
      </c>
      <c r="P61" s="3" t="s">
        <v>724</v>
      </c>
      <c r="Q61" s="13" t="str">
        <f t="shared" si="2"/>
        <v>Medium</v>
      </c>
      <c r="R61" s="3" t="s">
        <v>1310</v>
      </c>
      <c r="S61" s="7">
        <v>719.41</v>
      </c>
      <c r="T61" s="7">
        <f t="shared" si="10"/>
        <v>827.3214999999999</v>
      </c>
      <c r="U61" s="7">
        <v>1125.99</v>
      </c>
      <c r="V61" s="7">
        <f t="shared" si="11"/>
        <v>1125.99</v>
      </c>
      <c r="W61" s="7">
        <f t="shared" si="12"/>
        <v>1294.8885</v>
      </c>
      <c r="X61" s="16">
        <v>4.1000000000000002E-2</v>
      </c>
      <c r="Y61" t="str">
        <f t="shared" si="13"/>
        <v>OK</v>
      </c>
      <c r="Z61" s="16">
        <f t="shared" si="14"/>
        <v>4.1000000000000002E-2</v>
      </c>
      <c r="AA61" s="16">
        <f t="shared" si="15"/>
        <v>4.1000000000000002E-2</v>
      </c>
      <c r="AB61" s="9">
        <v>21</v>
      </c>
      <c r="AC61" s="9">
        <f t="shared" si="16"/>
        <v>25.2</v>
      </c>
      <c r="AD61" s="9">
        <f t="shared" si="22"/>
        <v>22676.312610000001</v>
      </c>
      <c r="AE61" s="9">
        <f t="shared" si="17"/>
        <v>33969.068998199997</v>
      </c>
      <c r="AF61" s="9">
        <f t="shared" si="23"/>
        <v>15107.609999999999</v>
      </c>
      <c r="AG61" s="9">
        <f t="shared" si="18"/>
        <v>7568.7026100000021</v>
      </c>
      <c r="AH61" s="9">
        <f t="shared" si="19"/>
        <v>18861.458998199996</v>
      </c>
      <c r="AI61">
        <f t="shared" si="24"/>
        <v>0.33377131194876403</v>
      </c>
      <c r="AJ61" s="5">
        <f t="shared" si="6"/>
        <v>44928</v>
      </c>
      <c r="AK61" t="str">
        <f t="shared" si="20"/>
        <v>Jan-2023</v>
      </c>
      <c r="AL61">
        <v>0</v>
      </c>
      <c r="AM61">
        <v>0</v>
      </c>
      <c r="AN61">
        <v>0</v>
      </c>
    </row>
    <row r="62" spans="1:40" x14ac:dyDescent="0.45">
      <c r="A62" s="3" t="s">
        <v>607</v>
      </c>
      <c r="B62" s="5">
        <v>45521</v>
      </c>
      <c r="C62" s="9" t="str">
        <f t="shared" si="0"/>
        <v>Aug-2024</v>
      </c>
      <c r="D62" s="5" t="str">
        <f t="shared" si="1"/>
        <v>2024-Q3</v>
      </c>
      <c r="E62" s="5">
        <v>45526</v>
      </c>
      <c r="F62" s="9">
        <f t="shared" si="7"/>
        <v>5</v>
      </c>
      <c r="G62" s="9" t="str">
        <f t="shared" si="8"/>
        <v>ACHIEVED</v>
      </c>
      <c r="H62" s="3" t="s">
        <v>642</v>
      </c>
      <c r="I62" s="3" t="s">
        <v>649</v>
      </c>
      <c r="J62" s="3" t="s">
        <v>686</v>
      </c>
      <c r="K62" s="13" t="str">
        <f t="shared" si="21"/>
        <v>Americas &gt; Brazil &gt; Rio de Janeiro</v>
      </c>
      <c r="L62" s="3" t="s">
        <v>698</v>
      </c>
      <c r="M62" s="3" t="s">
        <v>705</v>
      </c>
      <c r="N62" s="13" t="str">
        <f t="shared" si="9"/>
        <v>Direct</v>
      </c>
      <c r="O62" s="3" t="s">
        <v>718</v>
      </c>
      <c r="P62" s="3" t="s">
        <v>726</v>
      </c>
      <c r="Q62" s="13" t="str">
        <f t="shared" si="2"/>
        <v>Low</v>
      </c>
      <c r="R62" s="3" t="s">
        <v>1324</v>
      </c>
      <c r="S62" s="7">
        <v>165.3</v>
      </c>
      <c r="T62" s="7">
        <f t="shared" si="10"/>
        <v>190.095</v>
      </c>
      <c r="U62" s="7">
        <v>275.07</v>
      </c>
      <c r="V62" s="7">
        <f t="shared" si="11"/>
        <v>275.07</v>
      </c>
      <c r="W62" s="7">
        <f t="shared" si="12"/>
        <v>316.33049999999997</v>
      </c>
      <c r="X62" s="16">
        <v>0.13300000000000001</v>
      </c>
      <c r="Y62" t="str">
        <f t="shared" si="13"/>
        <v>OK</v>
      </c>
      <c r="Z62" s="16">
        <f t="shared" si="14"/>
        <v>0.13300000000000001</v>
      </c>
      <c r="AA62" s="16">
        <f t="shared" si="15"/>
        <v>0.13300000000000001</v>
      </c>
      <c r="AB62" s="9">
        <v>25</v>
      </c>
      <c r="AC62" s="9">
        <f t="shared" si="16"/>
        <v>30</v>
      </c>
      <c r="AD62" s="9">
        <f t="shared" si="22"/>
        <v>5962.1422499999999</v>
      </c>
      <c r="AE62" s="9">
        <f t="shared" si="17"/>
        <v>10752.073694999999</v>
      </c>
      <c r="AF62" s="9">
        <f t="shared" si="23"/>
        <v>4132.5</v>
      </c>
      <c r="AG62" s="9">
        <f t="shared" si="18"/>
        <v>1829.6422499999999</v>
      </c>
      <c r="AH62" s="9">
        <f t="shared" si="19"/>
        <v>6619.5736949999991</v>
      </c>
      <c r="AI62">
        <f t="shared" si="24"/>
        <v>0.30687665159280625</v>
      </c>
      <c r="AJ62" s="5">
        <f t="shared" si="6"/>
        <v>44928</v>
      </c>
      <c r="AK62" t="str">
        <f t="shared" si="20"/>
        <v>Jan-2023</v>
      </c>
      <c r="AL62">
        <v>0</v>
      </c>
      <c r="AM62">
        <v>0</v>
      </c>
      <c r="AN62">
        <v>0</v>
      </c>
    </row>
    <row r="63" spans="1:40" x14ac:dyDescent="0.45">
      <c r="A63" s="3" t="s">
        <v>613</v>
      </c>
      <c r="B63" s="5">
        <v>45186</v>
      </c>
      <c r="C63" s="9" t="str">
        <f t="shared" si="0"/>
        <v>Sep-2023</v>
      </c>
      <c r="D63" s="5" t="str">
        <f t="shared" si="1"/>
        <v>2023-Q3</v>
      </c>
      <c r="E63" s="5">
        <v>45201</v>
      </c>
      <c r="F63" s="9">
        <f t="shared" si="7"/>
        <v>15</v>
      </c>
      <c r="G63" s="9" t="str">
        <f t="shared" si="8"/>
        <v>NOT ACHIEVED</v>
      </c>
      <c r="H63" s="3" t="s">
        <v>642</v>
      </c>
      <c r="I63" s="3" t="s">
        <v>649</v>
      </c>
      <c r="J63" s="3" t="s">
        <v>686</v>
      </c>
      <c r="K63" s="13" t="str">
        <f t="shared" si="21"/>
        <v>Americas &gt; Brazil &gt; Rio de Janeiro</v>
      </c>
      <c r="L63" s="3" t="s">
        <v>699</v>
      </c>
      <c r="M63" s="3" t="s">
        <v>701</v>
      </c>
      <c r="N63" s="13" t="str">
        <f t="shared" si="9"/>
        <v>Retail</v>
      </c>
      <c r="O63" s="3" t="s">
        <v>711</v>
      </c>
      <c r="P63" s="3" t="s">
        <v>725</v>
      </c>
      <c r="Q63" s="13" t="str">
        <f t="shared" si="2"/>
        <v>Low</v>
      </c>
      <c r="R63" s="3" t="s">
        <v>1330</v>
      </c>
      <c r="S63" s="7">
        <v>689.33</v>
      </c>
      <c r="T63" s="7">
        <f t="shared" si="10"/>
        <v>792.72950000000003</v>
      </c>
      <c r="U63" s="7">
        <v>668.27</v>
      </c>
      <c r="V63" s="7">
        <f t="shared" si="11"/>
        <v>668.27</v>
      </c>
      <c r="W63" s="7">
        <f t="shared" si="12"/>
        <v>768.51049999999987</v>
      </c>
      <c r="X63" s="16">
        <v>0.186</v>
      </c>
      <c r="Y63" t="str">
        <f t="shared" si="13"/>
        <v>OK</v>
      </c>
      <c r="Z63" s="16">
        <f t="shared" si="14"/>
        <v>0.186</v>
      </c>
      <c r="AA63" s="16">
        <f t="shared" si="15"/>
        <v>0.186</v>
      </c>
      <c r="AB63" s="9">
        <v>13</v>
      </c>
      <c r="AC63" s="9">
        <f t="shared" si="16"/>
        <v>15.6</v>
      </c>
      <c r="AD63" s="9">
        <f t="shared" si="22"/>
        <v>7071.6331400000008</v>
      </c>
      <c r="AE63" s="9">
        <f t="shared" si="17"/>
        <v>14218.673866799996</v>
      </c>
      <c r="AF63" s="9">
        <f t="shared" si="23"/>
        <v>8961.2900000000009</v>
      </c>
      <c r="AG63" s="9">
        <f t="shared" si="18"/>
        <v>-1889.6568600000001</v>
      </c>
      <c r="AH63" s="9">
        <f t="shared" si="19"/>
        <v>5257.3838667999953</v>
      </c>
      <c r="AI63">
        <f t="shared" si="24"/>
        <v>-0.26721647214861033</v>
      </c>
      <c r="AJ63" s="5">
        <f t="shared" si="6"/>
        <v>44928</v>
      </c>
      <c r="AK63" t="str">
        <f t="shared" si="20"/>
        <v>Jan-2023</v>
      </c>
      <c r="AL63">
        <v>0</v>
      </c>
      <c r="AM63">
        <v>0</v>
      </c>
      <c r="AN63">
        <v>0</v>
      </c>
    </row>
    <row r="64" spans="1:40" x14ac:dyDescent="0.45">
      <c r="A64" s="3" t="s">
        <v>629</v>
      </c>
      <c r="B64" s="5">
        <v>45764</v>
      </c>
      <c r="C64" s="9" t="str">
        <f t="shared" si="0"/>
        <v>Apr-2025</v>
      </c>
      <c r="D64" s="5" t="str">
        <f t="shared" si="1"/>
        <v>2025-Q2</v>
      </c>
      <c r="E64" s="5">
        <v>45780</v>
      </c>
      <c r="F64" s="9">
        <f t="shared" si="7"/>
        <v>16</v>
      </c>
      <c r="G64" s="9" t="str">
        <f t="shared" si="8"/>
        <v>NOT ACHIEVED</v>
      </c>
      <c r="H64" s="3" t="s">
        <v>642</v>
      </c>
      <c r="I64" s="3" t="s">
        <v>649</v>
      </c>
      <c r="J64" s="3" t="s">
        <v>686</v>
      </c>
      <c r="K64" s="13" t="str">
        <f t="shared" si="21"/>
        <v>Americas &gt; Brazil &gt; Rio de Janeiro</v>
      </c>
      <c r="L64" s="3" t="s">
        <v>698</v>
      </c>
      <c r="M64" s="3" t="s">
        <v>703</v>
      </c>
      <c r="N64" s="13" t="str">
        <f t="shared" si="9"/>
        <v>Marketplace</v>
      </c>
      <c r="O64" s="3" t="s">
        <v>707</v>
      </c>
      <c r="P64" s="3" t="s">
        <v>723</v>
      </c>
      <c r="Q64" s="13" t="str">
        <f t="shared" si="2"/>
        <v>Low</v>
      </c>
      <c r="R64" s="3" t="s">
        <v>1346</v>
      </c>
      <c r="S64" s="7">
        <v>168.68</v>
      </c>
      <c r="T64" s="7">
        <f t="shared" si="10"/>
        <v>193.982</v>
      </c>
      <c r="U64" s="7">
        <v>413.34</v>
      </c>
      <c r="V64" s="7">
        <f t="shared" si="11"/>
        <v>413.34</v>
      </c>
      <c r="W64" s="7">
        <f t="shared" si="12"/>
        <v>475.34099999999995</v>
      </c>
      <c r="X64" s="16">
        <v>0.186</v>
      </c>
      <c r="Y64" t="str">
        <f t="shared" si="13"/>
        <v>OK</v>
      </c>
      <c r="Z64" s="16">
        <f t="shared" si="14"/>
        <v>0.186</v>
      </c>
      <c r="AA64" s="16">
        <f t="shared" si="15"/>
        <v>0.186</v>
      </c>
      <c r="AB64" s="9">
        <v>7</v>
      </c>
      <c r="AC64" s="9">
        <f t="shared" si="16"/>
        <v>8.4</v>
      </c>
      <c r="AD64" s="9">
        <f t="shared" si="22"/>
        <v>2355.2113199999999</v>
      </c>
      <c r="AE64" s="9">
        <f t="shared" si="17"/>
        <v>4735.5371783999999</v>
      </c>
      <c r="AF64" s="9">
        <f t="shared" si="23"/>
        <v>1180.76</v>
      </c>
      <c r="AG64" s="9">
        <f t="shared" si="18"/>
        <v>1174.4513199999999</v>
      </c>
      <c r="AH64" s="9">
        <f t="shared" si="19"/>
        <v>3554.7771783999997</v>
      </c>
      <c r="AI64">
        <f t="shared" si="24"/>
        <v>0.49866069767361682</v>
      </c>
      <c r="AJ64" s="5">
        <f t="shared" si="6"/>
        <v>44928</v>
      </c>
      <c r="AK64" t="str">
        <f t="shared" si="20"/>
        <v>Jan-2023</v>
      </c>
      <c r="AL64">
        <v>0</v>
      </c>
      <c r="AM64">
        <v>0</v>
      </c>
      <c r="AN64">
        <v>0</v>
      </c>
    </row>
    <row r="65" spans="1:40" x14ac:dyDescent="0.45">
      <c r="A65" s="3" t="s">
        <v>14</v>
      </c>
      <c r="B65" s="5">
        <v>44928</v>
      </c>
      <c r="C65" s="9" t="str">
        <f t="shared" si="0"/>
        <v>Jan-2023</v>
      </c>
      <c r="D65" s="5" t="str">
        <f t="shared" si="1"/>
        <v>2023-Q1</v>
      </c>
      <c r="E65" s="5">
        <v>44931</v>
      </c>
      <c r="F65" s="9">
        <f t="shared" si="7"/>
        <v>3</v>
      </c>
      <c r="G65" s="9" t="str">
        <f t="shared" si="8"/>
        <v>ACHIEVED</v>
      </c>
      <c r="H65" s="3" t="s">
        <v>642</v>
      </c>
      <c r="I65" s="3" t="s">
        <v>647</v>
      </c>
      <c r="J65" s="3" t="s">
        <v>661</v>
      </c>
      <c r="K65" s="13" t="str">
        <f t="shared" si="21"/>
        <v>Americas &gt; Canada &gt; Toronto</v>
      </c>
      <c r="L65" s="3" t="s">
        <v>695</v>
      </c>
      <c r="M65" s="3" t="s">
        <v>704</v>
      </c>
      <c r="N65" s="13" t="str">
        <f t="shared" si="9"/>
        <v>Distributor</v>
      </c>
      <c r="O65" s="3" t="s">
        <v>711</v>
      </c>
      <c r="P65" s="3" t="s">
        <v>725</v>
      </c>
      <c r="Q65" s="13" t="str">
        <f t="shared" si="2"/>
        <v>Low</v>
      </c>
      <c r="R65" s="3" t="s">
        <v>733</v>
      </c>
      <c r="S65" s="7">
        <v>315.87</v>
      </c>
      <c r="T65" s="7">
        <f t="shared" si="10"/>
        <v>363.25049999999999</v>
      </c>
      <c r="U65" s="7">
        <v>591.67999999999995</v>
      </c>
      <c r="V65" s="7">
        <f t="shared" si="11"/>
        <v>591.67999999999995</v>
      </c>
      <c r="W65" s="7">
        <f t="shared" si="12"/>
        <v>680.4319999999999</v>
      </c>
      <c r="X65" s="16">
        <v>0</v>
      </c>
      <c r="Y65" t="str">
        <f t="shared" si="13"/>
        <v>OK</v>
      </c>
      <c r="Z65" s="16">
        <f t="shared" si="14"/>
        <v>0</v>
      </c>
      <c r="AA65" s="16">
        <f t="shared" si="15"/>
        <v>0</v>
      </c>
      <c r="AB65" s="9">
        <v>7</v>
      </c>
      <c r="AC65" s="9">
        <f t="shared" si="16"/>
        <v>8.4</v>
      </c>
      <c r="AD65" s="9">
        <f t="shared" si="22"/>
        <v>4141.7599999999993</v>
      </c>
      <c r="AE65" s="9">
        <f t="shared" si="17"/>
        <v>5715.6287999999995</v>
      </c>
      <c r="AF65" s="9">
        <f t="shared" si="23"/>
        <v>2211.09</v>
      </c>
      <c r="AG65" s="9">
        <f t="shared" si="18"/>
        <v>1930.6699999999992</v>
      </c>
      <c r="AH65" s="9">
        <f t="shared" si="19"/>
        <v>3504.5387999999994</v>
      </c>
      <c r="AI65">
        <f t="shared" si="24"/>
        <v>0.46614724175229844</v>
      </c>
      <c r="AJ65" s="5">
        <f t="shared" si="6"/>
        <v>44928</v>
      </c>
      <c r="AK65" t="str">
        <f t="shared" si="20"/>
        <v>Jan-2023</v>
      </c>
      <c r="AL65">
        <v>0</v>
      </c>
      <c r="AM65">
        <v>0</v>
      </c>
      <c r="AN65">
        <v>0</v>
      </c>
    </row>
    <row r="66" spans="1:40" x14ac:dyDescent="0.45">
      <c r="A66" s="3" t="s">
        <v>40</v>
      </c>
      <c r="B66" s="5">
        <v>44980</v>
      </c>
      <c r="C66" s="9" t="str">
        <f t="shared" ref="C66:C129" si="25">TEXT(B66,"MMM-YYYY")</f>
        <v>Feb-2023</v>
      </c>
      <c r="D66" s="5" t="str">
        <f t="shared" ref="D66:D129" si="26">YEAR(B66)&amp; "-Q"&amp;ROUNDUP(MONTH(B66)/3,0)</f>
        <v>2023-Q1</v>
      </c>
      <c r="E66" s="5">
        <v>45010</v>
      </c>
      <c r="F66" s="9">
        <f t="shared" si="7"/>
        <v>30</v>
      </c>
      <c r="G66" s="9" t="str">
        <f t="shared" si="8"/>
        <v>NOT ACHIEVED</v>
      </c>
      <c r="H66" s="3" t="s">
        <v>642</v>
      </c>
      <c r="I66" s="3" t="s">
        <v>647</v>
      </c>
      <c r="J66" s="3" t="s">
        <v>675</v>
      </c>
      <c r="K66" s="13" t="str">
        <f t="shared" si="21"/>
        <v>Americas &gt; Canada &gt; Montreal</v>
      </c>
      <c r="L66" s="3" t="s">
        <v>700</v>
      </c>
      <c r="M66" s="3" t="s">
        <v>702</v>
      </c>
      <c r="N66" s="13" t="str">
        <f t="shared" ref="N66:N129" si="27">IF(ISBLANK(M66),"Unknown",M66)</f>
        <v>Online</v>
      </c>
      <c r="O66" s="3" t="s">
        <v>720</v>
      </c>
      <c r="P66" s="3" t="s">
        <v>724</v>
      </c>
      <c r="Q66" s="13" t="str">
        <f t="shared" ref="Q66:Q129" si="28">IF(U66&lt;=$AM$2,"Low",IF(U66&lt;=$AM$3,"Medium","High"))</f>
        <v>High</v>
      </c>
      <c r="R66" s="3" t="s">
        <v>759</v>
      </c>
      <c r="S66" s="7">
        <v>1242.6600000000001</v>
      </c>
      <c r="T66" s="7">
        <f t="shared" si="10"/>
        <v>1429.059</v>
      </c>
      <c r="U66" s="7">
        <v>1794.07</v>
      </c>
      <c r="V66" s="7">
        <f t="shared" ref="V66:V129" si="29">IF(U66&lt;0,"",U66)</f>
        <v>1794.07</v>
      </c>
      <c r="W66" s="7">
        <f t="shared" si="12"/>
        <v>2063.1804999999999</v>
      </c>
      <c r="X66" s="16">
        <v>8.8999999999999996E-2</v>
      </c>
      <c r="Y66" t="str">
        <f t="shared" ref="Y66:Y129" si="30">IF(X66&gt;0.3,"Excess dis","OK")</f>
        <v>OK</v>
      </c>
      <c r="Z66" s="16">
        <f t="shared" ref="Z66:Z129" si="31">IF(X66&gt;0.3,0.3,X66)</f>
        <v>8.8999999999999996E-2</v>
      </c>
      <c r="AA66" s="16">
        <f t="shared" si="15"/>
        <v>8.8999999999999996E-2</v>
      </c>
      <c r="AB66" s="9">
        <v>16</v>
      </c>
      <c r="AC66" s="9">
        <f t="shared" si="16"/>
        <v>19.2</v>
      </c>
      <c r="AD66" s="9">
        <f t="shared" ref="AD66:AD129" si="32">V66*AB66*(1-Z66)</f>
        <v>26150.364320000001</v>
      </c>
      <c r="AE66" s="9">
        <f t="shared" si="17"/>
        <v>43138.628438399996</v>
      </c>
      <c r="AF66" s="9">
        <f t="shared" ref="AF66:AF129" si="33">S66*AB66</f>
        <v>19882.560000000001</v>
      </c>
      <c r="AG66" s="9">
        <f t="shared" ref="AG66:AG129" si="34">AD66-AF66</f>
        <v>6267.8043199999993</v>
      </c>
      <c r="AH66" s="9">
        <f t="shared" si="19"/>
        <v>23256.068438399994</v>
      </c>
      <c r="AI66">
        <f t="shared" ref="AI66:AI129" si="35">IF(AD66=0,0,AG66/AD66)</f>
        <v>0.23968325042440553</v>
      </c>
      <c r="AJ66" s="5">
        <f t="shared" ref="AJ66:AJ129" si="36">MIN(IF($I$2:$I$632=I66, $B$2:$B$632))</f>
        <v>44928</v>
      </c>
      <c r="AK66" t="str">
        <f t="shared" ref="AK66:AK129" si="37">TEXT(AJ66,"MMM-YYYY")</f>
        <v>Jan-2023</v>
      </c>
      <c r="AL66">
        <v>0</v>
      </c>
      <c r="AM66">
        <v>0</v>
      </c>
      <c r="AN66">
        <v>0</v>
      </c>
    </row>
    <row r="67" spans="1:40" x14ac:dyDescent="0.45">
      <c r="A67" s="3" t="s">
        <v>53</v>
      </c>
      <c r="B67" s="5">
        <v>45432</v>
      </c>
      <c r="C67" s="9" t="str">
        <f t="shared" si="25"/>
        <v>May-2024</v>
      </c>
      <c r="D67" s="5" t="str">
        <f t="shared" si="26"/>
        <v>2024-Q2</v>
      </c>
      <c r="E67" s="5">
        <v>45445</v>
      </c>
      <c r="F67" s="9">
        <f t="shared" ref="F67:F130" si="38">E67-B67</f>
        <v>13</v>
      </c>
      <c r="G67" s="9" t="str">
        <f t="shared" ref="G67:G130" si="39">IF(F67&lt;=7,"ACHIEVED","NOT ACHIEVED")</f>
        <v>NOT ACHIEVED</v>
      </c>
      <c r="H67" s="3" t="s">
        <v>642</v>
      </c>
      <c r="I67" s="3" t="s">
        <v>647</v>
      </c>
      <c r="J67" s="3" t="s">
        <v>682</v>
      </c>
      <c r="K67" s="13" t="str">
        <f t="shared" ref="K67:K130" si="40">H67&amp;" &gt; "&amp;I67&amp;" &gt; "&amp;J67</f>
        <v>Americas &gt; Canada &gt; Vancouver</v>
      </c>
      <c r="L67" s="3" t="s">
        <v>700</v>
      </c>
      <c r="M67" s="3" t="s">
        <v>703</v>
      </c>
      <c r="N67" s="13" t="str">
        <f t="shared" si="27"/>
        <v>Marketplace</v>
      </c>
      <c r="O67" s="3" t="s">
        <v>717</v>
      </c>
      <c r="P67" s="3" t="s">
        <v>721</v>
      </c>
      <c r="Q67" s="13" t="str">
        <f t="shared" si="28"/>
        <v>Medium</v>
      </c>
      <c r="R67" s="3" t="s">
        <v>772</v>
      </c>
      <c r="S67" s="7">
        <v>675.43</v>
      </c>
      <c r="T67" s="7">
        <f t="shared" ref="T67:T130" si="41">S67*(1+$AM$6)</f>
        <v>776.7444999999999</v>
      </c>
      <c r="U67" s="7">
        <v>996.36</v>
      </c>
      <c r="V67" s="7">
        <f t="shared" si="29"/>
        <v>996.36</v>
      </c>
      <c r="W67" s="7">
        <f t="shared" ref="W67:W130" si="42">V67*(1+$AM$6)</f>
        <v>1145.8139999999999</v>
      </c>
      <c r="X67" s="16">
        <v>0.182</v>
      </c>
      <c r="Y67" t="str">
        <f t="shared" si="30"/>
        <v>OK</v>
      </c>
      <c r="Z67" s="16">
        <f t="shared" si="31"/>
        <v>0.182</v>
      </c>
      <c r="AA67" s="16">
        <f t="shared" ref="AA67:AA130" si="43">MIN(Z67,$AM$5)</f>
        <v>0.182</v>
      </c>
      <c r="AB67" s="9">
        <v>22</v>
      </c>
      <c r="AC67" s="9">
        <f t="shared" ref="AC67:AC130" si="44">AB67*(1+$AM$7)</f>
        <v>26.4</v>
      </c>
      <c r="AD67" s="9">
        <f t="shared" si="32"/>
        <v>17930.494560000003</v>
      </c>
      <c r="AE67" s="9">
        <f t="shared" ref="AE67:AE130" si="45">W67*AC67*(1+AA67)</f>
        <v>35754.896707199994</v>
      </c>
      <c r="AF67" s="9">
        <f t="shared" si="33"/>
        <v>14859.46</v>
      </c>
      <c r="AG67" s="9">
        <f t="shared" si="34"/>
        <v>3071.0345600000037</v>
      </c>
      <c r="AH67" s="9">
        <f t="shared" ref="AH67:AH130" si="46">AE67-AF67</f>
        <v>20895.436707199995</v>
      </c>
      <c r="AI67">
        <f t="shared" si="35"/>
        <v>0.17127439233332575</v>
      </c>
      <c r="AJ67" s="5">
        <f t="shared" si="36"/>
        <v>44928</v>
      </c>
      <c r="AK67" t="str">
        <f t="shared" si="37"/>
        <v>Jan-2023</v>
      </c>
      <c r="AL67">
        <v>0</v>
      </c>
      <c r="AM67">
        <v>0</v>
      </c>
      <c r="AN67">
        <v>0</v>
      </c>
    </row>
    <row r="68" spans="1:40" x14ac:dyDescent="0.45">
      <c r="A68" s="3" t="s">
        <v>59</v>
      </c>
      <c r="B68" s="5">
        <v>45602</v>
      </c>
      <c r="C68" s="9" t="str">
        <f t="shared" si="25"/>
        <v>Nov-2024</v>
      </c>
      <c r="D68" s="5" t="str">
        <f t="shared" si="26"/>
        <v>2024-Q4</v>
      </c>
      <c r="E68" s="5">
        <v>45618</v>
      </c>
      <c r="F68" s="9">
        <f t="shared" si="38"/>
        <v>16</v>
      </c>
      <c r="G68" s="9" t="str">
        <f t="shared" si="39"/>
        <v>NOT ACHIEVED</v>
      </c>
      <c r="H68" s="3" t="s">
        <v>642</v>
      </c>
      <c r="I68" s="3" t="s">
        <v>647</v>
      </c>
      <c r="J68" s="3" t="s">
        <v>661</v>
      </c>
      <c r="K68" s="13" t="str">
        <f t="shared" si="40"/>
        <v>Americas &gt; Canada &gt; Toronto</v>
      </c>
      <c r="L68" s="3" t="s">
        <v>697</v>
      </c>
      <c r="M68" s="3" t="s">
        <v>704</v>
      </c>
      <c r="N68" s="13" t="str">
        <f t="shared" si="27"/>
        <v>Distributor</v>
      </c>
      <c r="O68" s="3" t="s">
        <v>720</v>
      </c>
      <c r="P68" s="3" t="s">
        <v>727</v>
      </c>
      <c r="Q68" s="13" t="str">
        <f t="shared" si="28"/>
        <v>High</v>
      </c>
      <c r="R68" s="3" t="s">
        <v>778</v>
      </c>
      <c r="S68" s="7">
        <v>1454.11</v>
      </c>
      <c r="T68" s="7">
        <f t="shared" si="41"/>
        <v>1672.2264999999998</v>
      </c>
      <c r="U68" s="7">
        <v>2629.75</v>
      </c>
      <c r="V68" s="7">
        <f t="shared" si="29"/>
        <v>2629.75</v>
      </c>
      <c r="W68" s="7">
        <f t="shared" si="42"/>
        <v>3024.2124999999996</v>
      </c>
      <c r="X68" s="16">
        <v>0.29199999999999998</v>
      </c>
      <c r="Y68" t="str">
        <f t="shared" si="30"/>
        <v>OK</v>
      </c>
      <c r="Z68" s="16">
        <f t="shared" si="31"/>
        <v>0.29199999999999998</v>
      </c>
      <c r="AA68" s="16">
        <f t="shared" si="43"/>
        <v>0.25</v>
      </c>
      <c r="AB68" s="9">
        <v>8</v>
      </c>
      <c r="AC68" s="9">
        <f t="shared" si="44"/>
        <v>9.6</v>
      </c>
      <c r="AD68" s="9">
        <f t="shared" si="32"/>
        <v>14894.903999999999</v>
      </c>
      <c r="AE68" s="9">
        <f t="shared" si="45"/>
        <v>36290.549999999996</v>
      </c>
      <c r="AF68" s="9">
        <f t="shared" si="33"/>
        <v>11632.88</v>
      </c>
      <c r="AG68" s="9">
        <f t="shared" si="34"/>
        <v>3262.0239999999994</v>
      </c>
      <c r="AH68" s="9">
        <f t="shared" si="46"/>
        <v>24657.67</v>
      </c>
      <c r="AI68">
        <f t="shared" si="35"/>
        <v>0.21900268709351867</v>
      </c>
      <c r="AJ68" s="5">
        <f t="shared" si="36"/>
        <v>44928</v>
      </c>
      <c r="AK68" t="str">
        <f t="shared" si="37"/>
        <v>Jan-2023</v>
      </c>
      <c r="AL68">
        <v>0</v>
      </c>
      <c r="AM68">
        <v>0</v>
      </c>
      <c r="AN68">
        <v>0</v>
      </c>
    </row>
    <row r="69" spans="1:40" x14ac:dyDescent="0.45">
      <c r="A69" s="3" t="s">
        <v>90</v>
      </c>
      <c r="B69" s="5">
        <v>45157</v>
      </c>
      <c r="C69" s="9" t="str">
        <f t="shared" si="25"/>
        <v>Aug-2023</v>
      </c>
      <c r="D69" s="5" t="str">
        <f t="shared" si="26"/>
        <v>2023-Q3</v>
      </c>
      <c r="E69" s="5">
        <v>45181</v>
      </c>
      <c r="F69" s="9">
        <f t="shared" si="38"/>
        <v>24</v>
      </c>
      <c r="G69" s="9" t="str">
        <f t="shared" si="39"/>
        <v>NOT ACHIEVED</v>
      </c>
      <c r="H69" s="3" t="s">
        <v>642</v>
      </c>
      <c r="I69" s="3" t="s">
        <v>647</v>
      </c>
      <c r="J69" s="3" t="s">
        <v>682</v>
      </c>
      <c r="K69" s="13" t="str">
        <f t="shared" si="40"/>
        <v>Americas &gt; Canada &gt; Vancouver</v>
      </c>
      <c r="L69" s="3" t="s">
        <v>700</v>
      </c>
      <c r="M69" s="3" t="s">
        <v>701</v>
      </c>
      <c r="N69" s="13" t="str">
        <f t="shared" si="27"/>
        <v>Retail</v>
      </c>
      <c r="O69" s="3" t="s">
        <v>708</v>
      </c>
      <c r="P69" s="3" t="s">
        <v>722</v>
      </c>
      <c r="Q69" s="13" t="str">
        <f t="shared" si="28"/>
        <v>Medium</v>
      </c>
      <c r="R69" s="3" t="s">
        <v>809</v>
      </c>
      <c r="S69" s="7">
        <v>1183.95</v>
      </c>
      <c r="T69" s="7">
        <f t="shared" si="41"/>
        <v>1361.5425</v>
      </c>
      <c r="U69" s="7">
        <v>1503.53</v>
      </c>
      <c r="V69" s="7">
        <f t="shared" si="29"/>
        <v>1503.53</v>
      </c>
      <c r="W69" s="7">
        <f t="shared" si="42"/>
        <v>1729.0594999999998</v>
      </c>
      <c r="X69" s="16">
        <v>0.24099999999999999</v>
      </c>
      <c r="Y69" t="str">
        <f t="shared" si="30"/>
        <v>OK</v>
      </c>
      <c r="Z69" s="16">
        <f t="shared" si="31"/>
        <v>0.24099999999999999</v>
      </c>
      <c r="AA69" s="16">
        <f t="shared" si="43"/>
        <v>0.24099999999999999</v>
      </c>
      <c r="AB69" s="9">
        <v>16</v>
      </c>
      <c r="AC69" s="9">
        <f t="shared" si="44"/>
        <v>19.2</v>
      </c>
      <c r="AD69" s="9">
        <f t="shared" si="32"/>
        <v>18258.868320000001</v>
      </c>
      <c r="AE69" s="9">
        <f t="shared" si="45"/>
        <v>41198.646518399997</v>
      </c>
      <c r="AF69" s="9">
        <f t="shared" si="33"/>
        <v>18943.2</v>
      </c>
      <c r="AG69" s="9">
        <f t="shared" si="34"/>
        <v>-684.33167999999932</v>
      </c>
      <c r="AH69" s="9">
        <f t="shared" si="46"/>
        <v>22255.446518399996</v>
      </c>
      <c r="AI69">
        <f t="shared" si="35"/>
        <v>-3.7479413729623705E-2</v>
      </c>
      <c r="AJ69" s="5">
        <f t="shared" si="36"/>
        <v>44928</v>
      </c>
      <c r="AK69" t="str">
        <f t="shared" si="37"/>
        <v>Jan-2023</v>
      </c>
      <c r="AL69">
        <v>0</v>
      </c>
      <c r="AM69">
        <v>0</v>
      </c>
      <c r="AN69">
        <v>0</v>
      </c>
    </row>
    <row r="70" spans="1:40" x14ac:dyDescent="0.45">
      <c r="A70" s="3" t="s">
        <v>112</v>
      </c>
      <c r="B70" s="5">
        <v>45631</v>
      </c>
      <c r="C70" s="9" t="str">
        <f t="shared" si="25"/>
        <v>Dec-2024</v>
      </c>
      <c r="D70" s="5" t="str">
        <f t="shared" si="26"/>
        <v>2024-Q4</v>
      </c>
      <c r="E70" s="5">
        <v>45654</v>
      </c>
      <c r="F70" s="9">
        <f t="shared" si="38"/>
        <v>23</v>
      </c>
      <c r="G70" s="9" t="str">
        <f t="shared" si="39"/>
        <v>NOT ACHIEVED</v>
      </c>
      <c r="H70" s="3" t="s">
        <v>642</v>
      </c>
      <c r="I70" s="3" t="s">
        <v>647</v>
      </c>
      <c r="J70" s="3" t="s">
        <v>682</v>
      </c>
      <c r="K70" s="13" t="str">
        <f t="shared" si="40"/>
        <v>Americas &gt; Canada &gt; Vancouver</v>
      </c>
      <c r="L70" s="3" t="s">
        <v>695</v>
      </c>
      <c r="M70" s="3" t="s">
        <v>705</v>
      </c>
      <c r="N70" s="13" t="str">
        <f t="shared" si="27"/>
        <v>Direct</v>
      </c>
      <c r="O70" s="3" t="s">
        <v>715</v>
      </c>
      <c r="P70" s="3" t="s">
        <v>727</v>
      </c>
      <c r="Q70" s="13" t="str">
        <f t="shared" si="28"/>
        <v>Low</v>
      </c>
      <c r="R70" s="3" t="s">
        <v>831</v>
      </c>
      <c r="S70" s="7">
        <v>107.03</v>
      </c>
      <c r="T70" s="7">
        <f t="shared" si="41"/>
        <v>123.08449999999999</v>
      </c>
      <c r="U70" s="7">
        <v>242.29</v>
      </c>
      <c r="V70" s="7">
        <f t="shared" si="29"/>
        <v>242.29</v>
      </c>
      <c r="W70" s="7">
        <f t="shared" si="42"/>
        <v>278.63349999999997</v>
      </c>
      <c r="X70" s="16">
        <v>0.18</v>
      </c>
      <c r="Y70" t="str">
        <f t="shared" si="30"/>
        <v>OK</v>
      </c>
      <c r="Z70" s="16">
        <f t="shared" si="31"/>
        <v>0.18</v>
      </c>
      <c r="AA70" s="16">
        <f t="shared" si="43"/>
        <v>0.18</v>
      </c>
      <c r="AB70" s="9">
        <v>30</v>
      </c>
      <c r="AC70" s="9">
        <f t="shared" si="44"/>
        <v>36</v>
      </c>
      <c r="AD70" s="9">
        <f t="shared" si="32"/>
        <v>5960.3340000000007</v>
      </c>
      <c r="AE70" s="9">
        <f t="shared" si="45"/>
        <v>11836.351079999999</v>
      </c>
      <c r="AF70" s="9">
        <f t="shared" si="33"/>
        <v>3210.9</v>
      </c>
      <c r="AG70" s="9">
        <f t="shared" si="34"/>
        <v>2749.4340000000007</v>
      </c>
      <c r="AH70" s="9">
        <f t="shared" si="46"/>
        <v>8625.4510799999989</v>
      </c>
      <c r="AI70">
        <f t="shared" si="35"/>
        <v>0.46128857879440988</v>
      </c>
      <c r="AJ70" s="5">
        <f t="shared" si="36"/>
        <v>44928</v>
      </c>
      <c r="AK70" t="str">
        <f t="shared" si="37"/>
        <v>Jan-2023</v>
      </c>
      <c r="AL70">
        <v>0</v>
      </c>
      <c r="AM70">
        <v>0</v>
      </c>
      <c r="AN70">
        <v>0</v>
      </c>
    </row>
    <row r="71" spans="1:40" x14ac:dyDescent="0.45">
      <c r="A71" s="3" t="s">
        <v>125</v>
      </c>
      <c r="B71" s="5">
        <v>45811</v>
      </c>
      <c r="C71" s="9" t="str">
        <f t="shared" si="25"/>
        <v>Jun-2025</v>
      </c>
      <c r="D71" s="5" t="str">
        <f t="shared" si="26"/>
        <v>2025-Q2</v>
      </c>
      <c r="E71" s="5">
        <v>45818</v>
      </c>
      <c r="F71" s="9">
        <f t="shared" si="38"/>
        <v>7</v>
      </c>
      <c r="G71" s="9" t="str">
        <f t="shared" si="39"/>
        <v>ACHIEVED</v>
      </c>
      <c r="H71" s="3" t="s">
        <v>642</v>
      </c>
      <c r="I71" s="3" t="s">
        <v>647</v>
      </c>
      <c r="J71" s="3" t="s">
        <v>661</v>
      </c>
      <c r="K71" s="13" t="str">
        <f t="shared" si="40"/>
        <v>Americas &gt; Canada &gt; Toronto</v>
      </c>
      <c r="L71" s="3" t="s">
        <v>698</v>
      </c>
      <c r="M71" s="3" t="s">
        <v>704</v>
      </c>
      <c r="N71" s="13" t="str">
        <f t="shared" si="27"/>
        <v>Distributor</v>
      </c>
      <c r="O71" s="3" t="s">
        <v>713</v>
      </c>
      <c r="P71" s="3" t="s">
        <v>722</v>
      </c>
      <c r="Q71" s="13" t="str">
        <f t="shared" si="28"/>
        <v>Low</v>
      </c>
      <c r="R71" s="3" t="s">
        <v>844</v>
      </c>
      <c r="S71" s="7">
        <v>75.180000000000007</v>
      </c>
      <c r="T71" s="7">
        <f t="shared" si="41"/>
        <v>86.457000000000008</v>
      </c>
      <c r="U71" s="7">
        <v>53.45</v>
      </c>
      <c r="V71" s="7">
        <f t="shared" si="29"/>
        <v>53.45</v>
      </c>
      <c r="W71" s="7">
        <f t="shared" si="42"/>
        <v>61.467500000000001</v>
      </c>
      <c r="X71" s="16">
        <v>0.157</v>
      </c>
      <c r="Y71" t="str">
        <f t="shared" si="30"/>
        <v>OK</v>
      </c>
      <c r="Z71" s="16">
        <f t="shared" si="31"/>
        <v>0.157</v>
      </c>
      <c r="AA71" s="16">
        <f t="shared" si="43"/>
        <v>0.157</v>
      </c>
      <c r="AB71" s="9">
        <v>17</v>
      </c>
      <c r="AC71" s="9">
        <f t="shared" si="44"/>
        <v>20.399999999999999</v>
      </c>
      <c r="AD71" s="9">
        <f t="shared" si="32"/>
        <v>765.99195000000009</v>
      </c>
      <c r="AE71" s="9">
        <f t="shared" si="45"/>
        <v>1450.8051089999999</v>
      </c>
      <c r="AF71" s="9">
        <f t="shared" si="33"/>
        <v>1278.0600000000002</v>
      </c>
      <c r="AG71" s="9">
        <f t="shared" si="34"/>
        <v>-512.06805000000008</v>
      </c>
      <c r="AH71" s="9">
        <f t="shared" si="46"/>
        <v>172.74510899999973</v>
      </c>
      <c r="AI71">
        <f t="shared" si="35"/>
        <v>-0.66850317421743144</v>
      </c>
      <c r="AJ71" s="5">
        <f t="shared" si="36"/>
        <v>44928</v>
      </c>
      <c r="AK71" t="str">
        <f t="shared" si="37"/>
        <v>Jan-2023</v>
      </c>
      <c r="AL71">
        <v>0</v>
      </c>
      <c r="AM71">
        <v>0</v>
      </c>
      <c r="AN71">
        <v>0</v>
      </c>
    </row>
    <row r="72" spans="1:40" x14ac:dyDescent="0.45">
      <c r="A72" s="3" t="s">
        <v>128</v>
      </c>
      <c r="B72" s="5">
        <v>45847</v>
      </c>
      <c r="C72" s="9" t="str">
        <f t="shared" si="25"/>
        <v>Jul-2025</v>
      </c>
      <c r="D72" s="5" t="str">
        <f t="shared" si="26"/>
        <v>2025-Q3</v>
      </c>
      <c r="E72" s="5">
        <v>45856</v>
      </c>
      <c r="F72" s="9">
        <f t="shared" si="38"/>
        <v>9</v>
      </c>
      <c r="G72" s="9" t="str">
        <f t="shared" si="39"/>
        <v>NOT ACHIEVED</v>
      </c>
      <c r="H72" s="3" t="s">
        <v>642</v>
      </c>
      <c r="I72" s="3" t="s">
        <v>647</v>
      </c>
      <c r="J72" s="3" t="s">
        <v>682</v>
      </c>
      <c r="K72" s="13" t="str">
        <f t="shared" si="40"/>
        <v>Americas &gt; Canada &gt; Vancouver</v>
      </c>
      <c r="L72" s="3" t="s">
        <v>696</v>
      </c>
      <c r="M72" s="3" t="s">
        <v>704</v>
      </c>
      <c r="N72" s="13" t="str">
        <f t="shared" si="27"/>
        <v>Distributor</v>
      </c>
      <c r="O72" s="3" t="s">
        <v>708</v>
      </c>
      <c r="P72" s="3" t="s">
        <v>725</v>
      </c>
      <c r="Q72" s="13" t="str">
        <f t="shared" si="28"/>
        <v>Low</v>
      </c>
      <c r="R72" s="3" t="s">
        <v>847</v>
      </c>
      <c r="S72" s="7">
        <v>57.96</v>
      </c>
      <c r="T72" s="7">
        <f t="shared" si="41"/>
        <v>66.653999999999996</v>
      </c>
      <c r="U72" s="7">
        <v>88.51</v>
      </c>
      <c r="V72" s="7">
        <f t="shared" si="29"/>
        <v>88.51</v>
      </c>
      <c r="W72" s="7">
        <f t="shared" si="42"/>
        <v>101.7865</v>
      </c>
      <c r="X72" s="16">
        <v>4.2999999999999997E-2</v>
      </c>
      <c r="Y72" t="str">
        <f t="shared" si="30"/>
        <v>OK</v>
      </c>
      <c r="Z72" s="16">
        <f t="shared" si="31"/>
        <v>4.2999999999999997E-2</v>
      </c>
      <c r="AA72" s="16">
        <f t="shared" si="43"/>
        <v>4.2999999999999997E-2</v>
      </c>
      <c r="AB72" s="9">
        <v>7</v>
      </c>
      <c r="AC72" s="9">
        <f t="shared" si="44"/>
        <v>8.4</v>
      </c>
      <c r="AD72" s="9">
        <f t="shared" si="32"/>
        <v>592.92849000000001</v>
      </c>
      <c r="AE72" s="9">
        <f t="shared" si="45"/>
        <v>891.77188379999996</v>
      </c>
      <c r="AF72" s="9">
        <f t="shared" si="33"/>
        <v>405.72</v>
      </c>
      <c r="AG72" s="9">
        <f t="shared" si="34"/>
        <v>187.20848999999998</v>
      </c>
      <c r="AH72" s="9">
        <f t="shared" si="46"/>
        <v>486.05188379999993</v>
      </c>
      <c r="AI72">
        <f t="shared" si="35"/>
        <v>0.3157353595877978</v>
      </c>
      <c r="AJ72" s="5">
        <f t="shared" si="36"/>
        <v>44928</v>
      </c>
      <c r="AK72" t="str">
        <f t="shared" si="37"/>
        <v>Jan-2023</v>
      </c>
      <c r="AL72">
        <v>0</v>
      </c>
      <c r="AM72">
        <v>0</v>
      </c>
      <c r="AN72">
        <v>0</v>
      </c>
    </row>
    <row r="73" spans="1:40" x14ac:dyDescent="0.45">
      <c r="A73" s="3" t="s">
        <v>133</v>
      </c>
      <c r="B73" s="5">
        <v>45159</v>
      </c>
      <c r="C73" s="9" t="str">
        <f t="shared" si="25"/>
        <v>Aug-2023</v>
      </c>
      <c r="D73" s="5" t="str">
        <f t="shared" si="26"/>
        <v>2023-Q3</v>
      </c>
      <c r="E73" s="5">
        <v>45173</v>
      </c>
      <c r="F73" s="9">
        <f t="shared" si="38"/>
        <v>14</v>
      </c>
      <c r="G73" s="9" t="str">
        <f t="shared" si="39"/>
        <v>NOT ACHIEVED</v>
      </c>
      <c r="H73" s="3" t="s">
        <v>642</v>
      </c>
      <c r="I73" s="3" t="s">
        <v>647</v>
      </c>
      <c r="J73" s="3" t="s">
        <v>675</v>
      </c>
      <c r="K73" s="13" t="str">
        <f t="shared" si="40"/>
        <v>Americas &gt; Canada &gt; Montreal</v>
      </c>
      <c r="L73" s="3" t="s">
        <v>696</v>
      </c>
      <c r="M73" s="3" t="s">
        <v>704</v>
      </c>
      <c r="N73" s="13" t="str">
        <f t="shared" si="27"/>
        <v>Distributor</v>
      </c>
      <c r="O73" s="3" t="s">
        <v>715</v>
      </c>
      <c r="P73" s="3" t="s">
        <v>721</v>
      </c>
      <c r="Q73" s="13" t="str">
        <f t="shared" si="28"/>
        <v>Low</v>
      </c>
      <c r="R73" s="3" t="s">
        <v>852</v>
      </c>
      <c r="S73" s="7">
        <v>178.19</v>
      </c>
      <c r="T73" s="7">
        <f t="shared" si="41"/>
        <v>204.91849999999999</v>
      </c>
      <c r="U73" s="7">
        <v>284.43</v>
      </c>
      <c r="V73" s="7">
        <f t="shared" si="29"/>
        <v>284.43</v>
      </c>
      <c r="W73" s="7">
        <f t="shared" si="42"/>
        <v>327.09449999999998</v>
      </c>
      <c r="X73" s="16">
        <v>8.8999999999999996E-2</v>
      </c>
      <c r="Y73" t="str">
        <f t="shared" si="30"/>
        <v>OK</v>
      </c>
      <c r="Z73" s="16">
        <f t="shared" si="31"/>
        <v>8.8999999999999996E-2</v>
      </c>
      <c r="AA73" s="16">
        <f t="shared" si="43"/>
        <v>8.8999999999999996E-2</v>
      </c>
      <c r="AB73" s="9">
        <v>8</v>
      </c>
      <c r="AC73" s="9">
        <f t="shared" si="44"/>
        <v>9.6</v>
      </c>
      <c r="AD73" s="9">
        <f t="shared" si="32"/>
        <v>2072.9258400000003</v>
      </c>
      <c r="AE73" s="9">
        <f t="shared" si="45"/>
        <v>3419.5767407999997</v>
      </c>
      <c r="AF73" s="9">
        <f t="shared" si="33"/>
        <v>1425.52</v>
      </c>
      <c r="AG73" s="9">
        <f t="shared" si="34"/>
        <v>647.40584000000035</v>
      </c>
      <c r="AH73" s="9">
        <f t="shared" si="46"/>
        <v>1994.0567407999997</v>
      </c>
      <c r="AI73">
        <f t="shared" si="35"/>
        <v>0.31231500302972742</v>
      </c>
      <c r="AJ73" s="5">
        <f t="shared" si="36"/>
        <v>44928</v>
      </c>
      <c r="AK73" t="str">
        <f t="shared" si="37"/>
        <v>Jan-2023</v>
      </c>
      <c r="AL73">
        <v>0</v>
      </c>
      <c r="AM73">
        <v>0</v>
      </c>
      <c r="AN73">
        <v>0</v>
      </c>
    </row>
    <row r="74" spans="1:40" x14ac:dyDescent="0.45">
      <c r="A74" s="3" t="s">
        <v>152</v>
      </c>
      <c r="B74" s="5">
        <v>45458</v>
      </c>
      <c r="C74" s="9" t="str">
        <f t="shared" si="25"/>
        <v>Jun-2024</v>
      </c>
      <c r="D74" s="5" t="str">
        <f t="shared" si="26"/>
        <v>2024-Q2</v>
      </c>
      <c r="E74" s="5">
        <v>45479</v>
      </c>
      <c r="F74" s="9">
        <f t="shared" si="38"/>
        <v>21</v>
      </c>
      <c r="G74" s="9" t="str">
        <f t="shared" si="39"/>
        <v>NOT ACHIEVED</v>
      </c>
      <c r="H74" s="3" t="s">
        <v>642</v>
      </c>
      <c r="I74" s="3" t="s">
        <v>647</v>
      </c>
      <c r="J74" s="3" t="s">
        <v>661</v>
      </c>
      <c r="K74" s="13" t="str">
        <f t="shared" si="40"/>
        <v>Americas &gt; Canada &gt; Toronto</v>
      </c>
      <c r="L74" s="3" t="s">
        <v>700</v>
      </c>
      <c r="M74" s="3" t="s">
        <v>704</v>
      </c>
      <c r="N74" s="13" t="str">
        <f t="shared" si="27"/>
        <v>Distributor</v>
      </c>
      <c r="O74" s="3" t="s">
        <v>710</v>
      </c>
      <c r="P74" s="3" t="s">
        <v>722</v>
      </c>
      <c r="Q74" s="13" t="str">
        <f t="shared" si="28"/>
        <v>Medium</v>
      </c>
      <c r="R74" s="3" t="s">
        <v>871</v>
      </c>
      <c r="S74" s="7">
        <v>817.23</v>
      </c>
      <c r="T74" s="7">
        <f t="shared" si="41"/>
        <v>939.81449999999995</v>
      </c>
      <c r="U74" s="7">
        <v>1467.17</v>
      </c>
      <c r="V74" s="7">
        <f t="shared" si="29"/>
        <v>1467.17</v>
      </c>
      <c r="W74" s="7">
        <f t="shared" si="42"/>
        <v>1687.2455</v>
      </c>
      <c r="X74" s="16">
        <v>0.245</v>
      </c>
      <c r="Y74" t="str">
        <f t="shared" si="30"/>
        <v>OK</v>
      </c>
      <c r="Z74" s="16">
        <f t="shared" si="31"/>
        <v>0.245</v>
      </c>
      <c r="AA74" s="16">
        <f t="shared" si="43"/>
        <v>0.245</v>
      </c>
      <c r="AB74" s="9">
        <v>9</v>
      </c>
      <c r="AC74" s="9">
        <f t="shared" si="44"/>
        <v>10.799999999999999</v>
      </c>
      <c r="AD74" s="9">
        <f t="shared" si="32"/>
        <v>9969.4201499999999</v>
      </c>
      <c r="AE74" s="9">
        <f t="shared" si="45"/>
        <v>22686.702992999999</v>
      </c>
      <c r="AF74" s="9">
        <f t="shared" si="33"/>
        <v>7355.07</v>
      </c>
      <c r="AG74" s="9">
        <f t="shared" si="34"/>
        <v>2614.3501500000002</v>
      </c>
      <c r="AH74" s="9">
        <f t="shared" si="46"/>
        <v>15331.632992999999</v>
      </c>
      <c r="AI74">
        <f t="shared" si="35"/>
        <v>0.26223693160328893</v>
      </c>
      <c r="AJ74" s="5">
        <f t="shared" si="36"/>
        <v>44928</v>
      </c>
      <c r="AK74" t="str">
        <f t="shared" si="37"/>
        <v>Jan-2023</v>
      </c>
      <c r="AL74">
        <v>0</v>
      </c>
      <c r="AM74">
        <v>0</v>
      </c>
      <c r="AN74">
        <v>0</v>
      </c>
    </row>
    <row r="75" spans="1:40" x14ac:dyDescent="0.45">
      <c r="A75" s="3" t="s">
        <v>158</v>
      </c>
      <c r="B75" s="5">
        <v>45558</v>
      </c>
      <c r="C75" s="9" t="str">
        <f t="shared" si="25"/>
        <v>Sep-2024</v>
      </c>
      <c r="D75" s="5" t="str">
        <f t="shared" si="26"/>
        <v>2024-Q3</v>
      </c>
      <c r="E75" s="5">
        <v>45583</v>
      </c>
      <c r="F75" s="9">
        <f t="shared" si="38"/>
        <v>25</v>
      </c>
      <c r="G75" s="9" t="str">
        <f t="shared" si="39"/>
        <v>NOT ACHIEVED</v>
      </c>
      <c r="H75" s="3" t="s">
        <v>642</v>
      </c>
      <c r="I75" s="3" t="s">
        <v>647</v>
      </c>
      <c r="J75" s="3" t="s">
        <v>682</v>
      </c>
      <c r="K75" s="13" t="str">
        <f t="shared" si="40"/>
        <v>Americas &gt; Canada &gt; Vancouver</v>
      </c>
      <c r="L75" s="3" t="s">
        <v>699</v>
      </c>
      <c r="M75" s="3" t="s">
        <v>702</v>
      </c>
      <c r="N75" s="13" t="str">
        <f t="shared" si="27"/>
        <v>Online</v>
      </c>
      <c r="O75" s="3" t="s">
        <v>719</v>
      </c>
      <c r="P75" s="3" t="s">
        <v>724</v>
      </c>
      <c r="Q75" s="13" t="str">
        <f t="shared" si="28"/>
        <v>High</v>
      </c>
      <c r="R75" s="3" t="s">
        <v>877</v>
      </c>
      <c r="S75" s="7">
        <v>1297</v>
      </c>
      <c r="T75" s="7">
        <f t="shared" si="41"/>
        <v>1491.55</v>
      </c>
      <c r="U75" s="7">
        <v>2411.52</v>
      </c>
      <c r="V75" s="7">
        <f t="shared" si="29"/>
        <v>2411.52</v>
      </c>
      <c r="W75" s="7">
        <f t="shared" si="42"/>
        <v>2773.2479999999996</v>
      </c>
      <c r="X75" s="16">
        <v>2.1000000000000001E-2</v>
      </c>
      <c r="Y75" t="str">
        <f t="shared" si="30"/>
        <v>OK</v>
      </c>
      <c r="Z75" s="16">
        <f t="shared" si="31"/>
        <v>2.1000000000000001E-2</v>
      </c>
      <c r="AA75" s="16">
        <f t="shared" si="43"/>
        <v>2.1000000000000001E-2</v>
      </c>
      <c r="AB75" s="9">
        <v>18</v>
      </c>
      <c r="AC75" s="9">
        <f t="shared" si="44"/>
        <v>21.599999999999998</v>
      </c>
      <c r="AD75" s="9">
        <f t="shared" si="32"/>
        <v>42495.805439999996</v>
      </c>
      <c r="AE75" s="9">
        <f t="shared" si="45"/>
        <v>61160.102092799978</v>
      </c>
      <c r="AF75" s="9">
        <f t="shared" si="33"/>
        <v>23346</v>
      </c>
      <c r="AG75" s="9">
        <f t="shared" si="34"/>
        <v>19149.805439999996</v>
      </c>
      <c r="AH75" s="9">
        <f t="shared" si="46"/>
        <v>37814.102092799978</v>
      </c>
      <c r="AI75">
        <f t="shared" si="35"/>
        <v>0.45062813239385913</v>
      </c>
      <c r="AJ75" s="5">
        <f t="shared" si="36"/>
        <v>44928</v>
      </c>
      <c r="AK75" t="str">
        <f t="shared" si="37"/>
        <v>Jan-2023</v>
      </c>
      <c r="AL75">
        <v>0</v>
      </c>
      <c r="AM75">
        <v>0</v>
      </c>
      <c r="AN75">
        <v>0</v>
      </c>
    </row>
    <row r="76" spans="1:40" x14ac:dyDescent="0.45">
      <c r="A76" s="3" t="s">
        <v>159</v>
      </c>
      <c r="B76" s="5">
        <v>45763</v>
      </c>
      <c r="C76" s="9" t="str">
        <f t="shared" si="25"/>
        <v>Apr-2025</v>
      </c>
      <c r="D76" s="5" t="str">
        <f t="shared" si="26"/>
        <v>2025-Q2</v>
      </c>
      <c r="E76" s="5">
        <v>45793</v>
      </c>
      <c r="F76" s="9">
        <f t="shared" si="38"/>
        <v>30</v>
      </c>
      <c r="G76" s="9" t="str">
        <f t="shared" si="39"/>
        <v>NOT ACHIEVED</v>
      </c>
      <c r="H76" s="3" t="s">
        <v>642</v>
      </c>
      <c r="I76" s="3" t="s">
        <v>647</v>
      </c>
      <c r="J76" s="3" t="s">
        <v>675</v>
      </c>
      <c r="K76" s="13" t="str">
        <f t="shared" si="40"/>
        <v>Americas &gt; Canada &gt; Montreal</v>
      </c>
      <c r="L76" s="3" t="s">
        <v>700</v>
      </c>
      <c r="M76" s="3" t="s">
        <v>704</v>
      </c>
      <c r="N76" s="13" t="str">
        <f t="shared" si="27"/>
        <v>Distributor</v>
      </c>
      <c r="O76" s="3" t="s">
        <v>717</v>
      </c>
      <c r="P76" s="3" t="s">
        <v>722</v>
      </c>
      <c r="Q76" s="13" t="str">
        <f t="shared" si="28"/>
        <v>Low</v>
      </c>
      <c r="R76" s="3" t="s">
        <v>878</v>
      </c>
      <c r="S76" s="7">
        <v>763.32</v>
      </c>
      <c r="T76" s="7">
        <f t="shared" si="41"/>
        <v>877.81799999999998</v>
      </c>
      <c r="U76" s="7">
        <v>568.29</v>
      </c>
      <c r="V76" s="7">
        <f t="shared" si="29"/>
        <v>568.29</v>
      </c>
      <c r="W76" s="7">
        <f t="shared" si="42"/>
        <v>653.53349999999989</v>
      </c>
      <c r="X76" s="16">
        <v>0.13100000000000001</v>
      </c>
      <c r="Y76" t="str">
        <f t="shared" si="30"/>
        <v>OK</v>
      </c>
      <c r="Z76" s="16">
        <f t="shared" si="31"/>
        <v>0.13100000000000001</v>
      </c>
      <c r="AA76" s="16">
        <f t="shared" si="43"/>
        <v>0.13100000000000001</v>
      </c>
      <c r="AB76" s="9">
        <v>16</v>
      </c>
      <c r="AC76" s="9">
        <f t="shared" si="44"/>
        <v>19.2</v>
      </c>
      <c r="AD76" s="9">
        <f t="shared" si="32"/>
        <v>7901.5041599999995</v>
      </c>
      <c r="AE76" s="9">
        <f t="shared" si="45"/>
        <v>14191.610659199998</v>
      </c>
      <c r="AF76" s="9">
        <f t="shared" si="33"/>
        <v>12213.12</v>
      </c>
      <c r="AG76" s="9">
        <f t="shared" si="34"/>
        <v>-4311.6158400000013</v>
      </c>
      <c r="AH76" s="9">
        <f t="shared" si="46"/>
        <v>1978.490659199997</v>
      </c>
      <c r="AI76">
        <f t="shared" si="35"/>
        <v>-0.54567026134426555</v>
      </c>
      <c r="AJ76" s="5">
        <f t="shared" si="36"/>
        <v>44928</v>
      </c>
      <c r="AK76" t="str">
        <f t="shared" si="37"/>
        <v>Jan-2023</v>
      </c>
      <c r="AL76">
        <v>0</v>
      </c>
      <c r="AM76">
        <v>0</v>
      </c>
      <c r="AN76">
        <v>0</v>
      </c>
    </row>
    <row r="77" spans="1:40" x14ac:dyDescent="0.45">
      <c r="A77" s="3" t="s">
        <v>187</v>
      </c>
      <c r="B77" s="5">
        <v>45021</v>
      </c>
      <c r="C77" s="9" t="str">
        <f t="shared" si="25"/>
        <v>Apr-2023</v>
      </c>
      <c r="D77" s="5" t="str">
        <f t="shared" si="26"/>
        <v>2023-Q2</v>
      </c>
      <c r="E77" s="5">
        <v>45032</v>
      </c>
      <c r="F77" s="9">
        <f t="shared" si="38"/>
        <v>11</v>
      </c>
      <c r="G77" s="9" t="str">
        <f t="shared" si="39"/>
        <v>NOT ACHIEVED</v>
      </c>
      <c r="H77" s="3" t="s">
        <v>642</v>
      </c>
      <c r="I77" s="3" t="s">
        <v>647</v>
      </c>
      <c r="J77" s="3" t="s">
        <v>682</v>
      </c>
      <c r="K77" s="13" t="str">
        <f t="shared" si="40"/>
        <v>Americas &gt; Canada &gt; Vancouver</v>
      </c>
      <c r="L77" s="3" t="s">
        <v>697</v>
      </c>
      <c r="M77" s="3" t="s">
        <v>702</v>
      </c>
      <c r="N77" s="13" t="str">
        <f t="shared" si="27"/>
        <v>Online</v>
      </c>
      <c r="O77" s="3" t="s">
        <v>713</v>
      </c>
      <c r="P77" s="3" t="s">
        <v>726</v>
      </c>
      <c r="Q77" s="13" t="str">
        <f t="shared" si="28"/>
        <v>Low</v>
      </c>
      <c r="R77" s="3" t="s">
        <v>906</v>
      </c>
      <c r="S77" s="7">
        <v>213.1</v>
      </c>
      <c r="T77" s="7">
        <f t="shared" si="41"/>
        <v>245.06499999999997</v>
      </c>
      <c r="U77" s="7">
        <v>501.31</v>
      </c>
      <c r="V77" s="7">
        <f t="shared" si="29"/>
        <v>501.31</v>
      </c>
      <c r="W77" s="7">
        <f t="shared" si="42"/>
        <v>576.50649999999996</v>
      </c>
      <c r="X77" s="16">
        <v>5.6000000000000001E-2</v>
      </c>
      <c r="Y77" t="str">
        <f t="shared" si="30"/>
        <v>OK</v>
      </c>
      <c r="Z77" s="16">
        <f t="shared" si="31"/>
        <v>5.6000000000000001E-2</v>
      </c>
      <c r="AA77" s="16">
        <f t="shared" si="43"/>
        <v>5.6000000000000001E-2</v>
      </c>
      <c r="AB77" s="9">
        <v>15</v>
      </c>
      <c r="AC77" s="9">
        <f t="shared" si="44"/>
        <v>18</v>
      </c>
      <c r="AD77" s="9">
        <f t="shared" si="32"/>
        <v>7098.5495999999994</v>
      </c>
      <c r="AE77" s="9">
        <f t="shared" si="45"/>
        <v>10958.235551999998</v>
      </c>
      <c r="AF77" s="9">
        <f t="shared" si="33"/>
        <v>3196.5</v>
      </c>
      <c r="AG77" s="9">
        <f t="shared" si="34"/>
        <v>3902.0495999999994</v>
      </c>
      <c r="AH77" s="9">
        <f t="shared" si="46"/>
        <v>7761.7355519999983</v>
      </c>
      <c r="AI77">
        <f t="shared" si="35"/>
        <v>0.54969674368409005</v>
      </c>
      <c r="AJ77" s="5">
        <f t="shared" si="36"/>
        <v>44928</v>
      </c>
      <c r="AK77" t="str">
        <f t="shared" si="37"/>
        <v>Jan-2023</v>
      </c>
      <c r="AL77">
        <v>0</v>
      </c>
      <c r="AM77">
        <v>0</v>
      </c>
      <c r="AN77">
        <v>0</v>
      </c>
    </row>
    <row r="78" spans="1:40" x14ac:dyDescent="0.45">
      <c r="A78" s="3" t="s">
        <v>219</v>
      </c>
      <c r="B78" s="5">
        <v>45852</v>
      </c>
      <c r="C78" s="9" t="str">
        <f t="shared" si="25"/>
        <v>Jul-2025</v>
      </c>
      <c r="D78" s="5" t="str">
        <f t="shared" si="26"/>
        <v>2025-Q3</v>
      </c>
      <c r="E78" s="5">
        <v>45873</v>
      </c>
      <c r="F78" s="9">
        <f t="shared" si="38"/>
        <v>21</v>
      </c>
      <c r="G78" s="9" t="str">
        <f t="shared" si="39"/>
        <v>NOT ACHIEVED</v>
      </c>
      <c r="H78" s="3" t="s">
        <v>642</v>
      </c>
      <c r="I78" s="3" t="s">
        <v>647</v>
      </c>
      <c r="J78" s="3" t="s">
        <v>675</v>
      </c>
      <c r="K78" s="13" t="str">
        <f t="shared" si="40"/>
        <v>Americas &gt; Canada &gt; Montreal</v>
      </c>
      <c r="L78" s="3" t="s">
        <v>698</v>
      </c>
      <c r="M78" s="3" t="s">
        <v>702</v>
      </c>
      <c r="N78" s="13" t="str">
        <f t="shared" si="27"/>
        <v>Online</v>
      </c>
      <c r="O78" s="3" t="s">
        <v>716</v>
      </c>
      <c r="P78" s="3" t="s">
        <v>726</v>
      </c>
      <c r="Q78" s="13" t="str">
        <f t="shared" si="28"/>
        <v>Low</v>
      </c>
      <c r="R78" s="3" t="s">
        <v>938</v>
      </c>
      <c r="S78" s="7">
        <v>90.3</v>
      </c>
      <c r="T78" s="7">
        <f t="shared" si="41"/>
        <v>103.84499999999998</v>
      </c>
      <c r="U78" s="7">
        <v>131.76</v>
      </c>
      <c r="V78" s="7">
        <f t="shared" si="29"/>
        <v>131.76</v>
      </c>
      <c r="W78" s="7">
        <f t="shared" si="42"/>
        <v>151.52399999999997</v>
      </c>
      <c r="X78" s="16">
        <v>0.10199999999999999</v>
      </c>
      <c r="Y78" t="str">
        <f t="shared" si="30"/>
        <v>OK</v>
      </c>
      <c r="Z78" s="16">
        <f t="shared" si="31"/>
        <v>0.10199999999999999</v>
      </c>
      <c r="AA78" s="16">
        <f t="shared" si="43"/>
        <v>0.10199999999999999</v>
      </c>
      <c r="AB78" s="9">
        <v>15</v>
      </c>
      <c r="AC78" s="9">
        <f t="shared" si="44"/>
        <v>18</v>
      </c>
      <c r="AD78" s="9">
        <f t="shared" si="32"/>
        <v>1774.8072</v>
      </c>
      <c r="AE78" s="9">
        <f t="shared" si="45"/>
        <v>3005.6300639999995</v>
      </c>
      <c r="AF78" s="9">
        <f t="shared" si="33"/>
        <v>1354.5</v>
      </c>
      <c r="AG78" s="9">
        <f t="shared" si="34"/>
        <v>420.30719999999997</v>
      </c>
      <c r="AH78" s="9">
        <f t="shared" si="46"/>
        <v>1651.1300639999995</v>
      </c>
      <c r="AI78">
        <f t="shared" si="35"/>
        <v>0.23681851189244668</v>
      </c>
      <c r="AJ78" s="5">
        <f t="shared" si="36"/>
        <v>44928</v>
      </c>
      <c r="AK78" t="str">
        <f t="shared" si="37"/>
        <v>Jan-2023</v>
      </c>
      <c r="AL78">
        <v>0</v>
      </c>
      <c r="AM78">
        <v>0</v>
      </c>
      <c r="AN78">
        <v>0</v>
      </c>
    </row>
    <row r="79" spans="1:40" x14ac:dyDescent="0.45">
      <c r="A79" s="3" t="s">
        <v>245</v>
      </c>
      <c r="B79" s="5">
        <v>45855</v>
      </c>
      <c r="C79" s="9" t="str">
        <f t="shared" si="25"/>
        <v>Jul-2025</v>
      </c>
      <c r="D79" s="5" t="str">
        <f t="shared" si="26"/>
        <v>2025-Q3</v>
      </c>
      <c r="E79" s="5">
        <v>45861</v>
      </c>
      <c r="F79" s="9">
        <f t="shared" si="38"/>
        <v>6</v>
      </c>
      <c r="G79" s="9" t="str">
        <f t="shared" si="39"/>
        <v>ACHIEVED</v>
      </c>
      <c r="H79" s="3" t="s">
        <v>642</v>
      </c>
      <c r="I79" s="3" t="s">
        <v>647</v>
      </c>
      <c r="J79" s="3" t="s">
        <v>682</v>
      </c>
      <c r="K79" s="13" t="str">
        <f t="shared" si="40"/>
        <v>Americas &gt; Canada &gt; Vancouver</v>
      </c>
      <c r="L79" s="3" t="s">
        <v>698</v>
      </c>
      <c r="M79" s="3" t="s">
        <v>702</v>
      </c>
      <c r="N79" s="13" t="str">
        <f t="shared" si="27"/>
        <v>Online</v>
      </c>
      <c r="O79" s="3" t="s">
        <v>716</v>
      </c>
      <c r="P79" s="3" t="s">
        <v>721</v>
      </c>
      <c r="Q79" s="13" t="str">
        <f t="shared" si="28"/>
        <v>High</v>
      </c>
      <c r="R79" s="3" t="s">
        <v>964</v>
      </c>
      <c r="S79" s="7">
        <v>1364.89</v>
      </c>
      <c r="T79" s="7">
        <f t="shared" si="41"/>
        <v>1569.6234999999999</v>
      </c>
      <c r="U79" s="7">
        <v>2757.54</v>
      </c>
      <c r="V79" s="7">
        <f t="shared" si="29"/>
        <v>2757.54</v>
      </c>
      <c r="W79" s="7">
        <f t="shared" si="42"/>
        <v>3171.1709999999998</v>
      </c>
      <c r="X79" s="16">
        <v>0.17199999999999999</v>
      </c>
      <c r="Y79" t="str">
        <f t="shared" si="30"/>
        <v>OK</v>
      </c>
      <c r="Z79" s="16">
        <f t="shared" si="31"/>
        <v>0.17199999999999999</v>
      </c>
      <c r="AA79" s="16">
        <f t="shared" si="43"/>
        <v>0.17199999999999999</v>
      </c>
      <c r="AB79" s="9">
        <v>61</v>
      </c>
      <c r="AC79" s="9">
        <f t="shared" si="44"/>
        <v>73.2</v>
      </c>
      <c r="AD79" s="9">
        <f t="shared" si="32"/>
        <v>139277.83032000001</v>
      </c>
      <c r="AE79" s="9">
        <f t="shared" si="45"/>
        <v>272056.02855839999</v>
      </c>
      <c r="AF79" s="9">
        <f t="shared" si="33"/>
        <v>83258.290000000008</v>
      </c>
      <c r="AG79" s="9">
        <f t="shared" si="34"/>
        <v>56019.54032</v>
      </c>
      <c r="AH79" s="9">
        <f t="shared" si="46"/>
        <v>188797.73855839999</v>
      </c>
      <c r="AI79">
        <f t="shared" si="35"/>
        <v>0.4022143379983118</v>
      </c>
      <c r="AJ79" s="5">
        <f t="shared" si="36"/>
        <v>44928</v>
      </c>
      <c r="AK79" t="str">
        <f t="shared" si="37"/>
        <v>Jan-2023</v>
      </c>
      <c r="AL79">
        <v>0</v>
      </c>
      <c r="AM79">
        <v>0</v>
      </c>
      <c r="AN79">
        <v>0</v>
      </c>
    </row>
    <row r="80" spans="1:40" x14ac:dyDescent="0.45">
      <c r="A80" s="3" t="s">
        <v>254</v>
      </c>
      <c r="B80" s="5">
        <v>45338</v>
      </c>
      <c r="C80" s="9" t="str">
        <f t="shared" si="25"/>
        <v>Feb-2024</v>
      </c>
      <c r="D80" s="5" t="str">
        <f t="shared" si="26"/>
        <v>2024-Q1</v>
      </c>
      <c r="E80" s="5">
        <v>45355</v>
      </c>
      <c r="F80" s="9">
        <f t="shared" si="38"/>
        <v>17</v>
      </c>
      <c r="G80" s="9" t="str">
        <f t="shared" si="39"/>
        <v>NOT ACHIEVED</v>
      </c>
      <c r="H80" s="3" t="s">
        <v>642</v>
      </c>
      <c r="I80" s="3" t="s">
        <v>647</v>
      </c>
      <c r="J80" s="3" t="s">
        <v>675</v>
      </c>
      <c r="K80" s="13" t="str">
        <f t="shared" si="40"/>
        <v>Americas &gt; Canada &gt; Montreal</v>
      </c>
      <c r="L80" s="3" t="s">
        <v>697</v>
      </c>
      <c r="M80" s="3" t="s">
        <v>701</v>
      </c>
      <c r="N80" s="13" t="str">
        <f t="shared" si="27"/>
        <v>Retail</v>
      </c>
      <c r="O80" s="3" t="s">
        <v>720</v>
      </c>
      <c r="P80" s="3" t="s">
        <v>725</v>
      </c>
      <c r="Q80" s="13" t="str">
        <f t="shared" si="28"/>
        <v>High</v>
      </c>
      <c r="R80" s="3" t="s">
        <v>973</v>
      </c>
      <c r="S80" s="7">
        <v>1350.98</v>
      </c>
      <c r="T80" s="7">
        <f t="shared" si="41"/>
        <v>1553.627</v>
      </c>
      <c r="U80" s="7">
        <v>2210.4</v>
      </c>
      <c r="V80" s="7">
        <f t="shared" si="29"/>
        <v>2210.4</v>
      </c>
      <c r="W80" s="7">
        <f t="shared" si="42"/>
        <v>2541.96</v>
      </c>
      <c r="X80" s="16">
        <v>0.26300000000000001</v>
      </c>
      <c r="Y80" t="str">
        <f t="shared" si="30"/>
        <v>OK</v>
      </c>
      <c r="Z80" s="16">
        <f t="shared" si="31"/>
        <v>0.26300000000000001</v>
      </c>
      <c r="AA80" s="16">
        <f t="shared" si="43"/>
        <v>0.25</v>
      </c>
      <c r="AB80" s="9">
        <v>6</v>
      </c>
      <c r="AC80" s="9">
        <f t="shared" si="44"/>
        <v>7.1999999999999993</v>
      </c>
      <c r="AD80" s="9">
        <f t="shared" si="32"/>
        <v>9774.3888000000006</v>
      </c>
      <c r="AE80" s="9">
        <f t="shared" si="45"/>
        <v>22877.639999999996</v>
      </c>
      <c r="AF80" s="9">
        <f t="shared" si="33"/>
        <v>8105.88</v>
      </c>
      <c r="AG80" s="9">
        <f t="shared" si="34"/>
        <v>1668.5088000000005</v>
      </c>
      <c r="AH80" s="9">
        <f t="shared" si="46"/>
        <v>14771.759999999995</v>
      </c>
      <c r="AI80">
        <f t="shared" si="35"/>
        <v>0.17070211080615091</v>
      </c>
      <c r="AJ80" s="5">
        <f t="shared" si="36"/>
        <v>44928</v>
      </c>
      <c r="AK80" t="str">
        <f t="shared" si="37"/>
        <v>Jan-2023</v>
      </c>
      <c r="AL80">
        <v>0</v>
      </c>
      <c r="AM80">
        <v>0</v>
      </c>
      <c r="AN80">
        <v>0</v>
      </c>
    </row>
    <row r="81" spans="1:40" x14ac:dyDescent="0.45">
      <c r="A81" s="3" t="s">
        <v>259</v>
      </c>
      <c r="B81" s="5">
        <v>44989</v>
      </c>
      <c r="C81" s="9" t="str">
        <f t="shared" si="25"/>
        <v>Mar-2023</v>
      </c>
      <c r="D81" s="5" t="str">
        <f t="shared" si="26"/>
        <v>2023-Q1</v>
      </c>
      <c r="E81" s="5">
        <v>45009</v>
      </c>
      <c r="F81" s="9">
        <f t="shared" si="38"/>
        <v>20</v>
      </c>
      <c r="G81" s="9" t="str">
        <f t="shared" si="39"/>
        <v>NOT ACHIEVED</v>
      </c>
      <c r="H81" s="3" t="s">
        <v>642</v>
      </c>
      <c r="I81" s="3" t="s">
        <v>647</v>
      </c>
      <c r="J81" s="3" t="s">
        <v>675</v>
      </c>
      <c r="K81" s="13" t="str">
        <f t="shared" si="40"/>
        <v>Americas &gt; Canada &gt; Montreal</v>
      </c>
      <c r="L81" s="3" t="s">
        <v>698</v>
      </c>
      <c r="M81" s="3" t="s">
        <v>704</v>
      </c>
      <c r="N81" s="13" t="str">
        <f t="shared" si="27"/>
        <v>Distributor</v>
      </c>
      <c r="O81" s="3" t="s">
        <v>708</v>
      </c>
      <c r="P81" s="3" t="s">
        <v>725</v>
      </c>
      <c r="Q81" s="13" t="str">
        <f t="shared" si="28"/>
        <v>Medium</v>
      </c>
      <c r="R81" s="3" t="s">
        <v>978</v>
      </c>
      <c r="S81" s="7">
        <v>481.71</v>
      </c>
      <c r="T81" s="7">
        <f t="shared" si="41"/>
        <v>553.96649999999988</v>
      </c>
      <c r="U81" s="7">
        <v>912.45</v>
      </c>
      <c r="V81" s="7">
        <f t="shared" si="29"/>
        <v>912.45</v>
      </c>
      <c r="W81" s="7">
        <f t="shared" si="42"/>
        <v>1049.3174999999999</v>
      </c>
      <c r="X81" s="16">
        <v>0.20300000000000001</v>
      </c>
      <c r="Y81" t="str">
        <f t="shared" si="30"/>
        <v>OK</v>
      </c>
      <c r="Z81" s="16">
        <f t="shared" si="31"/>
        <v>0.20300000000000001</v>
      </c>
      <c r="AA81" s="16">
        <f t="shared" si="43"/>
        <v>0.20300000000000001</v>
      </c>
      <c r="AB81" s="9">
        <v>24</v>
      </c>
      <c r="AC81" s="9">
        <f t="shared" si="44"/>
        <v>28.799999999999997</v>
      </c>
      <c r="AD81" s="9">
        <f t="shared" si="32"/>
        <v>17453.3436</v>
      </c>
      <c r="AE81" s="9">
        <f t="shared" si="45"/>
        <v>36355.073831999995</v>
      </c>
      <c r="AF81" s="9">
        <f t="shared" si="33"/>
        <v>11561.039999999999</v>
      </c>
      <c r="AG81" s="9">
        <f t="shared" si="34"/>
        <v>5892.3036000000011</v>
      </c>
      <c r="AH81" s="9">
        <f t="shared" si="46"/>
        <v>24794.033831999994</v>
      </c>
      <c r="AI81">
        <f t="shared" si="35"/>
        <v>0.33760313983619739</v>
      </c>
      <c r="AJ81" s="5">
        <f t="shared" si="36"/>
        <v>44928</v>
      </c>
      <c r="AK81" t="str">
        <f t="shared" si="37"/>
        <v>Jan-2023</v>
      </c>
      <c r="AL81">
        <v>0</v>
      </c>
      <c r="AM81">
        <v>0</v>
      </c>
      <c r="AN81">
        <v>0</v>
      </c>
    </row>
    <row r="82" spans="1:40" x14ac:dyDescent="0.45">
      <c r="A82" s="3" t="s">
        <v>260</v>
      </c>
      <c r="B82" s="5">
        <v>45366</v>
      </c>
      <c r="C82" s="9" t="str">
        <f t="shared" si="25"/>
        <v>Mar-2024</v>
      </c>
      <c r="D82" s="5" t="str">
        <f t="shared" si="26"/>
        <v>2024-Q1</v>
      </c>
      <c r="E82" s="5">
        <v>45391</v>
      </c>
      <c r="F82" s="9">
        <f t="shared" si="38"/>
        <v>25</v>
      </c>
      <c r="G82" s="9" t="str">
        <f t="shared" si="39"/>
        <v>NOT ACHIEVED</v>
      </c>
      <c r="H82" s="3" t="s">
        <v>642</v>
      </c>
      <c r="I82" s="3" t="s">
        <v>647</v>
      </c>
      <c r="J82" s="3" t="s">
        <v>682</v>
      </c>
      <c r="K82" s="13" t="str">
        <f t="shared" si="40"/>
        <v>Americas &gt; Canada &gt; Vancouver</v>
      </c>
      <c r="L82" s="3" t="s">
        <v>698</v>
      </c>
      <c r="M82" s="3" t="s">
        <v>702</v>
      </c>
      <c r="N82" s="13" t="str">
        <f t="shared" si="27"/>
        <v>Online</v>
      </c>
      <c r="O82" s="3" t="s">
        <v>715</v>
      </c>
      <c r="P82" s="3" t="s">
        <v>726</v>
      </c>
      <c r="Q82" s="13" t="str">
        <f t="shared" si="28"/>
        <v>Medium</v>
      </c>
      <c r="R82" s="3" t="s">
        <v>979</v>
      </c>
      <c r="S82" s="7">
        <v>648.64</v>
      </c>
      <c r="T82" s="7">
        <f t="shared" si="41"/>
        <v>745.93599999999992</v>
      </c>
      <c r="U82" s="7">
        <v>815.19</v>
      </c>
      <c r="V82" s="7">
        <f t="shared" si="29"/>
        <v>815.19</v>
      </c>
      <c r="W82" s="7">
        <f t="shared" si="42"/>
        <v>937.46849999999995</v>
      </c>
      <c r="X82" s="16">
        <v>0.22500000000000001</v>
      </c>
      <c r="Y82" t="str">
        <f t="shared" si="30"/>
        <v>OK</v>
      </c>
      <c r="Z82" s="16">
        <f t="shared" si="31"/>
        <v>0.22500000000000001</v>
      </c>
      <c r="AA82" s="16">
        <f t="shared" si="43"/>
        <v>0.22500000000000001</v>
      </c>
      <c r="AB82" s="9">
        <v>28</v>
      </c>
      <c r="AC82" s="9">
        <f t="shared" si="44"/>
        <v>33.6</v>
      </c>
      <c r="AD82" s="9">
        <f t="shared" si="32"/>
        <v>17689.623</v>
      </c>
      <c r="AE82" s="9">
        <f t="shared" si="45"/>
        <v>38586.203460000004</v>
      </c>
      <c r="AF82" s="9">
        <f t="shared" si="33"/>
        <v>18161.919999999998</v>
      </c>
      <c r="AG82" s="9">
        <f t="shared" si="34"/>
        <v>-472.29699999999866</v>
      </c>
      <c r="AH82" s="9">
        <f t="shared" si="46"/>
        <v>20424.283460000006</v>
      </c>
      <c r="AI82">
        <f t="shared" si="35"/>
        <v>-2.6699099240272032E-2</v>
      </c>
      <c r="AJ82" s="5">
        <f t="shared" si="36"/>
        <v>44928</v>
      </c>
      <c r="AK82" t="str">
        <f t="shared" si="37"/>
        <v>Jan-2023</v>
      </c>
      <c r="AL82">
        <v>0</v>
      </c>
      <c r="AM82">
        <v>0</v>
      </c>
      <c r="AN82">
        <v>0</v>
      </c>
    </row>
    <row r="83" spans="1:40" x14ac:dyDescent="0.45">
      <c r="A83" s="3" t="s">
        <v>273</v>
      </c>
      <c r="B83" s="5">
        <v>45902</v>
      </c>
      <c r="C83" s="9" t="str">
        <f t="shared" si="25"/>
        <v>Sep-2025</v>
      </c>
      <c r="D83" s="5" t="str">
        <f t="shared" si="26"/>
        <v>2025-Q3</v>
      </c>
      <c r="E83" s="5">
        <v>45911</v>
      </c>
      <c r="F83" s="9">
        <f t="shared" si="38"/>
        <v>9</v>
      </c>
      <c r="G83" s="9" t="str">
        <f t="shared" si="39"/>
        <v>NOT ACHIEVED</v>
      </c>
      <c r="H83" s="3" t="s">
        <v>642</v>
      </c>
      <c r="I83" s="3" t="s">
        <v>647</v>
      </c>
      <c r="J83" s="3" t="s">
        <v>661</v>
      </c>
      <c r="K83" s="13" t="str">
        <f t="shared" si="40"/>
        <v>Americas &gt; Canada &gt; Toronto</v>
      </c>
      <c r="L83" s="3" t="s">
        <v>695</v>
      </c>
      <c r="M83" s="3" t="s">
        <v>704</v>
      </c>
      <c r="N83" s="13" t="str">
        <f t="shared" si="27"/>
        <v>Distributor</v>
      </c>
      <c r="O83" s="3" t="s">
        <v>718</v>
      </c>
      <c r="P83" s="3" t="s">
        <v>722</v>
      </c>
      <c r="Q83" s="13" t="str">
        <f t="shared" si="28"/>
        <v>Medium</v>
      </c>
      <c r="R83" s="3" t="s">
        <v>992</v>
      </c>
      <c r="S83" s="7">
        <v>1207.6300000000001</v>
      </c>
      <c r="T83" s="7">
        <f t="shared" si="41"/>
        <v>1388.7745</v>
      </c>
      <c r="U83" s="7">
        <v>921.68</v>
      </c>
      <c r="V83" s="7">
        <f t="shared" si="29"/>
        <v>921.68</v>
      </c>
      <c r="W83" s="7">
        <f t="shared" si="42"/>
        <v>1059.9319999999998</v>
      </c>
      <c r="X83" s="16">
        <v>0.19600000000000001</v>
      </c>
      <c r="Y83" t="str">
        <f t="shared" si="30"/>
        <v>OK</v>
      </c>
      <c r="Z83" s="16">
        <f t="shared" si="31"/>
        <v>0.19600000000000001</v>
      </c>
      <c r="AA83" s="16">
        <f t="shared" si="43"/>
        <v>0.19600000000000001</v>
      </c>
      <c r="AB83" s="9">
        <v>17</v>
      </c>
      <c r="AC83" s="9">
        <f t="shared" si="44"/>
        <v>20.399999999999999</v>
      </c>
      <c r="AD83" s="9">
        <f t="shared" si="32"/>
        <v>12597.52224</v>
      </c>
      <c r="AE83" s="9">
        <f t="shared" si="45"/>
        <v>25860.644908799994</v>
      </c>
      <c r="AF83" s="9">
        <f t="shared" si="33"/>
        <v>20529.710000000003</v>
      </c>
      <c r="AG83" s="9">
        <f t="shared" si="34"/>
        <v>-7932.1877600000025</v>
      </c>
      <c r="AH83" s="9">
        <f t="shared" si="46"/>
        <v>5330.9349087999908</v>
      </c>
      <c r="AI83">
        <f t="shared" si="35"/>
        <v>-0.62966253274897988</v>
      </c>
      <c r="AJ83" s="5">
        <f t="shared" si="36"/>
        <v>44928</v>
      </c>
      <c r="AK83" t="str">
        <f t="shared" si="37"/>
        <v>Jan-2023</v>
      </c>
      <c r="AL83">
        <v>0</v>
      </c>
      <c r="AM83">
        <v>0</v>
      </c>
      <c r="AN83">
        <v>0</v>
      </c>
    </row>
    <row r="84" spans="1:40" x14ac:dyDescent="0.45">
      <c r="A84" s="3" t="s">
        <v>281</v>
      </c>
      <c r="B84" s="5">
        <v>45131</v>
      </c>
      <c r="C84" s="9" t="str">
        <f t="shared" si="25"/>
        <v>Jul-2023</v>
      </c>
      <c r="D84" s="5" t="str">
        <f t="shared" si="26"/>
        <v>2023-Q3</v>
      </c>
      <c r="E84" s="5">
        <v>45151</v>
      </c>
      <c r="F84" s="9">
        <f t="shared" si="38"/>
        <v>20</v>
      </c>
      <c r="G84" s="9" t="str">
        <f t="shared" si="39"/>
        <v>NOT ACHIEVED</v>
      </c>
      <c r="H84" s="3" t="s">
        <v>642</v>
      </c>
      <c r="I84" s="3" t="s">
        <v>647</v>
      </c>
      <c r="J84" s="3" t="s">
        <v>675</v>
      </c>
      <c r="K84" s="13" t="str">
        <f t="shared" si="40"/>
        <v>Americas &gt; Canada &gt; Montreal</v>
      </c>
      <c r="L84" s="3" t="s">
        <v>696</v>
      </c>
      <c r="M84" s="3" t="s">
        <v>705</v>
      </c>
      <c r="N84" s="13" t="str">
        <f t="shared" si="27"/>
        <v>Direct</v>
      </c>
      <c r="O84" s="3" t="s">
        <v>706</v>
      </c>
      <c r="P84" s="3" t="s">
        <v>726</v>
      </c>
      <c r="Q84" s="13" t="str">
        <f t="shared" si="28"/>
        <v>High</v>
      </c>
      <c r="R84" s="3" t="s">
        <v>1000</v>
      </c>
      <c r="S84" s="7">
        <v>1082.3800000000001</v>
      </c>
      <c r="T84" s="7">
        <f t="shared" si="41"/>
        <v>1244.7370000000001</v>
      </c>
      <c r="U84" s="7">
        <v>1766.55</v>
      </c>
      <c r="V84" s="7">
        <f t="shared" si="29"/>
        <v>1766.55</v>
      </c>
      <c r="W84" s="7">
        <f t="shared" si="42"/>
        <v>2031.5324999999998</v>
      </c>
      <c r="X84" s="16">
        <v>0.16400000000000001</v>
      </c>
      <c r="Y84" t="str">
        <f t="shared" si="30"/>
        <v>OK</v>
      </c>
      <c r="Z84" s="16">
        <f t="shared" si="31"/>
        <v>0.16400000000000001</v>
      </c>
      <c r="AA84" s="16">
        <f t="shared" si="43"/>
        <v>0.16400000000000001</v>
      </c>
      <c r="AB84" s="9">
        <v>20</v>
      </c>
      <c r="AC84" s="9">
        <f t="shared" si="44"/>
        <v>24</v>
      </c>
      <c r="AD84" s="9">
        <f t="shared" si="32"/>
        <v>29536.716</v>
      </c>
      <c r="AE84" s="9">
        <f t="shared" si="45"/>
        <v>56752.891919999995</v>
      </c>
      <c r="AF84" s="9">
        <f t="shared" si="33"/>
        <v>21647.600000000002</v>
      </c>
      <c r="AG84" s="9">
        <f t="shared" si="34"/>
        <v>7889.1159999999982</v>
      </c>
      <c r="AH84" s="9">
        <f t="shared" si="46"/>
        <v>35105.291919999989</v>
      </c>
      <c r="AI84">
        <f t="shared" si="35"/>
        <v>0.26709523157550752</v>
      </c>
      <c r="AJ84" s="5">
        <f t="shared" si="36"/>
        <v>44928</v>
      </c>
      <c r="AK84" t="str">
        <f t="shared" si="37"/>
        <v>Jan-2023</v>
      </c>
      <c r="AL84">
        <v>0</v>
      </c>
      <c r="AM84">
        <v>0</v>
      </c>
      <c r="AN84">
        <v>0</v>
      </c>
    </row>
    <row r="85" spans="1:40" x14ac:dyDescent="0.45">
      <c r="A85" s="3" t="s">
        <v>304</v>
      </c>
      <c r="B85" s="5">
        <v>45353</v>
      </c>
      <c r="C85" s="9" t="str">
        <f t="shared" si="25"/>
        <v>Mar-2024</v>
      </c>
      <c r="D85" s="5" t="str">
        <f t="shared" si="26"/>
        <v>2024-Q1</v>
      </c>
      <c r="E85" s="5">
        <v>45367</v>
      </c>
      <c r="F85" s="9">
        <f t="shared" si="38"/>
        <v>14</v>
      </c>
      <c r="G85" s="9" t="str">
        <f t="shared" si="39"/>
        <v>NOT ACHIEVED</v>
      </c>
      <c r="H85" s="3" t="s">
        <v>642</v>
      </c>
      <c r="I85" s="3" t="s">
        <v>647</v>
      </c>
      <c r="J85" s="3" t="s">
        <v>682</v>
      </c>
      <c r="K85" s="13" t="str">
        <f t="shared" si="40"/>
        <v>Americas &gt; Canada &gt; Vancouver</v>
      </c>
      <c r="L85" s="3" t="s">
        <v>697</v>
      </c>
      <c r="M85" s="3" t="s">
        <v>705</v>
      </c>
      <c r="N85" s="13" t="str">
        <f t="shared" si="27"/>
        <v>Direct</v>
      </c>
      <c r="O85" s="3" t="s">
        <v>713</v>
      </c>
      <c r="P85" s="3" t="s">
        <v>722</v>
      </c>
      <c r="Q85" s="13" t="str">
        <f t="shared" si="28"/>
        <v>Low</v>
      </c>
      <c r="R85" s="3" t="s">
        <v>1023</v>
      </c>
      <c r="S85" s="7">
        <v>248.24</v>
      </c>
      <c r="T85" s="7">
        <f t="shared" si="41"/>
        <v>285.476</v>
      </c>
      <c r="U85" s="7">
        <v>464.05</v>
      </c>
      <c r="V85" s="7">
        <f t="shared" si="29"/>
        <v>464.05</v>
      </c>
      <c r="W85" s="7">
        <f t="shared" si="42"/>
        <v>533.65750000000003</v>
      </c>
      <c r="X85" s="16">
        <v>0.16900000000000001</v>
      </c>
      <c r="Y85" t="str">
        <f t="shared" si="30"/>
        <v>OK</v>
      </c>
      <c r="Z85" s="16">
        <f t="shared" si="31"/>
        <v>0.16900000000000001</v>
      </c>
      <c r="AA85" s="16">
        <f t="shared" si="43"/>
        <v>0.16900000000000001</v>
      </c>
      <c r="AB85" s="9">
        <v>11</v>
      </c>
      <c r="AC85" s="9">
        <f t="shared" si="44"/>
        <v>13.2</v>
      </c>
      <c r="AD85" s="9">
        <f t="shared" si="32"/>
        <v>4241.88105</v>
      </c>
      <c r="AE85" s="9">
        <f t="shared" si="45"/>
        <v>8234.762150999999</v>
      </c>
      <c r="AF85" s="9">
        <f t="shared" si="33"/>
        <v>2730.6400000000003</v>
      </c>
      <c r="AG85" s="9">
        <f t="shared" si="34"/>
        <v>1511.2410499999996</v>
      </c>
      <c r="AH85" s="9">
        <f t="shared" si="46"/>
        <v>5504.1221509999987</v>
      </c>
      <c r="AI85">
        <f t="shared" si="35"/>
        <v>0.3562667203975462</v>
      </c>
      <c r="AJ85" s="5">
        <f t="shared" si="36"/>
        <v>44928</v>
      </c>
      <c r="AK85" t="str">
        <f t="shared" si="37"/>
        <v>Jan-2023</v>
      </c>
      <c r="AL85">
        <v>0</v>
      </c>
      <c r="AM85">
        <v>0</v>
      </c>
      <c r="AN85">
        <v>0</v>
      </c>
    </row>
    <row r="86" spans="1:40" x14ac:dyDescent="0.45">
      <c r="A86" s="3" t="s">
        <v>308</v>
      </c>
      <c r="B86" s="5">
        <v>45787</v>
      </c>
      <c r="C86" s="9" t="str">
        <f t="shared" si="25"/>
        <v>May-2025</v>
      </c>
      <c r="D86" s="5" t="str">
        <f t="shared" si="26"/>
        <v>2025-Q2</v>
      </c>
      <c r="E86" s="5">
        <v>45804</v>
      </c>
      <c r="F86" s="9">
        <f t="shared" si="38"/>
        <v>17</v>
      </c>
      <c r="G86" s="9" t="str">
        <f t="shared" si="39"/>
        <v>NOT ACHIEVED</v>
      </c>
      <c r="H86" s="3" t="s">
        <v>642</v>
      </c>
      <c r="I86" s="3" t="s">
        <v>647</v>
      </c>
      <c r="J86" s="3" t="s">
        <v>682</v>
      </c>
      <c r="K86" s="13" t="str">
        <f t="shared" si="40"/>
        <v>Americas &gt; Canada &gt; Vancouver</v>
      </c>
      <c r="L86" s="3" t="s">
        <v>696</v>
      </c>
      <c r="M86" s="3" t="s">
        <v>705</v>
      </c>
      <c r="N86" s="13" t="str">
        <f t="shared" si="27"/>
        <v>Direct</v>
      </c>
      <c r="O86" s="3" t="s">
        <v>706</v>
      </c>
      <c r="P86" s="3" t="s">
        <v>721</v>
      </c>
      <c r="Q86" s="13" t="str">
        <f t="shared" si="28"/>
        <v>Medium</v>
      </c>
      <c r="R86" s="3" t="s">
        <v>1027</v>
      </c>
      <c r="S86" s="7">
        <v>862.89</v>
      </c>
      <c r="T86" s="7">
        <f t="shared" si="41"/>
        <v>992.32349999999985</v>
      </c>
      <c r="U86" s="7">
        <v>1426.03</v>
      </c>
      <c r="V86" s="7">
        <f t="shared" si="29"/>
        <v>1426.03</v>
      </c>
      <c r="W86" s="7">
        <f t="shared" si="42"/>
        <v>1639.9344999999998</v>
      </c>
      <c r="X86" s="16">
        <v>5.6000000000000001E-2</v>
      </c>
      <c r="Y86" t="str">
        <f t="shared" si="30"/>
        <v>OK</v>
      </c>
      <c r="Z86" s="16">
        <f t="shared" si="31"/>
        <v>5.6000000000000001E-2</v>
      </c>
      <c r="AA86" s="16">
        <f t="shared" si="43"/>
        <v>5.6000000000000001E-2</v>
      </c>
      <c r="AB86" s="9">
        <v>19</v>
      </c>
      <c r="AC86" s="9">
        <f t="shared" si="44"/>
        <v>22.8</v>
      </c>
      <c r="AD86" s="9">
        <f t="shared" si="32"/>
        <v>25577.274079999999</v>
      </c>
      <c r="AE86" s="9">
        <f t="shared" si="45"/>
        <v>39484.374969600001</v>
      </c>
      <c r="AF86" s="9">
        <f t="shared" si="33"/>
        <v>16394.91</v>
      </c>
      <c r="AG86" s="9">
        <f t="shared" si="34"/>
        <v>9182.3640799999994</v>
      </c>
      <c r="AH86" s="9">
        <f t="shared" si="46"/>
        <v>23089.464969600001</v>
      </c>
      <c r="AI86">
        <f t="shared" si="35"/>
        <v>0.35900479665188778</v>
      </c>
      <c r="AJ86" s="5">
        <f t="shared" si="36"/>
        <v>44928</v>
      </c>
      <c r="AK86" t="str">
        <f t="shared" si="37"/>
        <v>Jan-2023</v>
      </c>
      <c r="AL86">
        <v>0</v>
      </c>
      <c r="AM86">
        <v>0</v>
      </c>
      <c r="AN86">
        <v>0</v>
      </c>
    </row>
    <row r="87" spans="1:40" x14ac:dyDescent="0.45">
      <c r="A87" s="3" t="s">
        <v>320</v>
      </c>
      <c r="B87" s="5">
        <v>45101</v>
      </c>
      <c r="C87" s="9" t="str">
        <f t="shared" si="25"/>
        <v>Jun-2023</v>
      </c>
      <c r="D87" s="5" t="str">
        <f t="shared" si="26"/>
        <v>2023-Q2</v>
      </c>
      <c r="E87" s="5">
        <v>45106</v>
      </c>
      <c r="F87" s="9">
        <f t="shared" si="38"/>
        <v>5</v>
      </c>
      <c r="G87" s="9" t="str">
        <f t="shared" si="39"/>
        <v>ACHIEVED</v>
      </c>
      <c r="H87" s="3" t="s">
        <v>642</v>
      </c>
      <c r="I87" s="3" t="s">
        <v>647</v>
      </c>
      <c r="J87" s="3" t="s">
        <v>661</v>
      </c>
      <c r="K87" s="13" t="str">
        <f t="shared" si="40"/>
        <v>Americas &gt; Canada &gt; Toronto</v>
      </c>
      <c r="L87" s="3" t="s">
        <v>697</v>
      </c>
      <c r="M87" s="3" t="s">
        <v>701</v>
      </c>
      <c r="N87" s="13" t="str">
        <f t="shared" si="27"/>
        <v>Retail</v>
      </c>
      <c r="O87" s="3" t="s">
        <v>718</v>
      </c>
      <c r="P87" s="3" t="s">
        <v>727</v>
      </c>
      <c r="Q87" s="13" t="str">
        <f t="shared" si="28"/>
        <v>Medium</v>
      </c>
      <c r="R87" s="3" t="s">
        <v>1039</v>
      </c>
      <c r="S87" s="7">
        <v>471.42</v>
      </c>
      <c r="T87" s="7">
        <f t="shared" si="41"/>
        <v>542.13299999999992</v>
      </c>
      <c r="U87" s="7">
        <v>824.81</v>
      </c>
      <c r="V87" s="7">
        <f t="shared" si="29"/>
        <v>824.81</v>
      </c>
      <c r="W87" s="7">
        <f t="shared" si="42"/>
        <v>948.53149999999982</v>
      </c>
      <c r="X87" s="16">
        <v>8.7999999999999995E-2</v>
      </c>
      <c r="Y87" t="str">
        <f t="shared" si="30"/>
        <v>OK</v>
      </c>
      <c r="Z87" s="16">
        <f t="shared" si="31"/>
        <v>8.7999999999999995E-2</v>
      </c>
      <c r="AA87" s="16">
        <f t="shared" si="43"/>
        <v>8.7999999999999995E-2</v>
      </c>
      <c r="AB87" s="9">
        <v>15</v>
      </c>
      <c r="AC87" s="9">
        <f t="shared" si="44"/>
        <v>18</v>
      </c>
      <c r="AD87" s="9">
        <f t="shared" si="32"/>
        <v>11283.400799999999</v>
      </c>
      <c r="AE87" s="9">
        <f t="shared" si="45"/>
        <v>18576.040895999995</v>
      </c>
      <c r="AF87" s="9">
        <f t="shared" si="33"/>
        <v>7071.3</v>
      </c>
      <c r="AG87" s="9">
        <f t="shared" si="34"/>
        <v>4212.1007999999993</v>
      </c>
      <c r="AH87" s="9">
        <f t="shared" si="46"/>
        <v>11504.740895999996</v>
      </c>
      <c r="AI87">
        <f t="shared" si="35"/>
        <v>0.37330064531608231</v>
      </c>
      <c r="AJ87" s="5">
        <f t="shared" si="36"/>
        <v>44928</v>
      </c>
      <c r="AK87" t="str">
        <f t="shared" si="37"/>
        <v>Jan-2023</v>
      </c>
      <c r="AL87">
        <v>0</v>
      </c>
      <c r="AM87">
        <v>0</v>
      </c>
      <c r="AN87">
        <v>0</v>
      </c>
    </row>
    <row r="88" spans="1:40" x14ac:dyDescent="0.45">
      <c r="A88" s="3" t="s">
        <v>337</v>
      </c>
      <c r="B88" s="5">
        <v>45221</v>
      </c>
      <c r="C88" s="9" t="str">
        <f t="shared" si="25"/>
        <v>Oct-2023</v>
      </c>
      <c r="D88" s="5" t="str">
        <f t="shared" si="26"/>
        <v>2023-Q4</v>
      </c>
      <c r="E88" s="5">
        <v>45246</v>
      </c>
      <c r="F88" s="9">
        <f t="shared" si="38"/>
        <v>25</v>
      </c>
      <c r="G88" s="9" t="str">
        <f t="shared" si="39"/>
        <v>NOT ACHIEVED</v>
      </c>
      <c r="H88" s="3" t="s">
        <v>642</v>
      </c>
      <c r="I88" s="3" t="s">
        <v>647</v>
      </c>
      <c r="J88" s="3" t="s">
        <v>661</v>
      </c>
      <c r="K88" s="13" t="str">
        <f t="shared" si="40"/>
        <v>Americas &gt; Canada &gt; Toronto</v>
      </c>
      <c r="L88" s="3" t="s">
        <v>699</v>
      </c>
      <c r="M88" s="3" t="s">
        <v>703</v>
      </c>
      <c r="N88" s="13" t="str">
        <f t="shared" si="27"/>
        <v>Marketplace</v>
      </c>
      <c r="O88" s="3" t="s">
        <v>708</v>
      </c>
      <c r="P88" s="3" t="s">
        <v>725</v>
      </c>
      <c r="Q88" s="13" t="str">
        <f t="shared" si="28"/>
        <v>High</v>
      </c>
      <c r="R88" s="3" t="s">
        <v>1056</v>
      </c>
      <c r="S88" s="7">
        <v>1373.31</v>
      </c>
      <c r="T88" s="7">
        <f t="shared" si="41"/>
        <v>1579.3064999999999</v>
      </c>
      <c r="U88" s="7">
        <v>3154.14</v>
      </c>
      <c r="V88" s="7">
        <f t="shared" si="29"/>
        <v>3154.14</v>
      </c>
      <c r="W88" s="7">
        <f t="shared" si="42"/>
        <v>3627.2609999999995</v>
      </c>
      <c r="X88" s="16">
        <v>0.2</v>
      </c>
      <c r="Y88" t="str">
        <f t="shared" si="30"/>
        <v>OK</v>
      </c>
      <c r="Z88" s="16">
        <f t="shared" si="31"/>
        <v>0.2</v>
      </c>
      <c r="AA88" s="16">
        <f t="shared" si="43"/>
        <v>0.2</v>
      </c>
      <c r="AB88" s="9">
        <v>11</v>
      </c>
      <c r="AC88" s="9">
        <f t="shared" si="44"/>
        <v>13.2</v>
      </c>
      <c r="AD88" s="9">
        <f t="shared" si="32"/>
        <v>27756.432000000001</v>
      </c>
      <c r="AE88" s="9">
        <f t="shared" si="45"/>
        <v>57455.814239999985</v>
      </c>
      <c r="AF88" s="9">
        <f t="shared" si="33"/>
        <v>15106.41</v>
      </c>
      <c r="AG88" s="9">
        <f t="shared" si="34"/>
        <v>12650.022000000001</v>
      </c>
      <c r="AH88" s="9">
        <f t="shared" si="46"/>
        <v>42349.404239999989</v>
      </c>
      <c r="AI88">
        <f t="shared" si="35"/>
        <v>0.45575101295440279</v>
      </c>
      <c r="AJ88" s="5">
        <f t="shared" si="36"/>
        <v>44928</v>
      </c>
      <c r="AK88" t="str">
        <f t="shared" si="37"/>
        <v>Jan-2023</v>
      </c>
      <c r="AL88">
        <v>0</v>
      </c>
      <c r="AM88">
        <v>0</v>
      </c>
      <c r="AN88">
        <v>0</v>
      </c>
    </row>
    <row r="89" spans="1:40" x14ac:dyDescent="0.45">
      <c r="A89" s="3" t="s">
        <v>354</v>
      </c>
      <c r="B89" s="5">
        <v>45498</v>
      </c>
      <c r="C89" s="9" t="str">
        <f t="shared" si="25"/>
        <v>Jul-2024</v>
      </c>
      <c r="D89" s="5" t="str">
        <f t="shared" si="26"/>
        <v>2024-Q3</v>
      </c>
      <c r="E89" s="5">
        <v>45506</v>
      </c>
      <c r="F89" s="9">
        <f t="shared" si="38"/>
        <v>8</v>
      </c>
      <c r="G89" s="9" t="str">
        <f t="shared" si="39"/>
        <v>NOT ACHIEVED</v>
      </c>
      <c r="H89" s="3" t="s">
        <v>642</v>
      </c>
      <c r="I89" s="3" t="s">
        <v>647</v>
      </c>
      <c r="J89" s="3" t="s">
        <v>675</v>
      </c>
      <c r="K89" s="13" t="str">
        <f t="shared" si="40"/>
        <v>Americas &gt; Canada &gt; Montreal</v>
      </c>
      <c r="L89" s="3" t="s">
        <v>698</v>
      </c>
      <c r="M89" s="3" t="s">
        <v>705</v>
      </c>
      <c r="N89" s="13" t="str">
        <f t="shared" si="27"/>
        <v>Direct</v>
      </c>
      <c r="O89" s="3" t="s">
        <v>707</v>
      </c>
      <c r="P89" s="3" t="s">
        <v>727</v>
      </c>
      <c r="Q89" s="13" t="str">
        <f t="shared" si="28"/>
        <v>High</v>
      </c>
      <c r="R89" s="3" t="s">
        <v>1073</v>
      </c>
      <c r="S89" s="7">
        <v>986.81</v>
      </c>
      <c r="T89" s="7">
        <f t="shared" si="41"/>
        <v>1134.8314999999998</v>
      </c>
      <c r="U89" s="7">
        <v>2050.31</v>
      </c>
      <c r="V89" s="7">
        <f t="shared" si="29"/>
        <v>2050.31</v>
      </c>
      <c r="W89" s="7">
        <f t="shared" si="42"/>
        <v>2357.8564999999999</v>
      </c>
      <c r="X89" s="16">
        <v>0.10299999999999999</v>
      </c>
      <c r="Y89" t="str">
        <f t="shared" si="30"/>
        <v>OK</v>
      </c>
      <c r="Z89" s="16">
        <f t="shared" si="31"/>
        <v>0.10299999999999999</v>
      </c>
      <c r="AA89" s="16">
        <f t="shared" si="43"/>
        <v>0.10299999999999999</v>
      </c>
      <c r="AB89" s="9">
        <v>43</v>
      </c>
      <c r="AC89" s="9">
        <f t="shared" si="44"/>
        <v>51.6</v>
      </c>
      <c r="AD89" s="9">
        <f t="shared" si="32"/>
        <v>79082.507010000001</v>
      </c>
      <c r="AE89" s="9">
        <f t="shared" si="45"/>
        <v>134196.93112619998</v>
      </c>
      <c r="AF89" s="9">
        <f t="shared" si="33"/>
        <v>42432.829999999994</v>
      </c>
      <c r="AG89" s="9">
        <f t="shared" si="34"/>
        <v>36649.677010000007</v>
      </c>
      <c r="AH89" s="9">
        <f t="shared" si="46"/>
        <v>91764.101126199996</v>
      </c>
      <c r="AI89">
        <f t="shared" si="35"/>
        <v>0.46343595310358138</v>
      </c>
      <c r="AJ89" s="5">
        <f t="shared" si="36"/>
        <v>44928</v>
      </c>
      <c r="AK89" t="str">
        <f t="shared" si="37"/>
        <v>Jan-2023</v>
      </c>
      <c r="AL89">
        <v>0</v>
      </c>
      <c r="AM89">
        <v>0</v>
      </c>
      <c r="AN89">
        <v>0</v>
      </c>
    </row>
    <row r="90" spans="1:40" x14ac:dyDescent="0.45">
      <c r="A90" s="3" t="s">
        <v>377</v>
      </c>
      <c r="B90" s="5">
        <v>45832</v>
      </c>
      <c r="C90" s="9" t="str">
        <f t="shared" si="25"/>
        <v>Jun-2025</v>
      </c>
      <c r="D90" s="5" t="str">
        <f t="shared" si="26"/>
        <v>2025-Q2</v>
      </c>
      <c r="E90" s="5">
        <v>45861</v>
      </c>
      <c r="F90" s="9">
        <f t="shared" si="38"/>
        <v>29</v>
      </c>
      <c r="G90" s="9" t="str">
        <f t="shared" si="39"/>
        <v>NOT ACHIEVED</v>
      </c>
      <c r="H90" s="3" t="s">
        <v>642</v>
      </c>
      <c r="I90" s="3" t="s">
        <v>647</v>
      </c>
      <c r="J90" s="3" t="s">
        <v>682</v>
      </c>
      <c r="K90" s="13" t="str">
        <f t="shared" si="40"/>
        <v>Americas &gt; Canada &gt; Vancouver</v>
      </c>
      <c r="L90" s="3" t="s">
        <v>697</v>
      </c>
      <c r="M90" s="3" t="s">
        <v>703</v>
      </c>
      <c r="N90" s="13" t="str">
        <f t="shared" si="27"/>
        <v>Marketplace</v>
      </c>
      <c r="O90" s="3" t="s">
        <v>708</v>
      </c>
      <c r="P90" s="3" t="s">
        <v>722</v>
      </c>
      <c r="Q90" s="13" t="str">
        <f t="shared" si="28"/>
        <v>Low</v>
      </c>
      <c r="R90" s="3" t="s">
        <v>1096</v>
      </c>
      <c r="S90" s="7">
        <v>255.4</v>
      </c>
      <c r="T90" s="7">
        <f t="shared" si="41"/>
        <v>293.70999999999998</v>
      </c>
      <c r="U90" s="7">
        <v>322.70999999999998</v>
      </c>
      <c r="V90" s="7">
        <f t="shared" si="29"/>
        <v>322.70999999999998</v>
      </c>
      <c r="W90" s="7">
        <f t="shared" si="42"/>
        <v>371.11649999999997</v>
      </c>
      <c r="X90" s="16">
        <v>0.115</v>
      </c>
      <c r="Y90" t="str">
        <f t="shared" si="30"/>
        <v>OK</v>
      </c>
      <c r="Z90" s="16">
        <f t="shared" si="31"/>
        <v>0.115</v>
      </c>
      <c r="AA90" s="16">
        <f t="shared" si="43"/>
        <v>0.115</v>
      </c>
      <c r="AB90" s="9">
        <v>16</v>
      </c>
      <c r="AC90" s="9">
        <f t="shared" si="44"/>
        <v>19.2</v>
      </c>
      <c r="AD90" s="9">
        <f t="shared" si="32"/>
        <v>4569.5735999999997</v>
      </c>
      <c r="AE90" s="9">
        <f t="shared" si="45"/>
        <v>7944.8620319999991</v>
      </c>
      <c r="AF90" s="9">
        <f t="shared" si="33"/>
        <v>4086.4</v>
      </c>
      <c r="AG90" s="9">
        <f t="shared" si="34"/>
        <v>483.17359999999962</v>
      </c>
      <c r="AH90" s="9">
        <f t="shared" si="46"/>
        <v>3858.462031999999</v>
      </c>
      <c r="AI90">
        <f t="shared" si="35"/>
        <v>0.10573713048412212</v>
      </c>
      <c r="AJ90" s="5">
        <f t="shared" si="36"/>
        <v>44928</v>
      </c>
      <c r="AK90" t="str">
        <f t="shared" si="37"/>
        <v>Jan-2023</v>
      </c>
      <c r="AL90">
        <v>0</v>
      </c>
      <c r="AM90">
        <v>0</v>
      </c>
      <c r="AN90">
        <v>0</v>
      </c>
    </row>
    <row r="91" spans="1:40" x14ac:dyDescent="0.45">
      <c r="A91" s="3" t="s">
        <v>389</v>
      </c>
      <c r="B91" s="5">
        <v>45876</v>
      </c>
      <c r="C91" s="9" t="str">
        <f t="shared" si="25"/>
        <v>Aug-2025</v>
      </c>
      <c r="D91" s="5" t="str">
        <f t="shared" si="26"/>
        <v>2025-Q3</v>
      </c>
      <c r="E91" s="5">
        <v>45906</v>
      </c>
      <c r="F91" s="9">
        <f t="shared" si="38"/>
        <v>30</v>
      </c>
      <c r="G91" s="9" t="str">
        <f t="shared" si="39"/>
        <v>NOT ACHIEVED</v>
      </c>
      <c r="H91" s="3" t="s">
        <v>642</v>
      </c>
      <c r="I91" s="3" t="s">
        <v>647</v>
      </c>
      <c r="J91" s="3" t="s">
        <v>675</v>
      </c>
      <c r="K91" s="13" t="str">
        <f t="shared" si="40"/>
        <v>Americas &gt; Canada &gt; Montreal</v>
      </c>
      <c r="L91" s="3" t="s">
        <v>696</v>
      </c>
      <c r="M91" s="3" t="s">
        <v>705</v>
      </c>
      <c r="N91" s="13" t="str">
        <f t="shared" si="27"/>
        <v>Direct</v>
      </c>
      <c r="O91" s="3" t="s">
        <v>718</v>
      </c>
      <c r="P91" s="3" t="s">
        <v>723</v>
      </c>
      <c r="Q91" s="13" t="str">
        <f t="shared" si="28"/>
        <v>Medium</v>
      </c>
      <c r="R91" s="3" t="s">
        <v>1107</v>
      </c>
      <c r="S91" s="7">
        <v>833.73</v>
      </c>
      <c r="T91" s="7">
        <f t="shared" si="41"/>
        <v>958.78949999999998</v>
      </c>
      <c r="U91" s="7">
        <v>1116.5999999999999</v>
      </c>
      <c r="V91" s="7">
        <f t="shared" si="29"/>
        <v>1116.5999999999999</v>
      </c>
      <c r="W91" s="7">
        <f t="shared" si="42"/>
        <v>1284.0899999999997</v>
      </c>
      <c r="X91" s="16">
        <v>0.17599999999999999</v>
      </c>
      <c r="Y91" t="str">
        <f t="shared" si="30"/>
        <v>OK</v>
      </c>
      <c r="Z91" s="16">
        <f t="shared" si="31"/>
        <v>0.17599999999999999</v>
      </c>
      <c r="AA91" s="16">
        <f t="shared" si="43"/>
        <v>0.17599999999999999</v>
      </c>
      <c r="AB91" s="9">
        <v>14</v>
      </c>
      <c r="AC91" s="9">
        <f t="shared" si="44"/>
        <v>16.8</v>
      </c>
      <c r="AD91" s="9">
        <f t="shared" si="32"/>
        <v>12881.097599999999</v>
      </c>
      <c r="AE91" s="9">
        <f t="shared" si="45"/>
        <v>25369.509311999995</v>
      </c>
      <c r="AF91" s="9">
        <f t="shared" si="33"/>
        <v>11672.220000000001</v>
      </c>
      <c r="AG91" s="9">
        <f t="shared" si="34"/>
        <v>1208.877599999998</v>
      </c>
      <c r="AH91" s="9">
        <f t="shared" si="46"/>
        <v>13697.289311999994</v>
      </c>
      <c r="AI91">
        <f t="shared" si="35"/>
        <v>9.3848958958279924E-2</v>
      </c>
      <c r="AJ91" s="5">
        <f t="shared" si="36"/>
        <v>44928</v>
      </c>
      <c r="AK91" t="str">
        <f t="shared" si="37"/>
        <v>Jan-2023</v>
      </c>
      <c r="AL91">
        <v>0</v>
      </c>
      <c r="AM91">
        <v>0</v>
      </c>
      <c r="AN91">
        <v>0</v>
      </c>
    </row>
    <row r="92" spans="1:40" x14ac:dyDescent="0.45">
      <c r="A92" s="3" t="s">
        <v>410</v>
      </c>
      <c r="B92" s="5">
        <v>45601</v>
      </c>
      <c r="C92" s="9" t="str">
        <f t="shared" si="25"/>
        <v>Nov-2024</v>
      </c>
      <c r="D92" s="5" t="str">
        <f t="shared" si="26"/>
        <v>2024-Q4</v>
      </c>
      <c r="E92" s="5">
        <v>45604</v>
      </c>
      <c r="F92" s="9">
        <f t="shared" si="38"/>
        <v>3</v>
      </c>
      <c r="G92" s="9" t="str">
        <f t="shared" si="39"/>
        <v>ACHIEVED</v>
      </c>
      <c r="H92" s="3" t="s">
        <v>642</v>
      </c>
      <c r="I92" s="3" t="s">
        <v>647</v>
      </c>
      <c r="J92" s="3" t="s">
        <v>661</v>
      </c>
      <c r="K92" s="13" t="str">
        <f t="shared" si="40"/>
        <v>Americas &gt; Canada &gt; Toronto</v>
      </c>
      <c r="L92" s="3" t="s">
        <v>696</v>
      </c>
      <c r="M92" s="3" t="s">
        <v>703</v>
      </c>
      <c r="N92" s="13" t="str">
        <f t="shared" si="27"/>
        <v>Marketplace</v>
      </c>
      <c r="O92" s="3" t="s">
        <v>713</v>
      </c>
      <c r="P92" s="3" t="s">
        <v>721</v>
      </c>
      <c r="Q92" s="13" t="str">
        <f t="shared" si="28"/>
        <v>Medium</v>
      </c>
      <c r="R92" s="3" t="s">
        <v>1128</v>
      </c>
      <c r="S92" s="7">
        <v>1020.4</v>
      </c>
      <c r="T92" s="7">
        <f t="shared" si="41"/>
        <v>1173.4599999999998</v>
      </c>
      <c r="U92" s="7">
        <v>1184.71</v>
      </c>
      <c r="V92" s="7">
        <f t="shared" si="29"/>
        <v>1184.71</v>
      </c>
      <c r="W92" s="7">
        <f t="shared" si="42"/>
        <v>1362.4165</v>
      </c>
      <c r="X92" s="16">
        <v>0.106</v>
      </c>
      <c r="Y92" t="str">
        <f t="shared" si="30"/>
        <v>OK</v>
      </c>
      <c r="Z92" s="16">
        <f t="shared" si="31"/>
        <v>0.106</v>
      </c>
      <c r="AA92" s="16">
        <f t="shared" si="43"/>
        <v>0.106</v>
      </c>
      <c r="AB92" s="9">
        <v>16</v>
      </c>
      <c r="AC92" s="9">
        <f t="shared" si="44"/>
        <v>19.2</v>
      </c>
      <c r="AD92" s="9">
        <f t="shared" si="32"/>
        <v>16946.091840000001</v>
      </c>
      <c r="AE92" s="9">
        <f t="shared" si="45"/>
        <v>28931.1868608</v>
      </c>
      <c r="AF92" s="9">
        <f t="shared" si="33"/>
        <v>16326.4</v>
      </c>
      <c r="AG92" s="9">
        <f t="shared" si="34"/>
        <v>619.69184000000132</v>
      </c>
      <c r="AH92" s="9">
        <f t="shared" si="46"/>
        <v>12604.786860800001</v>
      </c>
      <c r="AI92">
        <f t="shared" si="35"/>
        <v>3.6568422138328345E-2</v>
      </c>
      <c r="AJ92" s="5">
        <f t="shared" si="36"/>
        <v>44928</v>
      </c>
      <c r="AK92" t="str">
        <f t="shared" si="37"/>
        <v>Jan-2023</v>
      </c>
      <c r="AL92">
        <v>0</v>
      </c>
      <c r="AM92">
        <v>0</v>
      </c>
      <c r="AN92">
        <v>0</v>
      </c>
    </row>
    <row r="93" spans="1:40" x14ac:dyDescent="0.45">
      <c r="A93" s="3" t="s">
        <v>423</v>
      </c>
      <c r="B93" s="5">
        <v>45167</v>
      </c>
      <c r="C93" s="9" t="str">
        <f t="shared" si="25"/>
        <v>Aug-2023</v>
      </c>
      <c r="D93" s="5" t="str">
        <f t="shared" si="26"/>
        <v>2023-Q3</v>
      </c>
      <c r="E93" s="5">
        <v>45182</v>
      </c>
      <c r="F93" s="9">
        <f t="shared" si="38"/>
        <v>15</v>
      </c>
      <c r="G93" s="9" t="str">
        <f t="shared" si="39"/>
        <v>NOT ACHIEVED</v>
      </c>
      <c r="H93" s="3" t="s">
        <v>642</v>
      </c>
      <c r="I93" s="3" t="s">
        <v>647</v>
      </c>
      <c r="J93" s="3" t="s">
        <v>682</v>
      </c>
      <c r="K93" s="13" t="str">
        <f t="shared" si="40"/>
        <v>Americas &gt; Canada &gt; Vancouver</v>
      </c>
      <c r="L93" s="3" t="s">
        <v>699</v>
      </c>
      <c r="M93" s="3" t="s">
        <v>703</v>
      </c>
      <c r="N93" s="13" t="str">
        <f t="shared" si="27"/>
        <v>Marketplace</v>
      </c>
      <c r="O93" s="3" t="s">
        <v>713</v>
      </c>
      <c r="P93" s="3" t="s">
        <v>722</v>
      </c>
      <c r="Q93" s="13" t="str">
        <f t="shared" si="28"/>
        <v>High</v>
      </c>
      <c r="R93" s="3" t="s">
        <v>1141</v>
      </c>
      <c r="S93" s="7">
        <v>1287.6400000000001</v>
      </c>
      <c r="T93" s="7">
        <f t="shared" si="41"/>
        <v>1480.7860000000001</v>
      </c>
      <c r="U93" s="7">
        <v>2717.15</v>
      </c>
      <c r="V93" s="7">
        <f t="shared" si="29"/>
        <v>2717.15</v>
      </c>
      <c r="W93" s="7">
        <f t="shared" si="42"/>
        <v>3124.7224999999999</v>
      </c>
      <c r="X93" s="16">
        <v>3.2000000000000001E-2</v>
      </c>
      <c r="Y93" t="str">
        <f t="shared" si="30"/>
        <v>OK</v>
      </c>
      <c r="Z93" s="16">
        <f t="shared" si="31"/>
        <v>3.2000000000000001E-2</v>
      </c>
      <c r="AA93" s="16">
        <f t="shared" si="43"/>
        <v>3.2000000000000001E-2</v>
      </c>
      <c r="AB93" s="9">
        <v>7</v>
      </c>
      <c r="AC93" s="9">
        <f t="shared" si="44"/>
        <v>8.4</v>
      </c>
      <c r="AD93" s="9">
        <f t="shared" si="32"/>
        <v>18411.4084</v>
      </c>
      <c r="AE93" s="9">
        <f t="shared" si="45"/>
        <v>27087.594408000001</v>
      </c>
      <c r="AF93" s="9">
        <f t="shared" si="33"/>
        <v>9013.4800000000014</v>
      </c>
      <c r="AG93" s="9">
        <f t="shared" si="34"/>
        <v>9397.9283999999989</v>
      </c>
      <c r="AH93" s="9">
        <f t="shared" si="46"/>
        <v>18074.114408000001</v>
      </c>
      <c r="AI93">
        <f t="shared" si="35"/>
        <v>0.51044049405802105</v>
      </c>
      <c r="AJ93" s="5">
        <f t="shared" si="36"/>
        <v>44928</v>
      </c>
      <c r="AK93" t="str">
        <f t="shared" si="37"/>
        <v>Jan-2023</v>
      </c>
      <c r="AL93">
        <v>0</v>
      </c>
      <c r="AM93">
        <v>0</v>
      </c>
      <c r="AN93">
        <v>0</v>
      </c>
    </row>
    <row r="94" spans="1:40" x14ac:dyDescent="0.45">
      <c r="A94" s="3" t="s">
        <v>452</v>
      </c>
      <c r="B94" s="5">
        <v>45560</v>
      </c>
      <c r="C94" s="9" t="str">
        <f t="shared" si="25"/>
        <v>Sep-2024</v>
      </c>
      <c r="D94" s="5" t="str">
        <f t="shared" si="26"/>
        <v>2024-Q3</v>
      </c>
      <c r="E94" s="5">
        <v>45568</v>
      </c>
      <c r="F94" s="9">
        <f t="shared" si="38"/>
        <v>8</v>
      </c>
      <c r="G94" s="9" t="str">
        <f t="shared" si="39"/>
        <v>NOT ACHIEVED</v>
      </c>
      <c r="H94" s="3" t="s">
        <v>642</v>
      </c>
      <c r="I94" s="3" t="s">
        <v>647</v>
      </c>
      <c r="J94" s="3" t="s">
        <v>661</v>
      </c>
      <c r="K94" s="13" t="str">
        <f t="shared" si="40"/>
        <v>Americas &gt; Canada &gt; Toronto</v>
      </c>
      <c r="L94" s="3" t="s">
        <v>698</v>
      </c>
      <c r="M94" s="3" t="s">
        <v>702</v>
      </c>
      <c r="N94" s="13" t="str">
        <f t="shared" si="27"/>
        <v>Online</v>
      </c>
      <c r="O94" s="3" t="s">
        <v>712</v>
      </c>
      <c r="P94" s="3" t="s">
        <v>722</v>
      </c>
      <c r="Q94" s="13" t="str">
        <f t="shared" si="28"/>
        <v>Medium</v>
      </c>
      <c r="R94" s="3" t="s">
        <v>1170</v>
      </c>
      <c r="S94" s="7">
        <v>558.19000000000005</v>
      </c>
      <c r="T94" s="7">
        <f t="shared" si="41"/>
        <v>641.91849999999999</v>
      </c>
      <c r="U94" s="7">
        <v>1031.6400000000001</v>
      </c>
      <c r="V94" s="7">
        <f t="shared" si="29"/>
        <v>1031.6400000000001</v>
      </c>
      <c r="W94" s="7">
        <f t="shared" si="42"/>
        <v>1186.386</v>
      </c>
      <c r="X94" s="16">
        <v>0</v>
      </c>
      <c r="Y94" t="str">
        <f t="shared" si="30"/>
        <v>OK</v>
      </c>
      <c r="Z94" s="16">
        <f t="shared" si="31"/>
        <v>0</v>
      </c>
      <c r="AA94" s="16">
        <f t="shared" si="43"/>
        <v>0</v>
      </c>
      <c r="AB94" s="9">
        <v>21</v>
      </c>
      <c r="AC94" s="9">
        <f t="shared" si="44"/>
        <v>25.2</v>
      </c>
      <c r="AD94" s="9">
        <f t="shared" si="32"/>
        <v>21664.440000000002</v>
      </c>
      <c r="AE94" s="9">
        <f t="shared" si="45"/>
        <v>29896.927199999998</v>
      </c>
      <c r="AF94" s="9">
        <f t="shared" si="33"/>
        <v>11721.990000000002</v>
      </c>
      <c r="AG94" s="9">
        <f t="shared" si="34"/>
        <v>9942.4500000000007</v>
      </c>
      <c r="AH94" s="9">
        <f t="shared" si="46"/>
        <v>18174.937199999997</v>
      </c>
      <c r="AI94">
        <f t="shared" si="35"/>
        <v>0.45892947152107322</v>
      </c>
      <c r="AJ94" s="5">
        <f t="shared" si="36"/>
        <v>44928</v>
      </c>
      <c r="AK94" t="str">
        <f t="shared" si="37"/>
        <v>Jan-2023</v>
      </c>
      <c r="AL94">
        <v>0</v>
      </c>
      <c r="AM94">
        <v>0</v>
      </c>
      <c r="AN94">
        <v>0</v>
      </c>
    </row>
    <row r="95" spans="1:40" x14ac:dyDescent="0.45">
      <c r="A95" s="3" t="s">
        <v>453</v>
      </c>
      <c r="B95" s="5">
        <v>45090</v>
      </c>
      <c r="C95" s="9" t="str">
        <f t="shared" si="25"/>
        <v>Jun-2023</v>
      </c>
      <c r="D95" s="5" t="str">
        <f t="shared" si="26"/>
        <v>2023-Q2</v>
      </c>
      <c r="E95" s="5">
        <v>45101</v>
      </c>
      <c r="F95" s="9">
        <f t="shared" si="38"/>
        <v>11</v>
      </c>
      <c r="G95" s="9" t="str">
        <f t="shared" si="39"/>
        <v>NOT ACHIEVED</v>
      </c>
      <c r="H95" s="3" t="s">
        <v>642</v>
      </c>
      <c r="I95" s="3" t="s">
        <v>647</v>
      </c>
      <c r="J95" s="3" t="s">
        <v>661</v>
      </c>
      <c r="K95" s="13" t="str">
        <f t="shared" si="40"/>
        <v>Americas &gt; Canada &gt; Toronto</v>
      </c>
      <c r="L95" s="3" t="s">
        <v>695</v>
      </c>
      <c r="M95" s="3" t="s">
        <v>702</v>
      </c>
      <c r="N95" s="13" t="str">
        <f t="shared" si="27"/>
        <v>Online</v>
      </c>
      <c r="O95" s="3" t="s">
        <v>706</v>
      </c>
      <c r="P95" s="3" t="s">
        <v>722</v>
      </c>
      <c r="Q95" s="13" t="str">
        <f t="shared" si="28"/>
        <v>Low</v>
      </c>
      <c r="R95" s="3" t="s">
        <v>1171</v>
      </c>
      <c r="S95" s="7">
        <v>247.07</v>
      </c>
      <c r="T95" s="7">
        <f t="shared" si="41"/>
        <v>284.13049999999998</v>
      </c>
      <c r="U95" s="7">
        <v>495.19</v>
      </c>
      <c r="V95" s="7">
        <f t="shared" si="29"/>
        <v>495.19</v>
      </c>
      <c r="W95" s="7">
        <f t="shared" si="42"/>
        <v>569.46849999999995</v>
      </c>
      <c r="X95" s="16">
        <v>2.8000000000000001E-2</v>
      </c>
      <c r="Y95" t="str">
        <f t="shared" si="30"/>
        <v>OK</v>
      </c>
      <c r="Z95" s="16">
        <f t="shared" si="31"/>
        <v>2.8000000000000001E-2</v>
      </c>
      <c r="AA95" s="16">
        <f t="shared" si="43"/>
        <v>2.8000000000000001E-2</v>
      </c>
      <c r="AB95" s="9">
        <v>4</v>
      </c>
      <c r="AC95" s="9">
        <f t="shared" si="44"/>
        <v>4.8</v>
      </c>
      <c r="AD95" s="9">
        <f t="shared" si="32"/>
        <v>1925.29872</v>
      </c>
      <c r="AE95" s="9">
        <f t="shared" si="45"/>
        <v>2809.9853663999997</v>
      </c>
      <c r="AF95" s="9">
        <f t="shared" si="33"/>
        <v>988.28</v>
      </c>
      <c r="AG95" s="9">
        <f t="shared" si="34"/>
        <v>937.01872000000003</v>
      </c>
      <c r="AH95" s="9">
        <f t="shared" si="46"/>
        <v>1821.7053663999998</v>
      </c>
      <c r="AI95">
        <f t="shared" si="35"/>
        <v>0.48668744764968214</v>
      </c>
      <c r="AJ95" s="5">
        <f t="shared" si="36"/>
        <v>44928</v>
      </c>
      <c r="AK95" t="str">
        <f t="shared" si="37"/>
        <v>Jan-2023</v>
      </c>
      <c r="AL95">
        <v>0</v>
      </c>
      <c r="AM95">
        <v>0</v>
      </c>
      <c r="AN95">
        <v>0</v>
      </c>
    </row>
    <row r="96" spans="1:40" x14ac:dyDescent="0.45">
      <c r="A96" s="3" t="s">
        <v>456</v>
      </c>
      <c r="B96" s="5">
        <v>45446</v>
      </c>
      <c r="C96" s="9" t="str">
        <f t="shared" si="25"/>
        <v>Jun-2024</v>
      </c>
      <c r="D96" s="5" t="str">
        <f t="shared" si="26"/>
        <v>2024-Q2</v>
      </c>
      <c r="E96" s="5">
        <v>45467</v>
      </c>
      <c r="F96" s="9">
        <f t="shared" si="38"/>
        <v>21</v>
      </c>
      <c r="G96" s="9" t="str">
        <f t="shared" si="39"/>
        <v>NOT ACHIEVED</v>
      </c>
      <c r="H96" s="3" t="s">
        <v>642</v>
      </c>
      <c r="I96" s="3" t="s">
        <v>647</v>
      </c>
      <c r="J96" s="3" t="s">
        <v>661</v>
      </c>
      <c r="K96" s="13" t="str">
        <f t="shared" si="40"/>
        <v>Americas &gt; Canada &gt; Toronto</v>
      </c>
      <c r="L96" s="3" t="s">
        <v>699</v>
      </c>
      <c r="M96" s="3" t="s">
        <v>705</v>
      </c>
      <c r="N96" s="13" t="str">
        <f t="shared" si="27"/>
        <v>Direct</v>
      </c>
      <c r="O96" s="3" t="s">
        <v>709</v>
      </c>
      <c r="P96" s="3" t="s">
        <v>726</v>
      </c>
      <c r="Q96" s="13" t="str">
        <f t="shared" si="28"/>
        <v>High</v>
      </c>
      <c r="R96" s="3" t="s">
        <v>1174</v>
      </c>
      <c r="S96" s="7">
        <v>1205.5</v>
      </c>
      <c r="T96" s="7">
        <f t="shared" si="41"/>
        <v>1386.3249999999998</v>
      </c>
      <c r="U96" s="7">
        <v>2210.17</v>
      </c>
      <c r="V96" s="7">
        <f t="shared" si="29"/>
        <v>2210.17</v>
      </c>
      <c r="W96" s="7">
        <f t="shared" si="42"/>
        <v>2541.6954999999998</v>
      </c>
      <c r="X96" s="16">
        <v>0.104</v>
      </c>
      <c r="Y96" t="str">
        <f t="shared" si="30"/>
        <v>OK</v>
      </c>
      <c r="Z96" s="16">
        <f t="shared" si="31"/>
        <v>0.104</v>
      </c>
      <c r="AA96" s="16">
        <f t="shared" si="43"/>
        <v>0.104</v>
      </c>
      <c r="AB96" s="9">
        <v>23</v>
      </c>
      <c r="AC96" s="9">
        <f t="shared" si="44"/>
        <v>27.599999999999998</v>
      </c>
      <c r="AD96" s="9">
        <f t="shared" si="32"/>
        <v>45547.183360000003</v>
      </c>
      <c r="AE96" s="9">
        <f t="shared" si="45"/>
        <v>77446.478563199998</v>
      </c>
      <c r="AF96" s="9">
        <f t="shared" si="33"/>
        <v>27726.5</v>
      </c>
      <c r="AG96" s="9">
        <f t="shared" si="34"/>
        <v>17820.683360000003</v>
      </c>
      <c r="AH96" s="9">
        <f t="shared" si="46"/>
        <v>49719.978563199998</v>
      </c>
      <c r="AI96">
        <f t="shared" si="35"/>
        <v>0.39125763758314652</v>
      </c>
      <c r="AJ96" s="5">
        <f t="shared" si="36"/>
        <v>44928</v>
      </c>
      <c r="AK96" t="str">
        <f t="shared" si="37"/>
        <v>Jan-2023</v>
      </c>
      <c r="AL96">
        <v>0</v>
      </c>
      <c r="AM96">
        <v>0</v>
      </c>
      <c r="AN96">
        <v>0</v>
      </c>
    </row>
    <row r="97" spans="1:40" x14ac:dyDescent="0.45">
      <c r="A97" s="3" t="s">
        <v>463</v>
      </c>
      <c r="B97" s="5">
        <v>45653</v>
      </c>
      <c r="C97" s="9" t="str">
        <f t="shared" si="25"/>
        <v>Dec-2024</v>
      </c>
      <c r="D97" s="5" t="str">
        <f t="shared" si="26"/>
        <v>2024-Q4</v>
      </c>
      <c r="E97" s="5">
        <v>45655</v>
      </c>
      <c r="F97" s="9">
        <f t="shared" si="38"/>
        <v>2</v>
      </c>
      <c r="G97" s="9" t="str">
        <f t="shared" si="39"/>
        <v>ACHIEVED</v>
      </c>
      <c r="H97" s="3" t="s">
        <v>642</v>
      </c>
      <c r="I97" s="3" t="s">
        <v>647</v>
      </c>
      <c r="J97" s="3" t="s">
        <v>682</v>
      </c>
      <c r="K97" s="13" t="str">
        <f t="shared" si="40"/>
        <v>Americas &gt; Canada &gt; Vancouver</v>
      </c>
      <c r="L97" s="3" t="s">
        <v>700</v>
      </c>
      <c r="M97" s="3" t="s">
        <v>703</v>
      </c>
      <c r="N97" s="13" t="str">
        <f t="shared" si="27"/>
        <v>Marketplace</v>
      </c>
      <c r="O97" s="3" t="s">
        <v>706</v>
      </c>
      <c r="P97" s="3" t="s">
        <v>727</v>
      </c>
      <c r="Q97" s="13" t="str">
        <f t="shared" si="28"/>
        <v>High</v>
      </c>
      <c r="R97" s="3" t="s">
        <v>1181</v>
      </c>
      <c r="S97" s="7">
        <v>1146.72</v>
      </c>
      <c r="T97" s="7">
        <f t="shared" si="41"/>
        <v>1318.7279999999998</v>
      </c>
      <c r="U97" s="7">
        <v>2074.34</v>
      </c>
      <c r="V97" s="7">
        <f t="shared" si="29"/>
        <v>2074.34</v>
      </c>
      <c r="W97" s="7">
        <f t="shared" si="42"/>
        <v>2385.491</v>
      </c>
      <c r="X97" s="16">
        <v>0.111</v>
      </c>
      <c r="Y97" t="str">
        <f t="shared" si="30"/>
        <v>OK</v>
      </c>
      <c r="Z97" s="16">
        <f t="shared" si="31"/>
        <v>0.111</v>
      </c>
      <c r="AA97" s="16">
        <f t="shared" si="43"/>
        <v>0.111</v>
      </c>
      <c r="AB97" s="9">
        <v>8</v>
      </c>
      <c r="AC97" s="9">
        <f t="shared" si="44"/>
        <v>9.6</v>
      </c>
      <c r="AD97" s="9">
        <f t="shared" si="32"/>
        <v>14752.706080000002</v>
      </c>
      <c r="AE97" s="9">
        <f t="shared" si="45"/>
        <v>25442.692809599997</v>
      </c>
      <c r="AF97" s="9">
        <f t="shared" si="33"/>
        <v>9173.76</v>
      </c>
      <c r="AG97" s="9">
        <f t="shared" si="34"/>
        <v>5578.9460800000015</v>
      </c>
      <c r="AH97" s="9">
        <f t="shared" si="46"/>
        <v>16268.932809599997</v>
      </c>
      <c r="AI97">
        <f t="shared" si="35"/>
        <v>0.37816425337472737</v>
      </c>
      <c r="AJ97" s="5">
        <f t="shared" si="36"/>
        <v>44928</v>
      </c>
      <c r="AK97" t="str">
        <f t="shared" si="37"/>
        <v>Jan-2023</v>
      </c>
      <c r="AL97">
        <v>0</v>
      </c>
      <c r="AM97">
        <v>0</v>
      </c>
      <c r="AN97">
        <v>0</v>
      </c>
    </row>
    <row r="98" spans="1:40" x14ac:dyDescent="0.45">
      <c r="A98" s="3" t="s">
        <v>495</v>
      </c>
      <c r="B98" s="5">
        <v>45613</v>
      </c>
      <c r="C98" s="9" t="str">
        <f t="shared" si="25"/>
        <v>Nov-2024</v>
      </c>
      <c r="D98" s="5" t="str">
        <f t="shared" si="26"/>
        <v>2024-Q4</v>
      </c>
      <c r="E98" s="5">
        <v>45624</v>
      </c>
      <c r="F98" s="9">
        <f t="shared" si="38"/>
        <v>11</v>
      </c>
      <c r="G98" s="9" t="str">
        <f t="shared" si="39"/>
        <v>NOT ACHIEVED</v>
      </c>
      <c r="H98" s="3" t="s">
        <v>642</v>
      </c>
      <c r="I98" s="3" t="s">
        <v>647</v>
      </c>
      <c r="J98" s="3" t="s">
        <v>1444</v>
      </c>
      <c r="K98" s="13" t="str">
        <f t="shared" si="40"/>
        <v>Americas &gt; Canada &gt; Unkown</v>
      </c>
      <c r="L98" s="3" t="s">
        <v>698</v>
      </c>
      <c r="M98" s="3" t="s">
        <v>704</v>
      </c>
      <c r="N98" s="13" t="str">
        <f t="shared" si="27"/>
        <v>Distributor</v>
      </c>
      <c r="O98" s="3" t="s">
        <v>714</v>
      </c>
      <c r="P98" s="3" t="s">
        <v>722</v>
      </c>
      <c r="Q98" s="13" t="str">
        <f t="shared" si="28"/>
        <v>High</v>
      </c>
      <c r="R98" s="3" t="s">
        <v>1213</v>
      </c>
      <c r="S98" s="7">
        <v>1008.16</v>
      </c>
      <c r="T98" s="7">
        <f t="shared" si="41"/>
        <v>1159.3839999999998</v>
      </c>
      <c r="U98" s="7">
        <v>2077.5</v>
      </c>
      <c r="V98" s="7">
        <f t="shared" si="29"/>
        <v>2077.5</v>
      </c>
      <c r="W98" s="7">
        <f t="shared" si="42"/>
        <v>2389.125</v>
      </c>
      <c r="X98" s="16">
        <v>7.3999999999999996E-2</v>
      </c>
      <c r="Y98" t="str">
        <f t="shared" si="30"/>
        <v>OK</v>
      </c>
      <c r="Z98" s="16">
        <f t="shared" si="31"/>
        <v>7.3999999999999996E-2</v>
      </c>
      <c r="AA98" s="16">
        <f t="shared" si="43"/>
        <v>7.3999999999999996E-2</v>
      </c>
      <c r="AB98" s="9">
        <v>15</v>
      </c>
      <c r="AC98" s="9">
        <f t="shared" si="44"/>
        <v>18</v>
      </c>
      <c r="AD98" s="9">
        <f t="shared" si="32"/>
        <v>28856.475000000002</v>
      </c>
      <c r="AE98" s="9">
        <f t="shared" si="45"/>
        <v>46186.5645</v>
      </c>
      <c r="AF98" s="9">
        <f t="shared" si="33"/>
        <v>15122.4</v>
      </c>
      <c r="AG98" s="9">
        <f t="shared" si="34"/>
        <v>13734.075000000003</v>
      </c>
      <c r="AH98" s="9">
        <f t="shared" si="46"/>
        <v>31064.164499999999</v>
      </c>
      <c r="AI98">
        <f t="shared" si="35"/>
        <v>0.47594430712691005</v>
      </c>
      <c r="AJ98" s="5">
        <f t="shared" si="36"/>
        <v>44928</v>
      </c>
      <c r="AK98" t="str">
        <f t="shared" si="37"/>
        <v>Jan-2023</v>
      </c>
      <c r="AL98">
        <v>0</v>
      </c>
      <c r="AM98">
        <v>0</v>
      </c>
      <c r="AN98">
        <v>0</v>
      </c>
    </row>
    <row r="99" spans="1:40" x14ac:dyDescent="0.45">
      <c r="A99" s="3" t="s">
        <v>555</v>
      </c>
      <c r="B99" s="5">
        <v>45177</v>
      </c>
      <c r="C99" s="9" t="str">
        <f t="shared" si="25"/>
        <v>Sep-2023</v>
      </c>
      <c r="D99" s="5" t="str">
        <f t="shared" si="26"/>
        <v>2023-Q3</v>
      </c>
      <c r="E99" s="5">
        <v>45201</v>
      </c>
      <c r="F99" s="9">
        <f t="shared" si="38"/>
        <v>24</v>
      </c>
      <c r="G99" s="9" t="str">
        <f t="shared" si="39"/>
        <v>NOT ACHIEVED</v>
      </c>
      <c r="H99" s="3" t="s">
        <v>642</v>
      </c>
      <c r="I99" s="3" t="s">
        <v>647</v>
      </c>
      <c r="J99" s="3" t="s">
        <v>661</v>
      </c>
      <c r="K99" s="13" t="str">
        <f t="shared" si="40"/>
        <v>Americas &gt; Canada &gt; Toronto</v>
      </c>
      <c r="L99" s="3" t="s">
        <v>696</v>
      </c>
      <c r="M99" s="3" t="s">
        <v>705</v>
      </c>
      <c r="N99" s="13" t="str">
        <f t="shared" si="27"/>
        <v>Direct</v>
      </c>
      <c r="O99" s="3" t="s">
        <v>714</v>
      </c>
      <c r="P99" s="3" t="s">
        <v>727</v>
      </c>
      <c r="Q99" s="13" t="str">
        <f t="shared" si="28"/>
        <v>High</v>
      </c>
      <c r="R99" s="3" t="s">
        <v>1272</v>
      </c>
      <c r="S99" s="7">
        <v>1299.03</v>
      </c>
      <c r="T99" s="7">
        <f t="shared" si="41"/>
        <v>1493.8844999999999</v>
      </c>
      <c r="U99" s="7">
        <v>2451.2199999999998</v>
      </c>
      <c r="V99" s="7">
        <f t="shared" si="29"/>
        <v>2451.2199999999998</v>
      </c>
      <c r="W99" s="7">
        <f t="shared" si="42"/>
        <v>2818.9029999999993</v>
      </c>
      <c r="X99" s="16">
        <v>0.20799999999999999</v>
      </c>
      <c r="Y99" t="str">
        <f t="shared" si="30"/>
        <v>OK</v>
      </c>
      <c r="Z99" s="16">
        <f t="shared" si="31"/>
        <v>0.20799999999999999</v>
      </c>
      <c r="AA99" s="16">
        <f t="shared" si="43"/>
        <v>0.20799999999999999</v>
      </c>
      <c r="AB99" s="9">
        <v>8</v>
      </c>
      <c r="AC99" s="9">
        <f t="shared" si="44"/>
        <v>9.6</v>
      </c>
      <c r="AD99" s="9">
        <f t="shared" si="32"/>
        <v>15530.929919999999</v>
      </c>
      <c r="AE99" s="9">
        <f t="shared" si="45"/>
        <v>32690.254310399989</v>
      </c>
      <c r="AF99" s="9">
        <f t="shared" si="33"/>
        <v>10392.24</v>
      </c>
      <c r="AG99" s="9">
        <f t="shared" si="34"/>
        <v>5138.6899199999989</v>
      </c>
      <c r="AH99" s="9">
        <f t="shared" si="46"/>
        <v>22298.014310399987</v>
      </c>
      <c r="AI99">
        <f t="shared" si="35"/>
        <v>0.3308681416032041</v>
      </c>
      <c r="AJ99" s="5">
        <f t="shared" si="36"/>
        <v>44928</v>
      </c>
      <c r="AK99" t="str">
        <f t="shared" si="37"/>
        <v>Jan-2023</v>
      </c>
      <c r="AL99">
        <v>0</v>
      </c>
      <c r="AM99">
        <v>0</v>
      </c>
      <c r="AN99">
        <v>0</v>
      </c>
    </row>
    <row r="100" spans="1:40" x14ac:dyDescent="0.45">
      <c r="A100" s="3" t="s">
        <v>565</v>
      </c>
      <c r="B100" s="5">
        <v>45791</v>
      </c>
      <c r="C100" s="9" t="str">
        <f t="shared" si="25"/>
        <v>May-2025</v>
      </c>
      <c r="D100" s="5" t="str">
        <f t="shared" si="26"/>
        <v>2025-Q2</v>
      </c>
      <c r="E100" s="5">
        <v>45796</v>
      </c>
      <c r="F100" s="9">
        <f t="shared" si="38"/>
        <v>5</v>
      </c>
      <c r="G100" s="9" t="str">
        <f t="shared" si="39"/>
        <v>ACHIEVED</v>
      </c>
      <c r="H100" s="3" t="s">
        <v>642</v>
      </c>
      <c r="I100" s="3" t="s">
        <v>647</v>
      </c>
      <c r="J100" s="3" t="s">
        <v>682</v>
      </c>
      <c r="K100" s="13" t="str">
        <f t="shared" si="40"/>
        <v>Americas &gt; Canada &gt; Vancouver</v>
      </c>
      <c r="L100" s="3" t="s">
        <v>697</v>
      </c>
      <c r="M100" s="3" t="s">
        <v>704</v>
      </c>
      <c r="N100" s="13" t="str">
        <f t="shared" si="27"/>
        <v>Distributor</v>
      </c>
      <c r="O100" s="3" t="s">
        <v>715</v>
      </c>
      <c r="P100" s="3" t="s">
        <v>722</v>
      </c>
      <c r="Q100" s="13" t="str">
        <f t="shared" si="28"/>
        <v>High</v>
      </c>
      <c r="R100" s="3" t="s">
        <v>1282</v>
      </c>
      <c r="S100" s="7">
        <v>883.5</v>
      </c>
      <c r="T100" s="7">
        <f t="shared" si="41"/>
        <v>1016.025</v>
      </c>
      <c r="U100" s="7">
        <v>1978.91</v>
      </c>
      <c r="V100" s="7">
        <f t="shared" si="29"/>
        <v>1978.91</v>
      </c>
      <c r="W100" s="7">
        <f t="shared" si="42"/>
        <v>2275.7464999999997</v>
      </c>
      <c r="X100" s="16">
        <v>5.3999999999999999E-2</v>
      </c>
      <c r="Y100" t="str">
        <f t="shared" si="30"/>
        <v>OK</v>
      </c>
      <c r="Z100" s="16">
        <f t="shared" si="31"/>
        <v>5.3999999999999999E-2</v>
      </c>
      <c r="AA100" s="16">
        <f t="shared" si="43"/>
        <v>5.3999999999999999E-2</v>
      </c>
      <c r="AB100" s="9">
        <v>27</v>
      </c>
      <c r="AC100" s="9">
        <f t="shared" si="44"/>
        <v>32.4</v>
      </c>
      <c r="AD100" s="9">
        <f t="shared" si="32"/>
        <v>50545.319219999998</v>
      </c>
      <c r="AE100" s="9">
        <f t="shared" si="45"/>
        <v>77715.832676399994</v>
      </c>
      <c r="AF100" s="9">
        <f t="shared" si="33"/>
        <v>23854.5</v>
      </c>
      <c r="AG100" s="9">
        <f t="shared" si="34"/>
        <v>26690.819219999998</v>
      </c>
      <c r="AH100" s="9">
        <f t="shared" si="46"/>
        <v>53861.332676399994</v>
      </c>
      <c r="AI100">
        <f t="shared" si="35"/>
        <v>0.52805718970390547</v>
      </c>
      <c r="AJ100" s="5">
        <f t="shared" si="36"/>
        <v>44928</v>
      </c>
      <c r="AK100" t="str">
        <f t="shared" si="37"/>
        <v>Jan-2023</v>
      </c>
      <c r="AL100">
        <v>0</v>
      </c>
      <c r="AM100">
        <v>0</v>
      </c>
      <c r="AN100">
        <v>0</v>
      </c>
    </row>
    <row r="101" spans="1:40" x14ac:dyDescent="0.45">
      <c r="A101" s="3" t="s">
        <v>571</v>
      </c>
      <c r="B101" s="5">
        <v>45029</v>
      </c>
      <c r="C101" s="9" t="str">
        <f t="shared" si="25"/>
        <v>Apr-2023</v>
      </c>
      <c r="D101" s="5" t="str">
        <f t="shared" si="26"/>
        <v>2023-Q2</v>
      </c>
      <c r="E101" s="5">
        <v>45048</v>
      </c>
      <c r="F101" s="9">
        <f t="shared" si="38"/>
        <v>19</v>
      </c>
      <c r="G101" s="9" t="str">
        <f t="shared" si="39"/>
        <v>NOT ACHIEVED</v>
      </c>
      <c r="H101" s="3" t="s">
        <v>642</v>
      </c>
      <c r="I101" s="3" t="s">
        <v>647</v>
      </c>
      <c r="J101" s="3" t="s">
        <v>675</v>
      </c>
      <c r="K101" s="13" t="str">
        <f t="shared" si="40"/>
        <v>Americas &gt; Canada &gt; Montreal</v>
      </c>
      <c r="L101" s="3" t="s">
        <v>698</v>
      </c>
      <c r="M101" s="3" t="s">
        <v>704</v>
      </c>
      <c r="N101" s="13" t="str">
        <f t="shared" si="27"/>
        <v>Distributor</v>
      </c>
      <c r="O101" s="3" t="s">
        <v>712</v>
      </c>
      <c r="P101" s="3" t="s">
        <v>726</v>
      </c>
      <c r="Q101" s="13" t="str">
        <f t="shared" si="28"/>
        <v>High</v>
      </c>
      <c r="R101" s="3" t="s">
        <v>1288</v>
      </c>
      <c r="S101" s="7">
        <v>671.05</v>
      </c>
      <c r="T101" s="7">
        <f t="shared" si="41"/>
        <v>771.70749999999987</v>
      </c>
      <c r="U101" s="7">
        <v>1645.48</v>
      </c>
      <c r="V101" s="7">
        <f t="shared" si="29"/>
        <v>1645.48</v>
      </c>
      <c r="W101" s="7">
        <f t="shared" si="42"/>
        <v>1892.3019999999999</v>
      </c>
      <c r="X101" s="16">
        <v>0.13700000000000001</v>
      </c>
      <c r="Y101" t="str">
        <f t="shared" si="30"/>
        <v>OK</v>
      </c>
      <c r="Z101" s="16">
        <f t="shared" si="31"/>
        <v>0.13700000000000001</v>
      </c>
      <c r="AA101" s="16">
        <f t="shared" si="43"/>
        <v>0.13700000000000001</v>
      </c>
      <c r="AB101" s="9">
        <v>6</v>
      </c>
      <c r="AC101" s="9">
        <f t="shared" si="44"/>
        <v>7.1999999999999993</v>
      </c>
      <c r="AD101" s="9">
        <f t="shared" si="32"/>
        <v>8520.2954399999999</v>
      </c>
      <c r="AE101" s="9">
        <f t="shared" si="45"/>
        <v>15491.141092799997</v>
      </c>
      <c r="AF101" s="9">
        <f t="shared" si="33"/>
        <v>4026.2999999999997</v>
      </c>
      <c r="AG101" s="9">
        <f t="shared" si="34"/>
        <v>4493.9954400000006</v>
      </c>
      <c r="AH101" s="9">
        <f t="shared" si="46"/>
        <v>11464.841092799998</v>
      </c>
      <c r="AI101">
        <f t="shared" si="35"/>
        <v>0.52744596377517172</v>
      </c>
      <c r="AJ101" s="5">
        <f t="shared" si="36"/>
        <v>44928</v>
      </c>
      <c r="AK101" t="str">
        <f t="shared" si="37"/>
        <v>Jan-2023</v>
      </c>
      <c r="AL101">
        <v>0</v>
      </c>
      <c r="AM101">
        <v>0</v>
      </c>
      <c r="AN101">
        <v>0</v>
      </c>
    </row>
    <row r="102" spans="1:40" x14ac:dyDescent="0.45">
      <c r="A102" s="3" t="s">
        <v>581</v>
      </c>
      <c r="B102" s="5">
        <v>45293</v>
      </c>
      <c r="C102" s="9" t="str">
        <f t="shared" si="25"/>
        <v>Jan-2024</v>
      </c>
      <c r="D102" s="5" t="str">
        <f t="shared" si="26"/>
        <v>2024-Q1</v>
      </c>
      <c r="E102" s="5">
        <v>45293</v>
      </c>
      <c r="F102" s="9">
        <f t="shared" si="38"/>
        <v>0</v>
      </c>
      <c r="G102" s="9" t="str">
        <f t="shared" si="39"/>
        <v>ACHIEVED</v>
      </c>
      <c r="H102" s="3" t="s">
        <v>642</v>
      </c>
      <c r="I102" s="3" t="s">
        <v>647</v>
      </c>
      <c r="J102" s="3" t="s">
        <v>682</v>
      </c>
      <c r="K102" s="13" t="str">
        <f t="shared" si="40"/>
        <v>Americas &gt; Canada &gt; Vancouver</v>
      </c>
      <c r="L102" s="3" t="s">
        <v>696</v>
      </c>
      <c r="M102" s="3" t="s">
        <v>705</v>
      </c>
      <c r="N102" s="13" t="str">
        <f t="shared" si="27"/>
        <v>Direct</v>
      </c>
      <c r="O102" s="3" t="s">
        <v>714</v>
      </c>
      <c r="P102" s="3" t="s">
        <v>725</v>
      </c>
      <c r="Q102" s="13" t="str">
        <f t="shared" si="28"/>
        <v>Low</v>
      </c>
      <c r="R102" s="3" t="s">
        <v>1298</v>
      </c>
      <c r="S102" s="7">
        <v>444.41</v>
      </c>
      <c r="T102" s="7">
        <f t="shared" si="41"/>
        <v>511.07150000000001</v>
      </c>
      <c r="U102" s="7">
        <v>754.24</v>
      </c>
      <c r="V102" s="7">
        <f t="shared" si="29"/>
        <v>754.24</v>
      </c>
      <c r="W102" s="7">
        <f t="shared" si="42"/>
        <v>867.37599999999998</v>
      </c>
      <c r="X102" s="16">
        <v>0.20699999999999999</v>
      </c>
      <c r="Y102" t="str">
        <f t="shared" si="30"/>
        <v>OK</v>
      </c>
      <c r="Z102" s="16">
        <f t="shared" si="31"/>
        <v>0.20699999999999999</v>
      </c>
      <c r="AA102" s="16">
        <f t="shared" si="43"/>
        <v>0.20699999999999999</v>
      </c>
      <c r="AB102" s="9">
        <v>32</v>
      </c>
      <c r="AC102" s="9">
        <f t="shared" si="44"/>
        <v>38.4</v>
      </c>
      <c r="AD102" s="9">
        <f t="shared" si="32"/>
        <v>19139.594240000002</v>
      </c>
      <c r="AE102" s="9">
        <f t="shared" si="45"/>
        <v>40201.836748799993</v>
      </c>
      <c r="AF102" s="9">
        <f t="shared" si="33"/>
        <v>14221.12</v>
      </c>
      <c r="AG102" s="9">
        <f t="shared" si="34"/>
        <v>4918.4742400000014</v>
      </c>
      <c r="AH102" s="9">
        <f t="shared" si="46"/>
        <v>25980.71674879999</v>
      </c>
      <c r="AI102">
        <f t="shared" si="35"/>
        <v>0.25697902360546598</v>
      </c>
      <c r="AJ102" s="5">
        <f t="shared" si="36"/>
        <v>44928</v>
      </c>
      <c r="AK102" t="str">
        <f t="shared" si="37"/>
        <v>Jan-2023</v>
      </c>
      <c r="AL102">
        <v>0</v>
      </c>
      <c r="AM102">
        <v>0</v>
      </c>
      <c r="AN102">
        <v>0</v>
      </c>
    </row>
    <row r="103" spans="1:40" x14ac:dyDescent="0.45">
      <c r="A103" s="3" t="s">
        <v>582</v>
      </c>
      <c r="B103" s="5">
        <v>45279</v>
      </c>
      <c r="C103" s="9" t="str">
        <f t="shared" si="25"/>
        <v>Dec-2023</v>
      </c>
      <c r="D103" s="5" t="str">
        <f t="shared" si="26"/>
        <v>2023-Q4</v>
      </c>
      <c r="E103" s="5">
        <v>45292</v>
      </c>
      <c r="F103" s="9">
        <f t="shared" si="38"/>
        <v>13</v>
      </c>
      <c r="G103" s="9" t="str">
        <f t="shared" si="39"/>
        <v>NOT ACHIEVED</v>
      </c>
      <c r="H103" s="3" t="s">
        <v>642</v>
      </c>
      <c r="I103" s="3" t="s">
        <v>647</v>
      </c>
      <c r="J103" s="3" t="s">
        <v>661</v>
      </c>
      <c r="K103" s="13" t="str">
        <f t="shared" si="40"/>
        <v>Americas &gt; Canada &gt; Toronto</v>
      </c>
      <c r="L103" s="3" t="s">
        <v>700</v>
      </c>
      <c r="M103" s="3" t="s">
        <v>701</v>
      </c>
      <c r="N103" s="13" t="str">
        <f t="shared" si="27"/>
        <v>Retail</v>
      </c>
      <c r="O103" s="3" t="s">
        <v>717</v>
      </c>
      <c r="P103" s="3" t="s">
        <v>726</v>
      </c>
      <c r="Q103" s="13" t="str">
        <f t="shared" si="28"/>
        <v>Medium</v>
      </c>
      <c r="R103" s="3" t="s">
        <v>1299</v>
      </c>
      <c r="S103" s="7">
        <v>856.1</v>
      </c>
      <c r="T103" s="7">
        <f t="shared" si="41"/>
        <v>984.51499999999999</v>
      </c>
      <c r="U103" s="7">
        <v>901.48</v>
      </c>
      <c r="V103" s="7">
        <f t="shared" si="29"/>
        <v>901.48</v>
      </c>
      <c r="W103" s="7">
        <f t="shared" si="42"/>
        <v>1036.702</v>
      </c>
      <c r="X103" s="16">
        <v>5.6000000000000001E-2</v>
      </c>
      <c r="Y103" t="str">
        <f t="shared" si="30"/>
        <v>OK</v>
      </c>
      <c r="Z103" s="16">
        <f t="shared" si="31"/>
        <v>5.6000000000000001E-2</v>
      </c>
      <c r="AA103" s="16">
        <f t="shared" si="43"/>
        <v>5.6000000000000001E-2</v>
      </c>
      <c r="AB103" s="9">
        <v>17</v>
      </c>
      <c r="AC103" s="9">
        <f t="shared" si="44"/>
        <v>20.399999999999999</v>
      </c>
      <c r="AD103" s="9">
        <f t="shared" si="32"/>
        <v>14466.95104</v>
      </c>
      <c r="AE103" s="9">
        <f t="shared" si="45"/>
        <v>22333.049164799999</v>
      </c>
      <c r="AF103" s="9">
        <f t="shared" si="33"/>
        <v>14553.7</v>
      </c>
      <c r="AG103" s="9">
        <f t="shared" si="34"/>
        <v>-86.748960000000807</v>
      </c>
      <c r="AH103" s="9">
        <f t="shared" si="46"/>
        <v>7779.3491647999981</v>
      </c>
      <c r="AI103">
        <f t="shared" si="35"/>
        <v>-5.9963540182134192E-3</v>
      </c>
      <c r="AJ103" s="5">
        <f t="shared" si="36"/>
        <v>44928</v>
      </c>
      <c r="AK103" t="str">
        <f t="shared" si="37"/>
        <v>Jan-2023</v>
      </c>
      <c r="AL103">
        <v>0</v>
      </c>
      <c r="AM103">
        <v>0</v>
      </c>
      <c r="AN103">
        <v>0</v>
      </c>
    </row>
    <row r="104" spans="1:40" x14ac:dyDescent="0.45">
      <c r="A104" s="3" t="s">
        <v>584</v>
      </c>
      <c r="B104" s="5">
        <v>45872</v>
      </c>
      <c r="C104" s="9" t="str">
        <f t="shared" si="25"/>
        <v>Aug-2025</v>
      </c>
      <c r="D104" s="5" t="str">
        <f t="shared" si="26"/>
        <v>2025-Q3</v>
      </c>
      <c r="E104" s="5">
        <v>45885</v>
      </c>
      <c r="F104" s="9">
        <f t="shared" si="38"/>
        <v>13</v>
      </c>
      <c r="G104" s="9" t="str">
        <f t="shared" si="39"/>
        <v>NOT ACHIEVED</v>
      </c>
      <c r="H104" s="3" t="s">
        <v>642</v>
      </c>
      <c r="I104" s="3" t="s">
        <v>647</v>
      </c>
      <c r="J104" s="3" t="s">
        <v>675</v>
      </c>
      <c r="K104" s="13" t="str">
        <f t="shared" si="40"/>
        <v>Americas &gt; Canada &gt; Montreal</v>
      </c>
      <c r="L104" s="3" t="s">
        <v>700</v>
      </c>
      <c r="M104" s="3" t="s">
        <v>704</v>
      </c>
      <c r="N104" s="13" t="str">
        <f t="shared" si="27"/>
        <v>Distributor</v>
      </c>
      <c r="O104" s="3" t="s">
        <v>713</v>
      </c>
      <c r="P104" s="3" t="s">
        <v>723</v>
      </c>
      <c r="Q104" s="13" t="str">
        <f t="shared" si="28"/>
        <v>Medium</v>
      </c>
      <c r="R104" s="3" t="s">
        <v>1301</v>
      </c>
      <c r="S104" s="7">
        <v>698.66</v>
      </c>
      <c r="T104" s="7">
        <f t="shared" si="41"/>
        <v>803.45899999999995</v>
      </c>
      <c r="U104" s="7">
        <v>868.62</v>
      </c>
      <c r="V104" s="7">
        <f t="shared" si="29"/>
        <v>868.62</v>
      </c>
      <c r="W104" s="7">
        <f t="shared" si="42"/>
        <v>998.9129999999999</v>
      </c>
      <c r="X104" s="16">
        <v>7.1999999999999995E-2</v>
      </c>
      <c r="Y104" t="str">
        <f t="shared" si="30"/>
        <v>OK</v>
      </c>
      <c r="Z104" s="16">
        <f t="shared" si="31"/>
        <v>7.1999999999999995E-2</v>
      </c>
      <c r="AA104" s="16">
        <f t="shared" si="43"/>
        <v>7.1999999999999995E-2</v>
      </c>
      <c r="AB104" s="9">
        <v>15</v>
      </c>
      <c r="AC104" s="9">
        <f t="shared" si="44"/>
        <v>18</v>
      </c>
      <c r="AD104" s="9">
        <f t="shared" si="32"/>
        <v>12091.190399999999</v>
      </c>
      <c r="AE104" s="9">
        <f t="shared" si="45"/>
        <v>19275.025247999998</v>
      </c>
      <c r="AF104" s="9">
        <f t="shared" si="33"/>
        <v>10479.9</v>
      </c>
      <c r="AG104" s="9">
        <f t="shared" si="34"/>
        <v>1611.2903999999999</v>
      </c>
      <c r="AH104" s="9">
        <f t="shared" si="46"/>
        <v>8795.1252479999985</v>
      </c>
      <c r="AI104">
        <f t="shared" si="35"/>
        <v>0.13326151906432637</v>
      </c>
      <c r="AJ104" s="5">
        <f t="shared" si="36"/>
        <v>44928</v>
      </c>
      <c r="AK104" t="str">
        <f t="shared" si="37"/>
        <v>Jan-2023</v>
      </c>
      <c r="AL104">
        <v>0</v>
      </c>
      <c r="AM104">
        <v>0</v>
      </c>
      <c r="AN104">
        <v>0</v>
      </c>
    </row>
    <row r="105" spans="1:40" x14ac:dyDescent="0.45">
      <c r="A105" s="3" t="s">
        <v>585</v>
      </c>
      <c r="B105" s="5">
        <v>45140</v>
      </c>
      <c r="C105" s="9" t="str">
        <f t="shared" si="25"/>
        <v>Aug-2023</v>
      </c>
      <c r="D105" s="5" t="str">
        <f t="shared" si="26"/>
        <v>2023-Q3</v>
      </c>
      <c r="E105" s="5">
        <v>45157</v>
      </c>
      <c r="F105" s="9">
        <f t="shared" si="38"/>
        <v>17</v>
      </c>
      <c r="G105" s="9" t="str">
        <f t="shared" si="39"/>
        <v>NOT ACHIEVED</v>
      </c>
      <c r="H105" s="3" t="s">
        <v>642</v>
      </c>
      <c r="I105" s="3" t="s">
        <v>647</v>
      </c>
      <c r="J105" s="3" t="s">
        <v>682</v>
      </c>
      <c r="K105" s="13" t="str">
        <f t="shared" si="40"/>
        <v>Americas &gt; Canada &gt; Vancouver</v>
      </c>
      <c r="L105" s="3" t="s">
        <v>695</v>
      </c>
      <c r="M105" s="3" t="s">
        <v>702</v>
      </c>
      <c r="N105" s="13" t="str">
        <f t="shared" si="27"/>
        <v>Online</v>
      </c>
      <c r="O105" s="3" t="s">
        <v>715</v>
      </c>
      <c r="P105" s="3" t="s">
        <v>723</v>
      </c>
      <c r="Q105" s="13" t="str">
        <f t="shared" si="28"/>
        <v>Low</v>
      </c>
      <c r="R105" s="3" t="s">
        <v>1302</v>
      </c>
      <c r="S105" s="7">
        <v>175.38</v>
      </c>
      <c r="T105" s="7">
        <f t="shared" si="41"/>
        <v>201.68699999999998</v>
      </c>
      <c r="U105" s="7">
        <v>347.9</v>
      </c>
      <c r="V105" s="7">
        <f t="shared" si="29"/>
        <v>347.9</v>
      </c>
      <c r="W105" s="7">
        <f t="shared" si="42"/>
        <v>400.08499999999992</v>
      </c>
      <c r="X105" s="16">
        <v>7.1999999999999995E-2</v>
      </c>
      <c r="Y105" t="str">
        <f t="shared" si="30"/>
        <v>OK</v>
      </c>
      <c r="Z105" s="16">
        <f t="shared" si="31"/>
        <v>7.1999999999999995E-2</v>
      </c>
      <c r="AA105" s="16">
        <f t="shared" si="43"/>
        <v>7.1999999999999995E-2</v>
      </c>
      <c r="AB105" s="9">
        <v>43</v>
      </c>
      <c r="AC105" s="9">
        <f t="shared" si="44"/>
        <v>51.6</v>
      </c>
      <c r="AD105" s="9">
        <f t="shared" si="32"/>
        <v>13882.6016</v>
      </c>
      <c r="AE105" s="9">
        <f t="shared" si="45"/>
        <v>22130.781791999994</v>
      </c>
      <c r="AF105" s="9">
        <f t="shared" si="33"/>
        <v>7541.34</v>
      </c>
      <c r="AG105" s="9">
        <f t="shared" si="34"/>
        <v>6341.2615999999998</v>
      </c>
      <c r="AH105" s="9">
        <f t="shared" si="46"/>
        <v>14589.441791999994</v>
      </c>
      <c r="AI105">
        <f t="shared" si="35"/>
        <v>0.45677761148169804</v>
      </c>
      <c r="AJ105" s="5">
        <f t="shared" si="36"/>
        <v>44928</v>
      </c>
      <c r="AK105" t="str">
        <f t="shared" si="37"/>
        <v>Jan-2023</v>
      </c>
      <c r="AL105">
        <v>0</v>
      </c>
      <c r="AM105">
        <v>0</v>
      </c>
      <c r="AN105">
        <v>0</v>
      </c>
    </row>
    <row r="106" spans="1:40" x14ac:dyDescent="0.45">
      <c r="A106" s="3" t="s">
        <v>604</v>
      </c>
      <c r="B106" s="5">
        <v>45705</v>
      </c>
      <c r="C106" s="9" t="str">
        <f t="shared" si="25"/>
        <v>Feb-2025</v>
      </c>
      <c r="D106" s="5" t="str">
        <f t="shared" si="26"/>
        <v>2025-Q1</v>
      </c>
      <c r="E106" s="5">
        <v>45710</v>
      </c>
      <c r="F106" s="9">
        <f t="shared" si="38"/>
        <v>5</v>
      </c>
      <c r="G106" s="9" t="str">
        <f t="shared" si="39"/>
        <v>ACHIEVED</v>
      </c>
      <c r="H106" s="3" t="s">
        <v>642</v>
      </c>
      <c r="I106" s="3" t="s">
        <v>647</v>
      </c>
      <c r="J106" s="3" t="s">
        <v>661</v>
      </c>
      <c r="K106" s="13" t="str">
        <f t="shared" si="40"/>
        <v>Americas &gt; Canada &gt; Toronto</v>
      </c>
      <c r="L106" s="3" t="s">
        <v>699</v>
      </c>
      <c r="M106" s="3" t="s">
        <v>701</v>
      </c>
      <c r="N106" s="13" t="str">
        <f t="shared" si="27"/>
        <v>Retail</v>
      </c>
      <c r="O106" s="3" t="s">
        <v>720</v>
      </c>
      <c r="P106" s="3" t="s">
        <v>721</v>
      </c>
      <c r="Q106" s="13" t="str">
        <f t="shared" si="28"/>
        <v>High</v>
      </c>
      <c r="R106" s="3" t="s">
        <v>1321</v>
      </c>
      <c r="S106" s="7">
        <v>1133.47</v>
      </c>
      <c r="T106" s="7">
        <f t="shared" si="41"/>
        <v>1303.4904999999999</v>
      </c>
      <c r="U106" s="7">
        <v>1698.75</v>
      </c>
      <c r="V106" s="7">
        <f t="shared" si="29"/>
        <v>1698.75</v>
      </c>
      <c r="W106" s="7">
        <f t="shared" si="42"/>
        <v>1953.5624999999998</v>
      </c>
      <c r="X106" s="16">
        <v>4.2999999999999997E-2</v>
      </c>
      <c r="Y106" t="str">
        <f t="shared" si="30"/>
        <v>OK</v>
      </c>
      <c r="Z106" s="16">
        <f t="shared" si="31"/>
        <v>4.2999999999999997E-2</v>
      </c>
      <c r="AA106" s="16">
        <f t="shared" si="43"/>
        <v>4.2999999999999997E-2</v>
      </c>
      <c r="AB106" s="9">
        <v>5</v>
      </c>
      <c r="AC106" s="9">
        <f t="shared" si="44"/>
        <v>6</v>
      </c>
      <c r="AD106" s="9">
        <f t="shared" si="32"/>
        <v>8128.5187499999993</v>
      </c>
      <c r="AE106" s="9">
        <f t="shared" si="45"/>
        <v>12225.394124999997</v>
      </c>
      <c r="AF106" s="9">
        <f t="shared" si="33"/>
        <v>5667.35</v>
      </c>
      <c r="AG106" s="9">
        <f t="shared" si="34"/>
        <v>2461.1687499999989</v>
      </c>
      <c r="AH106" s="9">
        <f t="shared" si="46"/>
        <v>6558.0441249999967</v>
      </c>
      <c r="AI106">
        <f t="shared" si="35"/>
        <v>0.30278194904821976</v>
      </c>
      <c r="AJ106" s="5">
        <f t="shared" si="36"/>
        <v>44928</v>
      </c>
      <c r="AK106" t="str">
        <f t="shared" si="37"/>
        <v>Jan-2023</v>
      </c>
      <c r="AL106">
        <v>0</v>
      </c>
      <c r="AM106">
        <v>0</v>
      </c>
      <c r="AN106">
        <v>0</v>
      </c>
    </row>
    <row r="107" spans="1:40" x14ac:dyDescent="0.45">
      <c r="A107" s="3" t="s">
        <v>609</v>
      </c>
      <c r="B107" s="5">
        <v>45523</v>
      </c>
      <c r="C107" s="9" t="str">
        <f t="shared" si="25"/>
        <v>Aug-2024</v>
      </c>
      <c r="D107" s="5" t="str">
        <f t="shared" si="26"/>
        <v>2024-Q3</v>
      </c>
      <c r="E107" s="5">
        <v>45537</v>
      </c>
      <c r="F107" s="9">
        <f t="shared" si="38"/>
        <v>14</v>
      </c>
      <c r="G107" s="9" t="str">
        <f t="shared" si="39"/>
        <v>NOT ACHIEVED</v>
      </c>
      <c r="H107" s="3" t="s">
        <v>642</v>
      </c>
      <c r="I107" s="3" t="s">
        <v>647</v>
      </c>
      <c r="J107" s="3" t="s">
        <v>661</v>
      </c>
      <c r="K107" s="13" t="str">
        <f t="shared" si="40"/>
        <v>Americas &gt; Canada &gt; Toronto</v>
      </c>
      <c r="L107" s="3" t="s">
        <v>698</v>
      </c>
      <c r="M107" s="3" t="s">
        <v>704</v>
      </c>
      <c r="N107" s="13" t="str">
        <f t="shared" si="27"/>
        <v>Distributor</v>
      </c>
      <c r="O107" s="3" t="s">
        <v>706</v>
      </c>
      <c r="P107" s="3" t="s">
        <v>722</v>
      </c>
      <c r="Q107" s="13" t="str">
        <f t="shared" si="28"/>
        <v>Medium</v>
      </c>
      <c r="R107" s="3" t="s">
        <v>1326</v>
      </c>
      <c r="S107" s="7">
        <v>1337.01</v>
      </c>
      <c r="T107" s="7">
        <f t="shared" si="41"/>
        <v>1537.5614999999998</v>
      </c>
      <c r="U107" s="7">
        <v>1269.78</v>
      </c>
      <c r="V107" s="7">
        <f t="shared" si="29"/>
        <v>1269.78</v>
      </c>
      <c r="W107" s="7">
        <f t="shared" si="42"/>
        <v>1460.2469999999998</v>
      </c>
      <c r="X107" s="16">
        <v>0.16</v>
      </c>
      <c r="Y107" t="str">
        <f t="shared" si="30"/>
        <v>OK</v>
      </c>
      <c r="Z107" s="16">
        <f t="shared" si="31"/>
        <v>0.16</v>
      </c>
      <c r="AA107" s="16">
        <f t="shared" si="43"/>
        <v>0.16</v>
      </c>
      <c r="AB107" s="9">
        <v>7</v>
      </c>
      <c r="AC107" s="9">
        <f t="shared" si="44"/>
        <v>8.4</v>
      </c>
      <c r="AD107" s="9">
        <f t="shared" si="32"/>
        <v>7466.3063999999986</v>
      </c>
      <c r="AE107" s="9">
        <f t="shared" si="45"/>
        <v>14228.646767999997</v>
      </c>
      <c r="AF107" s="9">
        <f t="shared" si="33"/>
        <v>9359.07</v>
      </c>
      <c r="AG107" s="9">
        <f t="shared" si="34"/>
        <v>-1892.7636000000011</v>
      </c>
      <c r="AH107" s="9">
        <f t="shared" si="46"/>
        <v>4869.5767679999972</v>
      </c>
      <c r="AI107">
        <f t="shared" si="35"/>
        <v>-0.25350735672996244</v>
      </c>
      <c r="AJ107" s="5">
        <f t="shared" si="36"/>
        <v>44928</v>
      </c>
      <c r="AK107" t="str">
        <f t="shared" si="37"/>
        <v>Jan-2023</v>
      </c>
      <c r="AL107">
        <v>0</v>
      </c>
      <c r="AM107">
        <v>0</v>
      </c>
      <c r="AN107">
        <v>0</v>
      </c>
    </row>
    <row r="108" spans="1:40" x14ac:dyDescent="0.45">
      <c r="A108" s="3" t="s">
        <v>636</v>
      </c>
      <c r="B108" s="5">
        <v>45100</v>
      </c>
      <c r="C108" s="9" t="str">
        <f t="shared" si="25"/>
        <v>Jun-2023</v>
      </c>
      <c r="D108" s="5" t="str">
        <f t="shared" si="26"/>
        <v>2023-Q2</v>
      </c>
      <c r="E108" s="5">
        <v>45125</v>
      </c>
      <c r="F108" s="9">
        <f t="shared" si="38"/>
        <v>25</v>
      </c>
      <c r="G108" s="9" t="str">
        <f t="shared" si="39"/>
        <v>NOT ACHIEVED</v>
      </c>
      <c r="H108" s="3" t="s">
        <v>642</v>
      </c>
      <c r="I108" s="3" t="s">
        <v>647</v>
      </c>
      <c r="J108" s="3" t="s">
        <v>682</v>
      </c>
      <c r="K108" s="13" t="str">
        <f t="shared" si="40"/>
        <v>Americas &gt; Canada &gt; Vancouver</v>
      </c>
      <c r="L108" s="3" t="s">
        <v>700</v>
      </c>
      <c r="M108" s="3" t="s">
        <v>702</v>
      </c>
      <c r="N108" s="13" t="str">
        <f t="shared" si="27"/>
        <v>Online</v>
      </c>
      <c r="O108" s="3" t="s">
        <v>719</v>
      </c>
      <c r="P108" s="3" t="s">
        <v>724</v>
      </c>
      <c r="Q108" s="13" t="str">
        <f t="shared" si="28"/>
        <v>Medium</v>
      </c>
      <c r="R108" s="3" t="s">
        <v>1353</v>
      </c>
      <c r="S108" s="7">
        <v>807.02</v>
      </c>
      <c r="T108" s="7">
        <f t="shared" si="41"/>
        <v>928.07299999999987</v>
      </c>
      <c r="U108" s="7">
        <v>1435.54</v>
      </c>
      <c r="V108" s="7">
        <f t="shared" si="29"/>
        <v>1435.54</v>
      </c>
      <c r="W108" s="7">
        <f t="shared" si="42"/>
        <v>1650.8709999999999</v>
      </c>
      <c r="X108" s="16">
        <v>0</v>
      </c>
      <c r="Y108" t="str">
        <f t="shared" si="30"/>
        <v>OK</v>
      </c>
      <c r="Z108" s="16">
        <f t="shared" si="31"/>
        <v>0</v>
      </c>
      <c r="AA108" s="16">
        <f t="shared" si="43"/>
        <v>0</v>
      </c>
      <c r="AB108" s="9">
        <v>23</v>
      </c>
      <c r="AC108" s="9">
        <f t="shared" si="44"/>
        <v>27.599999999999998</v>
      </c>
      <c r="AD108" s="9">
        <f t="shared" si="32"/>
        <v>33017.42</v>
      </c>
      <c r="AE108" s="9">
        <f t="shared" si="45"/>
        <v>45564.039599999996</v>
      </c>
      <c r="AF108" s="9">
        <f t="shared" si="33"/>
        <v>18561.46</v>
      </c>
      <c r="AG108" s="9">
        <f t="shared" si="34"/>
        <v>14455.96</v>
      </c>
      <c r="AH108" s="9">
        <f t="shared" si="46"/>
        <v>27002.579599999997</v>
      </c>
      <c r="AI108">
        <f t="shared" si="35"/>
        <v>0.43782827368098415</v>
      </c>
      <c r="AJ108" s="5">
        <f t="shared" si="36"/>
        <v>44928</v>
      </c>
      <c r="AK108" t="str">
        <f t="shared" si="37"/>
        <v>Jan-2023</v>
      </c>
      <c r="AL108">
        <v>0</v>
      </c>
      <c r="AM108">
        <v>0</v>
      </c>
      <c r="AN108">
        <v>0</v>
      </c>
    </row>
    <row r="109" spans="1:40" x14ac:dyDescent="0.45">
      <c r="A109" s="3" t="s">
        <v>30</v>
      </c>
      <c r="B109" s="5">
        <v>45057</v>
      </c>
      <c r="C109" s="9" t="str">
        <f t="shared" si="25"/>
        <v>May-2023</v>
      </c>
      <c r="D109" s="5" t="str">
        <f t="shared" si="26"/>
        <v>2023-Q2</v>
      </c>
      <c r="E109" s="5">
        <v>45074</v>
      </c>
      <c r="F109" s="9">
        <f t="shared" si="38"/>
        <v>17</v>
      </c>
      <c r="G109" s="9" t="str">
        <f t="shared" si="39"/>
        <v>NOT ACHIEVED</v>
      </c>
      <c r="H109" s="3" t="s">
        <v>641</v>
      </c>
      <c r="I109" s="3" t="s">
        <v>653</v>
      </c>
      <c r="J109" s="3" t="s">
        <v>670</v>
      </c>
      <c r="K109" s="13" t="str">
        <f t="shared" si="40"/>
        <v>Asia &gt; China &gt; Shenzhen</v>
      </c>
      <c r="L109" s="3" t="s">
        <v>700</v>
      </c>
      <c r="M109" s="3" t="s">
        <v>703</v>
      </c>
      <c r="N109" s="13" t="str">
        <f t="shared" si="27"/>
        <v>Marketplace</v>
      </c>
      <c r="O109" s="3" t="s">
        <v>712</v>
      </c>
      <c r="P109" s="3" t="s">
        <v>723</v>
      </c>
      <c r="Q109" s="13" t="str">
        <f t="shared" si="28"/>
        <v>High</v>
      </c>
      <c r="R109" s="3" t="s">
        <v>749</v>
      </c>
      <c r="S109" s="7">
        <v>1331.19</v>
      </c>
      <c r="T109" s="7">
        <f t="shared" si="41"/>
        <v>1530.8685</v>
      </c>
      <c r="U109" s="7">
        <v>2903.09</v>
      </c>
      <c r="V109" s="7">
        <f t="shared" si="29"/>
        <v>2903.09</v>
      </c>
      <c r="W109" s="7">
        <f t="shared" si="42"/>
        <v>3338.5535</v>
      </c>
      <c r="X109" s="16">
        <v>0.14299999999999999</v>
      </c>
      <c r="Y109" t="str">
        <f t="shared" si="30"/>
        <v>OK</v>
      </c>
      <c r="Z109" s="16">
        <f t="shared" si="31"/>
        <v>0.14299999999999999</v>
      </c>
      <c r="AA109" s="16">
        <f t="shared" si="43"/>
        <v>0.14299999999999999</v>
      </c>
      <c r="AB109" s="9">
        <v>8</v>
      </c>
      <c r="AC109" s="9">
        <f t="shared" si="44"/>
        <v>9.6</v>
      </c>
      <c r="AD109" s="9">
        <f t="shared" si="32"/>
        <v>19903.585040000002</v>
      </c>
      <c r="AE109" s="9">
        <f t="shared" si="45"/>
        <v>36633.279844799996</v>
      </c>
      <c r="AF109" s="9">
        <f t="shared" si="33"/>
        <v>10649.52</v>
      </c>
      <c r="AG109" s="9">
        <f t="shared" si="34"/>
        <v>9254.0650400000013</v>
      </c>
      <c r="AH109" s="9">
        <f t="shared" si="46"/>
        <v>25983.759844799995</v>
      </c>
      <c r="AI109">
        <f t="shared" si="35"/>
        <v>0.46494463290920784</v>
      </c>
      <c r="AJ109" s="5">
        <f t="shared" si="36"/>
        <v>44928</v>
      </c>
      <c r="AK109" t="str">
        <f t="shared" si="37"/>
        <v>Jan-2023</v>
      </c>
      <c r="AL109">
        <v>0</v>
      </c>
      <c r="AM109">
        <v>0</v>
      </c>
      <c r="AN109">
        <v>0</v>
      </c>
    </row>
    <row r="110" spans="1:40" x14ac:dyDescent="0.45">
      <c r="A110" s="3" t="s">
        <v>46</v>
      </c>
      <c r="B110" s="5">
        <v>45832</v>
      </c>
      <c r="C110" s="9" t="str">
        <f t="shared" si="25"/>
        <v>Jun-2025</v>
      </c>
      <c r="D110" s="5" t="str">
        <f t="shared" si="26"/>
        <v>2025-Q2</v>
      </c>
      <c r="E110" s="5">
        <v>45848</v>
      </c>
      <c r="F110" s="9">
        <f t="shared" si="38"/>
        <v>16</v>
      </c>
      <c r="G110" s="9" t="str">
        <f t="shared" si="39"/>
        <v>NOT ACHIEVED</v>
      </c>
      <c r="H110" s="3" t="s">
        <v>641</v>
      </c>
      <c r="I110" s="3" t="s">
        <v>653</v>
      </c>
      <c r="J110" s="3" t="s">
        <v>679</v>
      </c>
      <c r="K110" s="13" t="str">
        <f t="shared" si="40"/>
        <v>Asia &gt; China &gt; Shanghai</v>
      </c>
      <c r="L110" s="3" t="s">
        <v>700</v>
      </c>
      <c r="M110" s="3" t="s">
        <v>705</v>
      </c>
      <c r="N110" s="13" t="str">
        <f t="shared" si="27"/>
        <v>Direct</v>
      </c>
      <c r="O110" s="3" t="s">
        <v>719</v>
      </c>
      <c r="P110" s="3" t="s">
        <v>721</v>
      </c>
      <c r="Q110" s="13" t="str">
        <f t="shared" si="28"/>
        <v>High</v>
      </c>
      <c r="R110" s="3" t="s">
        <v>765</v>
      </c>
      <c r="S110" s="7">
        <v>757.19</v>
      </c>
      <c r="T110" s="7">
        <f t="shared" si="41"/>
        <v>870.76850000000002</v>
      </c>
      <c r="U110" s="7">
        <v>1735.41</v>
      </c>
      <c r="V110" s="7">
        <f t="shared" si="29"/>
        <v>1735.41</v>
      </c>
      <c r="W110" s="7">
        <f t="shared" si="42"/>
        <v>1995.7214999999999</v>
      </c>
      <c r="X110" s="16">
        <v>0.13600000000000001</v>
      </c>
      <c r="Y110" t="str">
        <f t="shared" si="30"/>
        <v>OK</v>
      </c>
      <c r="Z110" s="16">
        <f t="shared" si="31"/>
        <v>0.13600000000000001</v>
      </c>
      <c r="AA110" s="16">
        <f t="shared" si="43"/>
        <v>0.13600000000000001</v>
      </c>
      <c r="AB110" s="9">
        <v>8</v>
      </c>
      <c r="AC110" s="9">
        <f t="shared" si="44"/>
        <v>9.6</v>
      </c>
      <c r="AD110" s="9">
        <f t="shared" si="32"/>
        <v>11995.153920000001</v>
      </c>
      <c r="AE110" s="9">
        <f t="shared" si="45"/>
        <v>21764.540390399998</v>
      </c>
      <c r="AF110" s="9">
        <f t="shared" si="33"/>
        <v>6057.52</v>
      </c>
      <c r="AG110" s="9">
        <f t="shared" si="34"/>
        <v>5937.6339200000002</v>
      </c>
      <c r="AH110" s="9">
        <f t="shared" si="46"/>
        <v>15707.020390399997</v>
      </c>
      <c r="AI110">
        <f t="shared" si="35"/>
        <v>0.4950027285685718</v>
      </c>
      <c r="AJ110" s="5">
        <f t="shared" si="36"/>
        <v>44928</v>
      </c>
      <c r="AK110" t="str">
        <f t="shared" si="37"/>
        <v>Jan-2023</v>
      </c>
      <c r="AL110">
        <v>0</v>
      </c>
      <c r="AM110">
        <v>0</v>
      </c>
      <c r="AN110">
        <v>0</v>
      </c>
    </row>
    <row r="111" spans="1:40" x14ac:dyDescent="0.45">
      <c r="A111" s="3" t="s">
        <v>78</v>
      </c>
      <c r="B111" s="5">
        <v>45037</v>
      </c>
      <c r="C111" s="9" t="str">
        <f t="shared" si="25"/>
        <v>Apr-2023</v>
      </c>
      <c r="D111" s="5" t="str">
        <f t="shared" si="26"/>
        <v>2023-Q2</v>
      </c>
      <c r="E111" s="5">
        <v>45056</v>
      </c>
      <c r="F111" s="9">
        <f t="shared" si="38"/>
        <v>19</v>
      </c>
      <c r="G111" s="9" t="str">
        <f t="shared" si="39"/>
        <v>NOT ACHIEVED</v>
      </c>
      <c r="H111" s="3" t="s">
        <v>641</v>
      </c>
      <c r="I111" s="3" t="s">
        <v>653</v>
      </c>
      <c r="J111" s="3" t="s">
        <v>679</v>
      </c>
      <c r="K111" s="13" t="str">
        <f t="shared" si="40"/>
        <v>Asia &gt; China &gt; Shanghai</v>
      </c>
      <c r="L111" s="3" t="s">
        <v>695</v>
      </c>
      <c r="M111" s="3" t="s">
        <v>701</v>
      </c>
      <c r="N111" s="13" t="str">
        <f t="shared" si="27"/>
        <v>Retail</v>
      </c>
      <c r="O111" s="3" t="s">
        <v>714</v>
      </c>
      <c r="P111" s="3" t="s">
        <v>721</v>
      </c>
      <c r="Q111" s="13" t="str">
        <f t="shared" si="28"/>
        <v>High</v>
      </c>
      <c r="R111" s="3" t="s">
        <v>797</v>
      </c>
      <c r="S111" s="7">
        <v>882.33</v>
      </c>
      <c r="T111" s="7">
        <f t="shared" si="41"/>
        <v>1014.6795</v>
      </c>
      <c r="U111" s="7">
        <v>1880.15</v>
      </c>
      <c r="V111" s="7">
        <f t="shared" si="29"/>
        <v>1880.15</v>
      </c>
      <c r="W111" s="7">
        <f t="shared" si="42"/>
        <v>2162.1725000000001</v>
      </c>
      <c r="X111" s="16">
        <v>0.05</v>
      </c>
      <c r="Y111" t="str">
        <f t="shared" si="30"/>
        <v>OK</v>
      </c>
      <c r="Z111" s="16">
        <f t="shared" si="31"/>
        <v>0.05</v>
      </c>
      <c r="AA111" s="16">
        <f t="shared" si="43"/>
        <v>0.05</v>
      </c>
      <c r="AB111" s="9">
        <v>5</v>
      </c>
      <c r="AC111" s="9">
        <f t="shared" si="44"/>
        <v>6</v>
      </c>
      <c r="AD111" s="9">
        <f t="shared" si="32"/>
        <v>8930.7124999999996</v>
      </c>
      <c r="AE111" s="9">
        <f t="shared" si="45"/>
        <v>13621.686750000001</v>
      </c>
      <c r="AF111" s="9">
        <f t="shared" si="33"/>
        <v>4411.6500000000005</v>
      </c>
      <c r="AG111" s="9">
        <f t="shared" si="34"/>
        <v>4519.0624999999991</v>
      </c>
      <c r="AH111" s="9">
        <f t="shared" si="46"/>
        <v>9210.0367499999993</v>
      </c>
      <c r="AI111">
        <f t="shared" si="35"/>
        <v>0.50601365792482955</v>
      </c>
      <c r="AJ111" s="5">
        <f t="shared" si="36"/>
        <v>44928</v>
      </c>
      <c r="AK111" t="str">
        <f t="shared" si="37"/>
        <v>Jan-2023</v>
      </c>
      <c r="AL111">
        <v>0</v>
      </c>
      <c r="AM111">
        <v>0</v>
      </c>
      <c r="AN111">
        <v>0</v>
      </c>
    </row>
    <row r="112" spans="1:40" x14ac:dyDescent="0.45">
      <c r="A112" s="3" t="s">
        <v>82</v>
      </c>
      <c r="B112" s="5">
        <v>45641</v>
      </c>
      <c r="C112" s="9" t="str">
        <f t="shared" si="25"/>
        <v>Dec-2024</v>
      </c>
      <c r="D112" s="5" t="str">
        <f t="shared" si="26"/>
        <v>2024-Q4</v>
      </c>
      <c r="E112" s="5">
        <v>45646</v>
      </c>
      <c r="F112" s="9">
        <f t="shared" si="38"/>
        <v>5</v>
      </c>
      <c r="G112" s="9" t="str">
        <f t="shared" si="39"/>
        <v>ACHIEVED</v>
      </c>
      <c r="H112" s="3" t="s">
        <v>641</v>
      </c>
      <c r="I112" s="3" t="s">
        <v>653</v>
      </c>
      <c r="J112" s="3" t="s">
        <v>670</v>
      </c>
      <c r="K112" s="13" t="str">
        <f t="shared" si="40"/>
        <v>Asia &gt; China &gt; Shenzhen</v>
      </c>
      <c r="L112" s="3" t="s">
        <v>699</v>
      </c>
      <c r="M112" s="3" t="s">
        <v>705</v>
      </c>
      <c r="N112" s="13" t="str">
        <f t="shared" si="27"/>
        <v>Direct</v>
      </c>
      <c r="O112" s="3" t="s">
        <v>707</v>
      </c>
      <c r="P112" s="3" t="s">
        <v>723</v>
      </c>
      <c r="Q112" s="13" t="str">
        <f t="shared" si="28"/>
        <v>Low</v>
      </c>
      <c r="R112" s="3" t="s">
        <v>801</v>
      </c>
      <c r="S112" s="7">
        <v>717.55</v>
      </c>
      <c r="T112" s="7">
        <f t="shared" si="41"/>
        <v>825.18249999999989</v>
      </c>
      <c r="U112" s="7">
        <v>546.42999999999995</v>
      </c>
      <c r="V112" s="7">
        <f t="shared" si="29"/>
        <v>546.42999999999995</v>
      </c>
      <c r="W112" s="7">
        <f t="shared" si="42"/>
        <v>628.39449999999988</v>
      </c>
      <c r="X112" s="16">
        <v>4.7E-2</v>
      </c>
      <c r="Y112" t="str">
        <f t="shared" si="30"/>
        <v>OK</v>
      </c>
      <c r="Z112" s="16">
        <f t="shared" si="31"/>
        <v>4.7E-2</v>
      </c>
      <c r="AA112" s="16">
        <f t="shared" si="43"/>
        <v>4.7E-2</v>
      </c>
      <c r="AB112" s="9">
        <v>18</v>
      </c>
      <c r="AC112" s="9">
        <f t="shared" si="44"/>
        <v>21.599999999999998</v>
      </c>
      <c r="AD112" s="9">
        <f t="shared" si="32"/>
        <v>9373.460219999999</v>
      </c>
      <c r="AE112" s="9">
        <f t="shared" si="45"/>
        <v>14211.267296399996</v>
      </c>
      <c r="AF112" s="9">
        <f t="shared" si="33"/>
        <v>12915.9</v>
      </c>
      <c r="AG112" s="9">
        <f t="shared" si="34"/>
        <v>-3542.4397800000006</v>
      </c>
      <c r="AH112" s="9">
        <f t="shared" si="46"/>
        <v>1295.3672963999961</v>
      </c>
      <c r="AI112">
        <f t="shared" si="35"/>
        <v>-0.37792231437026369</v>
      </c>
      <c r="AJ112" s="5">
        <f t="shared" si="36"/>
        <v>44928</v>
      </c>
      <c r="AK112" t="str">
        <f t="shared" si="37"/>
        <v>Jan-2023</v>
      </c>
      <c r="AL112">
        <v>0</v>
      </c>
      <c r="AM112">
        <v>0</v>
      </c>
      <c r="AN112">
        <v>0</v>
      </c>
    </row>
    <row r="113" spans="1:40" x14ac:dyDescent="0.45">
      <c r="A113" s="3" t="s">
        <v>95</v>
      </c>
      <c r="B113" s="5">
        <v>45388</v>
      </c>
      <c r="C113" s="9" t="str">
        <f t="shared" si="25"/>
        <v>Apr-2024</v>
      </c>
      <c r="D113" s="5" t="str">
        <f t="shared" si="26"/>
        <v>2024-Q2</v>
      </c>
      <c r="E113" s="5">
        <v>45407</v>
      </c>
      <c r="F113" s="9">
        <f t="shared" si="38"/>
        <v>19</v>
      </c>
      <c r="G113" s="9" t="str">
        <f t="shared" si="39"/>
        <v>NOT ACHIEVED</v>
      </c>
      <c r="H113" s="3" t="s">
        <v>641</v>
      </c>
      <c r="I113" s="3" t="s">
        <v>653</v>
      </c>
      <c r="J113" s="3" t="s">
        <v>679</v>
      </c>
      <c r="K113" s="13" t="str">
        <f t="shared" si="40"/>
        <v>Asia &gt; China &gt; Shanghai</v>
      </c>
      <c r="L113" s="3" t="s">
        <v>695</v>
      </c>
      <c r="M113" s="3" t="s">
        <v>701</v>
      </c>
      <c r="N113" s="13" t="str">
        <f t="shared" si="27"/>
        <v>Retail</v>
      </c>
      <c r="O113" s="3" t="s">
        <v>717</v>
      </c>
      <c r="P113" s="3" t="s">
        <v>721</v>
      </c>
      <c r="Q113" s="13" t="str">
        <f t="shared" si="28"/>
        <v>High</v>
      </c>
      <c r="R113" s="3" t="s">
        <v>814</v>
      </c>
      <c r="S113" s="7">
        <v>1366.48</v>
      </c>
      <c r="T113" s="7">
        <f t="shared" si="41"/>
        <v>1571.452</v>
      </c>
      <c r="U113" s="7">
        <v>1678.14</v>
      </c>
      <c r="V113" s="7">
        <f t="shared" si="29"/>
        <v>1678.14</v>
      </c>
      <c r="W113" s="7">
        <f t="shared" si="42"/>
        <v>1929.8609999999999</v>
      </c>
      <c r="X113" s="16">
        <v>0.154</v>
      </c>
      <c r="Y113" t="str">
        <f t="shared" si="30"/>
        <v>OK</v>
      </c>
      <c r="Z113" s="16">
        <f t="shared" si="31"/>
        <v>0.154</v>
      </c>
      <c r="AA113" s="16">
        <f t="shared" si="43"/>
        <v>0.154</v>
      </c>
      <c r="AB113" s="9">
        <v>10</v>
      </c>
      <c r="AC113" s="9">
        <f t="shared" si="44"/>
        <v>12</v>
      </c>
      <c r="AD113" s="9">
        <f t="shared" si="32"/>
        <v>14197.064400000001</v>
      </c>
      <c r="AE113" s="9">
        <f t="shared" si="45"/>
        <v>26724.715127999996</v>
      </c>
      <c r="AF113" s="9">
        <f t="shared" si="33"/>
        <v>13664.8</v>
      </c>
      <c r="AG113" s="9">
        <f t="shared" si="34"/>
        <v>532.26440000000184</v>
      </c>
      <c r="AH113" s="9">
        <f t="shared" si="46"/>
        <v>13059.915127999997</v>
      </c>
      <c r="AI113">
        <f t="shared" si="35"/>
        <v>3.7491159087790132E-2</v>
      </c>
      <c r="AJ113" s="5">
        <f t="shared" si="36"/>
        <v>44928</v>
      </c>
      <c r="AK113" t="str">
        <f t="shared" si="37"/>
        <v>Jan-2023</v>
      </c>
      <c r="AL113">
        <v>0</v>
      </c>
      <c r="AM113">
        <v>0</v>
      </c>
      <c r="AN113">
        <v>0</v>
      </c>
    </row>
    <row r="114" spans="1:40" x14ac:dyDescent="0.45">
      <c r="A114" s="3" t="s">
        <v>107</v>
      </c>
      <c r="B114" s="5">
        <v>45860</v>
      </c>
      <c r="C114" s="9" t="str">
        <f t="shared" si="25"/>
        <v>Jul-2025</v>
      </c>
      <c r="D114" s="5" t="str">
        <f t="shared" si="26"/>
        <v>2025-Q3</v>
      </c>
      <c r="E114" s="5">
        <v>45887</v>
      </c>
      <c r="F114" s="9">
        <f t="shared" si="38"/>
        <v>27</v>
      </c>
      <c r="G114" s="9" t="str">
        <f t="shared" si="39"/>
        <v>NOT ACHIEVED</v>
      </c>
      <c r="H114" s="3" t="s">
        <v>641</v>
      </c>
      <c r="I114" s="3" t="s">
        <v>653</v>
      </c>
      <c r="J114" s="3" t="s">
        <v>670</v>
      </c>
      <c r="K114" s="13" t="str">
        <f t="shared" si="40"/>
        <v>Asia &gt; China &gt; Shenzhen</v>
      </c>
      <c r="L114" s="3" t="s">
        <v>697</v>
      </c>
      <c r="M114" s="3" t="s">
        <v>703</v>
      </c>
      <c r="N114" s="13" t="str">
        <f t="shared" si="27"/>
        <v>Marketplace</v>
      </c>
      <c r="O114" s="3" t="s">
        <v>718</v>
      </c>
      <c r="P114" s="3" t="s">
        <v>723</v>
      </c>
      <c r="Q114" s="13" t="str">
        <f t="shared" si="28"/>
        <v>Low</v>
      </c>
      <c r="R114" s="3" t="s">
        <v>826</v>
      </c>
      <c r="S114" s="7">
        <v>547.32000000000005</v>
      </c>
      <c r="T114" s="7">
        <f t="shared" si="41"/>
        <v>629.41800000000001</v>
      </c>
      <c r="U114" s="7">
        <v>419.17</v>
      </c>
      <c r="V114" s="7">
        <f t="shared" si="29"/>
        <v>419.17</v>
      </c>
      <c r="W114" s="7">
        <f t="shared" si="42"/>
        <v>482.0455</v>
      </c>
      <c r="X114" s="16">
        <v>9.1999999999999998E-2</v>
      </c>
      <c r="Y114" t="str">
        <f t="shared" si="30"/>
        <v>OK</v>
      </c>
      <c r="Z114" s="16">
        <f t="shared" si="31"/>
        <v>9.1999999999999998E-2</v>
      </c>
      <c r="AA114" s="16">
        <f t="shared" si="43"/>
        <v>9.1999999999999998E-2</v>
      </c>
      <c r="AB114" s="9">
        <v>14</v>
      </c>
      <c r="AC114" s="9">
        <f t="shared" si="44"/>
        <v>16.8</v>
      </c>
      <c r="AD114" s="9">
        <f t="shared" si="32"/>
        <v>5328.4890400000004</v>
      </c>
      <c r="AE114" s="9">
        <f t="shared" si="45"/>
        <v>8843.413924800001</v>
      </c>
      <c r="AF114" s="9">
        <f t="shared" si="33"/>
        <v>7662.4800000000005</v>
      </c>
      <c r="AG114" s="9">
        <f t="shared" si="34"/>
        <v>-2333.9909600000001</v>
      </c>
      <c r="AH114" s="9">
        <f t="shared" si="46"/>
        <v>1180.9339248000006</v>
      </c>
      <c r="AI114">
        <f t="shared" si="35"/>
        <v>-0.43802116181137907</v>
      </c>
      <c r="AJ114" s="5">
        <f t="shared" si="36"/>
        <v>44928</v>
      </c>
      <c r="AK114" t="str">
        <f t="shared" si="37"/>
        <v>Jan-2023</v>
      </c>
      <c r="AL114">
        <v>0</v>
      </c>
      <c r="AM114">
        <v>0</v>
      </c>
      <c r="AN114">
        <v>0</v>
      </c>
    </row>
    <row r="115" spans="1:40" x14ac:dyDescent="0.45">
      <c r="A115" s="3" t="s">
        <v>109</v>
      </c>
      <c r="B115" s="5">
        <v>45684</v>
      </c>
      <c r="C115" s="9" t="str">
        <f t="shared" si="25"/>
        <v>Jan-2025</v>
      </c>
      <c r="D115" s="5" t="str">
        <f t="shared" si="26"/>
        <v>2025-Q1</v>
      </c>
      <c r="E115" s="5">
        <v>45703</v>
      </c>
      <c r="F115" s="9">
        <f t="shared" si="38"/>
        <v>19</v>
      </c>
      <c r="G115" s="9" t="str">
        <f t="shared" si="39"/>
        <v>NOT ACHIEVED</v>
      </c>
      <c r="H115" s="3" t="s">
        <v>641</v>
      </c>
      <c r="I115" s="3" t="s">
        <v>653</v>
      </c>
      <c r="J115" s="3" t="s">
        <v>670</v>
      </c>
      <c r="K115" s="13" t="str">
        <f t="shared" si="40"/>
        <v>Asia &gt; China &gt; Shenzhen</v>
      </c>
      <c r="L115" s="3" t="s">
        <v>697</v>
      </c>
      <c r="M115" s="3" t="s">
        <v>705</v>
      </c>
      <c r="N115" s="13" t="str">
        <f t="shared" si="27"/>
        <v>Direct</v>
      </c>
      <c r="O115" s="3" t="s">
        <v>710</v>
      </c>
      <c r="P115" s="3" t="s">
        <v>724</v>
      </c>
      <c r="Q115" s="13" t="str">
        <f t="shared" si="28"/>
        <v>High</v>
      </c>
      <c r="R115" s="3" t="s">
        <v>828</v>
      </c>
      <c r="S115" s="7">
        <v>1253.22</v>
      </c>
      <c r="T115" s="7">
        <f t="shared" si="41"/>
        <v>1441.203</v>
      </c>
      <c r="U115" s="7">
        <v>3104.71</v>
      </c>
      <c r="V115" s="7">
        <f t="shared" si="29"/>
        <v>3104.71</v>
      </c>
      <c r="W115" s="7">
        <f t="shared" si="42"/>
        <v>3570.4164999999998</v>
      </c>
      <c r="X115" s="16">
        <v>0</v>
      </c>
      <c r="Y115" t="str">
        <f t="shared" si="30"/>
        <v>OK</v>
      </c>
      <c r="Z115" s="16">
        <f t="shared" si="31"/>
        <v>0</v>
      </c>
      <c r="AA115" s="16">
        <f t="shared" si="43"/>
        <v>0</v>
      </c>
      <c r="AB115" s="9">
        <v>17</v>
      </c>
      <c r="AC115" s="9">
        <f t="shared" si="44"/>
        <v>20.399999999999999</v>
      </c>
      <c r="AD115" s="9">
        <f t="shared" si="32"/>
        <v>52780.07</v>
      </c>
      <c r="AE115" s="9">
        <f t="shared" si="45"/>
        <v>72836.496599999984</v>
      </c>
      <c r="AF115" s="9">
        <f t="shared" si="33"/>
        <v>21304.74</v>
      </c>
      <c r="AG115" s="9">
        <f t="shared" si="34"/>
        <v>31475.329999999998</v>
      </c>
      <c r="AH115" s="9">
        <f t="shared" si="46"/>
        <v>51531.756599999979</v>
      </c>
      <c r="AI115">
        <f t="shared" si="35"/>
        <v>0.59634877331538205</v>
      </c>
      <c r="AJ115" s="5">
        <f t="shared" si="36"/>
        <v>44928</v>
      </c>
      <c r="AK115" t="str">
        <f t="shared" si="37"/>
        <v>Jan-2023</v>
      </c>
      <c r="AL115">
        <v>0</v>
      </c>
      <c r="AM115">
        <v>0</v>
      </c>
      <c r="AN115">
        <v>0</v>
      </c>
    </row>
    <row r="116" spans="1:40" x14ac:dyDescent="0.45">
      <c r="A116" s="3" t="s">
        <v>113</v>
      </c>
      <c r="B116" s="5">
        <v>45549</v>
      </c>
      <c r="C116" s="9" t="str">
        <f t="shared" si="25"/>
        <v>Sep-2024</v>
      </c>
      <c r="D116" s="5" t="str">
        <f t="shared" si="26"/>
        <v>2024-Q3</v>
      </c>
      <c r="E116" s="5">
        <v>45570</v>
      </c>
      <c r="F116" s="9">
        <f t="shared" si="38"/>
        <v>21</v>
      </c>
      <c r="G116" s="9" t="str">
        <f t="shared" si="39"/>
        <v>NOT ACHIEVED</v>
      </c>
      <c r="H116" s="3" t="s">
        <v>641</v>
      </c>
      <c r="I116" s="3" t="s">
        <v>653</v>
      </c>
      <c r="J116" s="3" t="s">
        <v>679</v>
      </c>
      <c r="K116" s="13" t="str">
        <f t="shared" si="40"/>
        <v>Asia &gt; China &gt; Shanghai</v>
      </c>
      <c r="L116" s="3" t="s">
        <v>699</v>
      </c>
      <c r="M116" s="3" t="s">
        <v>702</v>
      </c>
      <c r="N116" s="13" t="str">
        <f t="shared" si="27"/>
        <v>Online</v>
      </c>
      <c r="O116" s="3" t="s">
        <v>716</v>
      </c>
      <c r="P116" s="3" t="s">
        <v>725</v>
      </c>
      <c r="Q116" s="13" t="str">
        <f t="shared" si="28"/>
        <v>High</v>
      </c>
      <c r="R116" s="3" t="s">
        <v>832</v>
      </c>
      <c r="S116" s="7">
        <v>1405.56</v>
      </c>
      <c r="T116" s="7">
        <f t="shared" si="41"/>
        <v>1616.3939999999998</v>
      </c>
      <c r="U116" s="7">
        <v>2968.87</v>
      </c>
      <c r="V116" s="7">
        <f t="shared" si="29"/>
        <v>2968.87</v>
      </c>
      <c r="W116" s="7">
        <f t="shared" si="42"/>
        <v>3414.2004999999995</v>
      </c>
      <c r="X116" s="16">
        <v>0.16900000000000001</v>
      </c>
      <c r="Y116" t="str">
        <f t="shared" si="30"/>
        <v>OK</v>
      </c>
      <c r="Z116" s="16">
        <f t="shared" si="31"/>
        <v>0.16900000000000001</v>
      </c>
      <c r="AA116" s="16">
        <f t="shared" si="43"/>
        <v>0.16900000000000001</v>
      </c>
      <c r="AB116" s="9">
        <v>5</v>
      </c>
      <c r="AC116" s="9">
        <f t="shared" si="44"/>
        <v>6</v>
      </c>
      <c r="AD116" s="9">
        <f t="shared" si="32"/>
        <v>12335.654849999999</v>
      </c>
      <c r="AE116" s="9">
        <f t="shared" si="45"/>
        <v>23947.202307</v>
      </c>
      <c r="AF116" s="9">
        <f t="shared" si="33"/>
        <v>7027.7999999999993</v>
      </c>
      <c r="AG116" s="9">
        <f t="shared" si="34"/>
        <v>5307.8548499999997</v>
      </c>
      <c r="AH116" s="9">
        <f t="shared" si="46"/>
        <v>16919.402307</v>
      </c>
      <c r="AI116">
        <f t="shared" si="35"/>
        <v>0.4302856163327235</v>
      </c>
      <c r="AJ116" s="5">
        <f t="shared" si="36"/>
        <v>44928</v>
      </c>
      <c r="AK116" t="str">
        <f t="shared" si="37"/>
        <v>Jan-2023</v>
      </c>
      <c r="AL116">
        <v>0</v>
      </c>
      <c r="AM116">
        <v>0</v>
      </c>
      <c r="AN116">
        <v>0</v>
      </c>
    </row>
    <row r="117" spans="1:40" x14ac:dyDescent="0.45">
      <c r="A117" s="3" t="s">
        <v>119</v>
      </c>
      <c r="B117" s="5">
        <v>45452</v>
      </c>
      <c r="C117" s="9" t="str">
        <f t="shared" si="25"/>
        <v>Jun-2024</v>
      </c>
      <c r="D117" s="5" t="str">
        <f t="shared" si="26"/>
        <v>2024-Q2</v>
      </c>
      <c r="E117" s="5">
        <v>45480</v>
      </c>
      <c r="F117" s="9">
        <f t="shared" si="38"/>
        <v>28</v>
      </c>
      <c r="G117" s="9" t="str">
        <f t="shared" si="39"/>
        <v>NOT ACHIEVED</v>
      </c>
      <c r="H117" s="3" t="s">
        <v>641</v>
      </c>
      <c r="I117" s="3" t="s">
        <v>653</v>
      </c>
      <c r="J117" s="3" t="s">
        <v>670</v>
      </c>
      <c r="K117" s="13" t="str">
        <f t="shared" si="40"/>
        <v>Asia &gt; China &gt; Shenzhen</v>
      </c>
      <c r="L117" s="3" t="s">
        <v>695</v>
      </c>
      <c r="M117" s="3" t="s">
        <v>702</v>
      </c>
      <c r="N117" s="13" t="str">
        <f t="shared" si="27"/>
        <v>Online</v>
      </c>
      <c r="O117" s="3" t="s">
        <v>707</v>
      </c>
      <c r="P117" s="3" t="s">
        <v>721</v>
      </c>
      <c r="Q117" s="13" t="str">
        <f t="shared" si="28"/>
        <v>Medium</v>
      </c>
      <c r="R117" s="3" t="s">
        <v>838</v>
      </c>
      <c r="S117" s="7">
        <v>550.22</v>
      </c>
      <c r="T117" s="7">
        <f t="shared" si="41"/>
        <v>632.75299999999993</v>
      </c>
      <c r="U117" s="7">
        <v>1025.05</v>
      </c>
      <c r="V117" s="7">
        <f t="shared" si="29"/>
        <v>1025.05</v>
      </c>
      <c r="W117" s="7">
        <f t="shared" si="42"/>
        <v>1178.8074999999999</v>
      </c>
      <c r="X117" s="16">
        <v>0</v>
      </c>
      <c r="Y117" t="str">
        <f t="shared" si="30"/>
        <v>OK</v>
      </c>
      <c r="Z117" s="16">
        <f t="shared" si="31"/>
        <v>0</v>
      </c>
      <c r="AA117" s="16">
        <f t="shared" si="43"/>
        <v>0</v>
      </c>
      <c r="AB117" s="9">
        <v>27</v>
      </c>
      <c r="AC117" s="9">
        <f t="shared" si="44"/>
        <v>32.4</v>
      </c>
      <c r="AD117" s="9">
        <f t="shared" si="32"/>
        <v>27676.35</v>
      </c>
      <c r="AE117" s="9">
        <f t="shared" si="45"/>
        <v>38193.362999999998</v>
      </c>
      <c r="AF117" s="9">
        <f t="shared" si="33"/>
        <v>14855.94</v>
      </c>
      <c r="AG117" s="9">
        <f t="shared" si="34"/>
        <v>12820.409999999998</v>
      </c>
      <c r="AH117" s="9">
        <f t="shared" si="46"/>
        <v>23337.422999999995</v>
      </c>
      <c r="AI117">
        <f t="shared" si="35"/>
        <v>0.46322618408858102</v>
      </c>
      <c r="AJ117" s="5">
        <f t="shared" si="36"/>
        <v>44928</v>
      </c>
      <c r="AK117" t="str">
        <f t="shared" si="37"/>
        <v>Jan-2023</v>
      </c>
      <c r="AL117">
        <v>0</v>
      </c>
      <c r="AM117">
        <v>0</v>
      </c>
      <c r="AN117">
        <v>0</v>
      </c>
    </row>
    <row r="118" spans="1:40" x14ac:dyDescent="0.45">
      <c r="A118" s="3" t="s">
        <v>127</v>
      </c>
      <c r="B118" s="5">
        <v>45086</v>
      </c>
      <c r="C118" s="9" t="str">
        <f t="shared" si="25"/>
        <v>Jun-2023</v>
      </c>
      <c r="D118" s="5" t="str">
        <f t="shared" si="26"/>
        <v>2023-Q2</v>
      </c>
      <c r="E118" s="5">
        <v>45096</v>
      </c>
      <c r="F118" s="9">
        <f t="shared" si="38"/>
        <v>10</v>
      </c>
      <c r="G118" s="9" t="str">
        <f t="shared" si="39"/>
        <v>NOT ACHIEVED</v>
      </c>
      <c r="H118" s="3" t="s">
        <v>641</v>
      </c>
      <c r="I118" s="3" t="s">
        <v>653</v>
      </c>
      <c r="J118" s="3" t="s">
        <v>693</v>
      </c>
      <c r="K118" s="13" t="str">
        <f t="shared" si="40"/>
        <v>Asia &gt; China &gt; Beijing</v>
      </c>
      <c r="L118" s="3" t="s">
        <v>700</v>
      </c>
      <c r="M118" s="3" t="s">
        <v>701</v>
      </c>
      <c r="N118" s="13" t="str">
        <f t="shared" si="27"/>
        <v>Retail</v>
      </c>
      <c r="O118" s="3" t="s">
        <v>715</v>
      </c>
      <c r="P118" s="3" t="s">
        <v>726</v>
      </c>
      <c r="Q118" s="13" t="str">
        <f t="shared" si="28"/>
        <v>Low</v>
      </c>
      <c r="R118" s="3" t="s">
        <v>846</v>
      </c>
      <c r="S118" s="7">
        <v>339.61</v>
      </c>
      <c r="T118" s="7">
        <f t="shared" si="41"/>
        <v>390.55149999999998</v>
      </c>
      <c r="U118" s="7">
        <v>621.02</v>
      </c>
      <c r="V118" s="7">
        <f t="shared" si="29"/>
        <v>621.02</v>
      </c>
      <c r="W118" s="7">
        <f t="shared" si="42"/>
        <v>714.17299999999989</v>
      </c>
      <c r="X118" s="16">
        <v>7.0999999999999994E-2</v>
      </c>
      <c r="Y118" t="str">
        <f t="shared" si="30"/>
        <v>OK</v>
      </c>
      <c r="Z118" s="16">
        <f t="shared" si="31"/>
        <v>7.0999999999999994E-2</v>
      </c>
      <c r="AA118" s="16">
        <f t="shared" si="43"/>
        <v>7.0999999999999994E-2</v>
      </c>
      <c r="AB118" s="9">
        <v>10</v>
      </c>
      <c r="AC118" s="9">
        <f t="shared" si="44"/>
        <v>12</v>
      </c>
      <c r="AD118" s="9">
        <f t="shared" si="32"/>
        <v>5769.2758000000003</v>
      </c>
      <c r="AE118" s="9">
        <f t="shared" si="45"/>
        <v>9178.5513959999989</v>
      </c>
      <c r="AF118" s="9">
        <f t="shared" si="33"/>
        <v>3396.1000000000004</v>
      </c>
      <c r="AG118" s="9">
        <f t="shared" si="34"/>
        <v>2373.1758</v>
      </c>
      <c r="AH118" s="9">
        <f t="shared" si="46"/>
        <v>5782.4513959999986</v>
      </c>
      <c r="AI118">
        <f t="shared" si="35"/>
        <v>0.41134726129750981</v>
      </c>
      <c r="AJ118" s="5">
        <f t="shared" si="36"/>
        <v>44928</v>
      </c>
      <c r="AK118" t="str">
        <f t="shared" si="37"/>
        <v>Jan-2023</v>
      </c>
      <c r="AL118">
        <v>0</v>
      </c>
      <c r="AM118">
        <v>0</v>
      </c>
      <c r="AN118">
        <v>0</v>
      </c>
    </row>
    <row r="119" spans="1:40" x14ac:dyDescent="0.45">
      <c r="A119" s="3" t="s">
        <v>134</v>
      </c>
      <c r="B119" s="5">
        <v>45150</v>
      </c>
      <c r="C119" s="9" t="str">
        <f t="shared" si="25"/>
        <v>Aug-2023</v>
      </c>
      <c r="D119" s="5" t="str">
        <f t="shared" si="26"/>
        <v>2023-Q3</v>
      </c>
      <c r="E119" s="5">
        <v>45175</v>
      </c>
      <c r="F119" s="9">
        <f t="shared" si="38"/>
        <v>25</v>
      </c>
      <c r="G119" s="9" t="str">
        <f t="shared" si="39"/>
        <v>NOT ACHIEVED</v>
      </c>
      <c r="H119" s="3" t="s">
        <v>641</v>
      </c>
      <c r="I119" s="3" t="s">
        <v>653</v>
      </c>
      <c r="J119" s="3" t="s">
        <v>679</v>
      </c>
      <c r="K119" s="13" t="str">
        <f t="shared" si="40"/>
        <v>Asia &gt; China &gt; Shanghai</v>
      </c>
      <c r="L119" s="3" t="s">
        <v>699</v>
      </c>
      <c r="M119" s="3" t="s">
        <v>701</v>
      </c>
      <c r="N119" s="13" t="str">
        <f t="shared" si="27"/>
        <v>Retail</v>
      </c>
      <c r="O119" s="3" t="s">
        <v>711</v>
      </c>
      <c r="P119" s="3" t="s">
        <v>721</v>
      </c>
      <c r="Q119" s="13" t="str">
        <f t="shared" si="28"/>
        <v>Low</v>
      </c>
      <c r="R119" s="3" t="s">
        <v>853</v>
      </c>
      <c r="S119" s="7">
        <v>950.77</v>
      </c>
      <c r="T119" s="7">
        <f t="shared" si="41"/>
        <v>1093.3854999999999</v>
      </c>
      <c r="U119" s="7">
        <v>694.78</v>
      </c>
      <c r="V119" s="7">
        <f t="shared" si="29"/>
        <v>694.78</v>
      </c>
      <c r="W119" s="7">
        <f t="shared" si="42"/>
        <v>798.99699999999996</v>
      </c>
      <c r="X119" s="16">
        <v>8.4000000000000005E-2</v>
      </c>
      <c r="Y119" t="str">
        <f t="shared" si="30"/>
        <v>OK</v>
      </c>
      <c r="Z119" s="16">
        <f t="shared" si="31"/>
        <v>8.4000000000000005E-2</v>
      </c>
      <c r="AA119" s="16">
        <f t="shared" si="43"/>
        <v>8.4000000000000005E-2</v>
      </c>
      <c r="AB119" s="9">
        <v>14</v>
      </c>
      <c r="AC119" s="9">
        <f t="shared" si="44"/>
        <v>16.8</v>
      </c>
      <c r="AD119" s="9">
        <f t="shared" si="32"/>
        <v>8909.8587200000002</v>
      </c>
      <c r="AE119" s="9">
        <f t="shared" si="45"/>
        <v>14550.694166400002</v>
      </c>
      <c r="AF119" s="9">
        <f t="shared" si="33"/>
        <v>13310.779999999999</v>
      </c>
      <c r="AG119" s="9">
        <f t="shared" si="34"/>
        <v>-4400.9212799999987</v>
      </c>
      <c r="AH119" s="9">
        <f t="shared" si="46"/>
        <v>1239.9141664000035</v>
      </c>
      <c r="AI119">
        <f t="shared" si="35"/>
        <v>-0.49393839097821279</v>
      </c>
      <c r="AJ119" s="5">
        <f t="shared" si="36"/>
        <v>44928</v>
      </c>
      <c r="AK119" t="str">
        <f t="shared" si="37"/>
        <v>Jan-2023</v>
      </c>
      <c r="AL119">
        <v>0</v>
      </c>
      <c r="AM119">
        <v>0</v>
      </c>
      <c r="AN119">
        <v>0</v>
      </c>
    </row>
    <row r="120" spans="1:40" x14ac:dyDescent="0.45">
      <c r="A120" s="3" t="s">
        <v>142</v>
      </c>
      <c r="B120" s="5">
        <v>45666</v>
      </c>
      <c r="C120" s="9" t="str">
        <f t="shared" si="25"/>
        <v>Jan-2025</v>
      </c>
      <c r="D120" s="5" t="str">
        <f t="shared" si="26"/>
        <v>2025-Q1</v>
      </c>
      <c r="E120" s="5">
        <v>45672</v>
      </c>
      <c r="F120" s="9">
        <f t="shared" si="38"/>
        <v>6</v>
      </c>
      <c r="G120" s="9" t="str">
        <f t="shared" si="39"/>
        <v>ACHIEVED</v>
      </c>
      <c r="H120" s="3" t="s">
        <v>641</v>
      </c>
      <c r="I120" s="3" t="s">
        <v>653</v>
      </c>
      <c r="J120" s="3" t="s">
        <v>693</v>
      </c>
      <c r="K120" s="13" t="str">
        <f t="shared" si="40"/>
        <v>Asia &gt; China &gt; Beijing</v>
      </c>
      <c r="L120" s="3" t="s">
        <v>696</v>
      </c>
      <c r="M120" s="3" t="s">
        <v>702</v>
      </c>
      <c r="N120" s="13" t="str">
        <f t="shared" si="27"/>
        <v>Online</v>
      </c>
      <c r="O120" s="3" t="s">
        <v>706</v>
      </c>
      <c r="P120" s="3" t="s">
        <v>724</v>
      </c>
      <c r="Q120" s="13" t="str">
        <f t="shared" si="28"/>
        <v>Low</v>
      </c>
      <c r="R120" s="3" t="s">
        <v>861</v>
      </c>
      <c r="S120" s="7">
        <v>304.77999999999997</v>
      </c>
      <c r="T120" s="7">
        <f t="shared" si="41"/>
        <v>350.49699999999996</v>
      </c>
      <c r="U120" s="7">
        <v>537.27</v>
      </c>
      <c r="V120" s="7">
        <f t="shared" si="29"/>
        <v>537.27</v>
      </c>
      <c r="W120" s="7">
        <f t="shared" si="42"/>
        <v>617.86049999999989</v>
      </c>
      <c r="X120" s="16">
        <v>0.187</v>
      </c>
      <c r="Y120" t="str">
        <f t="shared" si="30"/>
        <v>OK</v>
      </c>
      <c r="Z120" s="16">
        <f t="shared" si="31"/>
        <v>0.187</v>
      </c>
      <c r="AA120" s="16">
        <f t="shared" si="43"/>
        <v>0.187</v>
      </c>
      <c r="AB120" s="9">
        <v>8</v>
      </c>
      <c r="AC120" s="9">
        <f t="shared" si="44"/>
        <v>9.6</v>
      </c>
      <c r="AD120" s="9">
        <f t="shared" si="32"/>
        <v>3494.4040799999998</v>
      </c>
      <c r="AE120" s="9">
        <f t="shared" si="45"/>
        <v>7040.6439695999989</v>
      </c>
      <c r="AF120" s="9">
        <f t="shared" si="33"/>
        <v>2438.2399999999998</v>
      </c>
      <c r="AG120" s="9">
        <f t="shared" si="34"/>
        <v>1056.16408</v>
      </c>
      <c r="AH120" s="9">
        <f t="shared" si="46"/>
        <v>4602.4039695999991</v>
      </c>
      <c r="AI120">
        <f t="shared" si="35"/>
        <v>0.3022444044307549</v>
      </c>
      <c r="AJ120" s="5">
        <f t="shared" si="36"/>
        <v>44928</v>
      </c>
      <c r="AK120" t="str">
        <f t="shared" si="37"/>
        <v>Jan-2023</v>
      </c>
      <c r="AL120">
        <v>0</v>
      </c>
      <c r="AM120">
        <v>0</v>
      </c>
      <c r="AN120">
        <v>0</v>
      </c>
    </row>
    <row r="121" spans="1:40" x14ac:dyDescent="0.45">
      <c r="A121" s="3" t="s">
        <v>145</v>
      </c>
      <c r="B121" s="5">
        <v>45640</v>
      </c>
      <c r="C121" s="9" t="str">
        <f t="shared" si="25"/>
        <v>Dec-2024</v>
      </c>
      <c r="D121" s="5" t="str">
        <f t="shared" si="26"/>
        <v>2024-Q4</v>
      </c>
      <c r="E121" s="5">
        <v>45669</v>
      </c>
      <c r="F121" s="9">
        <f t="shared" si="38"/>
        <v>29</v>
      </c>
      <c r="G121" s="9" t="str">
        <f t="shared" si="39"/>
        <v>NOT ACHIEVED</v>
      </c>
      <c r="H121" s="3" t="s">
        <v>641</v>
      </c>
      <c r="I121" s="3" t="s">
        <v>653</v>
      </c>
      <c r="J121" s="3" t="s">
        <v>670</v>
      </c>
      <c r="K121" s="13" t="str">
        <f t="shared" si="40"/>
        <v>Asia &gt; China &gt; Shenzhen</v>
      </c>
      <c r="L121" s="3" t="s">
        <v>696</v>
      </c>
      <c r="M121" s="3" t="s">
        <v>702</v>
      </c>
      <c r="N121" s="13" t="str">
        <f t="shared" si="27"/>
        <v>Online</v>
      </c>
      <c r="O121" s="3" t="s">
        <v>707</v>
      </c>
      <c r="P121" s="3" t="s">
        <v>721</v>
      </c>
      <c r="Q121" s="13" t="str">
        <f t="shared" si="28"/>
        <v>High</v>
      </c>
      <c r="R121" s="3" t="s">
        <v>864</v>
      </c>
      <c r="S121" s="7">
        <v>1412.15</v>
      </c>
      <c r="T121" s="7">
        <f t="shared" si="41"/>
        <v>1623.9725000000001</v>
      </c>
      <c r="U121" s="7">
        <v>1631.04</v>
      </c>
      <c r="V121" s="7">
        <f t="shared" si="29"/>
        <v>1631.04</v>
      </c>
      <c r="W121" s="7">
        <f t="shared" si="42"/>
        <v>1875.6959999999999</v>
      </c>
      <c r="X121" s="16">
        <v>8.9999999999999993E-3</v>
      </c>
      <c r="Y121" t="str">
        <f t="shared" si="30"/>
        <v>OK</v>
      </c>
      <c r="Z121" s="16">
        <f t="shared" si="31"/>
        <v>8.9999999999999993E-3</v>
      </c>
      <c r="AA121" s="16">
        <f t="shared" si="43"/>
        <v>8.9999999999999993E-3</v>
      </c>
      <c r="AB121" s="9">
        <v>6</v>
      </c>
      <c r="AC121" s="9">
        <f t="shared" si="44"/>
        <v>7.1999999999999993</v>
      </c>
      <c r="AD121" s="9">
        <f t="shared" si="32"/>
        <v>9698.1638399999993</v>
      </c>
      <c r="AE121" s="9">
        <f t="shared" si="45"/>
        <v>13626.556300799995</v>
      </c>
      <c r="AF121" s="9">
        <f t="shared" si="33"/>
        <v>8472.9000000000015</v>
      </c>
      <c r="AG121" s="9">
        <f t="shared" si="34"/>
        <v>1225.2638399999978</v>
      </c>
      <c r="AH121" s="9">
        <f t="shared" si="46"/>
        <v>5153.6563007999939</v>
      </c>
      <c r="AI121">
        <f t="shared" si="35"/>
        <v>0.12633977526203535</v>
      </c>
      <c r="AJ121" s="5">
        <f t="shared" si="36"/>
        <v>44928</v>
      </c>
      <c r="AK121" t="str">
        <f t="shared" si="37"/>
        <v>Jan-2023</v>
      </c>
      <c r="AL121">
        <v>0</v>
      </c>
      <c r="AM121">
        <v>0</v>
      </c>
      <c r="AN121">
        <v>0</v>
      </c>
    </row>
    <row r="122" spans="1:40" x14ac:dyDescent="0.45">
      <c r="A122" s="3" t="s">
        <v>148</v>
      </c>
      <c r="B122" s="5">
        <v>45336</v>
      </c>
      <c r="C122" s="9" t="str">
        <f t="shared" si="25"/>
        <v>Feb-2024</v>
      </c>
      <c r="D122" s="5" t="str">
        <f t="shared" si="26"/>
        <v>2024-Q1</v>
      </c>
      <c r="E122" s="5">
        <v>45336</v>
      </c>
      <c r="F122" s="9">
        <f t="shared" si="38"/>
        <v>0</v>
      </c>
      <c r="G122" s="9" t="str">
        <f t="shared" si="39"/>
        <v>ACHIEVED</v>
      </c>
      <c r="H122" s="3" t="s">
        <v>641</v>
      </c>
      <c r="I122" s="3" t="s">
        <v>653</v>
      </c>
      <c r="J122" s="3" t="s">
        <v>693</v>
      </c>
      <c r="K122" s="13" t="str">
        <f t="shared" si="40"/>
        <v>Asia &gt; China &gt; Beijing</v>
      </c>
      <c r="L122" s="3" t="s">
        <v>695</v>
      </c>
      <c r="M122" s="3" t="s">
        <v>704</v>
      </c>
      <c r="N122" s="13" t="str">
        <f t="shared" si="27"/>
        <v>Distributor</v>
      </c>
      <c r="O122" s="3" t="s">
        <v>710</v>
      </c>
      <c r="P122" s="3" t="s">
        <v>727</v>
      </c>
      <c r="Q122" s="13" t="str">
        <f t="shared" si="28"/>
        <v>Low</v>
      </c>
      <c r="R122" s="3" t="s">
        <v>867</v>
      </c>
      <c r="S122" s="7">
        <v>65.930000000000007</v>
      </c>
      <c r="T122" s="7">
        <f t="shared" si="41"/>
        <v>75.819500000000005</v>
      </c>
      <c r="U122" s="7">
        <v>84.9</v>
      </c>
      <c r="V122" s="7">
        <f t="shared" si="29"/>
        <v>84.9</v>
      </c>
      <c r="W122" s="7">
        <f t="shared" si="42"/>
        <v>97.635000000000005</v>
      </c>
      <c r="X122" s="16">
        <v>0.25900000000000001</v>
      </c>
      <c r="Y122" t="str">
        <f t="shared" si="30"/>
        <v>OK</v>
      </c>
      <c r="Z122" s="16">
        <f t="shared" si="31"/>
        <v>0.25900000000000001</v>
      </c>
      <c r="AA122" s="16">
        <f t="shared" si="43"/>
        <v>0.25</v>
      </c>
      <c r="AB122" s="9">
        <v>23</v>
      </c>
      <c r="AC122" s="9">
        <f t="shared" si="44"/>
        <v>27.599999999999998</v>
      </c>
      <c r="AD122" s="9">
        <f t="shared" si="32"/>
        <v>1446.9507000000001</v>
      </c>
      <c r="AE122" s="9">
        <f t="shared" si="45"/>
        <v>3368.4075000000003</v>
      </c>
      <c r="AF122" s="9">
        <f t="shared" si="33"/>
        <v>1516.39</v>
      </c>
      <c r="AG122" s="9">
        <f t="shared" si="34"/>
        <v>-69.439300000000003</v>
      </c>
      <c r="AH122" s="9">
        <f t="shared" si="46"/>
        <v>1852.0175000000002</v>
      </c>
      <c r="AI122">
        <f t="shared" si="35"/>
        <v>-4.7990093926489688E-2</v>
      </c>
      <c r="AJ122" s="5">
        <f t="shared" si="36"/>
        <v>44928</v>
      </c>
      <c r="AK122" t="str">
        <f t="shared" si="37"/>
        <v>Jan-2023</v>
      </c>
      <c r="AL122">
        <v>0</v>
      </c>
      <c r="AM122">
        <v>0</v>
      </c>
      <c r="AN122">
        <v>0</v>
      </c>
    </row>
    <row r="123" spans="1:40" x14ac:dyDescent="0.45">
      <c r="A123" s="3" t="s">
        <v>168</v>
      </c>
      <c r="B123" s="5">
        <v>45870</v>
      </c>
      <c r="C123" s="9" t="str">
        <f t="shared" si="25"/>
        <v>Aug-2025</v>
      </c>
      <c r="D123" s="5" t="str">
        <f t="shared" si="26"/>
        <v>2025-Q3</v>
      </c>
      <c r="E123" s="5">
        <v>45890</v>
      </c>
      <c r="F123" s="9">
        <f t="shared" si="38"/>
        <v>20</v>
      </c>
      <c r="G123" s="9" t="str">
        <f t="shared" si="39"/>
        <v>NOT ACHIEVED</v>
      </c>
      <c r="H123" s="3" t="s">
        <v>641</v>
      </c>
      <c r="I123" s="3" t="s">
        <v>653</v>
      </c>
      <c r="J123" s="3" t="s">
        <v>679</v>
      </c>
      <c r="K123" s="13" t="str">
        <f t="shared" si="40"/>
        <v>Asia &gt; China &gt; Shanghai</v>
      </c>
      <c r="L123" s="3" t="s">
        <v>695</v>
      </c>
      <c r="M123" s="3" t="s">
        <v>705</v>
      </c>
      <c r="N123" s="13" t="str">
        <f t="shared" si="27"/>
        <v>Direct</v>
      </c>
      <c r="O123" s="3" t="s">
        <v>708</v>
      </c>
      <c r="P123" s="3" t="s">
        <v>724</v>
      </c>
      <c r="Q123" s="13" t="str">
        <f t="shared" si="28"/>
        <v>High</v>
      </c>
      <c r="R123" s="3" t="s">
        <v>887</v>
      </c>
      <c r="S123" s="7">
        <v>1220.4100000000001</v>
      </c>
      <c r="T123" s="7">
        <f t="shared" si="41"/>
        <v>1403.4714999999999</v>
      </c>
      <c r="U123" s="7">
        <v>2552.2199999999998</v>
      </c>
      <c r="V123" s="7">
        <f t="shared" si="29"/>
        <v>2552.2199999999998</v>
      </c>
      <c r="W123" s="7">
        <f t="shared" si="42"/>
        <v>2935.0529999999994</v>
      </c>
      <c r="X123" s="16">
        <v>0.18099999999999999</v>
      </c>
      <c r="Y123" t="str">
        <f t="shared" si="30"/>
        <v>OK</v>
      </c>
      <c r="Z123" s="16">
        <f t="shared" si="31"/>
        <v>0.18099999999999999</v>
      </c>
      <c r="AA123" s="16">
        <f t="shared" si="43"/>
        <v>0.18099999999999999</v>
      </c>
      <c r="AB123" s="9">
        <v>14</v>
      </c>
      <c r="AC123" s="9">
        <f t="shared" si="44"/>
        <v>16.8</v>
      </c>
      <c r="AD123" s="9">
        <f t="shared" si="32"/>
        <v>29263.754519999995</v>
      </c>
      <c r="AE123" s="9">
        <f t="shared" si="45"/>
        <v>58233.799562399989</v>
      </c>
      <c r="AF123" s="9">
        <f t="shared" si="33"/>
        <v>17085.740000000002</v>
      </c>
      <c r="AG123" s="9">
        <f t="shared" si="34"/>
        <v>12178.014519999993</v>
      </c>
      <c r="AH123" s="9">
        <f t="shared" si="46"/>
        <v>41148.059562399983</v>
      </c>
      <c r="AI123">
        <f t="shared" si="35"/>
        <v>0.41614668793360271</v>
      </c>
      <c r="AJ123" s="5">
        <f t="shared" si="36"/>
        <v>44928</v>
      </c>
      <c r="AK123" t="str">
        <f t="shared" si="37"/>
        <v>Jan-2023</v>
      </c>
      <c r="AL123">
        <v>0</v>
      </c>
      <c r="AM123">
        <v>0</v>
      </c>
      <c r="AN123">
        <v>0</v>
      </c>
    </row>
    <row r="124" spans="1:40" x14ac:dyDescent="0.45">
      <c r="A124" s="3" t="s">
        <v>170</v>
      </c>
      <c r="B124" s="5">
        <v>45595</v>
      </c>
      <c r="C124" s="9" t="str">
        <f t="shared" si="25"/>
        <v>Oct-2024</v>
      </c>
      <c r="D124" s="5" t="str">
        <f t="shared" si="26"/>
        <v>2024-Q4</v>
      </c>
      <c r="E124" s="5">
        <v>45620</v>
      </c>
      <c r="F124" s="9">
        <f t="shared" si="38"/>
        <v>25</v>
      </c>
      <c r="G124" s="9" t="str">
        <f t="shared" si="39"/>
        <v>NOT ACHIEVED</v>
      </c>
      <c r="H124" s="3" t="s">
        <v>641</v>
      </c>
      <c r="I124" s="3" t="s">
        <v>653</v>
      </c>
      <c r="J124" s="3" t="s">
        <v>670</v>
      </c>
      <c r="K124" s="13" t="str">
        <f t="shared" si="40"/>
        <v>Asia &gt; China &gt; Shenzhen</v>
      </c>
      <c r="L124" s="3" t="s">
        <v>699</v>
      </c>
      <c r="M124" s="3" t="s">
        <v>702</v>
      </c>
      <c r="N124" s="13" t="str">
        <f t="shared" si="27"/>
        <v>Online</v>
      </c>
      <c r="O124" s="3" t="s">
        <v>712</v>
      </c>
      <c r="P124" s="3" t="s">
        <v>721</v>
      </c>
      <c r="Q124" s="13" t="str">
        <f t="shared" si="28"/>
        <v>Medium</v>
      </c>
      <c r="R124" s="3" t="s">
        <v>889</v>
      </c>
      <c r="S124" s="7">
        <v>811.05</v>
      </c>
      <c r="T124" s="7">
        <f t="shared" si="41"/>
        <v>932.70749999999987</v>
      </c>
      <c r="U124" s="7">
        <v>1217.71</v>
      </c>
      <c r="V124" s="7">
        <f t="shared" si="29"/>
        <v>1217.71</v>
      </c>
      <c r="W124" s="7">
        <f t="shared" si="42"/>
        <v>1400.3664999999999</v>
      </c>
      <c r="X124" s="16">
        <v>7.1999999999999995E-2</v>
      </c>
      <c r="Y124" t="str">
        <f t="shared" si="30"/>
        <v>OK</v>
      </c>
      <c r="Z124" s="16">
        <f t="shared" si="31"/>
        <v>7.1999999999999995E-2</v>
      </c>
      <c r="AA124" s="16">
        <f t="shared" si="43"/>
        <v>7.1999999999999995E-2</v>
      </c>
      <c r="AB124" s="9">
        <v>5</v>
      </c>
      <c r="AC124" s="9">
        <f t="shared" si="44"/>
        <v>6</v>
      </c>
      <c r="AD124" s="9">
        <f t="shared" si="32"/>
        <v>5650.1744000000008</v>
      </c>
      <c r="AE124" s="9">
        <f t="shared" si="45"/>
        <v>9007.1573279999993</v>
      </c>
      <c r="AF124" s="9">
        <f t="shared" si="33"/>
        <v>4055.25</v>
      </c>
      <c r="AG124" s="9">
        <f t="shared" si="34"/>
        <v>1594.9244000000008</v>
      </c>
      <c r="AH124" s="9">
        <f t="shared" si="46"/>
        <v>4951.9073279999993</v>
      </c>
      <c r="AI124">
        <f t="shared" si="35"/>
        <v>0.28227879125288602</v>
      </c>
      <c r="AJ124" s="5">
        <f t="shared" si="36"/>
        <v>44928</v>
      </c>
      <c r="AK124" t="str">
        <f t="shared" si="37"/>
        <v>Jan-2023</v>
      </c>
      <c r="AL124">
        <v>0</v>
      </c>
      <c r="AM124">
        <v>0</v>
      </c>
      <c r="AN124">
        <v>0</v>
      </c>
    </row>
    <row r="125" spans="1:40" x14ac:dyDescent="0.45">
      <c r="A125" s="3" t="s">
        <v>173</v>
      </c>
      <c r="B125" s="5">
        <v>45447</v>
      </c>
      <c r="C125" s="9" t="str">
        <f t="shared" si="25"/>
        <v>Jun-2024</v>
      </c>
      <c r="D125" s="5" t="str">
        <f t="shared" si="26"/>
        <v>2024-Q2</v>
      </c>
      <c r="E125" s="5">
        <v>45459</v>
      </c>
      <c r="F125" s="9">
        <f t="shared" si="38"/>
        <v>12</v>
      </c>
      <c r="G125" s="9" t="str">
        <f t="shared" si="39"/>
        <v>NOT ACHIEVED</v>
      </c>
      <c r="H125" s="3" t="s">
        <v>641</v>
      </c>
      <c r="I125" s="3" t="s">
        <v>653</v>
      </c>
      <c r="J125" s="3" t="s">
        <v>679</v>
      </c>
      <c r="K125" s="13" t="str">
        <f t="shared" si="40"/>
        <v>Asia &gt; China &gt; Shanghai</v>
      </c>
      <c r="L125" s="3" t="s">
        <v>695</v>
      </c>
      <c r="M125" s="3" t="s">
        <v>701</v>
      </c>
      <c r="N125" s="13" t="str">
        <f t="shared" si="27"/>
        <v>Retail</v>
      </c>
      <c r="O125" s="3" t="s">
        <v>707</v>
      </c>
      <c r="P125" s="3" t="s">
        <v>722</v>
      </c>
      <c r="Q125" s="13" t="str">
        <f t="shared" si="28"/>
        <v>Medium</v>
      </c>
      <c r="R125" s="3" t="s">
        <v>892</v>
      </c>
      <c r="S125" s="7">
        <v>918.42</v>
      </c>
      <c r="T125" s="7">
        <f t="shared" si="41"/>
        <v>1056.1829999999998</v>
      </c>
      <c r="U125" s="7">
        <v>1511.71</v>
      </c>
      <c r="V125" s="7">
        <f t="shared" si="29"/>
        <v>1511.71</v>
      </c>
      <c r="W125" s="7">
        <f t="shared" si="42"/>
        <v>1738.4665</v>
      </c>
      <c r="X125" s="16">
        <v>0.02</v>
      </c>
      <c r="Y125" t="str">
        <f t="shared" si="30"/>
        <v>OK</v>
      </c>
      <c r="Z125" s="16">
        <f t="shared" si="31"/>
        <v>0.02</v>
      </c>
      <c r="AA125" s="16">
        <f t="shared" si="43"/>
        <v>0.02</v>
      </c>
      <c r="AB125" s="9">
        <v>8</v>
      </c>
      <c r="AC125" s="9">
        <f t="shared" si="44"/>
        <v>9.6</v>
      </c>
      <c r="AD125" s="9">
        <f t="shared" si="32"/>
        <v>11851.806399999999</v>
      </c>
      <c r="AE125" s="9">
        <f t="shared" si="45"/>
        <v>17023.063967999999</v>
      </c>
      <c r="AF125" s="9">
        <f t="shared" si="33"/>
        <v>7347.36</v>
      </c>
      <c r="AG125" s="9">
        <f t="shared" si="34"/>
        <v>4504.4463999999998</v>
      </c>
      <c r="AH125" s="9">
        <f t="shared" si="46"/>
        <v>9675.703967999998</v>
      </c>
      <c r="AI125">
        <f t="shared" si="35"/>
        <v>0.38006412254590999</v>
      </c>
      <c r="AJ125" s="5">
        <f t="shared" si="36"/>
        <v>44928</v>
      </c>
      <c r="AK125" t="str">
        <f t="shared" si="37"/>
        <v>Jan-2023</v>
      </c>
      <c r="AL125">
        <v>0</v>
      </c>
      <c r="AM125">
        <v>0</v>
      </c>
      <c r="AN125">
        <v>0</v>
      </c>
    </row>
    <row r="126" spans="1:40" x14ac:dyDescent="0.45">
      <c r="A126" s="3" t="s">
        <v>175</v>
      </c>
      <c r="B126" s="5">
        <v>45034</v>
      </c>
      <c r="C126" s="9" t="str">
        <f t="shared" si="25"/>
        <v>Apr-2023</v>
      </c>
      <c r="D126" s="5" t="str">
        <f t="shared" si="26"/>
        <v>2023-Q2</v>
      </c>
      <c r="E126" s="5">
        <v>45064</v>
      </c>
      <c r="F126" s="9">
        <f t="shared" si="38"/>
        <v>30</v>
      </c>
      <c r="G126" s="9" t="str">
        <f t="shared" si="39"/>
        <v>NOT ACHIEVED</v>
      </c>
      <c r="H126" s="3" t="s">
        <v>641</v>
      </c>
      <c r="I126" s="3" t="s">
        <v>653</v>
      </c>
      <c r="J126" s="3" t="s">
        <v>670</v>
      </c>
      <c r="K126" s="13" t="str">
        <f t="shared" si="40"/>
        <v>Asia &gt; China &gt; Shenzhen</v>
      </c>
      <c r="L126" s="3" t="s">
        <v>697</v>
      </c>
      <c r="M126" s="3" t="s">
        <v>701</v>
      </c>
      <c r="N126" s="13" t="str">
        <f t="shared" si="27"/>
        <v>Retail</v>
      </c>
      <c r="O126" s="3" t="s">
        <v>716</v>
      </c>
      <c r="P126" s="3" t="s">
        <v>725</v>
      </c>
      <c r="Q126" s="13" t="str">
        <f t="shared" si="28"/>
        <v>Low</v>
      </c>
      <c r="R126" s="3" t="s">
        <v>894</v>
      </c>
      <c r="S126" s="7">
        <v>329.03</v>
      </c>
      <c r="T126" s="7">
        <f t="shared" si="41"/>
        <v>378.38449999999995</v>
      </c>
      <c r="U126" s="7">
        <v>391.15</v>
      </c>
      <c r="V126" s="7">
        <f t="shared" si="29"/>
        <v>391.15</v>
      </c>
      <c r="W126" s="7">
        <f t="shared" si="42"/>
        <v>449.82249999999993</v>
      </c>
      <c r="X126" s="16">
        <v>0.19700000000000001</v>
      </c>
      <c r="Y126" t="str">
        <f t="shared" si="30"/>
        <v>OK</v>
      </c>
      <c r="Z126" s="16">
        <f t="shared" si="31"/>
        <v>0.19700000000000001</v>
      </c>
      <c r="AA126" s="16">
        <f t="shared" si="43"/>
        <v>0.19700000000000001</v>
      </c>
      <c r="AB126" s="9">
        <v>46</v>
      </c>
      <c r="AC126" s="9">
        <f t="shared" si="44"/>
        <v>55.199999999999996</v>
      </c>
      <c r="AD126" s="9">
        <f t="shared" si="32"/>
        <v>14448.298699999998</v>
      </c>
      <c r="AE126" s="9">
        <f t="shared" si="45"/>
        <v>29721.751793999993</v>
      </c>
      <c r="AF126" s="9">
        <f t="shared" si="33"/>
        <v>15135.38</v>
      </c>
      <c r="AG126" s="9">
        <f t="shared" si="34"/>
        <v>-687.08130000000165</v>
      </c>
      <c r="AH126" s="9">
        <f t="shared" si="46"/>
        <v>14586.371793999993</v>
      </c>
      <c r="AI126">
        <f t="shared" si="35"/>
        <v>-4.7554477815440081E-2</v>
      </c>
      <c r="AJ126" s="5">
        <f t="shared" si="36"/>
        <v>44928</v>
      </c>
      <c r="AK126" t="str">
        <f t="shared" si="37"/>
        <v>Jan-2023</v>
      </c>
      <c r="AL126">
        <v>0</v>
      </c>
      <c r="AM126">
        <v>0</v>
      </c>
      <c r="AN126">
        <v>0</v>
      </c>
    </row>
    <row r="127" spans="1:40" x14ac:dyDescent="0.45">
      <c r="A127" s="3" t="s">
        <v>188</v>
      </c>
      <c r="B127" s="5">
        <v>45890</v>
      </c>
      <c r="C127" s="9" t="str">
        <f t="shared" si="25"/>
        <v>Aug-2025</v>
      </c>
      <c r="D127" s="5" t="str">
        <f t="shared" si="26"/>
        <v>2025-Q3</v>
      </c>
      <c r="E127" s="5">
        <v>45912</v>
      </c>
      <c r="F127" s="9">
        <f t="shared" si="38"/>
        <v>22</v>
      </c>
      <c r="G127" s="9" t="str">
        <f t="shared" si="39"/>
        <v>NOT ACHIEVED</v>
      </c>
      <c r="H127" s="3" t="s">
        <v>641</v>
      </c>
      <c r="I127" s="3" t="s">
        <v>653</v>
      </c>
      <c r="J127" s="3" t="s">
        <v>670</v>
      </c>
      <c r="K127" s="13" t="str">
        <f t="shared" si="40"/>
        <v>Asia &gt; China &gt; Shenzhen</v>
      </c>
      <c r="L127" s="3" t="s">
        <v>696</v>
      </c>
      <c r="M127" s="3" t="s">
        <v>701</v>
      </c>
      <c r="N127" s="13" t="str">
        <f t="shared" si="27"/>
        <v>Retail</v>
      </c>
      <c r="O127" s="3" t="s">
        <v>711</v>
      </c>
      <c r="P127" s="3" t="s">
        <v>722</v>
      </c>
      <c r="Q127" s="13" t="str">
        <f t="shared" si="28"/>
        <v>Low</v>
      </c>
      <c r="R127" s="3" t="s">
        <v>907</v>
      </c>
      <c r="S127" s="7">
        <v>352.66</v>
      </c>
      <c r="T127" s="7">
        <f t="shared" si="41"/>
        <v>405.55899999999997</v>
      </c>
      <c r="U127" s="7">
        <v>411.18</v>
      </c>
      <c r="V127" s="7">
        <f t="shared" si="29"/>
        <v>411.18</v>
      </c>
      <c r="W127" s="7">
        <f t="shared" si="42"/>
        <v>472.85699999999997</v>
      </c>
      <c r="X127" s="16">
        <v>0.17299999999999999</v>
      </c>
      <c r="Y127" t="str">
        <f t="shared" si="30"/>
        <v>OK</v>
      </c>
      <c r="Z127" s="16">
        <f t="shared" si="31"/>
        <v>0.17299999999999999</v>
      </c>
      <c r="AA127" s="16">
        <f t="shared" si="43"/>
        <v>0.17299999999999999</v>
      </c>
      <c r="AB127" s="9">
        <v>13</v>
      </c>
      <c r="AC127" s="9">
        <f t="shared" si="44"/>
        <v>15.6</v>
      </c>
      <c r="AD127" s="9">
        <f t="shared" si="32"/>
        <v>4420.5961799999995</v>
      </c>
      <c r="AE127" s="9">
        <f t="shared" si="45"/>
        <v>8652.715671599999</v>
      </c>
      <c r="AF127" s="9">
        <f t="shared" si="33"/>
        <v>4584.58</v>
      </c>
      <c r="AG127" s="9">
        <f t="shared" si="34"/>
        <v>-163.98382000000038</v>
      </c>
      <c r="AH127" s="9">
        <f t="shared" si="46"/>
        <v>4068.1356715999991</v>
      </c>
      <c r="AI127">
        <f t="shared" si="35"/>
        <v>-3.7095408248758066E-2</v>
      </c>
      <c r="AJ127" s="5">
        <f t="shared" si="36"/>
        <v>44928</v>
      </c>
      <c r="AK127" t="str">
        <f t="shared" si="37"/>
        <v>Jan-2023</v>
      </c>
      <c r="AL127">
        <v>0</v>
      </c>
      <c r="AM127">
        <v>0</v>
      </c>
      <c r="AN127">
        <v>0</v>
      </c>
    </row>
    <row r="128" spans="1:40" x14ac:dyDescent="0.45">
      <c r="A128" s="3" t="s">
        <v>190</v>
      </c>
      <c r="B128" s="5">
        <v>45568</v>
      </c>
      <c r="C128" s="9" t="str">
        <f t="shared" si="25"/>
        <v>Oct-2024</v>
      </c>
      <c r="D128" s="5" t="str">
        <f t="shared" si="26"/>
        <v>2024-Q4</v>
      </c>
      <c r="E128" s="5">
        <v>45576</v>
      </c>
      <c r="F128" s="9">
        <f t="shared" si="38"/>
        <v>8</v>
      </c>
      <c r="G128" s="9" t="str">
        <f t="shared" si="39"/>
        <v>NOT ACHIEVED</v>
      </c>
      <c r="H128" s="3" t="s">
        <v>641</v>
      </c>
      <c r="I128" s="3" t="s">
        <v>653</v>
      </c>
      <c r="J128" s="3" t="s">
        <v>693</v>
      </c>
      <c r="K128" s="13" t="str">
        <f t="shared" si="40"/>
        <v>Asia &gt; China &gt; Beijing</v>
      </c>
      <c r="L128" s="3" t="s">
        <v>700</v>
      </c>
      <c r="M128" s="3" t="s">
        <v>705</v>
      </c>
      <c r="N128" s="13" t="str">
        <f t="shared" si="27"/>
        <v>Direct</v>
      </c>
      <c r="O128" s="3" t="s">
        <v>711</v>
      </c>
      <c r="P128" s="3" t="s">
        <v>724</v>
      </c>
      <c r="Q128" s="13" t="str">
        <f t="shared" si="28"/>
        <v>High</v>
      </c>
      <c r="R128" s="3" t="s">
        <v>909</v>
      </c>
      <c r="S128" s="7">
        <v>1132.6099999999999</v>
      </c>
      <c r="T128" s="7">
        <f t="shared" si="41"/>
        <v>1302.5014999999999</v>
      </c>
      <c r="U128" s="7">
        <v>2206.63</v>
      </c>
      <c r="V128" s="7">
        <f t="shared" si="29"/>
        <v>2206.63</v>
      </c>
      <c r="W128" s="7">
        <f t="shared" si="42"/>
        <v>2537.6244999999999</v>
      </c>
      <c r="X128" s="16">
        <v>6.3E-2</v>
      </c>
      <c r="Y128" t="str">
        <f t="shared" si="30"/>
        <v>OK</v>
      </c>
      <c r="Z128" s="16">
        <f t="shared" si="31"/>
        <v>6.3E-2</v>
      </c>
      <c r="AA128" s="16">
        <f t="shared" si="43"/>
        <v>6.3E-2</v>
      </c>
      <c r="AB128" s="9">
        <v>20</v>
      </c>
      <c r="AC128" s="9">
        <f t="shared" si="44"/>
        <v>24</v>
      </c>
      <c r="AD128" s="9">
        <f t="shared" si="32"/>
        <v>41352.246200000009</v>
      </c>
      <c r="AE128" s="9">
        <f t="shared" si="45"/>
        <v>64739.876243999992</v>
      </c>
      <c r="AF128" s="9">
        <f t="shared" si="33"/>
        <v>22652.199999999997</v>
      </c>
      <c r="AG128" s="9">
        <f t="shared" si="34"/>
        <v>18700.046200000012</v>
      </c>
      <c r="AH128" s="9">
        <f t="shared" si="46"/>
        <v>42087.676243999995</v>
      </c>
      <c r="AI128">
        <f t="shared" si="35"/>
        <v>0.45221355351671338</v>
      </c>
      <c r="AJ128" s="5">
        <f t="shared" si="36"/>
        <v>44928</v>
      </c>
      <c r="AK128" t="str">
        <f t="shared" si="37"/>
        <v>Jan-2023</v>
      </c>
      <c r="AL128">
        <v>0</v>
      </c>
      <c r="AM128">
        <v>0</v>
      </c>
      <c r="AN128">
        <v>0</v>
      </c>
    </row>
    <row r="129" spans="1:40" x14ac:dyDescent="0.45">
      <c r="A129" s="3" t="s">
        <v>198</v>
      </c>
      <c r="B129" s="5">
        <v>45325</v>
      </c>
      <c r="C129" s="9" t="str">
        <f t="shared" si="25"/>
        <v>Feb-2024</v>
      </c>
      <c r="D129" s="5" t="str">
        <f t="shared" si="26"/>
        <v>2024-Q1</v>
      </c>
      <c r="E129" s="5">
        <v>45341</v>
      </c>
      <c r="F129" s="9">
        <f t="shared" si="38"/>
        <v>16</v>
      </c>
      <c r="G129" s="9" t="str">
        <f t="shared" si="39"/>
        <v>NOT ACHIEVED</v>
      </c>
      <c r="H129" s="3" t="s">
        <v>641</v>
      </c>
      <c r="I129" s="3" t="s">
        <v>653</v>
      </c>
      <c r="J129" s="3" t="s">
        <v>670</v>
      </c>
      <c r="K129" s="13" t="str">
        <f t="shared" si="40"/>
        <v>Asia &gt; China &gt; Shenzhen</v>
      </c>
      <c r="L129" s="3" t="s">
        <v>699</v>
      </c>
      <c r="M129" s="3" t="s">
        <v>702</v>
      </c>
      <c r="N129" s="13" t="str">
        <f t="shared" si="27"/>
        <v>Online</v>
      </c>
      <c r="O129" s="3" t="s">
        <v>716</v>
      </c>
      <c r="P129" s="3" t="s">
        <v>725</v>
      </c>
      <c r="Q129" s="13" t="str">
        <f t="shared" si="28"/>
        <v>Medium</v>
      </c>
      <c r="R129" s="3" t="s">
        <v>917</v>
      </c>
      <c r="S129" s="7">
        <v>993.75</v>
      </c>
      <c r="T129" s="7">
        <f t="shared" si="41"/>
        <v>1142.8125</v>
      </c>
      <c r="U129" s="7">
        <v>1310.29</v>
      </c>
      <c r="V129" s="7">
        <f t="shared" si="29"/>
        <v>1310.29</v>
      </c>
      <c r="W129" s="7">
        <f t="shared" si="42"/>
        <v>1506.8334999999997</v>
      </c>
      <c r="X129" s="16">
        <v>0.215</v>
      </c>
      <c r="Y129" t="str">
        <f t="shared" si="30"/>
        <v>OK</v>
      </c>
      <c r="Z129" s="16">
        <f t="shared" si="31"/>
        <v>0.215</v>
      </c>
      <c r="AA129" s="16">
        <f t="shared" si="43"/>
        <v>0.215</v>
      </c>
      <c r="AB129" s="9">
        <v>19</v>
      </c>
      <c r="AC129" s="9">
        <f t="shared" si="44"/>
        <v>22.8</v>
      </c>
      <c r="AD129" s="9">
        <f t="shared" si="32"/>
        <v>19542.975350000001</v>
      </c>
      <c r="AE129" s="9">
        <f t="shared" si="45"/>
        <v>41742.301616999997</v>
      </c>
      <c r="AF129" s="9">
        <f t="shared" si="33"/>
        <v>18881.25</v>
      </c>
      <c r="AG129" s="9">
        <f t="shared" si="34"/>
        <v>661.72535000000062</v>
      </c>
      <c r="AH129" s="9">
        <f t="shared" si="46"/>
        <v>22861.051616999997</v>
      </c>
      <c r="AI129">
        <f t="shared" si="35"/>
        <v>3.3860010471742245E-2</v>
      </c>
      <c r="AJ129" s="5">
        <f t="shared" si="36"/>
        <v>44928</v>
      </c>
      <c r="AK129" t="str">
        <f t="shared" si="37"/>
        <v>Jan-2023</v>
      </c>
      <c r="AL129">
        <v>0</v>
      </c>
      <c r="AM129">
        <v>0</v>
      </c>
      <c r="AN129">
        <v>0</v>
      </c>
    </row>
    <row r="130" spans="1:40" x14ac:dyDescent="0.45">
      <c r="A130" s="3" t="s">
        <v>201</v>
      </c>
      <c r="B130" s="5">
        <v>45214</v>
      </c>
      <c r="C130" s="9" t="str">
        <f t="shared" ref="C130:C193" si="47">TEXT(B130,"MMM-YYYY")</f>
        <v>Oct-2023</v>
      </c>
      <c r="D130" s="5" t="str">
        <f t="shared" ref="D130:D193" si="48">YEAR(B130)&amp; "-Q"&amp;ROUNDUP(MONTH(B130)/3,0)</f>
        <v>2023-Q4</v>
      </c>
      <c r="E130" s="5">
        <v>45243</v>
      </c>
      <c r="F130" s="9">
        <f t="shared" si="38"/>
        <v>29</v>
      </c>
      <c r="G130" s="9" t="str">
        <f t="shared" si="39"/>
        <v>NOT ACHIEVED</v>
      </c>
      <c r="H130" s="3" t="s">
        <v>641</v>
      </c>
      <c r="I130" s="3" t="s">
        <v>653</v>
      </c>
      <c r="J130" s="3" t="s">
        <v>670</v>
      </c>
      <c r="K130" s="13" t="str">
        <f t="shared" si="40"/>
        <v>Asia &gt; China &gt; Shenzhen</v>
      </c>
      <c r="L130" s="3" t="s">
        <v>697</v>
      </c>
      <c r="M130" s="3" t="s">
        <v>704</v>
      </c>
      <c r="N130" s="13" t="str">
        <f t="shared" ref="N130:N193" si="49">IF(ISBLANK(M130),"Unknown",M130)</f>
        <v>Distributor</v>
      </c>
      <c r="O130" s="3" t="s">
        <v>707</v>
      </c>
      <c r="P130" s="3" t="s">
        <v>722</v>
      </c>
      <c r="Q130" s="13" t="str">
        <f t="shared" ref="Q130:Q193" si="50">IF(U130&lt;=$AM$2,"Low",IF(U130&lt;=$AM$3,"Medium","High"))</f>
        <v>Low</v>
      </c>
      <c r="R130" s="3" t="s">
        <v>920</v>
      </c>
      <c r="S130" s="7">
        <v>986.44</v>
      </c>
      <c r="T130" s="7">
        <f t="shared" si="41"/>
        <v>1134.4059999999999</v>
      </c>
      <c r="U130" s="7">
        <v>790.61</v>
      </c>
      <c r="V130" s="7">
        <f t="shared" ref="V130:V193" si="51">IF(U130&lt;0,"",U130)</f>
        <v>790.61</v>
      </c>
      <c r="W130" s="7">
        <f t="shared" si="42"/>
        <v>909.2014999999999</v>
      </c>
      <c r="X130" s="16">
        <v>7.1999999999999995E-2</v>
      </c>
      <c r="Y130" t="str">
        <f t="shared" ref="Y130:Y193" si="52">IF(X130&gt;0.3,"Excess dis","OK")</f>
        <v>OK</v>
      </c>
      <c r="Z130" s="16">
        <f t="shared" ref="Z130:Z193" si="53">IF(X130&gt;0.3,0.3,X130)</f>
        <v>7.1999999999999995E-2</v>
      </c>
      <c r="AA130" s="16">
        <f t="shared" si="43"/>
        <v>7.1999999999999995E-2</v>
      </c>
      <c r="AB130" s="9">
        <v>6</v>
      </c>
      <c r="AC130" s="9">
        <f t="shared" si="44"/>
        <v>7.1999999999999993</v>
      </c>
      <c r="AD130" s="9">
        <f t="shared" ref="AD130:AD193" si="54">V130*AB130*(1-Z130)</f>
        <v>4402.1164799999997</v>
      </c>
      <c r="AE130" s="9">
        <f t="shared" si="45"/>
        <v>7017.580857599999</v>
      </c>
      <c r="AF130" s="9">
        <f t="shared" ref="AF130:AF193" si="55">S130*AB130</f>
        <v>5918.64</v>
      </c>
      <c r="AG130" s="9">
        <f t="shared" ref="AG130:AG193" si="56">AD130-AF130</f>
        <v>-1516.5235200000006</v>
      </c>
      <c r="AH130" s="9">
        <f t="shared" si="46"/>
        <v>1098.9408575999987</v>
      </c>
      <c r="AI130">
        <f t="shared" ref="AI130:AI193" si="57">IF(AD130=0,0,AG130/AD130)</f>
        <v>-0.34449872621271499</v>
      </c>
      <c r="AJ130" s="5">
        <f t="shared" ref="AJ130:AJ193" si="58">MIN(IF($I$2:$I$632=I130, $B$2:$B$632))</f>
        <v>44928</v>
      </c>
      <c r="AK130" t="str">
        <f t="shared" ref="AK130:AK193" si="59">TEXT(AJ130,"MMM-YYYY")</f>
        <v>Jan-2023</v>
      </c>
      <c r="AL130">
        <v>0</v>
      </c>
      <c r="AM130">
        <v>0</v>
      </c>
      <c r="AN130">
        <v>0</v>
      </c>
    </row>
    <row r="131" spans="1:40" x14ac:dyDescent="0.45">
      <c r="A131" s="3" t="s">
        <v>220</v>
      </c>
      <c r="B131" s="5">
        <v>45544</v>
      </c>
      <c r="C131" s="9" t="str">
        <f t="shared" si="47"/>
        <v>Sep-2024</v>
      </c>
      <c r="D131" s="5" t="str">
        <f t="shared" si="48"/>
        <v>2024-Q3</v>
      </c>
      <c r="E131" s="5">
        <v>45566</v>
      </c>
      <c r="F131" s="9">
        <f t="shared" ref="F131:F194" si="60">E131-B131</f>
        <v>22</v>
      </c>
      <c r="G131" s="9" t="str">
        <f t="shared" ref="G131:G194" si="61">IF(F131&lt;=7,"ACHIEVED","NOT ACHIEVED")</f>
        <v>NOT ACHIEVED</v>
      </c>
      <c r="H131" s="3" t="s">
        <v>641</v>
      </c>
      <c r="I131" s="3" t="s">
        <v>653</v>
      </c>
      <c r="J131" s="3" t="s">
        <v>670</v>
      </c>
      <c r="K131" s="13" t="str">
        <f t="shared" ref="K131:K194" si="62">H131&amp;" &gt; "&amp;I131&amp;" &gt; "&amp;J131</f>
        <v>Asia &gt; China &gt; Shenzhen</v>
      </c>
      <c r="L131" s="3" t="s">
        <v>698</v>
      </c>
      <c r="M131" s="3" t="s">
        <v>705</v>
      </c>
      <c r="N131" s="13" t="str">
        <f t="shared" si="49"/>
        <v>Direct</v>
      </c>
      <c r="O131" s="3" t="s">
        <v>710</v>
      </c>
      <c r="P131" s="3" t="s">
        <v>722</v>
      </c>
      <c r="Q131" s="13" t="str">
        <f t="shared" si="50"/>
        <v>Medium</v>
      </c>
      <c r="R131" s="3" t="s">
        <v>939</v>
      </c>
      <c r="S131" s="7">
        <v>1166.18</v>
      </c>
      <c r="T131" s="7">
        <f t="shared" ref="T131:T194" si="63">S131*(1+$AM$6)</f>
        <v>1341.107</v>
      </c>
      <c r="U131" s="7">
        <v>1335.02</v>
      </c>
      <c r="V131" s="7">
        <f t="shared" si="51"/>
        <v>1335.02</v>
      </c>
      <c r="W131" s="7">
        <f t="shared" ref="W131:W194" si="64">V131*(1+$AM$6)</f>
        <v>1535.2729999999999</v>
      </c>
      <c r="X131" s="16">
        <v>0.128</v>
      </c>
      <c r="Y131" t="str">
        <f t="shared" si="52"/>
        <v>OK</v>
      </c>
      <c r="Z131" s="16">
        <f t="shared" si="53"/>
        <v>0.128</v>
      </c>
      <c r="AA131" s="16">
        <f t="shared" ref="AA131:AA194" si="65">MIN(Z131,$AM$5)</f>
        <v>0.128</v>
      </c>
      <c r="AB131" s="9">
        <v>6</v>
      </c>
      <c r="AC131" s="9">
        <f t="shared" ref="AC131:AC194" si="66">AB131*(1+$AM$7)</f>
        <v>7.1999999999999993</v>
      </c>
      <c r="AD131" s="9">
        <f t="shared" si="54"/>
        <v>6984.8246399999998</v>
      </c>
      <c r="AE131" s="9">
        <f t="shared" ref="AE131:AE194" si="67">W131*AC131*(1+AA131)</f>
        <v>12468.873196799999</v>
      </c>
      <c r="AF131" s="9">
        <f t="shared" si="55"/>
        <v>6997.08</v>
      </c>
      <c r="AG131" s="9">
        <f t="shared" si="56"/>
        <v>-12.25536000000011</v>
      </c>
      <c r="AH131" s="9">
        <f t="shared" ref="AH131:AH194" si="68">AE131-AF131</f>
        <v>5471.7931967999994</v>
      </c>
      <c r="AI131">
        <f t="shared" si="57"/>
        <v>-1.7545694604582242E-3</v>
      </c>
      <c r="AJ131" s="5">
        <f t="shared" si="58"/>
        <v>44928</v>
      </c>
      <c r="AK131" t="str">
        <f t="shared" si="59"/>
        <v>Jan-2023</v>
      </c>
      <c r="AL131">
        <v>0</v>
      </c>
      <c r="AM131">
        <v>0</v>
      </c>
      <c r="AN131">
        <v>0</v>
      </c>
    </row>
    <row r="132" spans="1:40" x14ac:dyDescent="0.45">
      <c r="A132" s="3" t="s">
        <v>226</v>
      </c>
      <c r="B132" s="5">
        <v>45576</v>
      </c>
      <c r="C132" s="9" t="str">
        <f t="shared" si="47"/>
        <v>Oct-2024</v>
      </c>
      <c r="D132" s="5" t="str">
        <f t="shared" si="48"/>
        <v>2024-Q4</v>
      </c>
      <c r="E132" s="5">
        <v>45605</v>
      </c>
      <c r="F132" s="9">
        <f t="shared" si="60"/>
        <v>29</v>
      </c>
      <c r="G132" s="9" t="str">
        <f t="shared" si="61"/>
        <v>NOT ACHIEVED</v>
      </c>
      <c r="H132" s="3" t="s">
        <v>641</v>
      </c>
      <c r="I132" s="3" t="s">
        <v>653</v>
      </c>
      <c r="J132" s="3" t="s">
        <v>679</v>
      </c>
      <c r="K132" s="13" t="str">
        <f t="shared" si="62"/>
        <v>Asia &gt; China &gt; Shanghai</v>
      </c>
      <c r="L132" s="3" t="s">
        <v>697</v>
      </c>
      <c r="M132" s="3" t="s">
        <v>702</v>
      </c>
      <c r="N132" s="13" t="str">
        <f t="shared" si="49"/>
        <v>Online</v>
      </c>
      <c r="O132" s="3" t="s">
        <v>715</v>
      </c>
      <c r="P132" s="3" t="s">
        <v>722</v>
      </c>
      <c r="Q132" s="13" t="str">
        <f t="shared" si="50"/>
        <v>Low</v>
      </c>
      <c r="R132" s="3" t="s">
        <v>945</v>
      </c>
      <c r="S132" s="7">
        <v>391.64</v>
      </c>
      <c r="T132" s="7">
        <f t="shared" si="63"/>
        <v>450.38599999999997</v>
      </c>
      <c r="U132" s="7">
        <v>504.76</v>
      </c>
      <c r="V132" s="7">
        <f t="shared" si="51"/>
        <v>504.76</v>
      </c>
      <c r="W132" s="7">
        <f t="shared" si="64"/>
        <v>580.47399999999993</v>
      </c>
      <c r="X132" s="16">
        <v>4.0000000000000001E-3</v>
      </c>
      <c r="Y132" t="str">
        <f t="shared" si="52"/>
        <v>OK</v>
      </c>
      <c r="Z132" s="16">
        <f t="shared" si="53"/>
        <v>4.0000000000000001E-3</v>
      </c>
      <c r="AA132" s="16">
        <f t="shared" si="65"/>
        <v>4.0000000000000001E-3</v>
      </c>
      <c r="AB132" s="9">
        <v>13</v>
      </c>
      <c r="AC132" s="9">
        <f t="shared" si="66"/>
        <v>15.6</v>
      </c>
      <c r="AD132" s="9">
        <f t="shared" si="54"/>
        <v>6535.6324800000002</v>
      </c>
      <c r="AE132" s="9">
        <f t="shared" si="67"/>
        <v>9091.6159775999986</v>
      </c>
      <c r="AF132" s="9">
        <f t="shared" si="55"/>
        <v>5091.32</v>
      </c>
      <c r="AG132" s="9">
        <f t="shared" si="56"/>
        <v>1444.3124800000005</v>
      </c>
      <c r="AH132" s="9">
        <f t="shared" si="68"/>
        <v>4000.2959775999989</v>
      </c>
      <c r="AI132">
        <f t="shared" si="57"/>
        <v>0.22099046793402319</v>
      </c>
      <c r="AJ132" s="5">
        <f t="shared" si="58"/>
        <v>44928</v>
      </c>
      <c r="AK132" t="str">
        <f t="shared" si="59"/>
        <v>Jan-2023</v>
      </c>
      <c r="AL132">
        <v>0</v>
      </c>
      <c r="AM132">
        <v>0</v>
      </c>
      <c r="AN132">
        <v>0</v>
      </c>
    </row>
    <row r="133" spans="1:40" x14ac:dyDescent="0.45">
      <c r="A133" s="3" t="s">
        <v>238</v>
      </c>
      <c r="B133" s="5">
        <v>45069</v>
      </c>
      <c r="C133" s="9" t="str">
        <f t="shared" si="47"/>
        <v>May-2023</v>
      </c>
      <c r="D133" s="5" t="str">
        <f t="shared" si="48"/>
        <v>2023-Q2</v>
      </c>
      <c r="E133" s="5">
        <v>45087</v>
      </c>
      <c r="F133" s="9">
        <f t="shared" si="60"/>
        <v>18</v>
      </c>
      <c r="G133" s="9" t="str">
        <f t="shared" si="61"/>
        <v>NOT ACHIEVED</v>
      </c>
      <c r="H133" s="3" t="s">
        <v>641</v>
      </c>
      <c r="I133" s="3" t="s">
        <v>653</v>
      </c>
      <c r="J133" s="3" t="s">
        <v>679</v>
      </c>
      <c r="K133" s="13" t="str">
        <f t="shared" si="62"/>
        <v>Asia &gt; China &gt; Shanghai</v>
      </c>
      <c r="L133" s="3" t="s">
        <v>695</v>
      </c>
      <c r="M133" s="3" t="s">
        <v>704</v>
      </c>
      <c r="N133" s="13" t="str">
        <f t="shared" si="49"/>
        <v>Distributor</v>
      </c>
      <c r="O133" s="3" t="s">
        <v>712</v>
      </c>
      <c r="P133" s="3" t="s">
        <v>721</v>
      </c>
      <c r="Q133" s="13" t="str">
        <f t="shared" si="50"/>
        <v>Low</v>
      </c>
      <c r="R133" s="3" t="s">
        <v>957</v>
      </c>
      <c r="S133" s="7">
        <v>54.62</v>
      </c>
      <c r="T133" s="7">
        <f t="shared" si="63"/>
        <v>62.812999999999995</v>
      </c>
      <c r="U133" s="7">
        <v>48.94</v>
      </c>
      <c r="V133" s="7">
        <f t="shared" si="51"/>
        <v>48.94</v>
      </c>
      <c r="W133" s="7">
        <f t="shared" si="64"/>
        <v>56.280999999999992</v>
      </c>
      <c r="X133" s="16">
        <v>0.14799999999999999</v>
      </c>
      <c r="Y133" t="str">
        <f t="shared" si="52"/>
        <v>OK</v>
      </c>
      <c r="Z133" s="16">
        <f t="shared" si="53"/>
        <v>0.14799999999999999</v>
      </c>
      <c r="AA133" s="16">
        <f t="shared" si="65"/>
        <v>0.14799999999999999</v>
      </c>
      <c r="AB133" s="9">
        <v>16</v>
      </c>
      <c r="AC133" s="9">
        <f t="shared" si="66"/>
        <v>19.2</v>
      </c>
      <c r="AD133" s="9">
        <f t="shared" si="54"/>
        <v>667.15008</v>
      </c>
      <c r="AE133" s="9">
        <f t="shared" si="67"/>
        <v>1240.5232895999995</v>
      </c>
      <c r="AF133" s="9">
        <f t="shared" si="55"/>
        <v>873.92</v>
      </c>
      <c r="AG133" s="9">
        <f t="shared" si="56"/>
        <v>-206.76991999999996</v>
      </c>
      <c r="AH133" s="9">
        <f t="shared" si="68"/>
        <v>366.60328959999958</v>
      </c>
      <c r="AI133">
        <f t="shared" si="57"/>
        <v>-0.3099301434543783</v>
      </c>
      <c r="AJ133" s="5">
        <f t="shared" si="58"/>
        <v>44928</v>
      </c>
      <c r="AK133" t="str">
        <f t="shared" si="59"/>
        <v>Jan-2023</v>
      </c>
      <c r="AL133">
        <v>0</v>
      </c>
      <c r="AM133">
        <v>0</v>
      </c>
      <c r="AN133">
        <v>0</v>
      </c>
    </row>
    <row r="134" spans="1:40" x14ac:dyDescent="0.45">
      <c r="A134" s="3" t="s">
        <v>249</v>
      </c>
      <c r="B134" s="5">
        <v>45793</v>
      </c>
      <c r="C134" s="9" t="str">
        <f t="shared" si="47"/>
        <v>May-2025</v>
      </c>
      <c r="D134" s="5" t="str">
        <f t="shared" si="48"/>
        <v>2025-Q2</v>
      </c>
      <c r="E134" s="5">
        <v>45804</v>
      </c>
      <c r="F134" s="9">
        <f t="shared" si="60"/>
        <v>11</v>
      </c>
      <c r="G134" s="9" t="str">
        <f t="shared" si="61"/>
        <v>NOT ACHIEVED</v>
      </c>
      <c r="H134" s="3" t="s">
        <v>641</v>
      </c>
      <c r="I134" s="3" t="s">
        <v>653</v>
      </c>
      <c r="J134" s="3" t="s">
        <v>693</v>
      </c>
      <c r="K134" s="13" t="str">
        <f t="shared" si="62"/>
        <v>Asia &gt; China &gt; Beijing</v>
      </c>
      <c r="L134" s="3" t="s">
        <v>700</v>
      </c>
      <c r="M134" s="3" t="s">
        <v>702</v>
      </c>
      <c r="N134" s="13" t="str">
        <f t="shared" si="49"/>
        <v>Online</v>
      </c>
      <c r="O134" s="3" t="s">
        <v>715</v>
      </c>
      <c r="P134" s="3" t="s">
        <v>724</v>
      </c>
      <c r="Q134" s="13" t="str">
        <f t="shared" si="50"/>
        <v>Medium</v>
      </c>
      <c r="R134" s="3" t="s">
        <v>968</v>
      </c>
      <c r="S134" s="7">
        <v>918.12</v>
      </c>
      <c r="T134" s="7">
        <f t="shared" si="63"/>
        <v>1055.838</v>
      </c>
      <c r="U134" s="7">
        <v>1337.69</v>
      </c>
      <c r="V134" s="7">
        <f t="shared" si="51"/>
        <v>1337.69</v>
      </c>
      <c r="W134" s="7">
        <f t="shared" si="64"/>
        <v>1538.3434999999999</v>
      </c>
      <c r="X134" s="16">
        <v>9.5000000000000001E-2</v>
      </c>
      <c r="Y134" t="str">
        <f t="shared" si="52"/>
        <v>OK</v>
      </c>
      <c r="Z134" s="16">
        <f t="shared" si="53"/>
        <v>9.5000000000000001E-2</v>
      </c>
      <c r="AA134" s="16">
        <f t="shared" si="65"/>
        <v>9.5000000000000001E-2</v>
      </c>
      <c r="AB134" s="9">
        <v>8</v>
      </c>
      <c r="AC134" s="9">
        <f t="shared" si="66"/>
        <v>9.6</v>
      </c>
      <c r="AD134" s="9">
        <f t="shared" si="54"/>
        <v>9684.8756000000012</v>
      </c>
      <c r="AE134" s="9">
        <f t="shared" si="67"/>
        <v>16171.066871999999</v>
      </c>
      <c r="AF134" s="9">
        <f t="shared" si="55"/>
        <v>7344.96</v>
      </c>
      <c r="AG134" s="9">
        <f t="shared" si="56"/>
        <v>2339.9156000000012</v>
      </c>
      <c r="AH134" s="9">
        <f t="shared" si="68"/>
        <v>8826.1068720000003</v>
      </c>
      <c r="AI134">
        <f t="shared" si="57"/>
        <v>0.24160512707050164</v>
      </c>
      <c r="AJ134" s="5">
        <f t="shared" si="58"/>
        <v>44928</v>
      </c>
      <c r="AK134" t="str">
        <f t="shared" si="59"/>
        <v>Jan-2023</v>
      </c>
      <c r="AL134">
        <v>0</v>
      </c>
      <c r="AM134">
        <v>0</v>
      </c>
      <c r="AN134">
        <v>0</v>
      </c>
    </row>
    <row r="135" spans="1:40" x14ac:dyDescent="0.45">
      <c r="A135" s="3" t="s">
        <v>309</v>
      </c>
      <c r="B135" s="5">
        <v>45204</v>
      </c>
      <c r="C135" s="9" t="str">
        <f t="shared" si="47"/>
        <v>Oct-2023</v>
      </c>
      <c r="D135" s="5" t="str">
        <f t="shared" si="48"/>
        <v>2023-Q4</v>
      </c>
      <c r="E135" s="5">
        <v>45230</v>
      </c>
      <c r="F135" s="9">
        <f t="shared" si="60"/>
        <v>26</v>
      </c>
      <c r="G135" s="9" t="str">
        <f t="shared" si="61"/>
        <v>NOT ACHIEVED</v>
      </c>
      <c r="H135" s="3" t="s">
        <v>641</v>
      </c>
      <c r="I135" s="3" t="s">
        <v>653</v>
      </c>
      <c r="J135" s="3" t="s">
        <v>679</v>
      </c>
      <c r="K135" s="13" t="str">
        <f t="shared" si="62"/>
        <v>Asia &gt; China &gt; Shanghai</v>
      </c>
      <c r="L135" s="3" t="s">
        <v>698</v>
      </c>
      <c r="M135" s="3">
        <v>0</v>
      </c>
      <c r="N135" s="13">
        <f t="shared" si="49"/>
        <v>0</v>
      </c>
      <c r="O135" s="3" t="s">
        <v>707</v>
      </c>
      <c r="P135" s="3" t="s">
        <v>722</v>
      </c>
      <c r="Q135" s="13" t="str">
        <f t="shared" si="50"/>
        <v>Medium</v>
      </c>
      <c r="R135" s="3" t="s">
        <v>1028</v>
      </c>
      <c r="S135" s="7">
        <v>649.91</v>
      </c>
      <c r="T135" s="7">
        <f t="shared" si="63"/>
        <v>747.39649999999995</v>
      </c>
      <c r="U135" s="7">
        <v>1360.12</v>
      </c>
      <c r="V135" s="7">
        <f t="shared" si="51"/>
        <v>1360.12</v>
      </c>
      <c r="W135" s="7">
        <f t="shared" si="64"/>
        <v>1564.1379999999997</v>
      </c>
      <c r="X135" s="16">
        <v>0.19400000000000001</v>
      </c>
      <c r="Y135" t="str">
        <f t="shared" si="52"/>
        <v>OK</v>
      </c>
      <c r="Z135" s="16">
        <f t="shared" si="53"/>
        <v>0.19400000000000001</v>
      </c>
      <c r="AA135" s="16">
        <f t="shared" si="65"/>
        <v>0.19400000000000001</v>
      </c>
      <c r="AB135" s="9">
        <v>9</v>
      </c>
      <c r="AC135" s="9">
        <f t="shared" si="66"/>
        <v>10.799999999999999</v>
      </c>
      <c r="AD135" s="9">
        <f t="shared" si="54"/>
        <v>9866.3104799999983</v>
      </c>
      <c r="AE135" s="9">
        <f t="shared" si="67"/>
        <v>20169.872337599994</v>
      </c>
      <c r="AF135" s="9">
        <f t="shared" si="55"/>
        <v>5849.19</v>
      </c>
      <c r="AG135" s="9">
        <f t="shared" si="56"/>
        <v>4017.1204799999987</v>
      </c>
      <c r="AH135" s="9">
        <f t="shared" si="68"/>
        <v>14320.682337599996</v>
      </c>
      <c r="AI135">
        <f t="shared" si="57"/>
        <v>0.40715528749506769</v>
      </c>
      <c r="AJ135" s="5">
        <f t="shared" si="58"/>
        <v>44928</v>
      </c>
      <c r="AK135" t="str">
        <f t="shared" si="59"/>
        <v>Jan-2023</v>
      </c>
      <c r="AL135">
        <v>0</v>
      </c>
      <c r="AM135">
        <v>0</v>
      </c>
      <c r="AN135">
        <v>0</v>
      </c>
    </row>
    <row r="136" spans="1:40" x14ac:dyDescent="0.45">
      <c r="A136" s="3" t="s">
        <v>344</v>
      </c>
      <c r="B136" s="5">
        <v>45484</v>
      </c>
      <c r="C136" s="9" t="str">
        <f t="shared" si="47"/>
        <v>Jul-2024</v>
      </c>
      <c r="D136" s="5" t="str">
        <f t="shared" si="48"/>
        <v>2024-Q3</v>
      </c>
      <c r="E136" s="5">
        <v>45504</v>
      </c>
      <c r="F136" s="9">
        <f t="shared" si="60"/>
        <v>20</v>
      </c>
      <c r="G136" s="9" t="str">
        <f t="shared" si="61"/>
        <v>NOT ACHIEVED</v>
      </c>
      <c r="H136" s="3" t="s">
        <v>641</v>
      </c>
      <c r="I136" s="3" t="s">
        <v>653</v>
      </c>
      <c r="J136" s="3" t="s">
        <v>670</v>
      </c>
      <c r="K136" s="13" t="str">
        <f t="shared" si="62"/>
        <v>Asia &gt; China &gt; Shenzhen</v>
      </c>
      <c r="L136" s="3" t="s">
        <v>698</v>
      </c>
      <c r="M136" s="3" t="s">
        <v>702</v>
      </c>
      <c r="N136" s="13" t="str">
        <f t="shared" si="49"/>
        <v>Online</v>
      </c>
      <c r="O136" s="3" t="s">
        <v>709</v>
      </c>
      <c r="P136" s="3" t="s">
        <v>724</v>
      </c>
      <c r="Q136" s="13" t="str">
        <f t="shared" si="50"/>
        <v>Medium</v>
      </c>
      <c r="R136" s="3" t="s">
        <v>1063</v>
      </c>
      <c r="S136" s="7">
        <v>647.26</v>
      </c>
      <c r="T136" s="7">
        <f t="shared" si="63"/>
        <v>744.34899999999993</v>
      </c>
      <c r="U136" s="7">
        <v>1374.72</v>
      </c>
      <c r="V136" s="7">
        <f t="shared" si="51"/>
        <v>1374.72</v>
      </c>
      <c r="W136" s="7">
        <f t="shared" si="64"/>
        <v>1580.9279999999999</v>
      </c>
      <c r="X136" s="16">
        <v>6.6000000000000003E-2</v>
      </c>
      <c r="Y136" t="str">
        <f t="shared" si="52"/>
        <v>OK</v>
      </c>
      <c r="Z136" s="16">
        <f t="shared" si="53"/>
        <v>6.6000000000000003E-2</v>
      </c>
      <c r="AA136" s="16">
        <f t="shared" si="65"/>
        <v>6.6000000000000003E-2</v>
      </c>
      <c r="AB136" s="9">
        <v>22</v>
      </c>
      <c r="AC136" s="9">
        <f t="shared" si="66"/>
        <v>26.4</v>
      </c>
      <c r="AD136" s="9">
        <f t="shared" si="54"/>
        <v>28247.74656</v>
      </c>
      <c r="AE136" s="9">
        <f t="shared" si="67"/>
        <v>44491.108147199993</v>
      </c>
      <c r="AF136" s="9">
        <f t="shared" si="55"/>
        <v>14239.72</v>
      </c>
      <c r="AG136" s="9">
        <f t="shared" si="56"/>
        <v>14008.02656</v>
      </c>
      <c r="AH136" s="9">
        <f t="shared" si="68"/>
        <v>30251.388147199992</v>
      </c>
      <c r="AI136">
        <f t="shared" si="57"/>
        <v>0.49589890401508901</v>
      </c>
      <c r="AJ136" s="5">
        <f t="shared" si="58"/>
        <v>44928</v>
      </c>
      <c r="AK136" t="str">
        <f t="shared" si="59"/>
        <v>Jan-2023</v>
      </c>
      <c r="AL136">
        <v>0</v>
      </c>
      <c r="AM136">
        <v>0</v>
      </c>
      <c r="AN136">
        <v>0</v>
      </c>
    </row>
    <row r="137" spans="1:40" x14ac:dyDescent="0.45">
      <c r="A137" s="3" t="s">
        <v>366</v>
      </c>
      <c r="B137" s="5">
        <v>45621</v>
      </c>
      <c r="C137" s="9" t="str">
        <f t="shared" si="47"/>
        <v>Nov-2024</v>
      </c>
      <c r="D137" s="5" t="str">
        <f t="shared" si="48"/>
        <v>2024-Q4</v>
      </c>
      <c r="E137" s="5">
        <v>45633</v>
      </c>
      <c r="F137" s="9">
        <f t="shared" si="60"/>
        <v>12</v>
      </c>
      <c r="G137" s="9" t="str">
        <f t="shared" si="61"/>
        <v>NOT ACHIEVED</v>
      </c>
      <c r="H137" s="3" t="s">
        <v>641</v>
      </c>
      <c r="I137" s="3" t="s">
        <v>653</v>
      </c>
      <c r="J137" s="3" t="s">
        <v>679</v>
      </c>
      <c r="K137" s="13" t="str">
        <f t="shared" si="62"/>
        <v>Asia &gt; China &gt; Shanghai</v>
      </c>
      <c r="L137" s="3" t="s">
        <v>695</v>
      </c>
      <c r="M137" s="3" t="s">
        <v>704</v>
      </c>
      <c r="N137" s="13" t="str">
        <f t="shared" si="49"/>
        <v>Distributor</v>
      </c>
      <c r="O137" s="3" t="s">
        <v>714</v>
      </c>
      <c r="P137" s="3" t="s">
        <v>727</v>
      </c>
      <c r="Q137" s="13" t="str">
        <f t="shared" si="50"/>
        <v>Low</v>
      </c>
      <c r="R137" s="3" t="s">
        <v>1085</v>
      </c>
      <c r="S137" s="7">
        <v>769.9</v>
      </c>
      <c r="T137" s="7">
        <f t="shared" si="63"/>
        <v>885.38499999999988</v>
      </c>
      <c r="U137" s="7">
        <v>814.36</v>
      </c>
      <c r="V137" s="7">
        <f t="shared" si="51"/>
        <v>814.36</v>
      </c>
      <c r="W137" s="7">
        <f t="shared" si="64"/>
        <v>936.5139999999999</v>
      </c>
      <c r="X137" s="16">
        <v>0</v>
      </c>
      <c r="Y137" t="str">
        <f t="shared" si="52"/>
        <v>OK</v>
      </c>
      <c r="Z137" s="16">
        <f t="shared" si="53"/>
        <v>0</v>
      </c>
      <c r="AA137" s="16">
        <f t="shared" si="65"/>
        <v>0</v>
      </c>
      <c r="AB137" s="9">
        <v>5</v>
      </c>
      <c r="AC137" s="9">
        <f t="shared" si="66"/>
        <v>6</v>
      </c>
      <c r="AD137" s="9">
        <f t="shared" si="54"/>
        <v>4071.8</v>
      </c>
      <c r="AE137" s="9">
        <f t="shared" si="67"/>
        <v>5619.0839999999989</v>
      </c>
      <c r="AF137" s="9">
        <f t="shared" si="55"/>
        <v>3849.5</v>
      </c>
      <c r="AG137" s="9">
        <f t="shared" si="56"/>
        <v>222.30000000000018</v>
      </c>
      <c r="AH137" s="9">
        <f t="shared" si="68"/>
        <v>1769.5839999999989</v>
      </c>
      <c r="AI137">
        <f t="shared" si="57"/>
        <v>5.4595019401738831E-2</v>
      </c>
      <c r="AJ137" s="5">
        <f t="shared" si="58"/>
        <v>44928</v>
      </c>
      <c r="AK137" t="str">
        <f t="shared" si="59"/>
        <v>Jan-2023</v>
      </c>
      <c r="AL137">
        <v>0</v>
      </c>
      <c r="AM137">
        <v>0</v>
      </c>
      <c r="AN137">
        <v>0</v>
      </c>
    </row>
    <row r="138" spans="1:40" x14ac:dyDescent="0.45">
      <c r="A138" s="3" t="s">
        <v>371</v>
      </c>
      <c r="B138" s="5">
        <v>45360</v>
      </c>
      <c r="C138" s="9" t="str">
        <f t="shared" si="47"/>
        <v>Mar-2024</v>
      </c>
      <c r="D138" s="5" t="str">
        <f t="shared" si="48"/>
        <v>2024-Q1</v>
      </c>
      <c r="E138" s="5">
        <v>45377</v>
      </c>
      <c r="F138" s="9">
        <f t="shared" si="60"/>
        <v>17</v>
      </c>
      <c r="G138" s="9" t="str">
        <f t="shared" si="61"/>
        <v>NOT ACHIEVED</v>
      </c>
      <c r="H138" s="3" t="s">
        <v>641</v>
      </c>
      <c r="I138" s="3" t="s">
        <v>653</v>
      </c>
      <c r="J138" s="3" t="s">
        <v>670</v>
      </c>
      <c r="K138" s="13" t="str">
        <f t="shared" si="62"/>
        <v>Asia &gt; China &gt; Shenzhen</v>
      </c>
      <c r="L138" s="3" t="s">
        <v>700</v>
      </c>
      <c r="M138" s="3" t="s">
        <v>702</v>
      </c>
      <c r="N138" s="13" t="str">
        <f t="shared" si="49"/>
        <v>Online</v>
      </c>
      <c r="O138" s="3" t="s">
        <v>717</v>
      </c>
      <c r="P138" s="3" t="s">
        <v>726</v>
      </c>
      <c r="Q138" s="13" t="str">
        <f t="shared" si="50"/>
        <v>Medium</v>
      </c>
      <c r="R138" s="3" t="s">
        <v>1090</v>
      </c>
      <c r="S138" s="7">
        <v>1029.67</v>
      </c>
      <c r="T138" s="7">
        <f t="shared" si="63"/>
        <v>1184.1205</v>
      </c>
      <c r="U138" s="7">
        <v>1118.43</v>
      </c>
      <c r="V138" s="7">
        <f t="shared" si="51"/>
        <v>1118.43</v>
      </c>
      <c r="W138" s="7">
        <f t="shared" si="64"/>
        <v>1286.1945000000001</v>
      </c>
      <c r="X138" s="16">
        <v>0.27200000000000002</v>
      </c>
      <c r="Y138" t="str">
        <f t="shared" si="52"/>
        <v>OK</v>
      </c>
      <c r="Z138" s="16">
        <f t="shared" si="53"/>
        <v>0.27200000000000002</v>
      </c>
      <c r="AA138" s="16">
        <f t="shared" si="65"/>
        <v>0.25</v>
      </c>
      <c r="AB138" s="9">
        <v>9</v>
      </c>
      <c r="AC138" s="9">
        <f t="shared" si="66"/>
        <v>10.799999999999999</v>
      </c>
      <c r="AD138" s="9">
        <f t="shared" si="54"/>
        <v>7327.9533600000004</v>
      </c>
      <c r="AE138" s="9">
        <f t="shared" si="67"/>
        <v>17363.625749999999</v>
      </c>
      <c r="AF138" s="9">
        <f t="shared" si="55"/>
        <v>9267.0300000000007</v>
      </c>
      <c r="AG138" s="9">
        <f t="shared" si="56"/>
        <v>-1939.0766400000002</v>
      </c>
      <c r="AH138" s="9">
        <f t="shared" si="68"/>
        <v>8096.5957499999986</v>
      </c>
      <c r="AI138">
        <f t="shared" si="57"/>
        <v>-0.26461367106736061</v>
      </c>
      <c r="AJ138" s="5">
        <f t="shared" si="58"/>
        <v>44928</v>
      </c>
      <c r="AK138" t="str">
        <f t="shared" si="59"/>
        <v>Jan-2023</v>
      </c>
      <c r="AL138">
        <v>0</v>
      </c>
      <c r="AM138">
        <v>0</v>
      </c>
      <c r="AN138">
        <v>0</v>
      </c>
    </row>
    <row r="139" spans="1:40" x14ac:dyDescent="0.45">
      <c r="A139" s="3" t="s">
        <v>383</v>
      </c>
      <c r="B139" s="5">
        <v>45354</v>
      </c>
      <c r="C139" s="9" t="str">
        <f t="shared" si="47"/>
        <v>Mar-2024</v>
      </c>
      <c r="D139" s="5" t="str">
        <f t="shared" si="48"/>
        <v>2024-Q1</v>
      </c>
      <c r="E139" s="5">
        <v>45370</v>
      </c>
      <c r="F139" s="9">
        <f t="shared" si="60"/>
        <v>16</v>
      </c>
      <c r="G139" s="9" t="str">
        <f t="shared" si="61"/>
        <v>NOT ACHIEVED</v>
      </c>
      <c r="H139" s="3" t="s">
        <v>641</v>
      </c>
      <c r="I139" s="3" t="s">
        <v>653</v>
      </c>
      <c r="J139" s="3" t="s">
        <v>693</v>
      </c>
      <c r="K139" s="13" t="str">
        <f t="shared" si="62"/>
        <v>Asia &gt; China &gt; Beijing</v>
      </c>
      <c r="L139" s="3" t="s">
        <v>698</v>
      </c>
      <c r="M139" s="3" t="s">
        <v>704</v>
      </c>
      <c r="N139" s="13" t="str">
        <f t="shared" si="49"/>
        <v>Distributor</v>
      </c>
      <c r="O139" s="3" t="s">
        <v>709</v>
      </c>
      <c r="P139" s="3" t="s">
        <v>724</v>
      </c>
      <c r="Q139" s="13" t="str">
        <f t="shared" si="50"/>
        <v>Medium</v>
      </c>
      <c r="R139" s="3" t="s">
        <v>1102</v>
      </c>
      <c r="S139" s="7">
        <v>988.83</v>
      </c>
      <c r="T139" s="7">
        <f t="shared" si="63"/>
        <v>1137.1544999999999</v>
      </c>
      <c r="U139" s="7">
        <v>1206.04</v>
      </c>
      <c r="V139" s="7">
        <f t="shared" si="51"/>
        <v>1206.04</v>
      </c>
      <c r="W139" s="7">
        <f t="shared" si="64"/>
        <v>1386.9459999999999</v>
      </c>
      <c r="X139" s="16">
        <v>6.3E-2</v>
      </c>
      <c r="Y139" t="str">
        <f t="shared" si="52"/>
        <v>OK</v>
      </c>
      <c r="Z139" s="16">
        <f t="shared" si="53"/>
        <v>6.3E-2</v>
      </c>
      <c r="AA139" s="16">
        <f t="shared" si="65"/>
        <v>6.3E-2</v>
      </c>
      <c r="AB139" s="9">
        <v>34</v>
      </c>
      <c r="AC139" s="9">
        <f t="shared" si="66"/>
        <v>40.799999999999997</v>
      </c>
      <c r="AD139" s="9">
        <f t="shared" si="54"/>
        <v>38422.022320000004</v>
      </c>
      <c r="AE139" s="9">
        <f t="shared" si="67"/>
        <v>60152.402798399991</v>
      </c>
      <c r="AF139" s="9">
        <f t="shared" si="55"/>
        <v>33620.22</v>
      </c>
      <c r="AG139" s="9">
        <f t="shared" si="56"/>
        <v>4801.8023200000025</v>
      </c>
      <c r="AH139" s="9">
        <f t="shared" si="68"/>
        <v>26532.18279839999</v>
      </c>
      <c r="AI139">
        <f t="shared" si="57"/>
        <v>0.12497526236406606</v>
      </c>
      <c r="AJ139" s="5">
        <f t="shared" si="58"/>
        <v>44928</v>
      </c>
      <c r="AK139" t="str">
        <f t="shared" si="59"/>
        <v>Jan-2023</v>
      </c>
      <c r="AL139">
        <v>0</v>
      </c>
      <c r="AM139">
        <v>0</v>
      </c>
      <c r="AN139">
        <v>0</v>
      </c>
    </row>
    <row r="140" spans="1:40" x14ac:dyDescent="0.45">
      <c r="A140" s="3" t="s">
        <v>384</v>
      </c>
      <c r="B140" s="5">
        <v>45835</v>
      </c>
      <c r="C140" s="9" t="str">
        <f t="shared" si="47"/>
        <v>Jun-2025</v>
      </c>
      <c r="D140" s="5" t="str">
        <f t="shared" si="48"/>
        <v>2025-Q2</v>
      </c>
      <c r="E140" s="5">
        <v>45849</v>
      </c>
      <c r="F140" s="9">
        <f t="shared" si="60"/>
        <v>14</v>
      </c>
      <c r="G140" s="9" t="str">
        <f t="shared" si="61"/>
        <v>NOT ACHIEVED</v>
      </c>
      <c r="H140" s="3" t="s">
        <v>641</v>
      </c>
      <c r="I140" s="3" t="s">
        <v>653</v>
      </c>
      <c r="J140" s="3" t="s">
        <v>679</v>
      </c>
      <c r="K140" s="13" t="str">
        <f t="shared" si="62"/>
        <v>Asia &gt; China &gt; Shanghai</v>
      </c>
      <c r="L140" s="3" t="s">
        <v>699</v>
      </c>
      <c r="M140" s="3" t="s">
        <v>703</v>
      </c>
      <c r="N140" s="13" t="str">
        <f t="shared" si="49"/>
        <v>Marketplace</v>
      </c>
      <c r="O140" s="3" t="s">
        <v>710</v>
      </c>
      <c r="P140" s="3" t="s">
        <v>723</v>
      </c>
      <c r="Q140" s="13" t="str">
        <f t="shared" si="50"/>
        <v>High</v>
      </c>
      <c r="R140" s="3" t="s">
        <v>1103</v>
      </c>
      <c r="S140" s="7">
        <v>1227.7</v>
      </c>
      <c r="T140" s="7">
        <f t="shared" si="63"/>
        <v>1411.855</v>
      </c>
      <c r="U140" s="7">
        <v>2197.23</v>
      </c>
      <c r="V140" s="7">
        <f t="shared" si="51"/>
        <v>2197.23</v>
      </c>
      <c r="W140" s="7">
        <f t="shared" si="64"/>
        <v>2526.8145</v>
      </c>
      <c r="X140" s="16">
        <v>9.9000000000000005E-2</v>
      </c>
      <c r="Y140" t="str">
        <f t="shared" si="52"/>
        <v>OK</v>
      </c>
      <c r="Z140" s="16">
        <f t="shared" si="53"/>
        <v>9.9000000000000005E-2</v>
      </c>
      <c r="AA140" s="16">
        <f t="shared" si="65"/>
        <v>9.9000000000000005E-2</v>
      </c>
      <c r="AB140" s="9">
        <v>22</v>
      </c>
      <c r="AC140" s="9">
        <f t="shared" si="66"/>
        <v>26.4</v>
      </c>
      <c r="AD140" s="9">
        <f t="shared" si="54"/>
        <v>43553.493060000001</v>
      </c>
      <c r="AE140" s="9">
        <f t="shared" si="67"/>
        <v>73311.985177199997</v>
      </c>
      <c r="AF140" s="9">
        <f t="shared" si="55"/>
        <v>27009.4</v>
      </c>
      <c r="AG140" s="9">
        <f t="shared" si="56"/>
        <v>16544.093059999999</v>
      </c>
      <c r="AH140" s="9">
        <f t="shared" si="68"/>
        <v>46302.585177199995</v>
      </c>
      <c r="AI140">
        <f t="shared" si="57"/>
        <v>0.37985685871873898</v>
      </c>
      <c r="AJ140" s="5">
        <f t="shared" si="58"/>
        <v>44928</v>
      </c>
      <c r="AK140" t="str">
        <f t="shared" si="59"/>
        <v>Jan-2023</v>
      </c>
      <c r="AL140">
        <v>0</v>
      </c>
      <c r="AM140">
        <v>0</v>
      </c>
      <c r="AN140">
        <v>0</v>
      </c>
    </row>
    <row r="141" spans="1:40" x14ac:dyDescent="0.45">
      <c r="A141" s="3" t="s">
        <v>396</v>
      </c>
      <c r="B141" s="5">
        <v>45199</v>
      </c>
      <c r="C141" s="9" t="str">
        <f t="shared" si="47"/>
        <v>Sep-2023</v>
      </c>
      <c r="D141" s="5" t="str">
        <f t="shared" si="48"/>
        <v>2023-Q3</v>
      </c>
      <c r="E141" s="5">
        <v>45202</v>
      </c>
      <c r="F141" s="9">
        <f t="shared" si="60"/>
        <v>3</v>
      </c>
      <c r="G141" s="9" t="str">
        <f t="shared" si="61"/>
        <v>ACHIEVED</v>
      </c>
      <c r="H141" s="3" t="s">
        <v>641</v>
      </c>
      <c r="I141" s="3" t="s">
        <v>653</v>
      </c>
      <c r="J141" s="3" t="s">
        <v>693</v>
      </c>
      <c r="K141" s="13" t="str">
        <f t="shared" si="62"/>
        <v>Asia &gt; China &gt; Beijing</v>
      </c>
      <c r="L141" s="3" t="s">
        <v>697</v>
      </c>
      <c r="M141" s="3" t="s">
        <v>701</v>
      </c>
      <c r="N141" s="13" t="str">
        <f t="shared" si="49"/>
        <v>Retail</v>
      </c>
      <c r="O141" s="3" t="s">
        <v>707</v>
      </c>
      <c r="P141" s="3" t="s">
        <v>725</v>
      </c>
      <c r="Q141" s="13" t="str">
        <f t="shared" si="50"/>
        <v>Medium</v>
      </c>
      <c r="R141" s="3" t="s">
        <v>1114</v>
      </c>
      <c r="S141" s="7">
        <v>1019.36</v>
      </c>
      <c r="T141" s="7">
        <f t="shared" si="63"/>
        <v>1172.2639999999999</v>
      </c>
      <c r="U141" s="7">
        <v>972.91</v>
      </c>
      <c r="V141" s="7">
        <f t="shared" si="51"/>
        <v>972.91</v>
      </c>
      <c r="W141" s="7">
        <f t="shared" si="64"/>
        <v>1118.8464999999999</v>
      </c>
      <c r="X141" s="16">
        <v>0.14699999999999999</v>
      </c>
      <c r="Y141" t="str">
        <f t="shared" si="52"/>
        <v>OK</v>
      </c>
      <c r="Z141" s="16">
        <f t="shared" si="53"/>
        <v>0.14699999999999999</v>
      </c>
      <c r="AA141" s="16">
        <f t="shared" si="65"/>
        <v>0.14699999999999999</v>
      </c>
      <c r="AB141" s="9">
        <v>17</v>
      </c>
      <c r="AC141" s="9">
        <f t="shared" si="66"/>
        <v>20.399999999999999</v>
      </c>
      <c r="AD141" s="9">
        <f t="shared" si="54"/>
        <v>14108.16791</v>
      </c>
      <c r="AE141" s="9">
        <f t="shared" si="67"/>
        <v>26179.665484199995</v>
      </c>
      <c r="AF141" s="9">
        <f t="shared" si="55"/>
        <v>17329.12</v>
      </c>
      <c r="AG141" s="9">
        <f t="shared" si="56"/>
        <v>-3220.9520899999989</v>
      </c>
      <c r="AH141" s="9">
        <f t="shared" si="68"/>
        <v>8850.5454841999963</v>
      </c>
      <c r="AI141">
        <f t="shared" si="57"/>
        <v>-0.22830406545678819</v>
      </c>
      <c r="AJ141" s="5">
        <f t="shared" si="58"/>
        <v>44928</v>
      </c>
      <c r="AK141" t="str">
        <f t="shared" si="59"/>
        <v>Jan-2023</v>
      </c>
      <c r="AL141">
        <v>0</v>
      </c>
      <c r="AM141">
        <v>0</v>
      </c>
      <c r="AN141">
        <v>0</v>
      </c>
    </row>
    <row r="142" spans="1:40" x14ac:dyDescent="0.45">
      <c r="A142" s="3" t="s">
        <v>400</v>
      </c>
      <c r="B142" s="5">
        <v>45208</v>
      </c>
      <c r="C142" s="9" t="str">
        <f t="shared" si="47"/>
        <v>Oct-2023</v>
      </c>
      <c r="D142" s="5" t="str">
        <f t="shared" si="48"/>
        <v>2023-Q4</v>
      </c>
      <c r="E142" s="5">
        <v>45225</v>
      </c>
      <c r="F142" s="9">
        <f t="shared" si="60"/>
        <v>17</v>
      </c>
      <c r="G142" s="9" t="str">
        <f t="shared" si="61"/>
        <v>NOT ACHIEVED</v>
      </c>
      <c r="H142" s="3" t="s">
        <v>641</v>
      </c>
      <c r="I142" s="3" t="s">
        <v>653</v>
      </c>
      <c r="J142" s="3" t="s">
        <v>679</v>
      </c>
      <c r="K142" s="13" t="str">
        <f t="shared" si="62"/>
        <v>Asia &gt; China &gt; Shanghai</v>
      </c>
      <c r="L142" s="3" t="s">
        <v>698</v>
      </c>
      <c r="M142" s="3" t="s">
        <v>703</v>
      </c>
      <c r="N142" s="13" t="str">
        <f t="shared" si="49"/>
        <v>Marketplace</v>
      </c>
      <c r="O142" s="3" t="s">
        <v>706</v>
      </c>
      <c r="P142" s="3" t="s">
        <v>721</v>
      </c>
      <c r="Q142" s="13" t="str">
        <f t="shared" si="50"/>
        <v>High</v>
      </c>
      <c r="R142" s="3" t="s">
        <v>1118</v>
      </c>
      <c r="S142" s="7">
        <v>1132.03</v>
      </c>
      <c r="T142" s="7">
        <f t="shared" si="63"/>
        <v>1301.8344999999999</v>
      </c>
      <c r="U142" s="7">
        <v>2137.21</v>
      </c>
      <c r="V142" s="7">
        <f t="shared" si="51"/>
        <v>2137.21</v>
      </c>
      <c r="W142" s="7">
        <f t="shared" si="64"/>
        <v>2457.7914999999998</v>
      </c>
      <c r="X142" s="16">
        <v>0.3</v>
      </c>
      <c r="Y142" t="str">
        <f t="shared" si="52"/>
        <v>OK</v>
      </c>
      <c r="Z142" s="16">
        <f t="shared" si="53"/>
        <v>0.3</v>
      </c>
      <c r="AA142" s="16">
        <f t="shared" si="65"/>
        <v>0.25</v>
      </c>
      <c r="AB142" s="9">
        <v>35</v>
      </c>
      <c r="AC142" s="9">
        <f t="shared" si="66"/>
        <v>42</v>
      </c>
      <c r="AD142" s="9">
        <f t="shared" si="54"/>
        <v>52361.645000000004</v>
      </c>
      <c r="AE142" s="9">
        <f t="shared" si="67"/>
        <v>129034.05374999999</v>
      </c>
      <c r="AF142" s="9">
        <f t="shared" si="55"/>
        <v>39621.049999999996</v>
      </c>
      <c r="AG142" s="9">
        <f t="shared" si="56"/>
        <v>12740.595000000008</v>
      </c>
      <c r="AH142" s="9">
        <f t="shared" si="68"/>
        <v>89413.003750000003</v>
      </c>
      <c r="AI142">
        <f t="shared" si="57"/>
        <v>0.24331922727026639</v>
      </c>
      <c r="AJ142" s="5">
        <f t="shared" si="58"/>
        <v>44928</v>
      </c>
      <c r="AK142" t="str">
        <f t="shared" si="59"/>
        <v>Jan-2023</v>
      </c>
      <c r="AL142">
        <v>0</v>
      </c>
      <c r="AM142">
        <v>0</v>
      </c>
      <c r="AN142">
        <v>0</v>
      </c>
    </row>
    <row r="143" spans="1:40" x14ac:dyDescent="0.45">
      <c r="A143" s="3" t="s">
        <v>413</v>
      </c>
      <c r="B143" s="5">
        <v>44991</v>
      </c>
      <c r="C143" s="9" t="str">
        <f t="shared" si="47"/>
        <v>Mar-2023</v>
      </c>
      <c r="D143" s="5" t="str">
        <f t="shared" si="48"/>
        <v>2023-Q1</v>
      </c>
      <c r="E143" s="5">
        <v>45020</v>
      </c>
      <c r="F143" s="9">
        <f t="shared" si="60"/>
        <v>29</v>
      </c>
      <c r="G143" s="9" t="str">
        <f t="shared" si="61"/>
        <v>NOT ACHIEVED</v>
      </c>
      <c r="H143" s="3" t="s">
        <v>641</v>
      </c>
      <c r="I143" s="3" t="s">
        <v>653</v>
      </c>
      <c r="J143" s="3" t="s">
        <v>693</v>
      </c>
      <c r="K143" s="13" t="str">
        <f t="shared" si="62"/>
        <v>Asia &gt; China &gt; Beijing</v>
      </c>
      <c r="L143" s="3" t="s">
        <v>699</v>
      </c>
      <c r="M143" s="3" t="s">
        <v>705</v>
      </c>
      <c r="N143" s="13" t="str">
        <f t="shared" si="49"/>
        <v>Direct</v>
      </c>
      <c r="O143" s="3" t="s">
        <v>706</v>
      </c>
      <c r="P143" s="3" t="s">
        <v>726</v>
      </c>
      <c r="Q143" s="13" t="str">
        <f t="shared" si="50"/>
        <v>High</v>
      </c>
      <c r="R143" s="3" t="s">
        <v>1131</v>
      </c>
      <c r="S143" s="7">
        <v>1126.29</v>
      </c>
      <c r="T143" s="7">
        <f t="shared" si="63"/>
        <v>1295.2334999999998</v>
      </c>
      <c r="U143" s="7">
        <v>2050.87</v>
      </c>
      <c r="V143" s="7">
        <f t="shared" si="51"/>
        <v>2050.87</v>
      </c>
      <c r="W143" s="7">
        <f t="shared" si="64"/>
        <v>2358.5004999999996</v>
      </c>
      <c r="X143" s="16">
        <v>6.4000000000000001E-2</v>
      </c>
      <c r="Y143" t="str">
        <f t="shared" si="52"/>
        <v>OK</v>
      </c>
      <c r="Z143" s="16">
        <f t="shared" si="53"/>
        <v>6.4000000000000001E-2</v>
      </c>
      <c r="AA143" s="16">
        <f t="shared" si="65"/>
        <v>6.4000000000000001E-2</v>
      </c>
      <c r="AB143" s="9">
        <v>7</v>
      </c>
      <c r="AC143" s="9">
        <f t="shared" si="66"/>
        <v>8.4</v>
      </c>
      <c r="AD143" s="9">
        <f t="shared" si="54"/>
        <v>13437.300239999999</v>
      </c>
      <c r="AE143" s="9">
        <f t="shared" si="67"/>
        <v>21079.334068799999</v>
      </c>
      <c r="AF143" s="9">
        <f t="shared" si="55"/>
        <v>7884.03</v>
      </c>
      <c r="AG143" s="9">
        <f t="shared" si="56"/>
        <v>5553.2702399999989</v>
      </c>
      <c r="AH143" s="9">
        <f t="shared" si="68"/>
        <v>13195.3040688</v>
      </c>
      <c r="AI143">
        <f t="shared" si="57"/>
        <v>0.41327276616690373</v>
      </c>
      <c r="AJ143" s="5">
        <f t="shared" si="58"/>
        <v>44928</v>
      </c>
      <c r="AK143" t="str">
        <f t="shared" si="59"/>
        <v>Jan-2023</v>
      </c>
      <c r="AL143">
        <v>0</v>
      </c>
      <c r="AM143">
        <v>0</v>
      </c>
      <c r="AN143">
        <v>0</v>
      </c>
    </row>
    <row r="144" spans="1:40" x14ac:dyDescent="0.45">
      <c r="A144" s="3" t="s">
        <v>417</v>
      </c>
      <c r="B144" s="5">
        <v>45276</v>
      </c>
      <c r="C144" s="9" t="str">
        <f t="shared" si="47"/>
        <v>Dec-2023</v>
      </c>
      <c r="D144" s="5" t="str">
        <f t="shared" si="48"/>
        <v>2023-Q4</v>
      </c>
      <c r="E144" s="5">
        <v>45279</v>
      </c>
      <c r="F144" s="9">
        <f t="shared" si="60"/>
        <v>3</v>
      </c>
      <c r="G144" s="9" t="str">
        <f t="shared" si="61"/>
        <v>ACHIEVED</v>
      </c>
      <c r="H144" s="3" t="s">
        <v>641</v>
      </c>
      <c r="I144" s="3" t="s">
        <v>653</v>
      </c>
      <c r="J144" s="3" t="s">
        <v>693</v>
      </c>
      <c r="K144" s="13" t="str">
        <f t="shared" si="62"/>
        <v>Asia &gt; China &gt; Beijing</v>
      </c>
      <c r="L144" s="3" t="s">
        <v>696</v>
      </c>
      <c r="M144" s="3" t="s">
        <v>701</v>
      </c>
      <c r="N144" s="13" t="str">
        <f t="shared" si="49"/>
        <v>Retail</v>
      </c>
      <c r="O144" s="3" t="s">
        <v>714</v>
      </c>
      <c r="P144" s="3" t="s">
        <v>727</v>
      </c>
      <c r="Q144" s="13" t="str">
        <f t="shared" si="50"/>
        <v>High</v>
      </c>
      <c r="R144" s="3" t="s">
        <v>1135</v>
      </c>
      <c r="S144" s="7">
        <v>1415.05</v>
      </c>
      <c r="T144" s="7">
        <f t="shared" si="63"/>
        <v>1627.3074999999999</v>
      </c>
      <c r="U144" s="7">
        <v>1972.38</v>
      </c>
      <c r="V144" s="7">
        <f t="shared" si="51"/>
        <v>1972.38</v>
      </c>
      <c r="W144" s="7">
        <f t="shared" si="64"/>
        <v>2268.2370000000001</v>
      </c>
      <c r="X144" s="16">
        <v>0</v>
      </c>
      <c r="Y144" t="str">
        <f t="shared" si="52"/>
        <v>OK</v>
      </c>
      <c r="Z144" s="16">
        <f t="shared" si="53"/>
        <v>0</v>
      </c>
      <c r="AA144" s="16">
        <f t="shared" si="65"/>
        <v>0</v>
      </c>
      <c r="AB144" s="9">
        <v>12</v>
      </c>
      <c r="AC144" s="9">
        <f t="shared" si="66"/>
        <v>14.399999999999999</v>
      </c>
      <c r="AD144" s="9">
        <f t="shared" si="54"/>
        <v>23668.560000000001</v>
      </c>
      <c r="AE144" s="9">
        <f t="shared" si="67"/>
        <v>32662.612799999999</v>
      </c>
      <c r="AF144" s="9">
        <f t="shared" si="55"/>
        <v>16980.599999999999</v>
      </c>
      <c r="AG144" s="9">
        <f t="shared" si="56"/>
        <v>6687.9600000000028</v>
      </c>
      <c r="AH144" s="9">
        <f t="shared" si="68"/>
        <v>15682.0128</v>
      </c>
      <c r="AI144">
        <f t="shared" si="57"/>
        <v>0.28256725377462771</v>
      </c>
      <c r="AJ144" s="5">
        <f t="shared" si="58"/>
        <v>44928</v>
      </c>
      <c r="AK144" t="str">
        <f t="shared" si="59"/>
        <v>Jan-2023</v>
      </c>
      <c r="AL144">
        <v>0</v>
      </c>
      <c r="AM144">
        <v>0</v>
      </c>
      <c r="AN144">
        <v>0</v>
      </c>
    </row>
    <row r="145" spans="1:40" x14ac:dyDescent="0.45">
      <c r="A145" s="3" t="s">
        <v>426</v>
      </c>
      <c r="B145" s="5">
        <v>45730</v>
      </c>
      <c r="C145" s="9" t="str">
        <f t="shared" si="47"/>
        <v>Mar-2025</v>
      </c>
      <c r="D145" s="5" t="str">
        <f t="shared" si="48"/>
        <v>2025-Q1</v>
      </c>
      <c r="E145" s="5">
        <v>45755</v>
      </c>
      <c r="F145" s="9">
        <f t="shared" si="60"/>
        <v>25</v>
      </c>
      <c r="G145" s="9" t="str">
        <f t="shared" si="61"/>
        <v>NOT ACHIEVED</v>
      </c>
      <c r="H145" s="3" t="s">
        <v>641</v>
      </c>
      <c r="I145" s="3" t="s">
        <v>653</v>
      </c>
      <c r="J145" s="3" t="s">
        <v>1444</v>
      </c>
      <c r="K145" s="13" t="str">
        <f t="shared" si="62"/>
        <v>Asia &gt; China &gt; Unkown</v>
      </c>
      <c r="L145" s="3" t="s">
        <v>695</v>
      </c>
      <c r="M145" s="3" t="s">
        <v>704</v>
      </c>
      <c r="N145" s="13" t="str">
        <f t="shared" si="49"/>
        <v>Distributor</v>
      </c>
      <c r="O145" s="3" t="s">
        <v>720</v>
      </c>
      <c r="P145" s="3" t="s">
        <v>722</v>
      </c>
      <c r="Q145" s="13" t="str">
        <f t="shared" si="50"/>
        <v>Low</v>
      </c>
      <c r="R145" s="3" t="s">
        <v>1144</v>
      </c>
      <c r="S145" s="7">
        <v>80.59</v>
      </c>
      <c r="T145" s="7">
        <f t="shared" si="63"/>
        <v>92.6785</v>
      </c>
      <c r="U145" s="7">
        <v>157.82</v>
      </c>
      <c r="V145" s="7">
        <f t="shared" si="51"/>
        <v>157.82</v>
      </c>
      <c r="W145" s="7">
        <f t="shared" si="64"/>
        <v>181.49299999999997</v>
      </c>
      <c r="X145" s="16">
        <v>0.217</v>
      </c>
      <c r="Y145" t="str">
        <f t="shared" si="52"/>
        <v>OK</v>
      </c>
      <c r="Z145" s="16">
        <f t="shared" si="53"/>
        <v>0.217</v>
      </c>
      <c r="AA145" s="16">
        <f t="shared" si="65"/>
        <v>0.217</v>
      </c>
      <c r="AB145" s="9">
        <v>6</v>
      </c>
      <c r="AC145" s="9">
        <f t="shared" si="66"/>
        <v>7.1999999999999993</v>
      </c>
      <c r="AD145" s="9">
        <f t="shared" si="54"/>
        <v>741.43835999999999</v>
      </c>
      <c r="AE145" s="9">
        <f t="shared" si="67"/>
        <v>1590.3142631999997</v>
      </c>
      <c r="AF145" s="9">
        <f t="shared" si="55"/>
        <v>483.54</v>
      </c>
      <c r="AG145" s="9">
        <f t="shared" si="56"/>
        <v>257.89835999999997</v>
      </c>
      <c r="AH145" s="9">
        <f t="shared" si="68"/>
        <v>1106.7742631999997</v>
      </c>
      <c r="AI145">
        <f t="shared" si="57"/>
        <v>0.34783519967863541</v>
      </c>
      <c r="AJ145" s="5">
        <f t="shared" si="58"/>
        <v>44928</v>
      </c>
      <c r="AK145" t="str">
        <f t="shared" si="59"/>
        <v>Jan-2023</v>
      </c>
      <c r="AL145">
        <v>0</v>
      </c>
      <c r="AM145">
        <v>0</v>
      </c>
      <c r="AN145">
        <v>0</v>
      </c>
    </row>
    <row r="146" spans="1:40" x14ac:dyDescent="0.45">
      <c r="A146" s="3" t="s">
        <v>432</v>
      </c>
      <c r="B146" s="5">
        <v>45341</v>
      </c>
      <c r="C146" s="9" t="str">
        <f t="shared" si="47"/>
        <v>Feb-2024</v>
      </c>
      <c r="D146" s="5" t="str">
        <f t="shared" si="48"/>
        <v>2024-Q1</v>
      </c>
      <c r="E146" s="5">
        <v>45357</v>
      </c>
      <c r="F146" s="9">
        <f t="shared" si="60"/>
        <v>16</v>
      </c>
      <c r="G146" s="9" t="str">
        <f t="shared" si="61"/>
        <v>NOT ACHIEVED</v>
      </c>
      <c r="H146" s="3" t="s">
        <v>641</v>
      </c>
      <c r="I146" s="3" t="s">
        <v>653</v>
      </c>
      <c r="J146" s="3" t="s">
        <v>693</v>
      </c>
      <c r="K146" s="13" t="str">
        <f t="shared" si="62"/>
        <v>Asia &gt; China &gt; Beijing</v>
      </c>
      <c r="L146" s="3" t="s">
        <v>696</v>
      </c>
      <c r="M146" s="3" t="s">
        <v>703</v>
      </c>
      <c r="N146" s="13" t="str">
        <f t="shared" si="49"/>
        <v>Marketplace</v>
      </c>
      <c r="O146" s="3" t="s">
        <v>713</v>
      </c>
      <c r="P146" s="3" t="s">
        <v>722</v>
      </c>
      <c r="Q146" s="13" t="str">
        <f t="shared" si="50"/>
        <v>High</v>
      </c>
      <c r="R146" s="3" t="s">
        <v>1150</v>
      </c>
      <c r="S146" s="7">
        <v>1477.84</v>
      </c>
      <c r="T146" s="7">
        <f t="shared" si="63"/>
        <v>1699.5159999999998</v>
      </c>
      <c r="U146" s="7">
        <v>3197.47</v>
      </c>
      <c r="V146" s="7">
        <f t="shared" si="51"/>
        <v>3197.47</v>
      </c>
      <c r="W146" s="7">
        <f t="shared" si="64"/>
        <v>3677.0904999999993</v>
      </c>
      <c r="X146" s="16">
        <v>0.24299999999999999</v>
      </c>
      <c r="Y146" t="str">
        <f t="shared" si="52"/>
        <v>OK</v>
      </c>
      <c r="Z146" s="16">
        <f t="shared" si="53"/>
        <v>0.24299999999999999</v>
      </c>
      <c r="AA146" s="16">
        <f t="shared" si="65"/>
        <v>0.24299999999999999</v>
      </c>
      <c r="AB146" s="9">
        <v>24</v>
      </c>
      <c r="AC146" s="9">
        <f t="shared" si="66"/>
        <v>28.799999999999997</v>
      </c>
      <c r="AD146" s="9">
        <f t="shared" si="54"/>
        <v>58091.634960000003</v>
      </c>
      <c r="AE146" s="9">
        <f t="shared" si="67"/>
        <v>131633.95655519995</v>
      </c>
      <c r="AF146" s="9">
        <f t="shared" si="55"/>
        <v>35468.159999999996</v>
      </c>
      <c r="AG146" s="9">
        <f t="shared" si="56"/>
        <v>22623.474960000007</v>
      </c>
      <c r="AH146" s="9">
        <f t="shared" si="68"/>
        <v>96165.796555199951</v>
      </c>
      <c r="AI146">
        <f t="shared" si="57"/>
        <v>0.38944462443823091</v>
      </c>
      <c r="AJ146" s="5">
        <f t="shared" si="58"/>
        <v>44928</v>
      </c>
      <c r="AK146" t="str">
        <f t="shared" si="59"/>
        <v>Jan-2023</v>
      </c>
      <c r="AL146">
        <v>0</v>
      </c>
      <c r="AM146">
        <v>0</v>
      </c>
      <c r="AN146">
        <v>0</v>
      </c>
    </row>
    <row r="147" spans="1:40" x14ac:dyDescent="0.45">
      <c r="A147" s="3" t="s">
        <v>439</v>
      </c>
      <c r="B147" s="5">
        <v>45654</v>
      </c>
      <c r="C147" s="9" t="str">
        <f t="shared" si="47"/>
        <v>Dec-2024</v>
      </c>
      <c r="D147" s="5" t="str">
        <f t="shared" si="48"/>
        <v>2024-Q4</v>
      </c>
      <c r="E147" s="5">
        <v>45665</v>
      </c>
      <c r="F147" s="9">
        <f t="shared" si="60"/>
        <v>11</v>
      </c>
      <c r="G147" s="9" t="str">
        <f t="shared" si="61"/>
        <v>NOT ACHIEVED</v>
      </c>
      <c r="H147" s="3" t="s">
        <v>641</v>
      </c>
      <c r="I147" s="3" t="s">
        <v>653</v>
      </c>
      <c r="J147" s="3" t="s">
        <v>670</v>
      </c>
      <c r="K147" s="13" t="str">
        <f t="shared" si="62"/>
        <v>Asia &gt; China &gt; Shenzhen</v>
      </c>
      <c r="L147" s="3" t="s">
        <v>700</v>
      </c>
      <c r="M147" s="3" t="s">
        <v>702</v>
      </c>
      <c r="N147" s="13" t="str">
        <f t="shared" si="49"/>
        <v>Online</v>
      </c>
      <c r="O147" s="3" t="s">
        <v>717</v>
      </c>
      <c r="P147" s="3" t="s">
        <v>725</v>
      </c>
      <c r="Q147" s="13" t="str">
        <f t="shared" si="50"/>
        <v>High</v>
      </c>
      <c r="R147" s="3" t="s">
        <v>1157</v>
      </c>
      <c r="S147" s="7">
        <v>1201.31</v>
      </c>
      <c r="T147" s="7">
        <f t="shared" si="63"/>
        <v>1381.5064999999997</v>
      </c>
      <c r="U147" s="7">
        <v>2764.65</v>
      </c>
      <c r="V147" s="7">
        <f t="shared" si="51"/>
        <v>2764.65</v>
      </c>
      <c r="W147" s="7">
        <f t="shared" si="64"/>
        <v>3179.3474999999999</v>
      </c>
      <c r="X147" s="16">
        <v>0</v>
      </c>
      <c r="Y147" t="str">
        <f t="shared" si="52"/>
        <v>OK</v>
      </c>
      <c r="Z147" s="16">
        <f t="shared" si="53"/>
        <v>0</v>
      </c>
      <c r="AA147" s="16">
        <f t="shared" si="65"/>
        <v>0</v>
      </c>
      <c r="AB147" s="9">
        <v>21</v>
      </c>
      <c r="AC147" s="9">
        <f t="shared" si="66"/>
        <v>25.2</v>
      </c>
      <c r="AD147" s="9">
        <f t="shared" si="54"/>
        <v>58057.65</v>
      </c>
      <c r="AE147" s="9">
        <f t="shared" si="67"/>
        <v>80119.557000000001</v>
      </c>
      <c r="AF147" s="9">
        <f t="shared" si="55"/>
        <v>25227.51</v>
      </c>
      <c r="AG147" s="9">
        <f t="shared" si="56"/>
        <v>32830.14</v>
      </c>
      <c r="AH147" s="9">
        <f t="shared" si="68"/>
        <v>54892.047000000006</v>
      </c>
      <c r="AI147">
        <f t="shared" si="57"/>
        <v>0.56547483406579491</v>
      </c>
      <c r="AJ147" s="5">
        <f t="shared" si="58"/>
        <v>44928</v>
      </c>
      <c r="AK147" t="str">
        <f t="shared" si="59"/>
        <v>Jan-2023</v>
      </c>
      <c r="AL147">
        <v>0</v>
      </c>
      <c r="AM147">
        <v>0</v>
      </c>
      <c r="AN147">
        <v>0</v>
      </c>
    </row>
    <row r="148" spans="1:40" x14ac:dyDescent="0.45">
      <c r="A148" s="3" t="s">
        <v>442</v>
      </c>
      <c r="B148" s="5">
        <v>45542</v>
      </c>
      <c r="C148" s="9" t="str">
        <f t="shared" si="47"/>
        <v>Sep-2024</v>
      </c>
      <c r="D148" s="5" t="str">
        <f t="shared" si="48"/>
        <v>2024-Q3</v>
      </c>
      <c r="E148" s="5">
        <v>45553</v>
      </c>
      <c r="F148" s="9">
        <f t="shared" si="60"/>
        <v>11</v>
      </c>
      <c r="G148" s="9" t="str">
        <f t="shared" si="61"/>
        <v>NOT ACHIEVED</v>
      </c>
      <c r="H148" s="3" t="s">
        <v>641</v>
      </c>
      <c r="I148" s="3" t="s">
        <v>653</v>
      </c>
      <c r="J148" s="3" t="s">
        <v>693</v>
      </c>
      <c r="K148" s="13" t="str">
        <f t="shared" si="62"/>
        <v>Asia &gt; China &gt; Beijing</v>
      </c>
      <c r="L148" s="3" t="s">
        <v>698</v>
      </c>
      <c r="M148" s="3" t="s">
        <v>704</v>
      </c>
      <c r="N148" s="13" t="str">
        <f t="shared" si="49"/>
        <v>Distributor</v>
      </c>
      <c r="O148" s="3" t="s">
        <v>713</v>
      </c>
      <c r="P148" s="3" t="s">
        <v>723</v>
      </c>
      <c r="Q148" s="13" t="str">
        <f t="shared" si="50"/>
        <v>Low</v>
      </c>
      <c r="R148" s="3" t="s">
        <v>1160</v>
      </c>
      <c r="S148" s="7">
        <v>181.74</v>
      </c>
      <c r="T148" s="7">
        <f t="shared" si="63"/>
        <v>209.001</v>
      </c>
      <c r="U148" s="7">
        <v>190.84</v>
      </c>
      <c r="V148" s="7">
        <f t="shared" si="51"/>
        <v>190.84</v>
      </c>
      <c r="W148" s="7">
        <f t="shared" si="64"/>
        <v>219.46599999999998</v>
      </c>
      <c r="X148" s="16">
        <v>0.214</v>
      </c>
      <c r="Y148" t="str">
        <f t="shared" si="52"/>
        <v>OK</v>
      </c>
      <c r="Z148" s="16">
        <f t="shared" si="53"/>
        <v>0.214</v>
      </c>
      <c r="AA148" s="16">
        <f t="shared" si="65"/>
        <v>0.214</v>
      </c>
      <c r="AB148" s="9">
        <v>13</v>
      </c>
      <c r="AC148" s="9">
        <f t="shared" si="66"/>
        <v>15.6</v>
      </c>
      <c r="AD148" s="9">
        <f t="shared" si="54"/>
        <v>1950.0031200000001</v>
      </c>
      <c r="AE148" s="9">
        <f t="shared" si="67"/>
        <v>4156.3348943999999</v>
      </c>
      <c r="AF148" s="9">
        <f t="shared" si="55"/>
        <v>2362.62</v>
      </c>
      <c r="AG148" s="9">
        <f t="shared" si="56"/>
        <v>-412.61687999999981</v>
      </c>
      <c r="AH148" s="9">
        <f t="shared" si="68"/>
        <v>1793.7148944</v>
      </c>
      <c r="AI148">
        <f t="shared" si="57"/>
        <v>-0.21159806144310159</v>
      </c>
      <c r="AJ148" s="5">
        <f t="shared" si="58"/>
        <v>44928</v>
      </c>
      <c r="AK148" t="str">
        <f t="shared" si="59"/>
        <v>Jan-2023</v>
      </c>
      <c r="AL148">
        <v>0</v>
      </c>
      <c r="AM148">
        <v>0</v>
      </c>
      <c r="AN148">
        <v>0</v>
      </c>
    </row>
    <row r="149" spans="1:40" x14ac:dyDescent="0.45">
      <c r="A149" s="3" t="s">
        <v>448</v>
      </c>
      <c r="B149" s="5">
        <v>45063</v>
      </c>
      <c r="C149" s="9" t="str">
        <f t="shared" si="47"/>
        <v>May-2023</v>
      </c>
      <c r="D149" s="5" t="str">
        <f t="shared" si="48"/>
        <v>2023-Q2</v>
      </c>
      <c r="E149" s="5">
        <v>45080</v>
      </c>
      <c r="F149" s="9">
        <f t="shared" si="60"/>
        <v>17</v>
      </c>
      <c r="G149" s="9" t="str">
        <f t="shared" si="61"/>
        <v>NOT ACHIEVED</v>
      </c>
      <c r="H149" s="3" t="s">
        <v>641</v>
      </c>
      <c r="I149" s="3" t="s">
        <v>653</v>
      </c>
      <c r="J149" s="3" t="s">
        <v>693</v>
      </c>
      <c r="K149" s="13" t="str">
        <f t="shared" si="62"/>
        <v>Asia &gt; China &gt; Beijing</v>
      </c>
      <c r="L149" s="3" t="s">
        <v>697</v>
      </c>
      <c r="M149" s="3" t="s">
        <v>704</v>
      </c>
      <c r="N149" s="13" t="str">
        <f t="shared" si="49"/>
        <v>Distributor</v>
      </c>
      <c r="O149" s="3" t="s">
        <v>718</v>
      </c>
      <c r="P149" s="3" t="s">
        <v>722</v>
      </c>
      <c r="Q149" s="13" t="str">
        <f t="shared" si="50"/>
        <v>High</v>
      </c>
      <c r="R149" s="3" t="s">
        <v>1166</v>
      </c>
      <c r="S149" s="7">
        <v>979.59</v>
      </c>
      <c r="T149" s="7">
        <f t="shared" si="63"/>
        <v>1126.5284999999999</v>
      </c>
      <c r="U149" s="7">
        <v>2210.94</v>
      </c>
      <c r="V149" s="7">
        <f t="shared" si="51"/>
        <v>2210.94</v>
      </c>
      <c r="W149" s="7">
        <f t="shared" si="64"/>
        <v>2542.5809999999997</v>
      </c>
      <c r="X149" s="16">
        <v>0.15</v>
      </c>
      <c r="Y149" t="str">
        <f t="shared" si="52"/>
        <v>OK</v>
      </c>
      <c r="Z149" s="16">
        <f t="shared" si="53"/>
        <v>0.15</v>
      </c>
      <c r="AA149" s="16">
        <f t="shared" si="65"/>
        <v>0.15</v>
      </c>
      <c r="AB149" s="9">
        <v>11</v>
      </c>
      <c r="AC149" s="9">
        <f t="shared" si="66"/>
        <v>13.2</v>
      </c>
      <c r="AD149" s="9">
        <f t="shared" si="54"/>
        <v>20672.289000000001</v>
      </c>
      <c r="AE149" s="9">
        <f t="shared" si="67"/>
        <v>38596.379579999986</v>
      </c>
      <c r="AF149" s="9">
        <f t="shared" si="55"/>
        <v>10775.49</v>
      </c>
      <c r="AG149" s="9">
        <f t="shared" si="56"/>
        <v>9896.7990000000009</v>
      </c>
      <c r="AH149" s="9">
        <f t="shared" si="68"/>
        <v>27820.889579999988</v>
      </c>
      <c r="AI149">
        <f t="shared" si="57"/>
        <v>0.47874712858358359</v>
      </c>
      <c r="AJ149" s="5">
        <f t="shared" si="58"/>
        <v>44928</v>
      </c>
      <c r="AK149" t="str">
        <f t="shared" si="59"/>
        <v>Jan-2023</v>
      </c>
      <c r="AL149">
        <v>0</v>
      </c>
      <c r="AM149">
        <v>0</v>
      </c>
      <c r="AN149">
        <v>0</v>
      </c>
    </row>
    <row r="150" spans="1:40" x14ac:dyDescent="0.45">
      <c r="A150" s="3" t="s">
        <v>465</v>
      </c>
      <c r="B150" s="5">
        <v>45048</v>
      </c>
      <c r="C150" s="9" t="str">
        <f t="shared" si="47"/>
        <v>May-2023</v>
      </c>
      <c r="D150" s="5" t="str">
        <f t="shared" si="48"/>
        <v>2023-Q2</v>
      </c>
      <c r="E150" s="5">
        <v>45065</v>
      </c>
      <c r="F150" s="9">
        <f t="shared" si="60"/>
        <v>17</v>
      </c>
      <c r="G150" s="9" t="str">
        <f t="shared" si="61"/>
        <v>NOT ACHIEVED</v>
      </c>
      <c r="H150" s="3" t="s">
        <v>641</v>
      </c>
      <c r="I150" s="3" t="s">
        <v>653</v>
      </c>
      <c r="J150" s="3" t="s">
        <v>679</v>
      </c>
      <c r="K150" s="13" t="str">
        <f t="shared" si="62"/>
        <v>Asia &gt; China &gt; Shanghai</v>
      </c>
      <c r="L150" s="3" t="s">
        <v>697</v>
      </c>
      <c r="M150" s="3" t="s">
        <v>705</v>
      </c>
      <c r="N150" s="13" t="str">
        <f t="shared" si="49"/>
        <v>Direct</v>
      </c>
      <c r="O150" s="3" t="s">
        <v>707</v>
      </c>
      <c r="P150" s="3" t="s">
        <v>726</v>
      </c>
      <c r="Q150" s="13" t="str">
        <f t="shared" si="50"/>
        <v>Low</v>
      </c>
      <c r="R150" s="3" t="s">
        <v>1183</v>
      </c>
      <c r="S150" s="7">
        <v>714.28</v>
      </c>
      <c r="T150" s="7">
        <f t="shared" si="63"/>
        <v>821.42199999999991</v>
      </c>
      <c r="U150" s="7">
        <v>757.59</v>
      </c>
      <c r="V150" s="7">
        <f t="shared" si="51"/>
        <v>757.59</v>
      </c>
      <c r="W150" s="7">
        <f t="shared" si="64"/>
        <v>871.22849999999994</v>
      </c>
      <c r="X150" s="16">
        <v>0.13600000000000001</v>
      </c>
      <c r="Y150" t="str">
        <f t="shared" si="52"/>
        <v>OK</v>
      </c>
      <c r="Z150" s="16">
        <f t="shared" si="53"/>
        <v>0.13600000000000001</v>
      </c>
      <c r="AA150" s="16">
        <f t="shared" si="65"/>
        <v>0.13600000000000001</v>
      </c>
      <c r="AB150" s="9">
        <v>12</v>
      </c>
      <c r="AC150" s="9">
        <f t="shared" si="66"/>
        <v>14.399999999999999</v>
      </c>
      <c r="AD150" s="9">
        <f t="shared" si="54"/>
        <v>7854.6931199999999</v>
      </c>
      <c r="AE150" s="9">
        <f t="shared" si="67"/>
        <v>14251.904294399999</v>
      </c>
      <c r="AF150" s="9">
        <f t="shared" si="55"/>
        <v>8571.36</v>
      </c>
      <c r="AG150" s="9">
        <f t="shared" si="56"/>
        <v>-716.66688000000067</v>
      </c>
      <c r="AH150" s="9">
        <f t="shared" si="68"/>
        <v>5680.5442943999988</v>
      </c>
      <c r="AI150">
        <f t="shared" si="57"/>
        <v>-9.1240595787910383E-2</v>
      </c>
      <c r="AJ150" s="5">
        <f t="shared" si="58"/>
        <v>44928</v>
      </c>
      <c r="AK150" t="str">
        <f t="shared" si="59"/>
        <v>Jan-2023</v>
      </c>
      <c r="AL150">
        <v>0</v>
      </c>
      <c r="AM150">
        <v>0</v>
      </c>
      <c r="AN150">
        <v>0</v>
      </c>
    </row>
    <row r="151" spans="1:40" x14ac:dyDescent="0.45">
      <c r="A151" s="3" t="s">
        <v>480</v>
      </c>
      <c r="B151" s="5">
        <v>45841</v>
      </c>
      <c r="C151" s="9" t="str">
        <f t="shared" si="47"/>
        <v>Jul-2025</v>
      </c>
      <c r="D151" s="5" t="str">
        <f t="shared" si="48"/>
        <v>2025-Q3</v>
      </c>
      <c r="E151" s="5">
        <v>45861</v>
      </c>
      <c r="F151" s="9">
        <f t="shared" si="60"/>
        <v>20</v>
      </c>
      <c r="G151" s="9" t="str">
        <f t="shared" si="61"/>
        <v>NOT ACHIEVED</v>
      </c>
      <c r="H151" s="3" t="s">
        <v>641</v>
      </c>
      <c r="I151" s="3" t="s">
        <v>653</v>
      </c>
      <c r="J151" s="3" t="s">
        <v>693</v>
      </c>
      <c r="K151" s="13" t="str">
        <f t="shared" si="62"/>
        <v>Asia &gt; China &gt; Beijing</v>
      </c>
      <c r="L151" s="3" t="s">
        <v>699</v>
      </c>
      <c r="M151" s="3" t="s">
        <v>702</v>
      </c>
      <c r="N151" s="13" t="str">
        <f t="shared" si="49"/>
        <v>Online</v>
      </c>
      <c r="O151" s="3" t="s">
        <v>718</v>
      </c>
      <c r="P151" s="3" t="s">
        <v>721</v>
      </c>
      <c r="Q151" s="13" t="str">
        <f t="shared" si="50"/>
        <v>Medium</v>
      </c>
      <c r="R151" s="3" t="s">
        <v>1198</v>
      </c>
      <c r="S151" s="7">
        <v>647.36</v>
      </c>
      <c r="T151" s="7">
        <f t="shared" si="63"/>
        <v>744.46399999999994</v>
      </c>
      <c r="U151" s="7">
        <v>1383.6</v>
      </c>
      <c r="V151" s="7">
        <f t="shared" si="51"/>
        <v>1383.6</v>
      </c>
      <c r="W151" s="7">
        <f t="shared" si="64"/>
        <v>1591.1399999999999</v>
      </c>
      <c r="X151" s="16">
        <v>7.3999999999999996E-2</v>
      </c>
      <c r="Y151" t="str">
        <f t="shared" si="52"/>
        <v>OK</v>
      </c>
      <c r="Z151" s="16">
        <f t="shared" si="53"/>
        <v>7.3999999999999996E-2</v>
      </c>
      <c r="AA151" s="16">
        <f t="shared" si="65"/>
        <v>7.3999999999999996E-2</v>
      </c>
      <c r="AB151" s="9">
        <v>12</v>
      </c>
      <c r="AC151" s="9">
        <f t="shared" si="66"/>
        <v>14.399999999999999</v>
      </c>
      <c r="AD151" s="9">
        <f t="shared" si="54"/>
        <v>15374.563199999999</v>
      </c>
      <c r="AE151" s="9">
        <f t="shared" si="67"/>
        <v>24607.934783999997</v>
      </c>
      <c r="AF151" s="9">
        <f t="shared" si="55"/>
        <v>7768.32</v>
      </c>
      <c r="AG151" s="9">
        <f t="shared" si="56"/>
        <v>7606.243199999999</v>
      </c>
      <c r="AH151" s="9">
        <f t="shared" si="68"/>
        <v>16839.614783999998</v>
      </c>
      <c r="AI151">
        <f t="shared" si="57"/>
        <v>0.49472906000997802</v>
      </c>
      <c r="AJ151" s="5">
        <f t="shared" si="58"/>
        <v>44928</v>
      </c>
      <c r="AK151" t="str">
        <f t="shared" si="59"/>
        <v>Jan-2023</v>
      </c>
      <c r="AL151">
        <v>0</v>
      </c>
      <c r="AM151">
        <v>0</v>
      </c>
      <c r="AN151">
        <v>0</v>
      </c>
    </row>
    <row r="152" spans="1:40" x14ac:dyDescent="0.45">
      <c r="A152" s="3" t="s">
        <v>510</v>
      </c>
      <c r="B152" s="5">
        <v>44980</v>
      </c>
      <c r="C152" s="9" t="str">
        <f t="shared" si="47"/>
        <v>Feb-2023</v>
      </c>
      <c r="D152" s="5" t="str">
        <f t="shared" si="48"/>
        <v>2023-Q1</v>
      </c>
      <c r="E152" s="5">
        <v>45003</v>
      </c>
      <c r="F152" s="9">
        <f t="shared" si="60"/>
        <v>23</v>
      </c>
      <c r="G152" s="9" t="str">
        <f t="shared" si="61"/>
        <v>NOT ACHIEVED</v>
      </c>
      <c r="H152" s="3" t="s">
        <v>641</v>
      </c>
      <c r="I152" s="3" t="s">
        <v>653</v>
      </c>
      <c r="J152" s="3" t="s">
        <v>693</v>
      </c>
      <c r="K152" s="13" t="str">
        <f t="shared" si="62"/>
        <v>Asia &gt; China &gt; Beijing</v>
      </c>
      <c r="L152" s="3" t="s">
        <v>696</v>
      </c>
      <c r="M152" s="3" t="s">
        <v>704</v>
      </c>
      <c r="N152" s="13" t="str">
        <f t="shared" si="49"/>
        <v>Distributor</v>
      </c>
      <c r="O152" s="3" t="s">
        <v>717</v>
      </c>
      <c r="P152" s="3" t="s">
        <v>722</v>
      </c>
      <c r="Q152" s="13" t="str">
        <f t="shared" si="50"/>
        <v>High</v>
      </c>
      <c r="R152" s="3" t="s">
        <v>1228</v>
      </c>
      <c r="S152" s="7">
        <v>770.11</v>
      </c>
      <c r="T152" s="7">
        <f t="shared" si="63"/>
        <v>885.62649999999996</v>
      </c>
      <c r="U152" s="7">
        <v>1667.82</v>
      </c>
      <c r="V152" s="7">
        <f t="shared" si="51"/>
        <v>1667.82</v>
      </c>
      <c r="W152" s="7">
        <f t="shared" si="64"/>
        <v>1917.9929999999997</v>
      </c>
      <c r="X152" s="16">
        <v>6.9000000000000006E-2</v>
      </c>
      <c r="Y152" t="str">
        <f t="shared" si="52"/>
        <v>OK</v>
      </c>
      <c r="Z152" s="16">
        <f t="shared" si="53"/>
        <v>6.9000000000000006E-2</v>
      </c>
      <c r="AA152" s="16">
        <f t="shared" si="65"/>
        <v>6.9000000000000006E-2</v>
      </c>
      <c r="AB152" s="9">
        <v>7</v>
      </c>
      <c r="AC152" s="9">
        <f t="shared" si="66"/>
        <v>8.4</v>
      </c>
      <c r="AD152" s="9">
        <f t="shared" si="54"/>
        <v>10869.182940000001</v>
      </c>
      <c r="AE152" s="9">
        <f t="shared" si="67"/>
        <v>17222.809942799999</v>
      </c>
      <c r="AF152" s="9">
        <f t="shared" si="55"/>
        <v>5390.77</v>
      </c>
      <c r="AG152" s="9">
        <f t="shared" si="56"/>
        <v>5478.4129400000002</v>
      </c>
      <c r="AH152" s="9">
        <f t="shared" si="68"/>
        <v>11832.039942799998</v>
      </c>
      <c r="AI152">
        <f t="shared" si="57"/>
        <v>0.50403171703355287</v>
      </c>
      <c r="AJ152" s="5">
        <f t="shared" si="58"/>
        <v>44928</v>
      </c>
      <c r="AK152" t="str">
        <f t="shared" si="59"/>
        <v>Jan-2023</v>
      </c>
      <c r="AL152">
        <v>0</v>
      </c>
      <c r="AM152">
        <v>0</v>
      </c>
      <c r="AN152">
        <v>0</v>
      </c>
    </row>
    <row r="153" spans="1:40" x14ac:dyDescent="0.45">
      <c r="A153" s="3" t="s">
        <v>511</v>
      </c>
      <c r="B153" s="5">
        <v>45740</v>
      </c>
      <c r="C153" s="9" t="str">
        <f t="shared" si="47"/>
        <v>Mar-2025</v>
      </c>
      <c r="D153" s="5" t="str">
        <f t="shared" si="48"/>
        <v>2025-Q1</v>
      </c>
      <c r="E153" s="5">
        <v>45741</v>
      </c>
      <c r="F153" s="9">
        <f t="shared" si="60"/>
        <v>1</v>
      </c>
      <c r="G153" s="9" t="str">
        <f t="shared" si="61"/>
        <v>ACHIEVED</v>
      </c>
      <c r="H153" s="3" t="s">
        <v>641</v>
      </c>
      <c r="I153" s="3" t="s">
        <v>653</v>
      </c>
      <c r="J153" s="3" t="s">
        <v>693</v>
      </c>
      <c r="K153" s="13" t="str">
        <f t="shared" si="62"/>
        <v>Asia &gt; China &gt; Beijing</v>
      </c>
      <c r="L153" s="3" t="s">
        <v>697</v>
      </c>
      <c r="M153" s="3" t="s">
        <v>702</v>
      </c>
      <c r="N153" s="13" t="str">
        <f t="shared" si="49"/>
        <v>Online</v>
      </c>
      <c r="O153" s="3" t="s">
        <v>709</v>
      </c>
      <c r="P153" s="3" t="s">
        <v>723</v>
      </c>
      <c r="Q153" s="13" t="str">
        <f t="shared" si="50"/>
        <v>High</v>
      </c>
      <c r="R153" s="3" t="s">
        <v>1229</v>
      </c>
      <c r="S153" s="7">
        <v>1133.03</v>
      </c>
      <c r="T153" s="7">
        <f t="shared" si="63"/>
        <v>1302.9844999999998</v>
      </c>
      <c r="U153" s="7">
        <v>1921.51</v>
      </c>
      <c r="V153" s="7">
        <f t="shared" si="51"/>
        <v>1921.51</v>
      </c>
      <c r="W153" s="7">
        <f t="shared" si="64"/>
        <v>2209.7365</v>
      </c>
      <c r="X153" s="16">
        <v>0.10100000000000001</v>
      </c>
      <c r="Y153" t="str">
        <f t="shared" si="52"/>
        <v>OK</v>
      </c>
      <c r="Z153" s="16">
        <f t="shared" si="53"/>
        <v>0.10100000000000001</v>
      </c>
      <c r="AA153" s="16">
        <f t="shared" si="65"/>
        <v>0.10100000000000001</v>
      </c>
      <c r="AB153" s="9">
        <v>5</v>
      </c>
      <c r="AC153" s="9">
        <f t="shared" si="66"/>
        <v>6</v>
      </c>
      <c r="AD153" s="9">
        <f t="shared" si="54"/>
        <v>8637.1874499999994</v>
      </c>
      <c r="AE153" s="9">
        <f t="shared" si="67"/>
        <v>14597.519318999999</v>
      </c>
      <c r="AF153" s="9">
        <f t="shared" si="55"/>
        <v>5665.15</v>
      </c>
      <c r="AG153" s="9">
        <f t="shared" si="56"/>
        <v>2972.0374499999998</v>
      </c>
      <c r="AH153" s="9">
        <f t="shared" si="68"/>
        <v>8932.3693189999995</v>
      </c>
      <c r="AI153">
        <f t="shared" si="57"/>
        <v>0.3440978289755654</v>
      </c>
      <c r="AJ153" s="5">
        <f t="shared" si="58"/>
        <v>44928</v>
      </c>
      <c r="AK153" t="str">
        <f t="shared" si="59"/>
        <v>Jan-2023</v>
      </c>
      <c r="AL153">
        <v>0</v>
      </c>
      <c r="AM153">
        <v>0</v>
      </c>
      <c r="AN153">
        <v>0</v>
      </c>
    </row>
    <row r="154" spans="1:40" x14ac:dyDescent="0.45">
      <c r="A154" s="3" t="s">
        <v>515</v>
      </c>
      <c r="B154" s="5">
        <v>45589</v>
      </c>
      <c r="C154" s="9" t="str">
        <f t="shared" si="47"/>
        <v>Oct-2024</v>
      </c>
      <c r="D154" s="5" t="str">
        <f t="shared" si="48"/>
        <v>2024-Q4</v>
      </c>
      <c r="E154" s="5">
        <v>45593</v>
      </c>
      <c r="F154" s="9">
        <f t="shared" si="60"/>
        <v>4</v>
      </c>
      <c r="G154" s="9" t="str">
        <f t="shared" si="61"/>
        <v>ACHIEVED</v>
      </c>
      <c r="H154" s="3" t="s">
        <v>641</v>
      </c>
      <c r="I154" s="3" t="s">
        <v>653</v>
      </c>
      <c r="J154" s="3" t="s">
        <v>679</v>
      </c>
      <c r="K154" s="13" t="str">
        <f t="shared" si="62"/>
        <v>Asia &gt; China &gt; Shanghai</v>
      </c>
      <c r="L154" s="3" t="s">
        <v>699</v>
      </c>
      <c r="M154" s="3" t="s">
        <v>704</v>
      </c>
      <c r="N154" s="13" t="str">
        <f t="shared" si="49"/>
        <v>Distributor</v>
      </c>
      <c r="O154" s="3" t="s">
        <v>708</v>
      </c>
      <c r="P154" s="3" t="s">
        <v>723</v>
      </c>
      <c r="Q154" s="13" t="str">
        <f t="shared" si="50"/>
        <v>High</v>
      </c>
      <c r="R154" s="3" t="s">
        <v>1233</v>
      </c>
      <c r="S154" s="7">
        <v>1331.77</v>
      </c>
      <c r="T154" s="7">
        <f t="shared" si="63"/>
        <v>1531.5355</v>
      </c>
      <c r="U154" s="7">
        <v>2606.11</v>
      </c>
      <c r="V154" s="7">
        <f t="shared" si="51"/>
        <v>2606.11</v>
      </c>
      <c r="W154" s="7">
        <f t="shared" si="64"/>
        <v>2997.0264999999999</v>
      </c>
      <c r="X154" s="16">
        <v>0.02</v>
      </c>
      <c r="Y154" t="str">
        <f t="shared" si="52"/>
        <v>OK</v>
      </c>
      <c r="Z154" s="16">
        <f t="shared" si="53"/>
        <v>0.02</v>
      </c>
      <c r="AA154" s="16">
        <f t="shared" si="65"/>
        <v>0.02</v>
      </c>
      <c r="AB154" s="9">
        <v>6</v>
      </c>
      <c r="AC154" s="9">
        <f t="shared" si="66"/>
        <v>7.1999999999999993</v>
      </c>
      <c r="AD154" s="9">
        <f t="shared" si="54"/>
        <v>15323.926799999999</v>
      </c>
      <c r="AE154" s="9">
        <f t="shared" si="67"/>
        <v>22010.162615999998</v>
      </c>
      <c r="AF154" s="9">
        <f t="shared" si="55"/>
        <v>7990.62</v>
      </c>
      <c r="AG154" s="9">
        <f t="shared" si="56"/>
        <v>7333.3067999999994</v>
      </c>
      <c r="AH154" s="9">
        <f t="shared" si="68"/>
        <v>14019.542615999999</v>
      </c>
      <c r="AI154">
        <f t="shared" si="57"/>
        <v>0.47855271665745619</v>
      </c>
      <c r="AJ154" s="5">
        <f t="shared" si="58"/>
        <v>44928</v>
      </c>
      <c r="AK154" t="str">
        <f t="shared" si="59"/>
        <v>Jan-2023</v>
      </c>
      <c r="AL154">
        <v>0</v>
      </c>
      <c r="AM154">
        <v>0</v>
      </c>
      <c r="AN154">
        <v>0</v>
      </c>
    </row>
    <row r="155" spans="1:40" x14ac:dyDescent="0.45">
      <c r="A155" s="3" t="s">
        <v>530</v>
      </c>
      <c r="B155" s="5">
        <v>45482</v>
      </c>
      <c r="C155" s="9" t="str">
        <f t="shared" si="47"/>
        <v>Jul-2024</v>
      </c>
      <c r="D155" s="5" t="str">
        <f t="shared" si="48"/>
        <v>2024-Q3</v>
      </c>
      <c r="E155" s="5">
        <v>45485</v>
      </c>
      <c r="F155" s="9">
        <f t="shared" si="60"/>
        <v>3</v>
      </c>
      <c r="G155" s="9" t="str">
        <f t="shared" si="61"/>
        <v>ACHIEVED</v>
      </c>
      <c r="H155" s="3" t="s">
        <v>641</v>
      </c>
      <c r="I155" s="3" t="s">
        <v>653</v>
      </c>
      <c r="J155" s="3" t="s">
        <v>679</v>
      </c>
      <c r="K155" s="13" t="str">
        <f t="shared" si="62"/>
        <v>Asia &gt; China &gt; Shanghai</v>
      </c>
      <c r="L155" s="3" t="s">
        <v>699</v>
      </c>
      <c r="M155" s="3" t="s">
        <v>701</v>
      </c>
      <c r="N155" s="13" t="str">
        <f t="shared" si="49"/>
        <v>Retail</v>
      </c>
      <c r="O155" s="3" t="s">
        <v>720</v>
      </c>
      <c r="P155" s="3" t="s">
        <v>727</v>
      </c>
      <c r="Q155" s="13" t="str">
        <f t="shared" si="50"/>
        <v>Medium</v>
      </c>
      <c r="R155" s="3" t="s">
        <v>1248</v>
      </c>
      <c r="S155" s="7">
        <v>748.39</v>
      </c>
      <c r="T155" s="7">
        <f t="shared" si="63"/>
        <v>860.6484999999999</v>
      </c>
      <c r="U155" s="7">
        <v>979.42</v>
      </c>
      <c r="V155" s="7">
        <f t="shared" si="51"/>
        <v>979.42</v>
      </c>
      <c r="W155" s="7">
        <f t="shared" si="64"/>
        <v>1126.3329999999999</v>
      </c>
      <c r="X155" s="16">
        <v>0</v>
      </c>
      <c r="Y155" t="str">
        <f t="shared" si="52"/>
        <v>OK</v>
      </c>
      <c r="Z155" s="16">
        <f t="shared" si="53"/>
        <v>0</v>
      </c>
      <c r="AA155" s="16">
        <f t="shared" si="65"/>
        <v>0</v>
      </c>
      <c r="AB155" s="9">
        <v>23</v>
      </c>
      <c r="AC155" s="9">
        <f t="shared" si="66"/>
        <v>27.599999999999998</v>
      </c>
      <c r="AD155" s="9">
        <f t="shared" si="54"/>
        <v>22526.66</v>
      </c>
      <c r="AE155" s="9">
        <f t="shared" si="67"/>
        <v>31086.790799999995</v>
      </c>
      <c r="AF155" s="9">
        <f t="shared" si="55"/>
        <v>17212.97</v>
      </c>
      <c r="AG155" s="9">
        <f t="shared" si="56"/>
        <v>5313.6899999999987</v>
      </c>
      <c r="AH155" s="9">
        <f t="shared" si="68"/>
        <v>13873.820799999994</v>
      </c>
      <c r="AI155">
        <f t="shared" si="57"/>
        <v>0.23588450307324738</v>
      </c>
      <c r="AJ155" s="5">
        <f t="shared" si="58"/>
        <v>44928</v>
      </c>
      <c r="AK155" t="str">
        <f t="shared" si="59"/>
        <v>Jan-2023</v>
      </c>
      <c r="AL155">
        <v>0</v>
      </c>
      <c r="AM155">
        <v>0</v>
      </c>
      <c r="AN155">
        <v>0</v>
      </c>
    </row>
    <row r="156" spans="1:40" x14ac:dyDescent="0.45">
      <c r="A156" s="3" t="s">
        <v>535</v>
      </c>
      <c r="B156" s="5">
        <v>44938</v>
      </c>
      <c r="C156" s="9" t="str">
        <f t="shared" si="47"/>
        <v>Jan-2023</v>
      </c>
      <c r="D156" s="5" t="str">
        <f t="shared" si="48"/>
        <v>2023-Q1</v>
      </c>
      <c r="E156" s="5">
        <v>44952</v>
      </c>
      <c r="F156" s="9">
        <f t="shared" si="60"/>
        <v>14</v>
      </c>
      <c r="G156" s="9" t="str">
        <f t="shared" si="61"/>
        <v>NOT ACHIEVED</v>
      </c>
      <c r="H156" s="3" t="s">
        <v>641</v>
      </c>
      <c r="I156" s="3" t="s">
        <v>653</v>
      </c>
      <c r="J156" s="3" t="s">
        <v>670</v>
      </c>
      <c r="K156" s="13" t="str">
        <f t="shared" si="62"/>
        <v>Asia &gt; China &gt; Shenzhen</v>
      </c>
      <c r="L156" s="3" t="s">
        <v>697</v>
      </c>
      <c r="M156" s="3" t="s">
        <v>701</v>
      </c>
      <c r="N156" s="13" t="str">
        <f t="shared" si="49"/>
        <v>Retail</v>
      </c>
      <c r="O156" s="3" t="s">
        <v>718</v>
      </c>
      <c r="P156" s="3" t="s">
        <v>722</v>
      </c>
      <c r="Q156" s="13" t="str">
        <f t="shared" si="50"/>
        <v>Medium</v>
      </c>
      <c r="R156" s="3" t="s">
        <v>1253</v>
      </c>
      <c r="S156" s="7">
        <v>1083.0899999999999</v>
      </c>
      <c r="T156" s="7">
        <f t="shared" si="63"/>
        <v>1245.5534999999998</v>
      </c>
      <c r="U156" s="7">
        <v>1425.87</v>
      </c>
      <c r="V156" s="7">
        <f t="shared" si="51"/>
        <v>1425.87</v>
      </c>
      <c r="W156" s="7">
        <f t="shared" si="64"/>
        <v>1639.7504999999996</v>
      </c>
      <c r="X156" s="16">
        <v>0</v>
      </c>
      <c r="Y156" t="str">
        <f t="shared" si="52"/>
        <v>OK</v>
      </c>
      <c r="Z156" s="16">
        <f t="shared" si="53"/>
        <v>0</v>
      </c>
      <c r="AA156" s="16">
        <f t="shared" si="65"/>
        <v>0</v>
      </c>
      <c r="AB156" s="9">
        <v>8</v>
      </c>
      <c r="AC156" s="9">
        <f t="shared" si="66"/>
        <v>9.6</v>
      </c>
      <c r="AD156" s="9">
        <f t="shared" si="54"/>
        <v>11406.96</v>
      </c>
      <c r="AE156" s="9">
        <f t="shared" si="67"/>
        <v>15741.604799999996</v>
      </c>
      <c r="AF156" s="9">
        <f t="shared" si="55"/>
        <v>8664.7199999999993</v>
      </c>
      <c r="AG156" s="9">
        <f t="shared" si="56"/>
        <v>2742.24</v>
      </c>
      <c r="AH156" s="9">
        <f t="shared" si="68"/>
        <v>7076.8847999999962</v>
      </c>
      <c r="AI156">
        <f t="shared" si="57"/>
        <v>0.24040059752992909</v>
      </c>
      <c r="AJ156" s="5">
        <f t="shared" si="58"/>
        <v>44928</v>
      </c>
      <c r="AK156" t="str">
        <f t="shared" si="59"/>
        <v>Jan-2023</v>
      </c>
      <c r="AL156">
        <v>0</v>
      </c>
      <c r="AM156">
        <v>0</v>
      </c>
      <c r="AN156">
        <v>0</v>
      </c>
    </row>
    <row r="157" spans="1:40" x14ac:dyDescent="0.45">
      <c r="A157" s="3" t="s">
        <v>550</v>
      </c>
      <c r="B157" s="5">
        <v>45450</v>
      </c>
      <c r="C157" s="9" t="str">
        <f t="shared" si="47"/>
        <v>Jun-2024</v>
      </c>
      <c r="D157" s="5" t="str">
        <f t="shared" si="48"/>
        <v>2024-Q2</v>
      </c>
      <c r="E157" s="5">
        <v>45452</v>
      </c>
      <c r="F157" s="9">
        <f t="shared" si="60"/>
        <v>2</v>
      </c>
      <c r="G157" s="9" t="str">
        <f t="shared" si="61"/>
        <v>ACHIEVED</v>
      </c>
      <c r="H157" s="3" t="s">
        <v>641</v>
      </c>
      <c r="I157" s="3" t="s">
        <v>653</v>
      </c>
      <c r="J157" s="3" t="s">
        <v>679</v>
      </c>
      <c r="K157" s="13" t="str">
        <f t="shared" si="62"/>
        <v>Asia &gt; China &gt; Shanghai</v>
      </c>
      <c r="L157" s="3" t="s">
        <v>695</v>
      </c>
      <c r="M157" s="3" t="s">
        <v>701</v>
      </c>
      <c r="N157" s="13" t="str">
        <f t="shared" si="49"/>
        <v>Retail</v>
      </c>
      <c r="O157" s="3" t="s">
        <v>713</v>
      </c>
      <c r="P157" s="3" t="s">
        <v>726</v>
      </c>
      <c r="Q157" s="13" t="str">
        <f t="shared" si="50"/>
        <v>High</v>
      </c>
      <c r="R157" s="3" t="s">
        <v>1267</v>
      </c>
      <c r="S157" s="7">
        <v>1370.28</v>
      </c>
      <c r="T157" s="7">
        <f t="shared" si="63"/>
        <v>1575.8219999999999</v>
      </c>
      <c r="U157" s="7">
        <v>2209.66</v>
      </c>
      <c r="V157" s="7">
        <f t="shared" si="51"/>
        <v>2209.66</v>
      </c>
      <c r="W157" s="7">
        <f t="shared" si="64"/>
        <v>2541.1089999999995</v>
      </c>
      <c r="X157" s="16">
        <v>0.13300000000000001</v>
      </c>
      <c r="Y157" t="str">
        <f t="shared" si="52"/>
        <v>OK</v>
      </c>
      <c r="Z157" s="16">
        <f t="shared" si="53"/>
        <v>0.13300000000000001</v>
      </c>
      <c r="AA157" s="16">
        <f t="shared" si="65"/>
        <v>0.13300000000000001</v>
      </c>
      <c r="AB157" s="9">
        <v>16</v>
      </c>
      <c r="AC157" s="9">
        <f t="shared" si="66"/>
        <v>19.2</v>
      </c>
      <c r="AD157" s="9">
        <f t="shared" si="54"/>
        <v>30652.403519999996</v>
      </c>
      <c r="AE157" s="9">
        <f t="shared" si="67"/>
        <v>55278.268742399989</v>
      </c>
      <c r="AF157" s="9">
        <f t="shared" si="55"/>
        <v>21924.48</v>
      </c>
      <c r="AG157" s="9">
        <f t="shared" si="56"/>
        <v>8727.9235199999966</v>
      </c>
      <c r="AH157" s="9">
        <f t="shared" si="68"/>
        <v>33353.788742399993</v>
      </c>
      <c r="AI157">
        <f t="shared" si="57"/>
        <v>0.28473863442079589</v>
      </c>
      <c r="AJ157" s="5">
        <f t="shared" si="58"/>
        <v>44928</v>
      </c>
      <c r="AK157" t="str">
        <f t="shared" si="59"/>
        <v>Jan-2023</v>
      </c>
      <c r="AL157">
        <v>0</v>
      </c>
      <c r="AM157">
        <v>0</v>
      </c>
      <c r="AN157">
        <v>0</v>
      </c>
    </row>
    <row r="158" spans="1:40" x14ac:dyDescent="0.45">
      <c r="A158" s="3" t="s">
        <v>632</v>
      </c>
      <c r="B158" s="5">
        <v>45141</v>
      </c>
      <c r="C158" s="9" t="str">
        <f t="shared" si="47"/>
        <v>Aug-2023</v>
      </c>
      <c r="D158" s="5" t="str">
        <f t="shared" si="48"/>
        <v>2023-Q3</v>
      </c>
      <c r="E158" s="5">
        <v>45146</v>
      </c>
      <c r="F158" s="9">
        <f t="shared" si="60"/>
        <v>5</v>
      </c>
      <c r="G158" s="9" t="str">
        <f t="shared" si="61"/>
        <v>ACHIEVED</v>
      </c>
      <c r="H158" s="3" t="s">
        <v>641</v>
      </c>
      <c r="I158" s="3" t="s">
        <v>653</v>
      </c>
      <c r="J158" s="3" t="s">
        <v>679</v>
      </c>
      <c r="K158" s="13" t="str">
        <f t="shared" si="62"/>
        <v>Asia &gt; China &gt; Shanghai</v>
      </c>
      <c r="L158" s="3" t="s">
        <v>697</v>
      </c>
      <c r="M158" s="3" t="s">
        <v>705</v>
      </c>
      <c r="N158" s="13" t="str">
        <f t="shared" si="49"/>
        <v>Direct</v>
      </c>
      <c r="O158" s="3" t="s">
        <v>707</v>
      </c>
      <c r="P158" s="3" t="s">
        <v>723</v>
      </c>
      <c r="Q158" s="13" t="str">
        <f t="shared" si="50"/>
        <v>High</v>
      </c>
      <c r="R158" s="3" t="s">
        <v>1349</v>
      </c>
      <c r="S158" s="7">
        <v>1021.97</v>
      </c>
      <c r="T158" s="7">
        <f t="shared" si="63"/>
        <v>1175.2655</v>
      </c>
      <c r="U158" s="7">
        <v>2296.25</v>
      </c>
      <c r="V158" s="7">
        <f t="shared" si="51"/>
        <v>2296.25</v>
      </c>
      <c r="W158" s="7">
        <f t="shared" si="64"/>
        <v>2640.6875</v>
      </c>
      <c r="X158" s="16">
        <v>0.161</v>
      </c>
      <c r="Y158" t="str">
        <f t="shared" si="52"/>
        <v>OK</v>
      </c>
      <c r="Z158" s="16">
        <f t="shared" si="53"/>
        <v>0.161</v>
      </c>
      <c r="AA158" s="16">
        <f t="shared" si="65"/>
        <v>0.161</v>
      </c>
      <c r="AB158" s="9">
        <v>26</v>
      </c>
      <c r="AC158" s="9">
        <f t="shared" si="66"/>
        <v>31.2</v>
      </c>
      <c r="AD158" s="9">
        <f t="shared" si="54"/>
        <v>50090.397499999999</v>
      </c>
      <c r="AE158" s="9">
        <f t="shared" si="67"/>
        <v>95654.151450000005</v>
      </c>
      <c r="AF158" s="9">
        <f t="shared" si="55"/>
        <v>26571.22</v>
      </c>
      <c r="AG158" s="9">
        <f t="shared" si="56"/>
        <v>23519.177499999998</v>
      </c>
      <c r="AH158" s="9">
        <f t="shared" si="68"/>
        <v>69082.931450000004</v>
      </c>
      <c r="AI158">
        <f t="shared" si="57"/>
        <v>0.46953465482081669</v>
      </c>
      <c r="AJ158" s="5">
        <f t="shared" si="58"/>
        <v>44928</v>
      </c>
      <c r="AK158" t="str">
        <f t="shared" si="59"/>
        <v>Jan-2023</v>
      </c>
      <c r="AL158">
        <v>0</v>
      </c>
      <c r="AM158">
        <v>0</v>
      </c>
      <c r="AN158">
        <v>0</v>
      </c>
    </row>
    <row r="159" spans="1:40" x14ac:dyDescent="0.45">
      <c r="A159" s="3" t="s">
        <v>635</v>
      </c>
      <c r="B159" s="5">
        <v>45141</v>
      </c>
      <c r="C159" s="9" t="str">
        <f t="shared" si="47"/>
        <v>Aug-2023</v>
      </c>
      <c r="D159" s="5" t="str">
        <f t="shared" si="48"/>
        <v>2023-Q3</v>
      </c>
      <c r="E159" s="5">
        <v>45168</v>
      </c>
      <c r="F159" s="9">
        <f t="shared" si="60"/>
        <v>27</v>
      </c>
      <c r="G159" s="9" t="str">
        <f t="shared" si="61"/>
        <v>NOT ACHIEVED</v>
      </c>
      <c r="H159" s="3" t="s">
        <v>641</v>
      </c>
      <c r="I159" s="3" t="s">
        <v>653</v>
      </c>
      <c r="J159" s="3" t="s">
        <v>679</v>
      </c>
      <c r="K159" s="13" t="str">
        <f t="shared" si="62"/>
        <v>Asia &gt; China &gt; Shanghai</v>
      </c>
      <c r="L159" s="3" t="s">
        <v>698</v>
      </c>
      <c r="M159" s="3" t="s">
        <v>704</v>
      </c>
      <c r="N159" s="13" t="str">
        <f t="shared" si="49"/>
        <v>Distributor</v>
      </c>
      <c r="O159" s="3" t="s">
        <v>719</v>
      </c>
      <c r="P159" s="3" t="s">
        <v>726</v>
      </c>
      <c r="Q159" s="13" t="str">
        <f t="shared" si="50"/>
        <v>Low</v>
      </c>
      <c r="R159" s="3" t="s">
        <v>1352</v>
      </c>
      <c r="S159" s="7">
        <v>226.04</v>
      </c>
      <c r="T159" s="7">
        <f t="shared" si="63"/>
        <v>259.94599999999997</v>
      </c>
      <c r="U159" s="7">
        <v>545.72</v>
      </c>
      <c r="V159" s="7">
        <f t="shared" si="51"/>
        <v>545.72</v>
      </c>
      <c r="W159" s="7">
        <f t="shared" si="64"/>
        <v>627.57799999999997</v>
      </c>
      <c r="X159" s="16">
        <v>0.151</v>
      </c>
      <c r="Y159" t="str">
        <f t="shared" si="52"/>
        <v>OK</v>
      </c>
      <c r="Z159" s="16">
        <f t="shared" si="53"/>
        <v>0.151</v>
      </c>
      <c r="AA159" s="16">
        <f t="shared" si="65"/>
        <v>0.151</v>
      </c>
      <c r="AB159" s="9">
        <v>11</v>
      </c>
      <c r="AC159" s="9">
        <f t="shared" si="66"/>
        <v>13.2</v>
      </c>
      <c r="AD159" s="9">
        <f t="shared" si="54"/>
        <v>5096.4790800000001</v>
      </c>
      <c r="AE159" s="9">
        <f t="shared" si="67"/>
        <v>9534.9180696000003</v>
      </c>
      <c r="AF159" s="9">
        <f t="shared" si="55"/>
        <v>2486.44</v>
      </c>
      <c r="AG159" s="9">
        <f t="shared" si="56"/>
        <v>2610.03908</v>
      </c>
      <c r="AH159" s="9">
        <f t="shared" si="68"/>
        <v>7048.4780695999998</v>
      </c>
      <c r="AI159">
        <f t="shared" si="57"/>
        <v>0.51212592831834014</v>
      </c>
      <c r="AJ159" s="5">
        <f t="shared" si="58"/>
        <v>44928</v>
      </c>
      <c r="AK159" t="str">
        <f t="shared" si="59"/>
        <v>Jan-2023</v>
      </c>
      <c r="AL159">
        <v>0</v>
      </c>
      <c r="AM159">
        <v>0</v>
      </c>
      <c r="AN159">
        <v>0</v>
      </c>
    </row>
    <row r="160" spans="1:40" x14ac:dyDescent="0.45">
      <c r="A160" s="3" t="s">
        <v>22</v>
      </c>
      <c r="B160" s="5">
        <v>45311</v>
      </c>
      <c r="C160" s="9" t="str">
        <f t="shared" si="47"/>
        <v>Jan-2024</v>
      </c>
      <c r="D160" s="5" t="str">
        <f t="shared" si="48"/>
        <v>2024-Q1</v>
      </c>
      <c r="E160" s="5">
        <v>45335</v>
      </c>
      <c r="F160" s="9">
        <f t="shared" si="60"/>
        <v>24</v>
      </c>
      <c r="G160" s="9" t="str">
        <f t="shared" si="61"/>
        <v>NOT ACHIEVED</v>
      </c>
      <c r="H160" s="3" t="s">
        <v>643</v>
      </c>
      <c r="I160" s="3" t="s">
        <v>651</v>
      </c>
      <c r="J160" s="3" t="s">
        <v>667</v>
      </c>
      <c r="K160" s="13" t="str">
        <f t="shared" si="62"/>
        <v>Europe &gt; France &gt; Marseille</v>
      </c>
      <c r="L160" s="3" t="s">
        <v>695</v>
      </c>
      <c r="M160" s="3" t="s">
        <v>701</v>
      </c>
      <c r="N160" s="13" t="str">
        <f t="shared" si="49"/>
        <v>Retail</v>
      </c>
      <c r="O160" s="3" t="s">
        <v>716</v>
      </c>
      <c r="P160" s="3" t="s">
        <v>722</v>
      </c>
      <c r="Q160" s="13" t="str">
        <f t="shared" si="50"/>
        <v>Medium</v>
      </c>
      <c r="R160" s="3" t="s">
        <v>741</v>
      </c>
      <c r="S160" s="7">
        <v>643.53</v>
      </c>
      <c r="T160" s="7">
        <f t="shared" si="63"/>
        <v>740.05949999999996</v>
      </c>
      <c r="U160" s="7">
        <v>1439.01</v>
      </c>
      <c r="V160" s="7">
        <f t="shared" si="51"/>
        <v>1439.01</v>
      </c>
      <c r="W160" s="7">
        <f t="shared" si="64"/>
        <v>1654.8614999999998</v>
      </c>
      <c r="X160" s="16">
        <v>0</v>
      </c>
      <c r="Y160" t="str">
        <f t="shared" si="52"/>
        <v>OK</v>
      </c>
      <c r="Z160" s="16">
        <f t="shared" si="53"/>
        <v>0</v>
      </c>
      <c r="AA160" s="16">
        <f t="shared" si="65"/>
        <v>0</v>
      </c>
      <c r="AB160" s="9">
        <v>15</v>
      </c>
      <c r="AC160" s="9">
        <f t="shared" si="66"/>
        <v>18</v>
      </c>
      <c r="AD160" s="9">
        <f t="shared" si="54"/>
        <v>21585.15</v>
      </c>
      <c r="AE160" s="9">
        <f t="shared" si="67"/>
        <v>29787.506999999994</v>
      </c>
      <c r="AF160" s="9">
        <f t="shared" si="55"/>
        <v>9652.9499999999989</v>
      </c>
      <c r="AG160" s="9">
        <f t="shared" si="56"/>
        <v>11932.200000000003</v>
      </c>
      <c r="AH160" s="9">
        <f t="shared" si="68"/>
        <v>20134.556999999993</v>
      </c>
      <c r="AI160">
        <f t="shared" si="57"/>
        <v>0.55279671440782208</v>
      </c>
      <c r="AJ160" s="5">
        <f t="shared" si="58"/>
        <v>44928</v>
      </c>
      <c r="AK160" t="str">
        <f t="shared" si="59"/>
        <v>Jan-2023</v>
      </c>
      <c r="AL160">
        <v>0</v>
      </c>
      <c r="AM160">
        <v>0</v>
      </c>
      <c r="AN160">
        <v>0</v>
      </c>
    </row>
    <row r="161" spans="1:40" x14ac:dyDescent="0.45">
      <c r="A161" s="3" t="s">
        <v>25</v>
      </c>
      <c r="B161" s="5">
        <v>45636</v>
      </c>
      <c r="C161" s="9" t="str">
        <f t="shared" si="47"/>
        <v>Dec-2024</v>
      </c>
      <c r="D161" s="5" t="str">
        <f t="shared" si="48"/>
        <v>2024-Q4</v>
      </c>
      <c r="E161" s="5">
        <v>45665</v>
      </c>
      <c r="F161" s="9">
        <f t="shared" si="60"/>
        <v>29</v>
      </c>
      <c r="G161" s="9" t="str">
        <f t="shared" si="61"/>
        <v>NOT ACHIEVED</v>
      </c>
      <c r="H161" s="3" t="s">
        <v>643</v>
      </c>
      <c r="I161" s="3" t="s">
        <v>651</v>
      </c>
      <c r="J161" s="3" t="s">
        <v>667</v>
      </c>
      <c r="K161" s="13" t="str">
        <f t="shared" si="62"/>
        <v>Europe &gt; France &gt; Marseille</v>
      </c>
      <c r="L161" s="3" t="s">
        <v>699</v>
      </c>
      <c r="M161" s="3" t="s">
        <v>701</v>
      </c>
      <c r="N161" s="13" t="str">
        <f t="shared" si="49"/>
        <v>Retail</v>
      </c>
      <c r="O161" s="3" t="s">
        <v>717</v>
      </c>
      <c r="P161" s="3" t="s">
        <v>722</v>
      </c>
      <c r="Q161" s="13" t="str">
        <f t="shared" si="50"/>
        <v>Medium</v>
      </c>
      <c r="R161" s="3" t="s">
        <v>744</v>
      </c>
      <c r="S161" s="7">
        <v>891.08</v>
      </c>
      <c r="T161" s="7">
        <f t="shared" si="63"/>
        <v>1024.742</v>
      </c>
      <c r="U161" s="7">
        <v>1040.0999999999999</v>
      </c>
      <c r="V161" s="7">
        <f t="shared" si="51"/>
        <v>1040.0999999999999</v>
      </c>
      <c r="W161" s="7">
        <f t="shared" si="64"/>
        <v>1196.1149999999998</v>
      </c>
      <c r="X161" s="16">
        <v>0.109</v>
      </c>
      <c r="Y161" t="str">
        <f t="shared" si="52"/>
        <v>OK</v>
      </c>
      <c r="Z161" s="16">
        <f t="shared" si="53"/>
        <v>0.109</v>
      </c>
      <c r="AA161" s="16">
        <f t="shared" si="65"/>
        <v>0.109</v>
      </c>
      <c r="AB161" s="9">
        <v>28</v>
      </c>
      <c r="AC161" s="9">
        <f t="shared" si="66"/>
        <v>33.6</v>
      </c>
      <c r="AD161" s="9">
        <f t="shared" si="54"/>
        <v>25948.414799999995</v>
      </c>
      <c r="AE161" s="9">
        <f t="shared" si="67"/>
        <v>44570.115575999989</v>
      </c>
      <c r="AF161" s="9">
        <f t="shared" si="55"/>
        <v>24950.240000000002</v>
      </c>
      <c r="AG161" s="9">
        <f t="shared" si="56"/>
        <v>998.17479999999341</v>
      </c>
      <c r="AH161" s="9">
        <f t="shared" si="68"/>
        <v>19619.875575999988</v>
      </c>
      <c r="AI161">
        <f t="shared" si="57"/>
        <v>3.8467660074556598E-2</v>
      </c>
      <c r="AJ161" s="5">
        <f t="shared" si="58"/>
        <v>44928</v>
      </c>
      <c r="AK161" t="str">
        <f t="shared" si="59"/>
        <v>Jan-2023</v>
      </c>
      <c r="AL161">
        <v>0</v>
      </c>
      <c r="AM161">
        <v>0</v>
      </c>
      <c r="AN161">
        <v>0</v>
      </c>
    </row>
    <row r="162" spans="1:40" x14ac:dyDescent="0.45">
      <c r="A162" s="3" t="s">
        <v>35</v>
      </c>
      <c r="B162" s="5">
        <v>45626</v>
      </c>
      <c r="C162" s="9" t="str">
        <f t="shared" si="47"/>
        <v>Nov-2024</v>
      </c>
      <c r="D162" s="5" t="str">
        <f t="shared" si="48"/>
        <v>2024-Q4</v>
      </c>
      <c r="E162" s="5">
        <v>45656</v>
      </c>
      <c r="F162" s="9">
        <f t="shared" si="60"/>
        <v>30</v>
      </c>
      <c r="G162" s="9" t="str">
        <f t="shared" si="61"/>
        <v>NOT ACHIEVED</v>
      </c>
      <c r="H162" s="3" t="s">
        <v>643</v>
      </c>
      <c r="I162" s="3" t="s">
        <v>651</v>
      </c>
      <c r="J162" s="3" t="s">
        <v>667</v>
      </c>
      <c r="K162" s="13" t="str">
        <f t="shared" si="62"/>
        <v>Europe &gt; France &gt; Marseille</v>
      </c>
      <c r="L162" s="3" t="s">
        <v>698</v>
      </c>
      <c r="M162" s="3" t="s">
        <v>703</v>
      </c>
      <c r="N162" s="13" t="str">
        <f t="shared" si="49"/>
        <v>Marketplace</v>
      </c>
      <c r="O162" s="3" t="s">
        <v>715</v>
      </c>
      <c r="P162" s="3" t="s">
        <v>722</v>
      </c>
      <c r="Q162" s="13" t="str">
        <f t="shared" si="50"/>
        <v>Low</v>
      </c>
      <c r="R162" s="3" t="s">
        <v>754</v>
      </c>
      <c r="S162" s="7">
        <v>117.64</v>
      </c>
      <c r="T162" s="7">
        <f t="shared" si="63"/>
        <v>135.286</v>
      </c>
      <c r="U162" s="7">
        <v>175.67</v>
      </c>
      <c r="V162" s="7">
        <f t="shared" si="51"/>
        <v>175.67</v>
      </c>
      <c r="W162" s="7">
        <f t="shared" si="64"/>
        <v>202.02049999999997</v>
      </c>
      <c r="X162" s="16">
        <v>0</v>
      </c>
      <c r="Y162" t="str">
        <f t="shared" si="52"/>
        <v>OK</v>
      </c>
      <c r="Z162" s="16">
        <f t="shared" si="53"/>
        <v>0</v>
      </c>
      <c r="AA162" s="16">
        <f t="shared" si="65"/>
        <v>0</v>
      </c>
      <c r="AB162" s="9">
        <v>10</v>
      </c>
      <c r="AC162" s="9">
        <f t="shared" si="66"/>
        <v>12</v>
      </c>
      <c r="AD162" s="9">
        <f t="shared" si="54"/>
        <v>1756.6999999999998</v>
      </c>
      <c r="AE162" s="9">
        <f t="shared" si="67"/>
        <v>2424.2459999999996</v>
      </c>
      <c r="AF162" s="9">
        <f t="shared" si="55"/>
        <v>1176.4000000000001</v>
      </c>
      <c r="AG162" s="9">
        <f t="shared" si="56"/>
        <v>580.29999999999973</v>
      </c>
      <c r="AH162" s="9">
        <f t="shared" si="68"/>
        <v>1247.8459999999995</v>
      </c>
      <c r="AI162">
        <f t="shared" si="57"/>
        <v>0.33033528775545046</v>
      </c>
      <c r="AJ162" s="5">
        <f t="shared" si="58"/>
        <v>44928</v>
      </c>
      <c r="AK162" t="str">
        <f t="shared" si="59"/>
        <v>Jan-2023</v>
      </c>
      <c r="AL162">
        <v>0</v>
      </c>
      <c r="AM162">
        <v>0</v>
      </c>
      <c r="AN162">
        <v>0</v>
      </c>
    </row>
    <row r="163" spans="1:40" x14ac:dyDescent="0.45">
      <c r="A163" s="3" t="s">
        <v>38</v>
      </c>
      <c r="B163" s="5">
        <v>45754</v>
      </c>
      <c r="C163" s="9" t="str">
        <f t="shared" si="47"/>
        <v>Apr-2025</v>
      </c>
      <c r="D163" s="5" t="str">
        <f t="shared" si="48"/>
        <v>2025-Q2</v>
      </c>
      <c r="E163" s="5">
        <v>45758</v>
      </c>
      <c r="F163" s="9">
        <f t="shared" si="60"/>
        <v>4</v>
      </c>
      <c r="G163" s="9" t="str">
        <f t="shared" si="61"/>
        <v>ACHIEVED</v>
      </c>
      <c r="H163" s="3" t="s">
        <v>643</v>
      </c>
      <c r="I163" s="3" t="s">
        <v>651</v>
      </c>
      <c r="J163" s="3" t="s">
        <v>673</v>
      </c>
      <c r="K163" s="13" t="str">
        <f t="shared" si="62"/>
        <v>Europe &gt; France &gt; Lyon</v>
      </c>
      <c r="L163" s="3" t="s">
        <v>696</v>
      </c>
      <c r="M163" s="3" t="s">
        <v>701</v>
      </c>
      <c r="N163" s="13" t="str">
        <f t="shared" si="49"/>
        <v>Retail</v>
      </c>
      <c r="O163" s="3" t="s">
        <v>712</v>
      </c>
      <c r="P163" s="3" t="s">
        <v>723</v>
      </c>
      <c r="Q163" s="13" t="str">
        <f t="shared" si="50"/>
        <v>High</v>
      </c>
      <c r="R163" s="3" t="s">
        <v>757</v>
      </c>
      <c r="S163" s="7">
        <v>754.77</v>
      </c>
      <c r="T163" s="7">
        <f t="shared" si="63"/>
        <v>867.98549999999989</v>
      </c>
      <c r="U163" s="7">
        <v>1666.18</v>
      </c>
      <c r="V163" s="7">
        <f t="shared" si="51"/>
        <v>1666.18</v>
      </c>
      <c r="W163" s="7">
        <f t="shared" si="64"/>
        <v>1916.107</v>
      </c>
      <c r="X163" s="16">
        <v>0.13900000000000001</v>
      </c>
      <c r="Y163" t="str">
        <f t="shared" si="52"/>
        <v>OK</v>
      </c>
      <c r="Z163" s="16">
        <f t="shared" si="53"/>
        <v>0.13900000000000001</v>
      </c>
      <c r="AA163" s="16">
        <f t="shared" si="65"/>
        <v>0.13900000000000001</v>
      </c>
      <c r="AB163" s="9">
        <v>14</v>
      </c>
      <c r="AC163" s="9">
        <f t="shared" si="66"/>
        <v>16.8</v>
      </c>
      <c r="AD163" s="9">
        <f t="shared" si="54"/>
        <v>20084.133720000002</v>
      </c>
      <c r="AE163" s="9">
        <f t="shared" si="67"/>
        <v>36665.090666399999</v>
      </c>
      <c r="AF163" s="9">
        <f t="shared" si="55"/>
        <v>10566.779999999999</v>
      </c>
      <c r="AG163" s="9">
        <f t="shared" si="56"/>
        <v>9517.3537200000028</v>
      </c>
      <c r="AH163" s="9">
        <f t="shared" si="68"/>
        <v>26098.310666400001</v>
      </c>
      <c r="AI163">
        <f t="shared" si="57"/>
        <v>0.47387424584424653</v>
      </c>
      <c r="AJ163" s="5">
        <f t="shared" si="58"/>
        <v>44928</v>
      </c>
      <c r="AK163" t="str">
        <f t="shared" si="59"/>
        <v>Jan-2023</v>
      </c>
      <c r="AL163">
        <v>0</v>
      </c>
      <c r="AM163">
        <v>0</v>
      </c>
      <c r="AN163">
        <v>0</v>
      </c>
    </row>
    <row r="164" spans="1:40" x14ac:dyDescent="0.45">
      <c r="A164" s="3" t="s">
        <v>58</v>
      </c>
      <c r="B164" s="5">
        <v>45117</v>
      </c>
      <c r="C164" s="9" t="str">
        <f t="shared" si="47"/>
        <v>Jul-2023</v>
      </c>
      <c r="D164" s="5" t="str">
        <f t="shared" si="48"/>
        <v>2023-Q3</v>
      </c>
      <c r="E164" s="5">
        <v>45139</v>
      </c>
      <c r="F164" s="9">
        <f t="shared" si="60"/>
        <v>22</v>
      </c>
      <c r="G164" s="9" t="str">
        <f t="shared" si="61"/>
        <v>NOT ACHIEVED</v>
      </c>
      <c r="H164" s="3" t="s">
        <v>643</v>
      </c>
      <c r="I164" s="3" t="s">
        <v>651</v>
      </c>
      <c r="J164" s="3" t="s">
        <v>667</v>
      </c>
      <c r="K164" s="13" t="str">
        <f t="shared" si="62"/>
        <v>Europe &gt; France &gt; Marseille</v>
      </c>
      <c r="L164" s="3" t="s">
        <v>698</v>
      </c>
      <c r="M164" s="3" t="s">
        <v>703</v>
      </c>
      <c r="N164" s="13" t="str">
        <f t="shared" si="49"/>
        <v>Marketplace</v>
      </c>
      <c r="O164" s="3" t="s">
        <v>711</v>
      </c>
      <c r="P164" s="3" t="s">
        <v>722</v>
      </c>
      <c r="Q164" s="13" t="str">
        <f t="shared" si="50"/>
        <v>High</v>
      </c>
      <c r="R164" s="3" t="s">
        <v>777</v>
      </c>
      <c r="S164" s="7">
        <v>1303.56</v>
      </c>
      <c r="T164" s="7">
        <f t="shared" si="63"/>
        <v>1499.0939999999998</v>
      </c>
      <c r="U164" s="7">
        <v>1791.37</v>
      </c>
      <c r="V164" s="7">
        <f t="shared" si="51"/>
        <v>1791.37</v>
      </c>
      <c r="W164" s="7">
        <f t="shared" si="64"/>
        <v>2060.0754999999999</v>
      </c>
      <c r="X164" s="16">
        <v>0.126</v>
      </c>
      <c r="Y164" t="str">
        <f t="shared" si="52"/>
        <v>OK</v>
      </c>
      <c r="Z164" s="16">
        <f t="shared" si="53"/>
        <v>0.126</v>
      </c>
      <c r="AA164" s="16">
        <f t="shared" si="65"/>
        <v>0.126</v>
      </c>
      <c r="AB164" s="9">
        <v>22</v>
      </c>
      <c r="AC164" s="9">
        <f t="shared" si="66"/>
        <v>26.4</v>
      </c>
      <c r="AD164" s="9">
        <f t="shared" si="54"/>
        <v>34444.462359999998</v>
      </c>
      <c r="AE164" s="9">
        <f t="shared" si="67"/>
        <v>61238.628343199991</v>
      </c>
      <c r="AF164" s="9">
        <f t="shared" si="55"/>
        <v>28678.32</v>
      </c>
      <c r="AG164" s="9">
        <f t="shared" si="56"/>
        <v>5766.142359999998</v>
      </c>
      <c r="AH164" s="9">
        <f t="shared" si="68"/>
        <v>32560.308343199991</v>
      </c>
      <c r="AI164">
        <f t="shared" si="57"/>
        <v>0.16740404596055358</v>
      </c>
      <c r="AJ164" s="5">
        <f t="shared" si="58"/>
        <v>44928</v>
      </c>
      <c r="AK164" t="str">
        <f t="shared" si="59"/>
        <v>Jan-2023</v>
      </c>
      <c r="AL164">
        <v>0</v>
      </c>
      <c r="AM164">
        <v>0</v>
      </c>
      <c r="AN164">
        <v>0</v>
      </c>
    </row>
    <row r="165" spans="1:40" x14ac:dyDescent="0.45">
      <c r="A165" s="3" t="s">
        <v>62</v>
      </c>
      <c r="B165" s="5">
        <v>45678</v>
      </c>
      <c r="C165" s="9" t="str">
        <f t="shared" si="47"/>
        <v>Jan-2025</v>
      </c>
      <c r="D165" s="5" t="str">
        <f t="shared" si="48"/>
        <v>2025-Q1</v>
      </c>
      <c r="E165" s="5">
        <v>45704</v>
      </c>
      <c r="F165" s="9">
        <f t="shared" si="60"/>
        <v>26</v>
      </c>
      <c r="G165" s="9" t="str">
        <f t="shared" si="61"/>
        <v>NOT ACHIEVED</v>
      </c>
      <c r="H165" s="3" t="s">
        <v>643</v>
      </c>
      <c r="I165" s="3" t="s">
        <v>651</v>
      </c>
      <c r="J165" s="3" t="s">
        <v>673</v>
      </c>
      <c r="K165" s="13" t="str">
        <f t="shared" si="62"/>
        <v>Europe &gt; France &gt; Lyon</v>
      </c>
      <c r="L165" s="3" t="s">
        <v>695</v>
      </c>
      <c r="M165" s="3" t="s">
        <v>704</v>
      </c>
      <c r="N165" s="13" t="str">
        <f t="shared" si="49"/>
        <v>Distributor</v>
      </c>
      <c r="O165" s="3" t="s">
        <v>713</v>
      </c>
      <c r="P165" s="3" t="s">
        <v>725</v>
      </c>
      <c r="Q165" s="13" t="str">
        <f t="shared" si="50"/>
        <v>Low</v>
      </c>
      <c r="R165" s="3" t="s">
        <v>781</v>
      </c>
      <c r="S165" s="7">
        <v>204.11</v>
      </c>
      <c r="T165" s="7">
        <f t="shared" si="63"/>
        <v>234.72649999999999</v>
      </c>
      <c r="U165" s="7">
        <v>236.87</v>
      </c>
      <c r="V165" s="7">
        <f t="shared" si="51"/>
        <v>236.87</v>
      </c>
      <c r="W165" s="7">
        <f t="shared" si="64"/>
        <v>272.40049999999997</v>
      </c>
      <c r="X165" s="16">
        <v>0.182</v>
      </c>
      <c r="Y165" t="str">
        <f t="shared" si="52"/>
        <v>OK</v>
      </c>
      <c r="Z165" s="16">
        <f t="shared" si="53"/>
        <v>0.182</v>
      </c>
      <c r="AA165" s="16">
        <f t="shared" si="65"/>
        <v>0.182</v>
      </c>
      <c r="AB165" s="9">
        <v>13</v>
      </c>
      <c r="AC165" s="9">
        <f t="shared" si="66"/>
        <v>15.6</v>
      </c>
      <c r="AD165" s="9">
        <f t="shared" si="54"/>
        <v>2518.8755800000004</v>
      </c>
      <c r="AE165" s="9">
        <f t="shared" si="67"/>
        <v>5022.8472995999982</v>
      </c>
      <c r="AF165" s="9">
        <f t="shared" si="55"/>
        <v>2653.4300000000003</v>
      </c>
      <c r="AG165" s="9">
        <f t="shared" si="56"/>
        <v>-134.55441999999994</v>
      </c>
      <c r="AH165" s="9">
        <f t="shared" si="68"/>
        <v>2369.4172995999979</v>
      </c>
      <c r="AI165">
        <f t="shared" si="57"/>
        <v>-5.3418446337075494E-2</v>
      </c>
      <c r="AJ165" s="5">
        <f t="shared" si="58"/>
        <v>44928</v>
      </c>
      <c r="AK165" t="str">
        <f t="shared" si="59"/>
        <v>Jan-2023</v>
      </c>
      <c r="AL165">
        <v>0</v>
      </c>
      <c r="AM165">
        <v>0</v>
      </c>
      <c r="AN165">
        <v>0</v>
      </c>
    </row>
    <row r="166" spans="1:40" x14ac:dyDescent="0.45">
      <c r="A166" s="3" t="s">
        <v>67</v>
      </c>
      <c r="B166" s="5">
        <v>45817</v>
      </c>
      <c r="C166" s="9" t="str">
        <f t="shared" si="47"/>
        <v>Jun-2025</v>
      </c>
      <c r="D166" s="5" t="str">
        <f t="shared" si="48"/>
        <v>2025-Q2</v>
      </c>
      <c r="E166" s="5">
        <v>45826</v>
      </c>
      <c r="F166" s="9">
        <f t="shared" si="60"/>
        <v>9</v>
      </c>
      <c r="G166" s="9" t="str">
        <f t="shared" si="61"/>
        <v>NOT ACHIEVED</v>
      </c>
      <c r="H166" s="3" t="s">
        <v>643</v>
      </c>
      <c r="I166" s="3" t="s">
        <v>651</v>
      </c>
      <c r="J166" s="3" t="s">
        <v>667</v>
      </c>
      <c r="K166" s="13" t="str">
        <f t="shared" si="62"/>
        <v>Europe &gt; France &gt; Marseille</v>
      </c>
      <c r="L166" s="3" t="s">
        <v>699</v>
      </c>
      <c r="M166" s="3" t="s">
        <v>703</v>
      </c>
      <c r="N166" s="13" t="str">
        <f t="shared" si="49"/>
        <v>Marketplace</v>
      </c>
      <c r="O166" s="3" t="s">
        <v>716</v>
      </c>
      <c r="P166" s="3" t="s">
        <v>727</v>
      </c>
      <c r="Q166" s="13" t="str">
        <f t="shared" si="50"/>
        <v>Low</v>
      </c>
      <c r="R166" s="3" t="s">
        <v>786</v>
      </c>
      <c r="S166" s="7">
        <v>1225.5</v>
      </c>
      <c r="T166" s="7">
        <f t="shared" si="63"/>
        <v>1409.3249999999998</v>
      </c>
      <c r="U166" s="7">
        <v>0</v>
      </c>
      <c r="V166" s="7">
        <f t="shared" si="51"/>
        <v>0</v>
      </c>
      <c r="W166" s="7">
        <f t="shared" si="64"/>
        <v>0</v>
      </c>
      <c r="X166" s="16">
        <v>7.4999999999999997E-2</v>
      </c>
      <c r="Y166" t="str">
        <f t="shared" si="52"/>
        <v>OK</v>
      </c>
      <c r="Z166" s="16">
        <f t="shared" si="53"/>
        <v>7.4999999999999997E-2</v>
      </c>
      <c r="AA166" s="16">
        <f t="shared" si="65"/>
        <v>7.4999999999999997E-2</v>
      </c>
      <c r="AB166" s="9">
        <v>56</v>
      </c>
      <c r="AC166" s="9">
        <f t="shared" si="66"/>
        <v>67.2</v>
      </c>
      <c r="AD166" s="9">
        <f t="shared" si="54"/>
        <v>0</v>
      </c>
      <c r="AE166" s="9">
        <f t="shared" si="67"/>
        <v>0</v>
      </c>
      <c r="AF166" s="9">
        <f t="shared" si="55"/>
        <v>68628</v>
      </c>
      <c r="AG166" s="9">
        <f t="shared" si="56"/>
        <v>-68628</v>
      </c>
      <c r="AH166" s="9">
        <f t="shared" si="68"/>
        <v>-68628</v>
      </c>
      <c r="AI166">
        <f t="shared" si="57"/>
        <v>0</v>
      </c>
      <c r="AJ166" s="5">
        <f t="shared" si="58"/>
        <v>44928</v>
      </c>
      <c r="AK166" t="str">
        <f t="shared" si="59"/>
        <v>Jan-2023</v>
      </c>
      <c r="AL166">
        <v>0</v>
      </c>
      <c r="AM166">
        <v>0</v>
      </c>
      <c r="AN166">
        <v>0</v>
      </c>
    </row>
    <row r="167" spans="1:40" x14ac:dyDescent="0.45">
      <c r="A167" s="3" t="s">
        <v>69</v>
      </c>
      <c r="B167" s="5">
        <v>45361</v>
      </c>
      <c r="C167" s="9" t="str">
        <f t="shared" si="47"/>
        <v>Mar-2024</v>
      </c>
      <c r="D167" s="5" t="str">
        <f t="shared" si="48"/>
        <v>2024-Q1</v>
      </c>
      <c r="E167" s="5">
        <v>45391</v>
      </c>
      <c r="F167" s="9">
        <f t="shared" si="60"/>
        <v>30</v>
      </c>
      <c r="G167" s="9" t="str">
        <f t="shared" si="61"/>
        <v>NOT ACHIEVED</v>
      </c>
      <c r="H167" s="3" t="s">
        <v>643</v>
      </c>
      <c r="I167" s="3" t="s">
        <v>651</v>
      </c>
      <c r="J167" s="3" t="s">
        <v>673</v>
      </c>
      <c r="K167" s="13" t="str">
        <f t="shared" si="62"/>
        <v>Europe &gt; France &gt; Lyon</v>
      </c>
      <c r="L167" s="3" t="s">
        <v>695</v>
      </c>
      <c r="M167" s="3" t="s">
        <v>705</v>
      </c>
      <c r="N167" s="13" t="str">
        <f t="shared" si="49"/>
        <v>Direct</v>
      </c>
      <c r="O167" s="3" t="s">
        <v>708</v>
      </c>
      <c r="P167" s="3" t="s">
        <v>721</v>
      </c>
      <c r="Q167" s="13" t="str">
        <f t="shared" si="50"/>
        <v>High</v>
      </c>
      <c r="R167" s="3" t="s">
        <v>788</v>
      </c>
      <c r="S167" s="7">
        <v>1176.56</v>
      </c>
      <c r="T167" s="7">
        <f t="shared" si="63"/>
        <v>1353.0439999999999</v>
      </c>
      <c r="U167" s="7">
        <v>1911.89</v>
      </c>
      <c r="V167" s="7">
        <f t="shared" si="51"/>
        <v>1911.89</v>
      </c>
      <c r="W167" s="7">
        <f t="shared" si="64"/>
        <v>2198.6734999999999</v>
      </c>
      <c r="X167" s="16">
        <v>0.11899999999999999</v>
      </c>
      <c r="Y167" t="str">
        <f t="shared" si="52"/>
        <v>OK</v>
      </c>
      <c r="Z167" s="16">
        <f t="shared" si="53"/>
        <v>0.11899999999999999</v>
      </c>
      <c r="AA167" s="16">
        <f t="shared" si="65"/>
        <v>0.11899999999999999</v>
      </c>
      <c r="AB167" s="9">
        <v>20</v>
      </c>
      <c r="AC167" s="9">
        <f t="shared" si="66"/>
        <v>24</v>
      </c>
      <c r="AD167" s="9">
        <f t="shared" si="54"/>
        <v>33687.501800000005</v>
      </c>
      <c r="AE167" s="9">
        <f t="shared" si="67"/>
        <v>59047.575515999997</v>
      </c>
      <c r="AF167" s="9">
        <f t="shared" si="55"/>
        <v>23531.199999999997</v>
      </c>
      <c r="AG167" s="9">
        <f t="shared" si="56"/>
        <v>10156.301800000008</v>
      </c>
      <c r="AH167" s="9">
        <f t="shared" si="68"/>
        <v>35516.375516</v>
      </c>
      <c r="AI167">
        <f t="shared" si="57"/>
        <v>0.30148575160892477</v>
      </c>
      <c r="AJ167" s="5">
        <f t="shared" si="58"/>
        <v>44928</v>
      </c>
      <c r="AK167" t="str">
        <f t="shared" si="59"/>
        <v>Jan-2023</v>
      </c>
      <c r="AL167">
        <v>0</v>
      </c>
      <c r="AM167">
        <v>0</v>
      </c>
      <c r="AN167">
        <v>0</v>
      </c>
    </row>
    <row r="168" spans="1:40" x14ac:dyDescent="0.45">
      <c r="A168" s="3" t="s">
        <v>71</v>
      </c>
      <c r="B168" s="5">
        <v>45774</v>
      </c>
      <c r="C168" s="9" t="str">
        <f t="shared" si="47"/>
        <v>Apr-2025</v>
      </c>
      <c r="D168" s="5" t="str">
        <f t="shared" si="48"/>
        <v>2025-Q2</v>
      </c>
      <c r="E168" s="5">
        <v>45802</v>
      </c>
      <c r="F168" s="9">
        <f t="shared" si="60"/>
        <v>28</v>
      </c>
      <c r="G168" s="9" t="str">
        <f t="shared" si="61"/>
        <v>NOT ACHIEVED</v>
      </c>
      <c r="H168" s="3" t="s">
        <v>643</v>
      </c>
      <c r="I168" s="3" t="s">
        <v>651</v>
      </c>
      <c r="J168" s="3" t="s">
        <v>684</v>
      </c>
      <c r="K168" s="13" t="str">
        <f t="shared" si="62"/>
        <v>Europe &gt; France &gt; Paris</v>
      </c>
      <c r="L168" s="3" t="s">
        <v>699</v>
      </c>
      <c r="M168" s="3" t="s">
        <v>703</v>
      </c>
      <c r="N168" s="13" t="str">
        <f t="shared" si="49"/>
        <v>Marketplace</v>
      </c>
      <c r="O168" s="3" t="s">
        <v>708</v>
      </c>
      <c r="P168" s="3" t="s">
        <v>724</v>
      </c>
      <c r="Q168" s="13" t="str">
        <f t="shared" si="50"/>
        <v>Medium</v>
      </c>
      <c r="R168" s="3" t="s">
        <v>790</v>
      </c>
      <c r="S168" s="7">
        <v>603.45000000000005</v>
      </c>
      <c r="T168" s="7">
        <f t="shared" si="63"/>
        <v>693.96749999999997</v>
      </c>
      <c r="U168" s="7">
        <v>1244.08</v>
      </c>
      <c r="V168" s="7">
        <f t="shared" si="51"/>
        <v>1244.08</v>
      </c>
      <c r="W168" s="7">
        <f t="shared" si="64"/>
        <v>1430.6919999999998</v>
      </c>
      <c r="X168" s="16">
        <v>0.2</v>
      </c>
      <c r="Y168" t="str">
        <f t="shared" si="52"/>
        <v>OK</v>
      </c>
      <c r="Z168" s="16">
        <f t="shared" si="53"/>
        <v>0.2</v>
      </c>
      <c r="AA168" s="16">
        <f t="shared" si="65"/>
        <v>0.2</v>
      </c>
      <c r="AB168" s="9">
        <v>11</v>
      </c>
      <c r="AC168" s="9">
        <f t="shared" si="66"/>
        <v>13.2</v>
      </c>
      <c r="AD168" s="9">
        <f t="shared" si="54"/>
        <v>10947.904</v>
      </c>
      <c r="AE168" s="9">
        <f t="shared" si="67"/>
        <v>22662.161279999993</v>
      </c>
      <c r="AF168" s="9">
        <f t="shared" si="55"/>
        <v>6637.9500000000007</v>
      </c>
      <c r="AG168" s="9">
        <f t="shared" si="56"/>
        <v>4309.9539999999997</v>
      </c>
      <c r="AH168" s="9">
        <f t="shared" si="68"/>
        <v>16024.211279999992</v>
      </c>
      <c r="AI168">
        <f t="shared" si="57"/>
        <v>0.39367846119220623</v>
      </c>
      <c r="AJ168" s="5">
        <f t="shared" si="58"/>
        <v>44928</v>
      </c>
      <c r="AK168" t="str">
        <f t="shared" si="59"/>
        <v>Jan-2023</v>
      </c>
      <c r="AL168">
        <v>0</v>
      </c>
      <c r="AM168">
        <v>0</v>
      </c>
      <c r="AN168">
        <v>0</v>
      </c>
    </row>
    <row r="169" spans="1:40" x14ac:dyDescent="0.45">
      <c r="A169" s="3" t="s">
        <v>88</v>
      </c>
      <c r="B169" s="5">
        <v>45617</v>
      </c>
      <c r="C169" s="9" t="str">
        <f t="shared" si="47"/>
        <v>Nov-2024</v>
      </c>
      <c r="D169" s="5" t="str">
        <f t="shared" si="48"/>
        <v>2024-Q4</v>
      </c>
      <c r="E169" s="5">
        <v>45647</v>
      </c>
      <c r="F169" s="9">
        <f t="shared" si="60"/>
        <v>30</v>
      </c>
      <c r="G169" s="9" t="str">
        <f t="shared" si="61"/>
        <v>NOT ACHIEVED</v>
      </c>
      <c r="H169" s="3" t="s">
        <v>643</v>
      </c>
      <c r="I169" s="3" t="s">
        <v>651</v>
      </c>
      <c r="J169" s="3" t="s">
        <v>667</v>
      </c>
      <c r="K169" s="13" t="str">
        <f t="shared" si="62"/>
        <v>Europe &gt; France &gt; Marseille</v>
      </c>
      <c r="L169" s="3" t="s">
        <v>699</v>
      </c>
      <c r="M169" s="3" t="s">
        <v>705</v>
      </c>
      <c r="N169" s="13" t="str">
        <f t="shared" si="49"/>
        <v>Direct</v>
      </c>
      <c r="O169" s="3" t="s">
        <v>708</v>
      </c>
      <c r="P169" s="3" t="s">
        <v>726</v>
      </c>
      <c r="Q169" s="13" t="str">
        <f t="shared" si="50"/>
        <v>High</v>
      </c>
      <c r="R169" s="3" t="s">
        <v>807</v>
      </c>
      <c r="S169" s="7">
        <v>1122.68</v>
      </c>
      <c r="T169" s="7">
        <f t="shared" si="63"/>
        <v>1291.0819999999999</v>
      </c>
      <c r="U169" s="7">
        <v>1997.19</v>
      </c>
      <c r="V169" s="7">
        <f t="shared" si="51"/>
        <v>1997.19</v>
      </c>
      <c r="W169" s="7">
        <f t="shared" si="64"/>
        <v>2296.7684999999997</v>
      </c>
      <c r="X169" s="16">
        <v>0.186</v>
      </c>
      <c r="Y169" t="str">
        <f t="shared" si="52"/>
        <v>OK</v>
      </c>
      <c r="Z169" s="16">
        <f t="shared" si="53"/>
        <v>0.186</v>
      </c>
      <c r="AA169" s="16">
        <f t="shared" si="65"/>
        <v>0.186</v>
      </c>
      <c r="AB169" s="9">
        <v>3</v>
      </c>
      <c r="AC169" s="9">
        <f t="shared" si="66"/>
        <v>3.5999999999999996</v>
      </c>
      <c r="AD169" s="9">
        <f t="shared" si="54"/>
        <v>4877.1379800000004</v>
      </c>
      <c r="AE169" s="9">
        <f t="shared" si="67"/>
        <v>9806.2827875999974</v>
      </c>
      <c r="AF169" s="9">
        <f t="shared" si="55"/>
        <v>3368.04</v>
      </c>
      <c r="AG169" s="9">
        <f t="shared" si="56"/>
        <v>1509.0979800000005</v>
      </c>
      <c r="AH169" s="9">
        <f t="shared" si="68"/>
        <v>6438.2427875999974</v>
      </c>
      <c r="AI169">
        <f t="shared" si="57"/>
        <v>0.30942285951073306</v>
      </c>
      <c r="AJ169" s="5">
        <f t="shared" si="58"/>
        <v>44928</v>
      </c>
      <c r="AK169" t="str">
        <f t="shared" si="59"/>
        <v>Jan-2023</v>
      </c>
      <c r="AL169">
        <v>0</v>
      </c>
      <c r="AM169">
        <v>0</v>
      </c>
      <c r="AN169">
        <v>0</v>
      </c>
    </row>
    <row r="170" spans="1:40" x14ac:dyDescent="0.45">
      <c r="A170" s="3" t="s">
        <v>91</v>
      </c>
      <c r="B170" s="5">
        <v>45791</v>
      </c>
      <c r="C170" s="9" t="str">
        <f t="shared" si="47"/>
        <v>May-2025</v>
      </c>
      <c r="D170" s="5" t="str">
        <f t="shared" si="48"/>
        <v>2025-Q2</v>
      </c>
      <c r="E170" s="5">
        <v>45801</v>
      </c>
      <c r="F170" s="9">
        <f t="shared" si="60"/>
        <v>10</v>
      </c>
      <c r="G170" s="9" t="str">
        <f t="shared" si="61"/>
        <v>NOT ACHIEVED</v>
      </c>
      <c r="H170" s="3" t="s">
        <v>643</v>
      </c>
      <c r="I170" s="3" t="s">
        <v>651</v>
      </c>
      <c r="J170" s="3" t="s">
        <v>684</v>
      </c>
      <c r="K170" s="13" t="str">
        <f t="shared" si="62"/>
        <v>Europe &gt; France &gt; Paris</v>
      </c>
      <c r="L170" s="3" t="s">
        <v>699</v>
      </c>
      <c r="M170" s="3" t="s">
        <v>703</v>
      </c>
      <c r="N170" s="13" t="str">
        <f t="shared" si="49"/>
        <v>Marketplace</v>
      </c>
      <c r="O170" s="3" t="s">
        <v>717</v>
      </c>
      <c r="P170" s="3" t="s">
        <v>721</v>
      </c>
      <c r="Q170" s="13" t="str">
        <f t="shared" si="50"/>
        <v>Low</v>
      </c>
      <c r="R170" s="3" t="s">
        <v>810</v>
      </c>
      <c r="S170" s="7">
        <v>170.39</v>
      </c>
      <c r="T170" s="7">
        <f t="shared" si="63"/>
        <v>195.94849999999997</v>
      </c>
      <c r="U170" s="7">
        <v>388.04</v>
      </c>
      <c r="V170" s="7">
        <f t="shared" si="51"/>
        <v>388.04</v>
      </c>
      <c r="W170" s="7">
        <f t="shared" si="64"/>
        <v>446.24599999999998</v>
      </c>
      <c r="X170" s="16">
        <v>8.4000000000000005E-2</v>
      </c>
      <c r="Y170" t="str">
        <f t="shared" si="52"/>
        <v>OK</v>
      </c>
      <c r="Z170" s="16">
        <f t="shared" si="53"/>
        <v>8.4000000000000005E-2</v>
      </c>
      <c r="AA170" s="16">
        <f t="shared" si="65"/>
        <v>8.4000000000000005E-2</v>
      </c>
      <c r="AB170" s="9">
        <v>15</v>
      </c>
      <c r="AC170" s="9">
        <f t="shared" si="66"/>
        <v>18</v>
      </c>
      <c r="AD170" s="9">
        <f t="shared" si="54"/>
        <v>5331.6696000000002</v>
      </c>
      <c r="AE170" s="9">
        <f t="shared" si="67"/>
        <v>8707.1519520000002</v>
      </c>
      <c r="AF170" s="9">
        <f t="shared" si="55"/>
        <v>2555.85</v>
      </c>
      <c r="AG170" s="9">
        <f t="shared" si="56"/>
        <v>2775.8196000000003</v>
      </c>
      <c r="AH170" s="9">
        <f t="shared" si="68"/>
        <v>6151.3019519999998</v>
      </c>
      <c r="AI170">
        <f t="shared" si="57"/>
        <v>0.52062858508711796</v>
      </c>
      <c r="AJ170" s="5">
        <f t="shared" si="58"/>
        <v>44928</v>
      </c>
      <c r="AK170" t="str">
        <f t="shared" si="59"/>
        <v>Jan-2023</v>
      </c>
      <c r="AL170">
        <v>0</v>
      </c>
      <c r="AM170">
        <v>0</v>
      </c>
      <c r="AN170">
        <v>0</v>
      </c>
    </row>
    <row r="171" spans="1:40" x14ac:dyDescent="0.45">
      <c r="A171" s="3" t="s">
        <v>130</v>
      </c>
      <c r="B171" s="5">
        <v>45249</v>
      </c>
      <c r="C171" s="9" t="str">
        <f t="shared" si="47"/>
        <v>Nov-2023</v>
      </c>
      <c r="D171" s="5" t="str">
        <f t="shared" si="48"/>
        <v>2023-Q4</v>
      </c>
      <c r="E171" s="5">
        <v>45273</v>
      </c>
      <c r="F171" s="9">
        <f t="shared" si="60"/>
        <v>24</v>
      </c>
      <c r="G171" s="9" t="str">
        <f t="shared" si="61"/>
        <v>NOT ACHIEVED</v>
      </c>
      <c r="H171" s="3" t="s">
        <v>643</v>
      </c>
      <c r="I171" s="3" t="s">
        <v>651</v>
      </c>
      <c r="J171" s="3" t="s">
        <v>673</v>
      </c>
      <c r="K171" s="13" t="str">
        <f t="shared" si="62"/>
        <v>Europe &gt; France &gt; Lyon</v>
      </c>
      <c r="L171" s="3" t="s">
        <v>697</v>
      </c>
      <c r="M171" s="3" t="s">
        <v>705</v>
      </c>
      <c r="N171" s="13" t="str">
        <f t="shared" si="49"/>
        <v>Direct</v>
      </c>
      <c r="O171" s="3" t="s">
        <v>716</v>
      </c>
      <c r="P171" s="3" t="s">
        <v>726</v>
      </c>
      <c r="Q171" s="13" t="str">
        <f t="shared" si="50"/>
        <v>High</v>
      </c>
      <c r="R171" s="3" t="s">
        <v>849</v>
      </c>
      <c r="S171" s="7">
        <v>1297.42</v>
      </c>
      <c r="T171" s="7">
        <f t="shared" si="63"/>
        <v>1492.0329999999999</v>
      </c>
      <c r="U171" s="7">
        <v>2742.97</v>
      </c>
      <c r="V171" s="7">
        <f t="shared" si="51"/>
        <v>2742.97</v>
      </c>
      <c r="W171" s="7">
        <f t="shared" si="64"/>
        <v>3154.4154999999996</v>
      </c>
      <c r="X171" s="16">
        <v>6.9000000000000006E-2</v>
      </c>
      <c r="Y171" t="str">
        <f t="shared" si="52"/>
        <v>OK</v>
      </c>
      <c r="Z171" s="16">
        <f t="shared" si="53"/>
        <v>6.9000000000000006E-2</v>
      </c>
      <c r="AA171" s="16">
        <f t="shared" si="65"/>
        <v>6.9000000000000006E-2</v>
      </c>
      <c r="AB171" s="9">
        <v>9</v>
      </c>
      <c r="AC171" s="9">
        <f t="shared" si="66"/>
        <v>10.799999999999999</v>
      </c>
      <c r="AD171" s="9">
        <f t="shared" si="54"/>
        <v>22983.34563</v>
      </c>
      <c r="AE171" s="9">
        <f t="shared" si="67"/>
        <v>36418.357830599991</v>
      </c>
      <c r="AF171" s="9">
        <f t="shared" si="55"/>
        <v>11676.78</v>
      </c>
      <c r="AG171" s="9">
        <f t="shared" si="56"/>
        <v>11306.565629999999</v>
      </c>
      <c r="AH171" s="9">
        <f t="shared" si="68"/>
        <v>24741.577830599992</v>
      </c>
      <c r="AI171">
        <f t="shared" si="57"/>
        <v>0.49194602961727291</v>
      </c>
      <c r="AJ171" s="5">
        <f t="shared" si="58"/>
        <v>44928</v>
      </c>
      <c r="AK171" t="str">
        <f t="shared" si="59"/>
        <v>Jan-2023</v>
      </c>
      <c r="AL171">
        <v>0</v>
      </c>
      <c r="AM171">
        <v>0</v>
      </c>
      <c r="AN171">
        <v>0</v>
      </c>
    </row>
    <row r="172" spans="1:40" x14ac:dyDescent="0.45">
      <c r="A172" s="3" t="s">
        <v>144</v>
      </c>
      <c r="B172" s="5">
        <v>45028</v>
      </c>
      <c r="C172" s="9" t="str">
        <f t="shared" si="47"/>
        <v>Apr-2023</v>
      </c>
      <c r="D172" s="5" t="str">
        <f t="shared" si="48"/>
        <v>2023-Q2</v>
      </c>
      <c r="E172" s="5">
        <v>45033</v>
      </c>
      <c r="F172" s="9">
        <f t="shared" si="60"/>
        <v>5</v>
      </c>
      <c r="G172" s="9" t="str">
        <f t="shared" si="61"/>
        <v>ACHIEVED</v>
      </c>
      <c r="H172" s="3" t="s">
        <v>643</v>
      </c>
      <c r="I172" s="3" t="s">
        <v>651</v>
      </c>
      <c r="J172" s="3" t="s">
        <v>673</v>
      </c>
      <c r="K172" s="13" t="str">
        <f t="shared" si="62"/>
        <v>Europe &gt; France &gt; Lyon</v>
      </c>
      <c r="L172" s="3" t="s">
        <v>700</v>
      </c>
      <c r="M172" s="3" t="s">
        <v>705</v>
      </c>
      <c r="N172" s="13" t="str">
        <f t="shared" si="49"/>
        <v>Direct</v>
      </c>
      <c r="O172" s="3" t="s">
        <v>712</v>
      </c>
      <c r="P172" s="3" t="s">
        <v>726</v>
      </c>
      <c r="Q172" s="13" t="str">
        <f t="shared" si="50"/>
        <v>High</v>
      </c>
      <c r="R172" s="3" t="s">
        <v>863</v>
      </c>
      <c r="S172" s="7">
        <v>1087.81</v>
      </c>
      <c r="T172" s="7">
        <f t="shared" si="63"/>
        <v>1250.9814999999999</v>
      </c>
      <c r="U172" s="7">
        <v>2323.87</v>
      </c>
      <c r="V172" s="7">
        <f t="shared" si="51"/>
        <v>2323.87</v>
      </c>
      <c r="W172" s="7">
        <f t="shared" si="64"/>
        <v>2672.4504999999995</v>
      </c>
      <c r="X172" s="16">
        <v>9.4E-2</v>
      </c>
      <c r="Y172" t="str">
        <f t="shared" si="52"/>
        <v>OK</v>
      </c>
      <c r="Z172" s="16">
        <f t="shared" si="53"/>
        <v>9.4E-2</v>
      </c>
      <c r="AA172" s="16">
        <f t="shared" si="65"/>
        <v>9.4E-2</v>
      </c>
      <c r="AB172" s="9">
        <v>13</v>
      </c>
      <c r="AC172" s="9">
        <f t="shared" si="66"/>
        <v>15.6</v>
      </c>
      <c r="AD172" s="9">
        <f t="shared" si="54"/>
        <v>27370.540859999997</v>
      </c>
      <c r="AE172" s="9">
        <f t="shared" si="67"/>
        <v>45609.109213199998</v>
      </c>
      <c r="AF172" s="9">
        <f t="shared" si="55"/>
        <v>14141.529999999999</v>
      </c>
      <c r="AG172" s="9">
        <f t="shared" si="56"/>
        <v>13229.010859999999</v>
      </c>
      <c r="AH172" s="9">
        <f t="shared" si="68"/>
        <v>31467.579213199999</v>
      </c>
      <c r="AI172">
        <f t="shared" si="57"/>
        <v>0.48333026839572651</v>
      </c>
      <c r="AJ172" s="5">
        <f t="shared" si="58"/>
        <v>44928</v>
      </c>
      <c r="AK172" t="str">
        <f t="shared" si="59"/>
        <v>Jan-2023</v>
      </c>
      <c r="AL172">
        <v>0</v>
      </c>
      <c r="AM172">
        <v>0</v>
      </c>
      <c r="AN172">
        <v>0</v>
      </c>
    </row>
    <row r="173" spans="1:40" x14ac:dyDescent="0.45">
      <c r="A173" s="3" t="s">
        <v>147</v>
      </c>
      <c r="B173" s="5">
        <v>45616</v>
      </c>
      <c r="C173" s="9" t="str">
        <f t="shared" si="47"/>
        <v>Nov-2024</v>
      </c>
      <c r="D173" s="5" t="str">
        <f t="shared" si="48"/>
        <v>2024-Q4</v>
      </c>
      <c r="E173" s="5">
        <v>45641</v>
      </c>
      <c r="F173" s="9">
        <f t="shared" si="60"/>
        <v>25</v>
      </c>
      <c r="G173" s="9" t="str">
        <f t="shared" si="61"/>
        <v>NOT ACHIEVED</v>
      </c>
      <c r="H173" s="3" t="s">
        <v>643</v>
      </c>
      <c r="I173" s="3" t="s">
        <v>651</v>
      </c>
      <c r="J173" s="3" t="s">
        <v>684</v>
      </c>
      <c r="K173" s="13" t="str">
        <f t="shared" si="62"/>
        <v>Europe &gt; France &gt; Paris</v>
      </c>
      <c r="L173" s="3" t="s">
        <v>695</v>
      </c>
      <c r="M173" s="3" t="s">
        <v>702</v>
      </c>
      <c r="N173" s="13" t="str">
        <f t="shared" si="49"/>
        <v>Online</v>
      </c>
      <c r="O173" s="3" t="s">
        <v>709</v>
      </c>
      <c r="P173" s="3" t="s">
        <v>722</v>
      </c>
      <c r="Q173" s="13" t="str">
        <f t="shared" si="50"/>
        <v>High</v>
      </c>
      <c r="R173" s="3" t="s">
        <v>866</v>
      </c>
      <c r="S173" s="7">
        <v>1203.58</v>
      </c>
      <c r="T173" s="7">
        <f t="shared" si="63"/>
        <v>1384.1169999999997</v>
      </c>
      <c r="U173" s="7">
        <v>1856.16</v>
      </c>
      <c r="V173" s="7">
        <f t="shared" si="51"/>
        <v>1856.16</v>
      </c>
      <c r="W173" s="7">
        <f t="shared" si="64"/>
        <v>2134.5839999999998</v>
      </c>
      <c r="X173" s="16">
        <v>0.129</v>
      </c>
      <c r="Y173" t="str">
        <f t="shared" si="52"/>
        <v>OK</v>
      </c>
      <c r="Z173" s="16">
        <f t="shared" si="53"/>
        <v>0.129</v>
      </c>
      <c r="AA173" s="16">
        <f t="shared" si="65"/>
        <v>0.129</v>
      </c>
      <c r="AB173" s="9">
        <v>22</v>
      </c>
      <c r="AC173" s="9">
        <f t="shared" si="66"/>
        <v>26.4</v>
      </c>
      <c r="AD173" s="9">
        <f t="shared" si="54"/>
        <v>35567.737920000007</v>
      </c>
      <c r="AE173" s="9">
        <f t="shared" si="67"/>
        <v>63622.556870399989</v>
      </c>
      <c r="AF173" s="9">
        <f t="shared" si="55"/>
        <v>26478.76</v>
      </c>
      <c r="AG173" s="9">
        <f t="shared" si="56"/>
        <v>9088.9779200000085</v>
      </c>
      <c r="AH173" s="9">
        <f t="shared" si="68"/>
        <v>37143.796870399994</v>
      </c>
      <c r="AI173">
        <f t="shared" si="57"/>
        <v>0.25553994860295032</v>
      </c>
      <c r="AJ173" s="5">
        <f t="shared" si="58"/>
        <v>44928</v>
      </c>
      <c r="AK173" t="str">
        <f t="shared" si="59"/>
        <v>Jan-2023</v>
      </c>
      <c r="AL173">
        <v>0</v>
      </c>
      <c r="AM173">
        <v>0</v>
      </c>
      <c r="AN173">
        <v>0</v>
      </c>
    </row>
    <row r="174" spans="1:40" x14ac:dyDescent="0.45">
      <c r="A174" s="3" t="s">
        <v>157</v>
      </c>
      <c r="B174" s="5">
        <v>45183</v>
      </c>
      <c r="C174" s="9" t="str">
        <f t="shared" si="47"/>
        <v>Sep-2023</v>
      </c>
      <c r="D174" s="5" t="str">
        <f t="shared" si="48"/>
        <v>2023-Q3</v>
      </c>
      <c r="E174" s="5">
        <v>45185</v>
      </c>
      <c r="F174" s="9">
        <f t="shared" si="60"/>
        <v>2</v>
      </c>
      <c r="G174" s="9" t="str">
        <f t="shared" si="61"/>
        <v>ACHIEVED</v>
      </c>
      <c r="H174" s="3" t="s">
        <v>643</v>
      </c>
      <c r="I174" s="3" t="s">
        <v>651</v>
      </c>
      <c r="J174" s="3" t="s">
        <v>673</v>
      </c>
      <c r="K174" s="13" t="str">
        <f t="shared" si="62"/>
        <v>Europe &gt; France &gt; Lyon</v>
      </c>
      <c r="L174" s="3" t="s">
        <v>697</v>
      </c>
      <c r="M174" s="3" t="s">
        <v>705</v>
      </c>
      <c r="N174" s="13" t="str">
        <f t="shared" si="49"/>
        <v>Direct</v>
      </c>
      <c r="O174" s="3" t="s">
        <v>711</v>
      </c>
      <c r="P174" s="3" t="s">
        <v>722</v>
      </c>
      <c r="Q174" s="13" t="str">
        <f t="shared" si="50"/>
        <v>Low</v>
      </c>
      <c r="R174" s="3" t="s">
        <v>876</v>
      </c>
      <c r="S174" s="7">
        <v>376.83</v>
      </c>
      <c r="T174" s="7">
        <f t="shared" si="63"/>
        <v>433.35449999999997</v>
      </c>
      <c r="U174" s="7">
        <v>732.88</v>
      </c>
      <c r="V174" s="7">
        <f t="shared" si="51"/>
        <v>732.88</v>
      </c>
      <c r="W174" s="7">
        <f t="shared" si="64"/>
        <v>842.8119999999999</v>
      </c>
      <c r="X174" s="16">
        <v>0.188</v>
      </c>
      <c r="Y174" t="str">
        <f t="shared" si="52"/>
        <v>OK</v>
      </c>
      <c r="Z174" s="16">
        <f t="shared" si="53"/>
        <v>0.188</v>
      </c>
      <c r="AA174" s="16">
        <f t="shared" si="65"/>
        <v>0.188</v>
      </c>
      <c r="AB174" s="9">
        <v>25</v>
      </c>
      <c r="AC174" s="9">
        <f t="shared" si="66"/>
        <v>30</v>
      </c>
      <c r="AD174" s="9">
        <f t="shared" si="54"/>
        <v>14877.464000000002</v>
      </c>
      <c r="AE174" s="9">
        <f t="shared" si="67"/>
        <v>30037.819679999993</v>
      </c>
      <c r="AF174" s="9">
        <f t="shared" si="55"/>
        <v>9420.75</v>
      </c>
      <c r="AG174" s="9">
        <f t="shared" si="56"/>
        <v>5456.7140000000018</v>
      </c>
      <c r="AH174" s="9">
        <f t="shared" si="68"/>
        <v>20617.069679999993</v>
      </c>
      <c r="AI174">
        <f t="shared" si="57"/>
        <v>0.36677716040852132</v>
      </c>
      <c r="AJ174" s="5">
        <f t="shared" si="58"/>
        <v>44928</v>
      </c>
      <c r="AK174" t="str">
        <f t="shared" si="59"/>
        <v>Jan-2023</v>
      </c>
      <c r="AL174">
        <v>0</v>
      </c>
      <c r="AM174">
        <v>0</v>
      </c>
      <c r="AN174">
        <v>0</v>
      </c>
    </row>
    <row r="175" spans="1:40" x14ac:dyDescent="0.45">
      <c r="A175" s="3" t="s">
        <v>165</v>
      </c>
      <c r="B175" s="5">
        <v>45323</v>
      </c>
      <c r="C175" s="9" t="str">
        <f t="shared" si="47"/>
        <v>Feb-2024</v>
      </c>
      <c r="D175" s="5" t="str">
        <f t="shared" si="48"/>
        <v>2024-Q1</v>
      </c>
      <c r="E175" s="5">
        <v>45343</v>
      </c>
      <c r="F175" s="9">
        <f t="shared" si="60"/>
        <v>20</v>
      </c>
      <c r="G175" s="9" t="str">
        <f t="shared" si="61"/>
        <v>NOT ACHIEVED</v>
      </c>
      <c r="H175" s="3" t="s">
        <v>643</v>
      </c>
      <c r="I175" s="3" t="s">
        <v>651</v>
      </c>
      <c r="J175" s="3" t="s">
        <v>684</v>
      </c>
      <c r="K175" s="13" t="str">
        <f t="shared" si="62"/>
        <v>Europe &gt; France &gt; Paris</v>
      </c>
      <c r="L175" s="3" t="s">
        <v>699</v>
      </c>
      <c r="M175" s="3" t="s">
        <v>703</v>
      </c>
      <c r="N175" s="13" t="str">
        <f t="shared" si="49"/>
        <v>Marketplace</v>
      </c>
      <c r="O175" s="3" t="s">
        <v>714</v>
      </c>
      <c r="P175" s="3" t="s">
        <v>723</v>
      </c>
      <c r="Q175" s="13" t="str">
        <f t="shared" si="50"/>
        <v>Medium</v>
      </c>
      <c r="R175" s="3" t="s">
        <v>884</v>
      </c>
      <c r="S175" s="7">
        <v>656.2</v>
      </c>
      <c r="T175" s="7">
        <f t="shared" si="63"/>
        <v>754.63</v>
      </c>
      <c r="U175" s="7">
        <v>1467.17</v>
      </c>
      <c r="V175" s="7">
        <f t="shared" si="51"/>
        <v>1467.17</v>
      </c>
      <c r="W175" s="7">
        <f t="shared" si="64"/>
        <v>1687.2455</v>
      </c>
      <c r="X175" s="16">
        <v>1.7999999999999999E-2</v>
      </c>
      <c r="Y175" t="str">
        <f t="shared" si="52"/>
        <v>OK</v>
      </c>
      <c r="Z175" s="16">
        <f t="shared" si="53"/>
        <v>1.7999999999999999E-2</v>
      </c>
      <c r="AA175" s="16">
        <f t="shared" si="65"/>
        <v>1.7999999999999999E-2</v>
      </c>
      <c r="AB175" s="9">
        <v>5</v>
      </c>
      <c r="AC175" s="9">
        <f t="shared" si="66"/>
        <v>6</v>
      </c>
      <c r="AD175" s="9">
        <f t="shared" si="54"/>
        <v>7203.8047000000006</v>
      </c>
      <c r="AE175" s="9">
        <f t="shared" si="67"/>
        <v>10305.695514000001</v>
      </c>
      <c r="AF175" s="9">
        <f t="shared" si="55"/>
        <v>3281</v>
      </c>
      <c r="AG175" s="9">
        <f t="shared" si="56"/>
        <v>3922.8047000000006</v>
      </c>
      <c r="AH175" s="9">
        <f t="shared" si="68"/>
        <v>7024.6955140000009</v>
      </c>
      <c r="AI175">
        <f t="shared" si="57"/>
        <v>0.54454623124360946</v>
      </c>
      <c r="AJ175" s="5">
        <f t="shared" si="58"/>
        <v>44928</v>
      </c>
      <c r="AK175" t="str">
        <f t="shared" si="59"/>
        <v>Jan-2023</v>
      </c>
      <c r="AL175">
        <v>0</v>
      </c>
      <c r="AM175">
        <v>0</v>
      </c>
      <c r="AN175">
        <v>0</v>
      </c>
    </row>
    <row r="176" spans="1:40" x14ac:dyDescent="0.45">
      <c r="A176" s="3" t="s">
        <v>176</v>
      </c>
      <c r="B176" s="5">
        <v>45435</v>
      </c>
      <c r="C176" s="9" t="str">
        <f t="shared" si="47"/>
        <v>May-2024</v>
      </c>
      <c r="D176" s="5" t="str">
        <f t="shared" si="48"/>
        <v>2024-Q2</v>
      </c>
      <c r="E176" s="5">
        <v>45457</v>
      </c>
      <c r="F176" s="9">
        <f t="shared" si="60"/>
        <v>22</v>
      </c>
      <c r="G176" s="9" t="str">
        <f t="shared" si="61"/>
        <v>NOT ACHIEVED</v>
      </c>
      <c r="H176" s="3" t="s">
        <v>643</v>
      </c>
      <c r="I176" s="3" t="s">
        <v>651</v>
      </c>
      <c r="J176" s="3" t="s">
        <v>667</v>
      </c>
      <c r="K176" s="13" t="str">
        <f t="shared" si="62"/>
        <v>Europe &gt; France &gt; Marseille</v>
      </c>
      <c r="L176" s="3" t="s">
        <v>699</v>
      </c>
      <c r="M176" s="3" t="s">
        <v>702</v>
      </c>
      <c r="N176" s="13" t="str">
        <f t="shared" si="49"/>
        <v>Online</v>
      </c>
      <c r="O176" s="3" t="s">
        <v>719</v>
      </c>
      <c r="P176" s="3" t="s">
        <v>726</v>
      </c>
      <c r="Q176" s="13" t="str">
        <f t="shared" si="50"/>
        <v>High</v>
      </c>
      <c r="R176" s="3" t="s">
        <v>895</v>
      </c>
      <c r="S176" s="7">
        <v>1481.74</v>
      </c>
      <c r="T176" s="7">
        <f t="shared" si="63"/>
        <v>1704.001</v>
      </c>
      <c r="U176" s="7">
        <v>1848.97</v>
      </c>
      <c r="V176" s="7">
        <f t="shared" si="51"/>
        <v>1848.97</v>
      </c>
      <c r="W176" s="7">
        <f t="shared" si="64"/>
        <v>2126.3154999999997</v>
      </c>
      <c r="X176" s="16">
        <v>0.254</v>
      </c>
      <c r="Y176" t="str">
        <f t="shared" si="52"/>
        <v>OK</v>
      </c>
      <c r="Z176" s="16">
        <f t="shared" si="53"/>
        <v>0.254</v>
      </c>
      <c r="AA176" s="16">
        <f t="shared" si="65"/>
        <v>0.25</v>
      </c>
      <c r="AB176" s="9">
        <v>9</v>
      </c>
      <c r="AC176" s="9">
        <f t="shared" si="66"/>
        <v>10.799999999999999</v>
      </c>
      <c r="AD176" s="9">
        <f t="shared" si="54"/>
        <v>12413.98458</v>
      </c>
      <c r="AE176" s="9">
        <f t="shared" si="67"/>
        <v>28705.259249999996</v>
      </c>
      <c r="AF176" s="9">
        <f t="shared" si="55"/>
        <v>13335.66</v>
      </c>
      <c r="AG176" s="9">
        <f t="shared" si="56"/>
        <v>-921.67541999999958</v>
      </c>
      <c r="AH176" s="9">
        <f t="shared" si="68"/>
        <v>15369.599249999996</v>
      </c>
      <c r="AI176">
        <f t="shared" si="57"/>
        <v>-7.4244930309072407E-2</v>
      </c>
      <c r="AJ176" s="5">
        <f t="shared" si="58"/>
        <v>44928</v>
      </c>
      <c r="AK176" t="str">
        <f t="shared" si="59"/>
        <v>Jan-2023</v>
      </c>
      <c r="AL176">
        <v>0</v>
      </c>
      <c r="AM176">
        <v>0</v>
      </c>
      <c r="AN176">
        <v>0</v>
      </c>
    </row>
    <row r="177" spans="1:40" x14ac:dyDescent="0.45">
      <c r="A177" s="3" t="s">
        <v>194</v>
      </c>
      <c r="B177" s="5">
        <v>45099</v>
      </c>
      <c r="C177" s="9" t="str">
        <f t="shared" si="47"/>
        <v>Jun-2023</v>
      </c>
      <c r="D177" s="5" t="str">
        <f t="shared" si="48"/>
        <v>2023-Q2</v>
      </c>
      <c r="E177" s="5">
        <v>45128</v>
      </c>
      <c r="F177" s="9">
        <f t="shared" si="60"/>
        <v>29</v>
      </c>
      <c r="G177" s="9" t="str">
        <f t="shared" si="61"/>
        <v>NOT ACHIEVED</v>
      </c>
      <c r="H177" s="3" t="s">
        <v>643</v>
      </c>
      <c r="I177" s="3" t="s">
        <v>651</v>
      </c>
      <c r="J177" s="3" t="s">
        <v>673</v>
      </c>
      <c r="K177" s="13" t="str">
        <f t="shared" si="62"/>
        <v>Europe &gt; France &gt; Lyon</v>
      </c>
      <c r="L177" s="3" t="s">
        <v>695</v>
      </c>
      <c r="M177" s="3" t="s">
        <v>701</v>
      </c>
      <c r="N177" s="13" t="str">
        <f t="shared" si="49"/>
        <v>Retail</v>
      </c>
      <c r="O177" s="3" t="s">
        <v>707</v>
      </c>
      <c r="P177" s="3" t="s">
        <v>727</v>
      </c>
      <c r="Q177" s="13" t="str">
        <f t="shared" si="50"/>
        <v>Medium</v>
      </c>
      <c r="R177" s="3" t="s">
        <v>913</v>
      </c>
      <c r="S177" s="7">
        <v>734.34</v>
      </c>
      <c r="T177" s="7">
        <f t="shared" si="63"/>
        <v>844.49099999999999</v>
      </c>
      <c r="U177" s="7">
        <v>887.9</v>
      </c>
      <c r="V177" s="7">
        <f t="shared" si="51"/>
        <v>887.9</v>
      </c>
      <c r="W177" s="7">
        <f t="shared" si="64"/>
        <v>1021.0849999999999</v>
      </c>
      <c r="X177" s="16">
        <v>2.5000000000000001E-2</v>
      </c>
      <c r="Y177" t="str">
        <f t="shared" si="52"/>
        <v>OK</v>
      </c>
      <c r="Z177" s="16">
        <f t="shared" si="53"/>
        <v>2.5000000000000001E-2</v>
      </c>
      <c r="AA177" s="16">
        <f t="shared" si="65"/>
        <v>2.5000000000000001E-2</v>
      </c>
      <c r="AB177" s="9">
        <v>12</v>
      </c>
      <c r="AC177" s="9">
        <f t="shared" si="66"/>
        <v>14.399999999999999</v>
      </c>
      <c r="AD177" s="9">
        <f t="shared" si="54"/>
        <v>10388.429999999998</v>
      </c>
      <c r="AE177" s="9">
        <f t="shared" si="67"/>
        <v>15071.214599999998</v>
      </c>
      <c r="AF177" s="9">
        <f t="shared" si="55"/>
        <v>8812.08</v>
      </c>
      <c r="AG177" s="9">
        <f t="shared" si="56"/>
        <v>1576.3499999999985</v>
      </c>
      <c r="AH177" s="9">
        <f t="shared" si="68"/>
        <v>6259.1345999999976</v>
      </c>
      <c r="AI177">
        <f t="shared" si="57"/>
        <v>0.15174092716608753</v>
      </c>
      <c r="AJ177" s="5">
        <f t="shared" si="58"/>
        <v>44928</v>
      </c>
      <c r="AK177" t="str">
        <f t="shared" si="59"/>
        <v>Jan-2023</v>
      </c>
      <c r="AL177">
        <v>0</v>
      </c>
      <c r="AM177">
        <v>0</v>
      </c>
      <c r="AN177">
        <v>0</v>
      </c>
    </row>
    <row r="178" spans="1:40" x14ac:dyDescent="0.45">
      <c r="A178" s="3" t="s">
        <v>195</v>
      </c>
      <c r="B178" s="5">
        <v>45670</v>
      </c>
      <c r="C178" s="9" t="str">
        <f t="shared" si="47"/>
        <v>Jan-2025</v>
      </c>
      <c r="D178" s="5" t="str">
        <f t="shared" si="48"/>
        <v>2025-Q1</v>
      </c>
      <c r="E178" s="5">
        <v>45696</v>
      </c>
      <c r="F178" s="9">
        <f t="shared" si="60"/>
        <v>26</v>
      </c>
      <c r="G178" s="9" t="str">
        <f t="shared" si="61"/>
        <v>NOT ACHIEVED</v>
      </c>
      <c r="H178" s="3" t="s">
        <v>643</v>
      </c>
      <c r="I178" s="3" t="s">
        <v>651</v>
      </c>
      <c r="J178" s="3" t="s">
        <v>684</v>
      </c>
      <c r="K178" s="13" t="str">
        <f t="shared" si="62"/>
        <v>Europe &gt; France &gt; Paris</v>
      </c>
      <c r="L178" s="3" t="s">
        <v>697</v>
      </c>
      <c r="M178" s="3">
        <v>0</v>
      </c>
      <c r="N178" s="13">
        <f t="shared" si="49"/>
        <v>0</v>
      </c>
      <c r="O178" s="3" t="s">
        <v>712</v>
      </c>
      <c r="P178" s="3" t="s">
        <v>726</v>
      </c>
      <c r="Q178" s="13" t="str">
        <f t="shared" si="50"/>
        <v>Medium</v>
      </c>
      <c r="R178" s="3" t="s">
        <v>914</v>
      </c>
      <c r="S178" s="7">
        <v>594.74</v>
      </c>
      <c r="T178" s="7">
        <f t="shared" si="63"/>
        <v>683.95099999999991</v>
      </c>
      <c r="U178" s="7">
        <v>1020.69</v>
      </c>
      <c r="V178" s="7">
        <f t="shared" si="51"/>
        <v>1020.69</v>
      </c>
      <c r="W178" s="7">
        <f t="shared" si="64"/>
        <v>1173.7935</v>
      </c>
      <c r="X178" s="16">
        <v>0.21099999999999999</v>
      </c>
      <c r="Y178" t="str">
        <f t="shared" si="52"/>
        <v>OK</v>
      </c>
      <c r="Z178" s="16">
        <f t="shared" si="53"/>
        <v>0.21099999999999999</v>
      </c>
      <c r="AA178" s="16">
        <f t="shared" si="65"/>
        <v>0.21099999999999999</v>
      </c>
      <c r="AB178" s="9">
        <v>6</v>
      </c>
      <c r="AC178" s="9">
        <f t="shared" si="66"/>
        <v>7.1999999999999993</v>
      </c>
      <c r="AD178" s="9">
        <f t="shared" si="54"/>
        <v>4831.9464600000001</v>
      </c>
      <c r="AE178" s="9">
        <f t="shared" si="67"/>
        <v>10234.540285199999</v>
      </c>
      <c r="AF178" s="9">
        <f t="shared" si="55"/>
        <v>3568.44</v>
      </c>
      <c r="AG178" s="9">
        <f t="shared" si="56"/>
        <v>1263.5064600000001</v>
      </c>
      <c r="AH178" s="9">
        <f t="shared" si="68"/>
        <v>6666.1002851999983</v>
      </c>
      <c r="AI178">
        <f t="shared" si="57"/>
        <v>0.26149016146176424</v>
      </c>
      <c r="AJ178" s="5">
        <f t="shared" si="58"/>
        <v>44928</v>
      </c>
      <c r="AK178" t="str">
        <f t="shared" si="59"/>
        <v>Jan-2023</v>
      </c>
      <c r="AL178">
        <v>0</v>
      </c>
      <c r="AM178">
        <v>0</v>
      </c>
      <c r="AN178">
        <v>0</v>
      </c>
    </row>
    <row r="179" spans="1:40" x14ac:dyDescent="0.45">
      <c r="A179" s="3" t="s">
        <v>277</v>
      </c>
      <c r="B179" s="5">
        <v>45301</v>
      </c>
      <c r="C179" s="9" t="str">
        <f t="shared" si="47"/>
        <v>Jan-2024</v>
      </c>
      <c r="D179" s="5" t="str">
        <f t="shared" si="48"/>
        <v>2024-Q1</v>
      </c>
      <c r="E179" s="5">
        <v>45314</v>
      </c>
      <c r="F179" s="9">
        <f t="shared" si="60"/>
        <v>13</v>
      </c>
      <c r="G179" s="9" t="str">
        <f t="shared" si="61"/>
        <v>NOT ACHIEVED</v>
      </c>
      <c r="H179" s="3" t="s">
        <v>643</v>
      </c>
      <c r="I179" s="3" t="s">
        <v>651</v>
      </c>
      <c r="J179" s="3" t="s">
        <v>667</v>
      </c>
      <c r="K179" s="13" t="str">
        <f t="shared" si="62"/>
        <v>Europe &gt; France &gt; Marseille</v>
      </c>
      <c r="L179" s="3" t="s">
        <v>695</v>
      </c>
      <c r="M179" s="3" t="s">
        <v>705</v>
      </c>
      <c r="N179" s="13" t="str">
        <f t="shared" si="49"/>
        <v>Direct</v>
      </c>
      <c r="O179" s="3" t="s">
        <v>714</v>
      </c>
      <c r="P179" s="3" t="s">
        <v>722</v>
      </c>
      <c r="Q179" s="13" t="str">
        <f t="shared" si="50"/>
        <v>Medium</v>
      </c>
      <c r="R179" s="3" t="s">
        <v>996</v>
      </c>
      <c r="S179" s="7">
        <v>720</v>
      </c>
      <c r="T179" s="7">
        <f t="shared" si="63"/>
        <v>827.99999999999989</v>
      </c>
      <c r="U179" s="7">
        <v>907.59</v>
      </c>
      <c r="V179" s="7">
        <f t="shared" si="51"/>
        <v>907.59</v>
      </c>
      <c r="W179" s="7">
        <f t="shared" si="64"/>
        <v>1043.7284999999999</v>
      </c>
      <c r="X179" s="16">
        <v>0.154</v>
      </c>
      <c r="Y179" t="str">
        <f t="shared" si="52"/>
        <v>OK</v>
      </c>
      <c r="Z179" s="16">
        <f t="shared" si="53"/>
        <v>0.154</v>
      </c>
      <c r="AA179" s="16">
        <f t="shared" si="65"/>
        <v>0.154</v>
      </c>
      <c r="AB179" s="9">
        <v>10</v>
      </c>
      <c r="AC179" s="9">
        <f t="shared" si="66"/>
        <v>12</v>
      </c>
      <c r="AD179" s="9">
        <f t="shared" si="54"/>
        <v>7678.2113999999992</v>
      </c>
      <c r="AE179" s="9">
        <f t="shared" si="67"/>
        <v>14453.552267999998</v>
      </c>
      <c r="AF179" s="9">
        <f t="shared" si="55"/>
        <v>7200</v>
      </c>
      <c r="AG179" s="9">
        <f t="shared" si="56"/>
        <v>478.21139999999923</v>
      </c>
      <c r="AH179" s="9">
        <f t="shared" si="68"/>
        <v>7253.5522679999976</v>
      </c>
      <c r="AI179">
        <f t="shared" si="57"/>
        <v>6.2281614179052078E-2</v>
      </c>
      <c r="AJ179" s="5">
        <f t="shared" si="58"/>
        <v>44928</v>
      </c>
      <c r="AK179" t="str">
        <f t="shared" si="59"/>
        <v>Jan-2023</v>
      </c>
      <c r="AL179">
        <v>0</v>
      </c>
      <c r="AM179">
        <v>0</v>
      </c>
      <c r="AN179">
        <v>0</v>
      </c>
    </row>
    <row r="180" spans="1:40" x14ac:dyDescent="0.45">
      <c r="A180" s="3" t="s">
        <v>282</v>
      </c>
      <c r="B180" s="5">
        <v>45367</v>
      </c>
      <c r="C180" s="9" t="str">
        <f t="shared" si="47"/>
        <v>Mar-2024</v>
      </c>
      <c r="D180" s="5" t="str">
        <f t="shared" si="48"/>
        <v>2024-Q1</v>
      </c>
      <c r="E180" s="5">
        <v>45395</v>
      </c>
      <c r="F180" s="9">
        <f t="shared" si="60"/>
        <v>28</v>
      </c>
      <c r="G180" s="9" t="str">
        <f t="shared" si="61"/>
        <v>NOT ACHIEVED</v>
      </c>
      <c r="H180" s="3" t="s">
        <v>643</v>
      </c>
      <c r="I180" s="3" t="s">
        <v>651</v>
      </c>
      <c r="J180" s="3" t="s">
        <v>684</v>
      </c>
      <c r="K180" s="13" t="str">
        <f t="shared" si="62"/>
        <v>Europe &gt; France &gt; Paris</v>
      </c>
      <c r="L180" s="3" t="s">
        <v>699</v>
      </c>
      <c r="M180" s="3" t="s">
        <v>702</v>
      </c>
      <c r="N180" s="13" t="str">
        <f t="shared" si="49"/>
        <v>Online</v>
      </c>
      <c r="O180" s="3" t="s">
        <v>717</v>
      </c>
      <c r="P180" s="3" t="s">
        <v>722</v>
      </c>
      <c r="Q180" s="13" t="str">
        <f t="shared" si="50"/>
        <v>Low</v>
      </c>
      <c r="R180" s="3" t="s">
        <v>1001</v>
      </c>
      <c r="S180" s="7">
        <v>287.61</v>
      </c>
      <c r="T180" s="7">
        <f t="shared" si="63"/>
        <v>330.75149999999996</v>
      </c>
      <c r="U180" s="7">
        <v>628.54</v>
      </c>
      <c r="V180" s="7">
        <f t="shared" si="51"/>
        <v>628.54</v>
      </c>
      <c r="W180" s="7">
        <f t="shared" si="64"/>
        <v>722.82099999999991</v>
      </c>
      <c r="X180" s="16">
        <v>0.13500000000000001</v>
      </c>
      <c r="Y180" t="str">
        <f t="shared" si="52"/>
        <v>OK</v>
      </c>
      <c r="Z180" s="16">
        <f t="shared" si="53"/>
        <v>0.13500000000000001</v>
      </c>
      <c r="AA180" s="16">
        <f t="shared" si="65"/>
        <v>0.13500000000000001</v>
      </c>
      <c r="AB180" s="9">
        <v>21</v>
      </c>
      <c r="AC180" s="9">
        <f t="shared" si="66"/>
        <v>25.2</v>
      </c>
      <c r="AD180" s="9">
        <f t="shared" si="54"/>
        <v>11417.429099999999</v>
      </c>
      <c r="AE180" s="9">
        <f t="shared" si="67"/>
        <v>20674.126241999998</v>
      </c>
      <c r="AF180" s="9">
        <f t="shared" si="55"/>
        <v>6039.81</v>
      </c>
      <c r="AG180" s="9">
        <f t="shared" si="56"/>
        <v>5377.619099999999</v>
      </c>
      <c r="AH180" s="9">
        <f t="shared" si="68"/>
        <v>14634.316241999997</v>
      </c>
      <c r="AI180">
        <f t="shared" si="57"/>
        <v>0.47100087531964613</v>
      </c>
      <c r="AJ180" s="5">
        <f t="shared" si="58"/>
        <v>44928</v>
      </c>
      <c r="AK180" t="str">
        <f t="shared" si="59"/>
        <v>Jan-2023</v>
      </c>
      <c r="AL180">
        <v>0</v>
      </c>
      <c r="AM180">
        <v>0</v>
      </c>
      <c r="AN180">
        <v>0</v>
      </c>
    </row>
    <row r="181" spans="1:40" x14ac:dyDescent="0.45">
      <c r="A181" s="3" t="s">
        <v>307</v>
      </c>
      <c r="B181" s="5">
        <v>45679</v>
      </c>
      <c r="C181" s="9" t="str">
        <f t="shared" si="47"/>
        <v>Jan-2025</v>
      </c>
      <c r="D181" s="5" t="str">
        <f t="shared" si="48"/>
        <v>2025-Q1</v>
      </c>
      <c r="E181" s="5">
        <v>45679</v>
      </c>
      <c r="F181" s="9">
        <f t="shared" si="60"/>
        <v>0</v>
      </c>
      <c r="G181" s="9" t="str">
        <f t="shared" si="61"/>
        <v>ACHIEVED</v>
      </c>
      <c r="H181" s="3" t="s">
        <v>643</v>
      </c>
      <c r="I181" s="3" t="s">
        <v>651</v>
      </c>
      <c r="J181" s="3" t="s">
        <v>673</v>
      </c>
      <c r="K181" s="13" t="str">
        <f t="shared" si="62"/>
        <v>Europe &gt; France &gt; Lyon</v>
      </c>
      <c r="L181" s="3" t="s">
        <v>699</v>
      </c>
      <c r="M181" s="3" t="s">
        <v>702</v>
      </c>
      <c r="N181" s="13" t="str">
        <f t="shared" si="49"/>
        <v>Online</v>
      </c>
      <c r="O181" s="3" t="s">
        <v>711</v>
      </c>
      <c r="P181" s="3" t="s">
        <v>727</v>
      </c>
      <c r="Q181" s="13" t="str">
        <f t="shared" si="50"/>
        <v>Low</v>
      </c>
      <c r="R181" s="3" t="s">
        <v>1026</v>
      </c>
      <c r="S181" s="7">
        <v>591.72</v>
      </c>
      <c r="T181" s="7">
        <f t="shared" si="63"/>
        <v>680.47799999999995</v>
      </c>
      <c r="U181" s="7">
        <v>577.24</v>
      </c>
      <c r="V181" s="7">
        <f t="shared" si="51"/>
        <v>577.24</v>
      </c>
      <c r="W181" s="7">
        <f t="shared" si="64"/>
        <v>663.82599999999991</v>
      </c>
      <c r="X181" s="16">
        <v>0</v>
      </c>
      <c r="Y181" t="str">
        <f t="shared" si="52"/>
        <v>OK</v>
      </c>
      <c r="Z181" s="16">
        <f t="shared" si="53"/>
        <v>0</v>
      </c>
      <c r="AA181" s="16">
        <f t="shared" si="65"/>
        <v>0</v>
      </c>
      <c r="AB181" s="9">
        <v>22</v>
      </c>
      <c r="AC181" s="9">
        <f t="shared" si="66"/>
        <v>26.4</v>
      </c>
      <c r="AD181" s="9">
        <f t="shared" si="54"/>
        <v>12699.28</v>
      </c>
      <c r="AE181" s="9">
        <f t="shared" si="67"/>
        <v>17525.006399999998</v>
      </c>
      <c r="AF181" s="9">
        <f t="shared" si="55"/>
        <v>13017.84</v>
      </c>
      <c r="AG181" s="9">
        <f t="shared" si="56"/>
        <v>-318.55999999999949</v>
      </c>
      <c r="AH181" s="9">
        <f t="shared" si="68"/>
        <v>4507.1663999999982</v>
      </c>
      <c r="AI181">
        <f t="shared" si="57"/>
        <v>-2.5084886702238195E-2</v>
      </c>
      <c r="AJ181" s="5">
        <f t="shared" si="58"/>
        <v>44928</v>
      </c>
      <c r="AK181" t="str">
        <f t="shared" si="59"/>
        <v>Jan-2023</v>
      </c>
      <c r="AL181">
        <v>0</v>
      </c>
      <c r="AM181">
        <v>0</v>
      </c>
      <c r="AN181">
        <v>0</v>
      </c>
    </row>
    <row r="182" spans="1:40" x14ac:dyDescent="0.45">
      <c r="A182" s="3" t="s">
        <v>313</v>
      </c>
      <c r="B182" s="5">
        <v>45756</v>
      </c>
      <c r="C182" s="9" t="str">
        <f t="shared" si="47"/>
        <v>Apr-2025</v>
      </c>
      <c r="D182" s="5" t="str">
        <f t="shared" si="48"/>
        <v>2025-Q2</v>
      </c>
      <c r="E182" s="5">
        <v>45759</v>
      </c>
      <c r="F182" s="9">
        <f t="shared" si="60"/>
        <v>3</v>
      </c>
      <c r="G182" s="9" t="str">
        <f t="shared" si="61"/>
        <v>ACHIEVED</v>
      </c>
      <c r="H182" s="3" t="s">
        <v>643</v>
      </c>
      <c r="I182" s="3" t="s">
        <v>651</v>
      </c>
      <c r="J182" s="3" t="s">
        <v>673</v>
      </c>
      <c r="K182" s="13" t="str">
        <f t="shared" si="62"/>
        <v>Europe &gt; France &gt; Lyon</v>
      </c>
      <c r="L182" s="3" t="s">
        <v>699</v>
      </c>
      <c r="M182" s="3" t="s">
        <v>704</v>
      </c>
      <c r="N182" s="13" t="str">
        <f t="shared" si="49"/>
        <v>Distributor</v>
      </c>
      <c r="O182" s="3" t="s">
        <v>716</v>
      </c>
      <c r="P182" s="3" t="s">
        <v>726</v>
      </c>
      <c r="Q182" s="13" t="str">
        <f t="shared" si="50"/>
        <v>Low</v>
      </c>
      <c r="R182" s="3" t="s">
        <v>1032</v>
      </c>
      <c r="S182" s="7">
        <v>86.68</v>
      </c>
      <c r="T182" s="7">
        <f t="shared" si="63"/>
        <v>99.682000000000002</v>
      </c>
      <c r="U182" s="7">
        <v>213.32</v>
      </c>
      <c r="V182" s="7">
        <f t="shared" si="51"/>
        <v>213.32</v>
      </c>
      <c r="W182" s="7">
        <f t="shared" si="64"/>
        <v>245.31799999999998</v>
      </c>
      <c r="X182" s="16">
        <v>3.7999999999999999E-2</v>
      </c>
      <c r="Y182" t="str">
        <f t="shared" si="52"/>
        <v>OK</v>
      </c>
      <c r="Z182" s="16">
        <f t="shared" si="53"/>
        <v>3.7999999999999999E-2</v>
      </c>
      <c r="AA182" s="16">
        <f t="shared" si="65"/>
        <v>3.7999999999999999E-2</v>
      </c>
      <c r="AB182" s="9">
        <v>8</v>
      </c>
      <c r="AC182" s="9">
        <f t="shared" si="66"/>
        <v>9.6</v>
      </c>
      <c r="AD182" s="9">
        <f t="shared" si="54"/>
        <v>1641.7107199999998</v>
      </c>
      <c r="AE182" s="9">
        <f t="shared" si="67"/>
        <v>2444.5448064000002</v>
      </c>
      <c r="AF182" s="9">
        <f t="shared" si="55"/>
        <v>693.44</v>
      </c>
      <c r="AG182" s="9">
        <f t="shared" si="56"/>
        <v>948.27071999999976</v>
      </c>
      <c r="AH182" s="9">
        <f t="shared" si="68"/>
        <v>1751.1048064000001</v>
      </c>
      <c r="AI182">
        <f t="shared" si="57"/>
        <v>0.57761133459614611</v>
      </c>
      <c r="AJ182" s="5">
        <f t="shared" si="58"/>
        <v>44928</v>
      </c>
      <c r="AK182" t="str">
        <f t="shared" si="59"/>
        <v>Jan-2023</v>
      </c>
      <c r="AL182">
        <v>0</v>
      </c>
      <c r="AM182">
        <v>0</v>
      </c>
      <c r="AN182">
        <v>0</v>
      </c>
    </row>
    <row r="183" spans="1:40" x14ac:dyDescent="0.45">
      <c r="A183" s="3" t="s">
        <v>317</v>
      </c>
      <c r="B183" s="5">
        <v>44936</v>
      </c>
      <c r="C183" s="9" t="str">
        <f t="shared" si="47"/>
        <v>Jan-2023</v>
      </c>
      <c r="D183" s="5" t="str">
        <f t="shared" si="48"/>
        <v>2023-Q1</v>
      </c>
      <c r="E183" s="5">
        <v>44955</v>
      </c>
      <c r="F183" s="9">
        <f t="shared" si="60"/>
        <v>19</v>
      </c>
      <c r="G183" s="9" t="str">
        <f t="shared" si="61"/>
        <v>NOT ACHIEVED</v>
      </c>
      <c r="H183" s="3" t="s">
        <v>643</v>
      </c>
      <c r="I183" s="3" t="s">
        <v>651</v>
      </c>
      <c r="J183" s="3" t="s">
        <v>673</v>
      </c>
      <c r="K183" s="13" t="str">
        <f t="shared" si="62"/>
        <v>Europe &gt; France &gt; Lyon</v>
      </c>
      <c r="L183" s="3" t="s">
        <v>697</v>
      </c>
      <c r="M183" s="3" t="s">
        <v>705</v>
      </c>
      <c r="N183" s="13" t="str">
        <f t="shared" si="49"/>
        <v>Direct</v>
      </c>
      <c r="O183" s="3" t="s">
        <v>720</v>
      </c>
      <c r="P183" s="3" t="s">
        <v>725</v>
      </c>
      <c r="Q183" s="13" t="str">
        <f t="shared" si="50"/>
        <v>Low</v>
      </c>
      <c r="R183" s="3" t="s">
        <v>1036</v>
      </c>
      <c r="S183" s="7">
        <v>401.66</v>
      </c>
      <c r="T183" s="7">
        <f t="shared" si="63"/>
        <v>461.90899999999999</v>
      </c>
      <c r="U183" s="7">
        <v>772.09</v>
      </c>
      <c r="V183" s="7">
        <f t="shared" si="51"/>
        <v>772.09</v>
      </c>
      <c r="W183" s="7">
        <f t="shared" si="64"/>
        <v>887.90350000000001</v>
      </c>
      <c r="X183" s="16">
        <v>8.8999999999999996E-2</v>
      </c>
      <c r="Y183" t="str">
        <f t="shared" si="52"/>
        <v>OK</v>
      </c>
      <c r="Z183" s="16">
        <f t="shared" si="53"/>
        <v>8.8999999999999996E-2</v>
      </c>
      <c r="AA183" s="16">
        <f t="shared" si="65"/>
        <v>8.8999999999999996E-2</v>
      </c>
      <c r="AB183" s="9">
        <v>14</v>
      </c>
      <c r="AC183" s="9">
        <f t="shared" si="66"/>
        <v>16.8</v>
      </c>
      <c r="AD183" s="9">
        <f t="shared" si="54"/>
        <v>9847.2358600000007</v>
      </c>
      <c r="AE183" s="9">
        <f t="shared" si="67"/>
        <v>16244.372113199999</v>
      </c>
      <c r="AF183" s="9">
        <f t="shared" si="55"/>
        <v>5623.2400000000007</v>
      </c>
      <c r="AG183" s="9">
        <f t="shared" si="56"/>
        <v>4223.99586</v>
      </c>
      <c r="AH183" s="9">
        <f t="shared" si="68"/>
        <v>10621.132113199998</v>
      </c>
      <c r="AI183">
        <f t="shared" si="57"/>
        <v>0.42895244107619046</v>
      </c>
      <c r="AJ183" s="5">
        <f t="shared" si="58"/>
        <v>44928</v>
      </c>
      <c r="AK183" t="str">
        <f t="shared" si="59"/>
        <v>Jan-2023</v>
      </c>
      <c r="AL183">
        <v>0</v>
      </c>
      <c r="AM183">
        <v>0</v>
      </c>
      <c r="AN183">
        <v>0</v>
      </c>
    </row>
    <row r="184" spans="1:40" x14ac:dyDescent="0.45">
      <c r="A184" s="3" t="s">
        <v>323</v>
      </c>
      <c r="B184" s="5">
        <v>45809</v>
      </c>
      <c r="C184" s="9" t="str">
        <f t="shared" si="47"/>
        <v>Jun-2025</v>
      </c>
      <c r="D184" s="5" t="str">
        <f t="shared" si="48"/>
        <v>2025-Q2</v>
      </c>
      <c r="E184" s="5">
        <v>45814</v>
      </c>
      <c r="F184" s="9">
        <f t="shared" si="60"/>
        <v>5</v>
      </c>
      <c r="G184" s="9" t="str">
        <f t="shared" si="61"/>
        <v>ACHIEVED</v>
      </c>
      <c r="H184" s="3" t="s">
        <v>643</v>
      </c>
      <c r="I184" s="3" t="s">
        <v>651</v>
      </c>
      <c r="J184" s="3" t="s">
        <v>684</v>
      </c>
      <c r="K184" s="13" t="str">
        <f t="shared" si="62"/>
        <v>Europe &gt; France &gt; Paris</v>
      </c>
      <c r="L184" s="3" t="s">
        <v>698</v>
      </c>
      <c r="M184" s="3" t="s">
        <v>704</v>
      </c>
      <c r="N184" s="13" t="str">
        <f t="shared" si="49"/>
        <v>Distributor</v>
      </c>
      <c r="O184" s="3" t="s">
        <v>709</v>
      </c>
      <c r="P184" s="3" t="s">
        <v>721</v>
      </c>
      <c r="Q184" s="13" t="str">
        <f t="shared" si="50"/>
        <v>Low</v>
      </c>
      <c r="R184" s="3" t="s">
        <v>1042</v>
      </c>
      <c r="S184" s="7">
        <v>379.45</v>
      </c>
      <c r="T184" s="7">
        <f t="shared" si="63"/>
        <v>436.36749999999995</v>
      </c>
      <c r="U184" s="7">
        <v>742.23</v>
      </c>
      <c r="V184" s="7">
        <f t="shared" si="51"/>
        <v>742.23</v>
      </c>
      <c r="W184" s="7">
        <f t="shared" si="64"/>
        <v>853.56449999999995</v>
      </c>
      <c r="X184" s="16">
        <v>0.09</v>
      </c>
      <c r="Y184" t="str">
        <f t="shared" si="52"/>
        <v>OK</v>
      </c>
      <c r="Z184" s="16">
        <f t="shared" si="53"/>
        <v>0.09</v>
      </c>
      <c r="AA184" s="16">
        <f t="shared" si="65"/>
        <v>0.09</v>
      </c>
      <c r="AB184" s="9">
        <v>13</v>
      </c>
      <c r="AC184" s="9">
        <f t="shared" si="66"/>
        <v>15.6</v>
      </c>
      <c r="AD184" s="9">
        <f t="shared" si="54"/>
        <v>8780.5809000000008</v>
      </c>
      <c r="AE184" s="9">
        <f t="shared" si="67"/>
        <v>14514.010757999999</v>
      </c>
      <c r="AF184" s="9">
        <f t="shared" si="55"/>
        <v>4932.8499999999995</v>
      </c>
      <c r="AG184" s="9">
        <f t="shared" si="56"/>
        <v>3847.7309000000014</v>
      </c>
      <c r="AH184" s="9">
        <f t="shared" si="68"/>
        <v>9581.1607579999982</v>
      </c>
      <c r="AI184">
        <f t="shared" si="57"/>
        <v>0.43820915083192286</v>
      </c>
      <c r="AJ184" s="5">
        <f t="shared" si="58"/>
        <v>44928</v>
      </c>
      <c r="AK184" t="str">
        <f t="shared" si="59"/>
        <v>Jan-2023</v>
      </c>
      <c r="AL184">
        <v>0</v>
      </c>
      <c r="AM184">
        <v>0</v>
      </c>
      <c r="AN184">
        <v>0</v>
      </c>
    </row>
    <row r="185" spans="1:40" x14ac:dyDescent="0.45">
      <c r="A185" s="3" t="s">
        <v>330</v>
      </c>
      <c r="B185" s="5">
        <v>44985</v>
      </c>
      <c r="C185" s="9" t="str">
        <f t="shared" si="47"/>
        <v>Feb-2023</v>
      </c>
      <c r="D185" s="5" t="str">
        <f t="shared" si="48"/>
        <v>2023-Q1</v>
      </c>
      <c r="E185" s="5">
        <v>44990</v>
      </c>
      <c r="F185" s="9">
        <f t="shared" si="60"/>
        <v>5</v>
      </c>
      <c r="G185" s="9" t="str">
        <f t="shared" si="61"/>
        <v>ACHIEVED</v>
      </c>
      <c r="H185" s="3" t="s">
        <v>643</v>
      </c>
      <c r="I185" s="3" t="s">
        <v>651</v>
      </c>
      <c r="J185" s="3" t="s">
        <v>667</v>
      </c>
      <c r="K185" s="13" t="str">
        <f t="shared" si="62"/>
        <v>Europe &gt; France &gt; Marseille</v>
      </c>
      <c r="L185" s="3" t="s">
        <v>695</v>
      </c>
      <c r="M185" s="3" t="s">
        <v>701</v>
      </c>
      <c r="N185" s="13" t="str">
        <f t="shared" si="49"/>
        <v>Retail</v>
      </c>
      <c r="O185" s="3" t="s">
        <v>717</v>
      </c>
      <c r="P185" s="3" t="s">
        <v>723</v>
      </c>
      <c r="Q185" s="13" t="str">
        <f t="shared" si="50"/>
        <v>High</v>
      </c>
      <c r="R185" s="3" t="s">
        <v>1049</v>
      </c>
      <c r="S185" s="7">
        <v>1299.81</v>
      </c>
      <c r="T185" s="7">
        <f t="shared" si="63"/>
        <v>1494.7814999999998</v>
      </c>
      <c r="U185" s="7">
        <v>3149.13</v>
      </c>
      <c r="V185" s="7">
        <f t="shared" si="51"/>
        <v>3149.13</v>
      </c>
      <c r="W185" s="7">
        <f t="shared" si="64"/>
        <v>3621.4994999999999</v>
      </c>
      <c r="X185" s="16">
        <v>0.10299999999999999</v>
      </c>
      <c r="Y185" t="str">
        <f t="shared" si="52"/>
        <v>OK</v>
      </c>
      <c r="Z185" s="16">
        <f t="shared" si="53"/>
        <v>0.10299999999999999</v>
      </c>
      <c r="AA185" s="16">
        <f t="shared" si="65"/>
        <v>0.10299999999999999</v>
      </c>
      <c r="AB185" s="9">
        <v>14</v>
      </c>
      <c r="AC185" s="9">
        <f t="shared" si="66"/>
        <v>16.8</v>
      </c>
      <c r="AD185" s="9">
        <f t="shared" si="54"/>
        <v>39546.774539999999</v>
      </c>
      <c r="AE185" s="9">
        <f t="shared" si="67"/>
        <v>67107.834334799991</v>
      </c>
      <c r="AF185" s="9">
        <f t="shared" si="55"/>
        <v>18197.34</v>
      </c>
      <c r="AG185" s="9">
        <f t="shared" si="56"/>
        <v>21349.434539999998</v>
      </c>
      <c r="AH185" s="9">
        <f t="shared" si="68"/>
        <v>48910.494334799994</v>
      </c>
      <c r="AI185">
        <f t="shared" si="57"/>
        <v>0.53985273864511729</v>
      </c>
      <c r="AJ185" s="5">
        <f t="shared" si="58"/>
        <v>44928</v>
      </c>
      <c r="AK185" t="str">
        <f t="shared" si="59"/>
        <v>Jan-2023</v>
      </c>
      <c r="AL185">
        <v>0</v>
      </c>
      <c r="AM185">
        <v>0</v>
      </c>
      <c r="AN185">
        <v>0</v>
      </c>
    </row>
    <row r="186" spans="1:40" x14ac:dyDescent="0.45">
      <c r="A186" s="3" t="s">
        <v>343</v>
      </c>
      <c r="B186" s="5">
        <v>45391</v>
      </c>
      <c r="C186" s="9" t="str">
        <f t="shared" si="47"/>
        <v>Apr-2024</v>
      </c>
      <c r="D186" s="5" t="str">
        <f t="shared" si="48"/>
        <v>2024-Q2</v>
      </c>
      <c r="E186" s="5">
        <v>45400</v>
      </c>
      <c r="F186" s="9">
        <f t="shared" si="60"/>
        <v>9</v>
      </c>
      <c r="G186" s="9" t="str">
        <f t="shared" si="61"/>
        <v>NOT ACHIEVED</v>
      </c>
      <c r="H186" s="3" t="s">
        <v>643</v>
      </c>
      <c r="I186" s="3" t="s">
        <v>651</v>
      </c>
      <c r="J186" s="3" t="s">
        <v>673</v>
      </c>
      <c r="K186" s="13" t="str">
        <f t="shared" si="62"/>
        <v>Europe &gt; France &gt; Lyon</v>
      </c>
      <c r="L186" s="3" t="s">
        <v>698</v>
      </c>
      <c r="M186" s="3" t="s">
        <v>702</v>
      </c>
      <c r="N186" s="13" t="str">
        <f t="shared" si="49"/>
        <v>Online</v>
      </c>
      <c r="O186" s="3" t="s">
        <v>712</v>
      </c>
      <c r="P186" s="3" t="s">
        <v>722</v>
      </c>
      <c r="Q186" s="13" t="str">
        <f t="shared" si="50"/>
        <v>High</v>
      </c>
      <c r="R186" s="3" t="s">
        <v>1062</v>
      </c>
      <c r="S186" s="7">
        <v>1288.8499999999999</v>
      </c>
      <c r="T186" s="7">
        <f t="shared" si="63"/>
        <v>1482.1774999999998</v>
      </c>
      <c r="U186" s="7">
        <v>2751.84</v>
      </c>
      <c r="V186" s="7">
        <f t="shared" si="51"/>
        <v>2751.84</v>
      </c>
      <c r="W186" s="7">
        <f t="shared" si="64"/>
        <v>3164.616</v>
      </c>
      <c r="X186" s="16">
        <v>0.158</v>
      </c>
      <c r="Y186" t="str">
        <f t="shared" si="52"/>
        <v>OK</v>
      </c>
      <c r="Z186" s="16">
        <f t="shared" si="53"/>
        <v>0.158</v>
      </c>
      <c r="AA186" s="16">
        <f t="shared" si="65"/>
        <v>0.158</v>
      </c>
      <c r="AB186" s="9">
        <v>7</v>
      </c>
      <c r="AC186" s="9">
        <f t="shared" si="66"/>
        <v>8.4</v>
      </c>
      <c r="AD186" s="9">
        <f t="shared" si="54"/>
        <v>16219.34496</v>
      </c>
      <c r="AE186" s="9">
        <f t="shared" si="67"/>
        <v>30782.852755200001</v>
      </c>
      <c r="AF186" s="9">
        <f t="shared" si="55"/>
        <v>9021.9499999999989</v>
      </c>
      <c r="AG186" s="9">
        <f t="shared" si="56"/>
        <v>7197.3949600000014</v>
      </c>
      <c r="AH186" s="9">
        <f t="shared" si="68"/>
        <v>21760.902755200004</v>
      </c>
      <c r="AI186">
        <f t="shared" si="57"/>
        <v>0.44375373837538756</v>
      </c>
      <c r="AJ186" s="5">
        <f t="shared" si="58"/>
        <v>44928</v>
      </c>
      <c r="AK186" t="str">
        <f t="shared" si="59"/>
        <v>Jan-2023</v>
      </c>
      <c r="AL186">
        <v>0</v>
      </c>
      <c r="AM186">
        <v>0</v>
      </c>
      <c r="AN186">
        <v>0</v>
      </c>
    </row>
    <row r="187" spans="1:40" x14ac:dyDescent="0.45">
      <c r="A187" s="3" t="s">
        <v>378</v>
      </c>
      <c r="B187" s="5">
        <v>45286</v>
      </c>
      <c r="C187" s="9" t="str">
        <f t="shared" si="47"/>
        <v>Dec-2023</v>
      </c>
      <c r="D187" s="5" t="str">
        <f t="shared" si="48"/>
        <v>2023-Q4</v>
      </c>
      <c r="E187" s="5">
        <v>45294</v>
      </c>
      <c r="F187" s="9">
        <f t="shared" si="60"/>
        <v>8</v>
      </c>
      <c r="G187" s="9" t="str">
        <f t="shared" si="61"/>
        <v>NOT ACHIEVED</v>
      </c>
      <c r="H187" s="3" t="s">
        <v>643</v>
      </c>
      <c r="I187" s="3" t="s">
        <v>651</v>
      </c>
      <c r="J187" s="3" t="s">
        <v>673</v>
      </c>
      <c r="K187" s="13" t="str">
        <f t="shared" si="62"/>
        <v>Europe &gt; France &gt; Lyon</v>
      </c>
      <c r="L187" s="3" t="s">
        <v>699</v>
      </c>
      <c r="M187" s="3" t="s">
        <v>701</v>
      </c>
      <c r="N187" s="13" t="str">
        <f t="shared" si="49"/>
        <v>Retail</v>
      </c>
      <c r="O187" s="3" t="s">
        <v>718</v>
      </c>
      <c r="P187" s="3" t="s">
        <v>725</v>
      </c>
      <c r="Q187" s="13" t="str">
        <f t="shared" si="50"/>
        <v>Low</v>
      </c>
      <c r="R187" s="3" t="s">
        <v>1097</v>
      </c>
      <c r="S187" s="7">
        <v>492.75</v>
      </c>
      <c r="T187" s="7">
        <f t="shared" si="63"/>
        <v>566.66249999999991</v>
      </c>
      <c r="U187" s="7">
        <v>731.29</v>
      </c>
      <c r="V187" s="7">
        <f t="shared" si="51"/>
        <v>731.29</v>
      </c>
      <c r="W187" s="7">
        <f t="shared" si="64"/>
        <v>840.98349999999994</v>
      </c>
      <c r="X187" s="16">
        <v>5.8000000000000003E-2</v>
      </c>
      <c r="Y187" t="str">
        <f t="shared" si="52"/>
        <v>OK</v>
      </c>
      <c r="Z187" s="16">
        <f t="shared" si="53"/>
        <v>5.8000000000000003E-2</v>
      </c>
      <c r="AA187" s="16">
        <f t="shared" si="65"/>
        <v>5.8000000000000003E-2</v>
      </c>
      <c r="AB187" s="9">
        <v>6</v>
      </c>
      <c r="AC187" s="9">
        <f t="shared" si="66"/>
        <v>7.1999999999999993</v>
      </c>
      <c r="AD187" s="9">
        <f t="shared" si="54"/>
        <v>4133.25108</v>
      </c>
      <c r="AE187" s="9">
        <f t="shared" si="67"/>
        <v>6406.2759095999991</v>
      </c>
      <c r="AF187" s="9">
        <f t="shared" si="55"/>
        <v>2956.5</v>
      </c>
      <c r="AG187" s="9">
        <f t="shared" si="56"/>
        <v>1176.75108</v>
      </c>
      <c r="AH187" s="9">
        <f t="shared" si="68"/>
        <v>3449.7759095999991</v>
      </c>
      <c r="AI187">
        <f t="shared" si="57"/>
        <v>0.28470350753528384</v>
      </c>
      <c r="AJ187" s="5">
        <f t="shared" si="58"/>
        <v>44928</v>
      </c>
      <c r="AK187" t="str">
        <f t="shared" si="59"/>
        <v>Jan-2023</v>
      </c>
      <c r="AL187">
        <v>0</v>
      </c>
      <c r="AM187">
        <v>0</v>
      </c>
      <c r="AN187">
        <v>0</v>
      </c>
    </row>
    <row r="188" spans="1:40" x14ac:dyDescent="0.45">
      <c r="A188" s="3" t="s">
        <v>392</v>
      </c>
      <c r="B188" s="5">
        <v>45491</v>
      </c>
      <c r="C188" s="9" t="str">
        <f t="shared" si="47"/>
        <v>Jul-2024</v>
      </c>
      <c r="D188" s="5" t="str">
        <f t="shared" si="48"/>
        <v>2024-Q3</v>
      </c>
      <c r="E188" s="5">
        <v>45511</v>
      </c>
      <c r="F188" s="9">
        <f t="shared" si="60"/>
        <v>20</v>
      </c>
      <c r="G188" s="9" t="str">
        <f t="shared" si="61"/>
        <v>NOT ACHIEVED</v>
      </c>
      <c r="H188" s="3" t="s">
        <v>643</v>
      </c>
      <c r="I188" s="3" t="s">
        <v>651</v>
      </c>
      <c r="J188" s="3" t="s">
        <v>667</v>
      </c>
      <c r="K188" s="13" t="str">
        <f t="shared" si="62"/>
        <v>Europe &gt; France &gt; Marseille</v>
      </c>
      <c r="L188" s="3" t="s">
        <v>695</v>
      </c>
      <c r="M188" s="3" t="s">
        <v>701</v>
      </c>
      <c r="N188" s="13" t="str">
        <f t="shared" si="49"/>
        <v>Retail</v>
      </c>
      <c r="O188" s="3" t="s">
        <v>715</v>
      </c>
      <c r="P188" s="3" t="s">
        <v>726</v>
      </c>
      <c r="Q188" s="13" t="str">
        <f t="shared" si="50"/>
        <v>Medium</v>
      </c>
      <c r="R188" s="3" t="s">
        <v>1110</v>
      </c>
      <c r="S188" s="7">
        <v>941.35</v>
      </c>
      <c r="T188" s="7">
        <f t="shared" si="63"/>
        <v>1082.5525</v>
      </c>
      <c r="U188" s="7">
        <v>899.83</v>
      </c>
      <c r="V188" s="7">
        <f t="shared" si="51"/>
        <v>899.83</v>
      </c>
      <c r="W188" s="7">
        <f t="shared" si="64"/>
        <v>1034.8045</v>
      </c>
      <c r="X188" s="16">
        <v>5.8000000000000003E-2</v>
      </c>
      <c r="Y188" t="str">
        <f t="shared" si="52"/>
        <v>OK</v>
      </c>
      <c r="Z188" s="16">
        <f t="shared" si="53"/>
        <v>5.8000000000000003E-2</v>
      </c>
      <c r="AA188" s="16">
        <f t="shared" si="65"/>
        <v>5.8000000000000003E-2</v>
      </c>
      <c r="AB188" s="9">
        <v>18</v>
      </c>
      <c r="AC188" s="9">
        <f t="shared" si="66"/>
        <v>21.599999999999998</v>
      </c>
      <c r="AD188" s="9">
        <f t="shared" si="54"/>
        <v>15257.51748</v>
      </c>
      <c r="AE188" s="9">
        <f t="shared" si="67"/>
        <v>23648.180277599997</v>
      </c>
      <c r="AF188" s="9">
        <f t="shared" si="55"/>
        <v>16944.3</v>
      </c>
      <c r="AG188" s="9">
        <f t="shared" si="56"/>
        <v>-1686.7825199999988</v>
      </c>
      <c r="AH188" s="9">
        <f t="shared" si="68"/>
        <v>6703.8802775999975</v>
      </c>
      <c r="AI188">
        <f t="shared" si="57"/>
        <v>-0.11055419220139073</v>
      </c>
      <c r="AJ188" s="5">
        <f t="shared" si="58"/>
        <v>44928</v>
      </c>
      <c r="AK188" t="str">
        <f t="shared" si="59"/>
        <v>Jan-2023</v>
      </c>
      <c r="AL188">
        <v>0</v>
      </c>
      <c r="AM188">
        <v>0</v>
      </c>
      <c r="AN188">
        <v>0</v>
      </c>
    </row>
    <row r="189" spans="1:40" x14ac:dyDescent="0.45">
      <c r="A189" s="3" t="s">
        <v>399</v>
      </c>
      <c r="B189" s="5">
        <v>45514</v>
      </c>
      <c r="C189" s="9" t="str">
        <f t="shared" si="47"/>
        <v>Aug-2024</v>
      </c>
      <c r="D189" s="5" t="str">
        <f t="shared" si="48"/>
        <v>2024-Q3</v>
      </c>
      <c r="E189" s="5">
        <v>45542</v>
      </c>
      <c r="F189" s="9">
        <f t="shared" si="60"/>
        <v>28</v>
      </c>
      <c r="G189" s="9" t="str">
        <f t="shared" si="61"/>
        <v>NOT ACHIEVED</v>
      </c>
      <c r="H189" s="3" t="s">
        <v>643</v>
      </c>
      <c r="I189" s="3" t="s">
        <v>651</v>
      </c>
      <c r="J189" s="3" t="s">
        <v>667</v>
      </c>
      <c r="K189" s="13" t="str">
        <f t="shared" si="62"/>
        <v>Europe &gt; France &gt; Marseille</v>
      </c>
      <c r="L189" s="3" t="s">
        <v>697</v>
      </c>
      <c r="M189" s="3" t="s">
        <v>705</v>
      </c>
      <c r="N189" s="13" t="str">
        <f t="shared" si="49"/>
        <v>Direct</v>
      </c>
      <c r="O189" s="3" t="s">
        <v>715</v>
      </c>
      <c r="P189" s="3" t="s">
        <v>722</v>
      </c>
      <c r="Q189" s="13" t="str">
        <f t="shared" si="50"/>
        <v>Low</v>
      </c>
      <c r="R189" s="3" t="s">
        <v>1117</v>
      </c>
      <c r="S189" s="7">
        <v>229.96</v>
      </c>
      <c r="T189" s="7">
        <f t="shared" si="63"/>
        <v>264.45400000000001</v>
      </c>
      <c r="U189" s="7">
        <v>564.26</v>
      </c>
      <c r="V189" s="7">
        <f t="shared" si="51"/>
        <v>564.26</v>
      </c>
      <c r="W189" s="7">
        <f t="shared" si="64"/>
        <v>648.89899999999989</v>
      </c>
      <c r="X189" s="16">
        <v>0.105</v>
      </c>
      <c r="Y189" t="str">
        <f t="shared" si="52"/>
        <v>OK</v>
      </c>
      <c r="Z189" s="16">
        <f t="shared" si="53"/>
        <v>0.105</v>
      </c>
      <c r="AA189" s="16">
        <f t="shared" si="65"/>
        <v>0.105</v>
      </c>
      <c r="AB189" s="9">
        <v>5</v>
      </c>
      <c r="AC189" s="9">
        <f t="shared" si="66"/>
        <v>6</v>
      </c>
      <c r="AD189" s="9">
        <f t="shared" si="54"/>
        <v>2525.0635000000002</v>
      </c>
      <c r="AE189" s="9">
        <f t="shared" si="67"/>
        <v>4302.2003699999996</v>
      </c>
      <c r="AF189" s="9">
        <f t="shared" si="55"/>
        <v>1149.8</v>
      </c>
      <c r="AG189" s="9">
        <f t="shared" si="56"/>
        <v>1375.2635000000002</v>
      </c>
      <c r="AH189" s="9">
        <f t="shared" si="68"/>
        <v>3152.4003699999994</v>
      </c>
      <c r="AI189">
        <f t="shared" si="57"/>
        <v>0.54464511486542821</v>
      </c>
      <c r="AJ189" s="5">
        <f t="shared" si="58"/>
        <v>44928</v>
      </c>
      <c r="AK189" t="str">
        <f t="shared" si="59"/>
        <v>Jan-2023</v>
      </c>
      <c r="AL189">
        <v>0</v>
      </c>
      <c r="AM189">
        <v>0</v>
      </c>
      <c r="AN189">
        <v>0</v>
      </c>
    </row>
    <row r="190" spans="1:40" x14ac:dyDescent="0.45">
      <c r="A190" s="3" t="s">
        <v>411</v>
      </c>
      <c r="B190" s="5">
        <v>45497</v>
      </c>
      <c r="C190" s="9" t="str">
        <f t="shared" si="47"/>
        <v>Jul-2024</v>
      </c>
      <c r="D190" s="5" t="str">
        <f t="shared" si="48"/>
        <v>2024-Q3</v>
      </c>
      <c r="E190" s="5">
        <v>45512</v>
      </c>
      <c r="F190" s="9">
        <f t="shared" si="60"/>
        <v>15</v>
      </c>
      <c r="G190" s="9" t="str">
        <f t="shared" si="61"/>
        <v>NOT ACHIEVED</v>
      </c>
      <c r="H190" s="3" t="s">
        <v>643</v>
      </c>
      <c r="I190" s="3" t="s">
        <v>651</v>
      </c>
      <c r="J190" s="3" t="s">
        <v>667</v>
      </c>
      <c r="K190" s="13" t="str">
        <f t="shared" si="62"/>
        <v>Europe &gt; France &gt; Marseille</v>
      </c>
      <c r="L190" s="3" t="s">
        <v>700</v>
      </c>
      <c r="M190" s="3" t="s">
        <v>703</v>
      </c>
      <c r="N190" s="13" t="str">
        <f t="shared" si="49"/>
        <v>Marketplace</v>
      </c>
      <c r="O190" s="3" t="s">
        <v>716</v>
      </c>
      <c r="P190" s="3" t="s">
        <v>725</v>
      </c>
      <c r="Q190" s="13" t="str">
        <f t="shared" si="50"/>
        <v>Medium</v>
      </c>
      <c r="R190" s="3" t="s">
        <v>1129</v>
      </c>
      <c r="S190" s="7">
        <v>501.5</v>
      </c>
      <c r="T190" s="7">
        <f t="shared" si="63"/>
        <v>576.72499999999991</v>
      </c>
      <c r="U190" s="7">
        <v>1201.47</v>
      </c>
      <c r="V190" s="7">
        <f t="shared" si="51"/>
        <v>1201.47</v>
      </c>
      <c r="W190" s="7">
        <f t="shared" si="64"/>
        <v>1381.6904999999999</v>
      </c>
      <c r="X190" s="16">
        <v>0.126</v>
      </c>
      <c r="Y190" t="str">
        <f t="shared" si="52"/>
        <v>OK</v>
      </c>
      <c r="Z190" s="16">
        <f t="shared" si="53"/>
        <v>0.126</v>
      </c>
      <c r="AA190" s="16">
        <f t="shared" si="65"/>
        <v>0.126</v>
      </c>
      <c r="AB190" s="9">
        <v>5</v>
      </c>
      <c r="AC190" s="9">
        <f t="shared" si="66"/>
        <v>6</v>
      </c>
      <c r="AD190" s="9">
        <f t="shared" si="54"/>
        <v>5250.4239000000007</v>
      </c>
      <c r="AE190" s="9">
        <f t="shared" si="67"/>
        <v>9334.7010179999997</v>
      </c>
      <c r="AF190" s="9">
        <f t="shared" si="55"/>
        <v>2507.5</v>
      </c>
      <c r="AG190" s="9">
        <f t="shared" si="56"/>
        <v>2742.9239000000007</v>
      </c>
      <c r="AH190" s="9">
        <f t="shared" si="68"/>
        <v>6827.2010179999997</v>
      </c>
      <c r="AI190">
        <f t="shared" si="57"/>
        <v>0.52241951359394057</v>
      </c>
      <c r="AJ190" s="5">
        <f t="shared" si="58"/>
        <v>44928</v>
      </c>
      <c r="AK190" t="str">
        <f t="shared" si="59"/>
        <v>Jan-2023</v>
      </c>
      <c r="AL190">
        <v>0</v>
      </c>
      <c r="AM190">
        <v>0</v>
      </c>
      <c r="AN190">
        <v>0</v>
      </c>
    </row>
    <row r="191" spans="1:40" x14ac:dyDescent="0.45">
      <c r="A191" s="3" t="s">
        <v>419</v>
      </c>
      <c r="B191" s="5">
        <v>45430</v>
      </c>
      <c r="C191" s="9" t="str">
        <f t="shared" si="47"/>
        <v>May-2024</v>
      </c>
      <c r="D191" s="5" t="str">
        <f t="shared" si="48"/>
        <v>2024-Q2</v>
      </c>
      <c r="E191" s="5">
        <v>45433</v>
      </c>
      <c r="F191" s="9">
        <f t="shared" si="60"/>
        <v>3</v>
      </c>
      <c r="G191" s="9" t="str">
        <f t="shared" si="61"/>
        <v>ACHIEVED</v>
      </c>
      <c r="H191" s="3" t="s">
        <v>643</v>
      </c>
      <c r="I191" s="3" t="s">
        <v>651</v>
      </c>
      <c r="J191" s="3" t="s">
        <v>667</v>
      </c>
      <c r="K191" s="13" t="str">
        <f t="shared" si="62"/>
        <v>Europe &gt; France &gt; Marseille</v>
      </c>
      <c r="L191" s="3" t="s">
        <v>697</v>
      </c>
      <c r="M191" s="3" t="s">
        <v>703</v>
      </c>
      <c r="N191" s="13" t="str">
        <f t="shared" si="49"/>
        <v>Marketplace</v>
      </c>
      <c r="O191" s="3" t="s">
        <v>720</v>
      </c>
      <c r="P191" s="3" t="s">
        <v>722</v>
      </c>
      <c r="Q191" s="13" t="str">
        <f t="shared" si="50"/>
        <v>Medium</v>
      </c>
      <c r="R191" s="3" t="s">
        <v>1137</v>
      </c>
      <c r="S191" s="7">
        <v>663.66</v>
      </c>
      <c r="T191" s="7">
        <f t="shared" si="63"/>
        <v>763.20899999999995</v>
      </c>
      <c r="U191" s="7">
        <v>824.26</v>
      </c>
      <c r="V191" s="7">
        <f t="shared" si="51"/>
        <v>824.26</v>
      </c>
      <c r="W191" s="7">
        <f t="shared" si="64"/>
        <v>947.89899999999989</v>
      </c>
      <c r="X191" s="16">
        <v>0.23899999999999999</v>
      </c>
      <c r="Y191" t="str">
        <f t="shared" si="52"/>
        <v>OK</v>
      </c>
      <c r="Z191" s="16">
        <f t="shared" si="53"/>
        <v>0.23899999999999999</v>
      </c>
      <c r="AA191" s="16">
        <f t="shared" si="65"/>
        <v>0.23899999999999999</v>
      </c>
      <c r="AB191" s="9">
        <v>11</v>
      </c>
      <c r="AC191" s="9">
        <f t="shared" si="66"/>
        <v>13.2</v>
      </c>
      <c r="AD191" s="9">
        <f t="shared" si="54"/>
        <v>6899.8804600000003</v>
      </c>
      <c r="AE191" s="9">
        <f t="shared" si="67"/>
        <v>15502.698565199995</v>
      </c>
      <c r="AF191" s="9">
        <f t="shared" si="55"/>
        <v>7300.2599999999993</v>
      </c>
      <c r="AG191" s="9">
        <f t="shared" si="56"/>
        <v>-400.379539999999</v>
      </c>
      <c r="AH191" s="9">
        <f t="shared" si="68"/>
        <v>8202.4385651999946</v>
      </c>
      <c r="AI191">
        <f t="shared" si="57"/>
        <v>-5.8027025587048933E-2</v>
      </c>
      <c r="AJ191" s="5">
        <f t="shared" si="58"/>
        <v>44928</v>
      </c>
      <c r="AK191" t="str">
        <f t="shared" si="59"/>
        <v>Jan-2023</v>
      </c>
      <c r="AL191">
        <v>0</v>
      </c>
      <c r="AM191">
        <v>0</v>
      </c>
      <c r="AN191">
        <v>0</v>
      </c>
    </row>
    <row r="192" spans="1:40" x14ac:dyDescent="0.45">
      <c r="A192" s="3" t="s">
        <v>436</v>
      </c>
      <c r="B192" s="5">
        <v>45347</v>
      </c>
      <c r="C192" s="9" t="str">
        <f t="shared" si="47"/>
        <v>Feb-2024</v>
      </c>
      <c r="D192" s="5" t="str">
        <f t="shared" si="48"/>
        <v>2024-Q1</v>
      </c>
      <c r="E192" s="5">
        <v>45360</v>
      </c>
      <c r="F192" s="9">
        <f t="shared" si="60"/>
        <v>13</v>
      </c>
      <c r="G192" s="9" t="str">
        <f t="shared" si="61"/>
        <v>NOT ACHIEVED</v>
      </c>
      <c r="H192" s="3" t="s">
        <v>643</v>
      </c>
      <c r="I192" s="3" t="s">
        <v>651</v>
      </c>
      <c r="J192" s="3" t="s">
        <v>667</v>
      </c>
      <c r="K192" s="13" t="str">
        <f t="shared" si="62"/>
        <v>Europe &gt; France &gt; Marseille</v>
      </c>
      <c r="L192" s="3" t="s">
        <v>699</v>
      </c>
      <c r="M192" s="3" t="s">
        <v>704</v>
      </c>
      <c r="N192" s="13" t="str">
        <f t="shared" si="49"/>
        <v>Distributor</v>
      </c>
      <c r="O192" s="3" t="s">
        <v>712</v>
      </c>
      <c r="P192" s="3" t="s">
        <v>726</v>
      </c>
      <c r="Q192" s="13" t="str">
        <f t="shared" si="50"/>
        <v>Low</v>
      </c>
      <c r="R192" s="3" t="s">
        <v>1154</v>
      </c>
      <c r="S192" s="7">
        <v>322.44</v>
      </c>
      <c r="T192" s="7">
        <f t="shared" si="63"/>
        <v>370.80599999999998</v>
      </c>
      <c r="U192" s="7">
        <v>395.61</v>
      </c>
      <c r="V192" s="7">
        <f t="shared" si="51"/>
        <v>395.61</v>
      </c>
      <c r="W192" s="7">
        <f t="shared" si="64"/>
        <v>454.95149999999995</v>
      </c>
      <c r="X192" s="16">
        <v>0</v>
      </c>
      <c r="Y192" t="str">
        <f t="shared" si="52"/>
        <v>OK</v>
      </c>
      <c r="Z192" s="16">
        <f t="shared" si="53"/>
        <v>0</v>
      </c>
      <c r="AA192" s="16">
        <f t="shared" si="65"/>
        <v>0</v>
      </c>
      <c r="AB192" s="9">
        <v>34</v>
      </c>
      <c r="AC192" s="9">
        <f t="shared" si="66"/>
        <v>40.799999999999997</v>
      </c>
      <c r="AD192" s="9">
        <f t="shared" si="54"/>
        <v>13450.74</v>
      </c>
      <c r="AE192" s="9">
        <f t="shared" si="67"/>
        <v>18562.021199999996</v>
      </c>
      <c r="AF192" s="9">
        <f t="shared" si="55"/>
        <v>10962.96</v>
      </c>
      <c r="AG192" s="9">
        <f t="shared" si="56"/>
        <v>2487.7800000000007</v>
      </c>
      <c r="AH192" s="9">
        <f t="shared" si="68"/>
        <v>7599.0611999999965</v>
      </c>
      <c r="AI192">
        <f t="shared" si="57"/>
        <v>0.18495487980586947</v>
      </c>
      <c r="AJ192" s="5">
        <f t="shared" si="58"/>
        <v>44928</v>
      </c>
      <c r="AK192" t="str">
        <f t="shared" si="59"/>
        <v>Jan-2023</v>
      </c>
      <c r="AL192">
        <v>0</v>
      </c>
      <c r="AM192">
        <v>0</v>
      </c>
      <c r="AN192">
        <v>0</v>
      </c>
    </row>
    <row r="193" spans="1:40" x14ac:dyDescent="0.45">
      <c r="A193" s="3" t="s">
        <v>446</v>
      </c>
      <c r="B193" s="5">
        <v>45290</v>
      </c>
      <c r="C193" s="9" t="str">
        <f t="shared" si="47"/>
        <v>Dec-2023</v>
      </c>
      <c r="D193" s="5" t="str">
        <f t="shared" si="48"/>
        <v>2023-Q4</v>
      </c>
      <c r="E193" s="5">
        <v>45299</v>
      </c>
      <c r="F193" s="9">
        <f t="shared" si="60"/>
        <v>9</v>
      </c>
      <c r="G193" s="9" t="str">
        <f t="shared" si="61"/>
        <v>NOT ACHIEVED</v>
      </c>
      <c r="H193" s="3" t="s">
        <v>643</v>
      </c>
      <c r="I193" s="3" t="s">
        <v>651</v>
      </c>
      <c r="J193" s="3" t="s">
        <v>667</v>
      </c>
      <c r="K193" s="13" t="str">
        <f t="shared" si="62"/>
        <v>Europe &gt; France &gt; Marseille</v>
      </c>
      <c r="L193" s="3" t="s">
        <v>698</v>
      </c>
      <c r="M193" s="3" t="s">
        <v>703</v>
      </c>
      <c r="N193" s="13" t="str">
        <f t="shared" si="49"/>
        <v>Marketplace</v>
      </c>
      <c r="O193" s="3" t="s">
        <v>710</v>
      </c>
      <c r="P193" s="3" t="s">
        <v>727</v>
      </c>
      <c r="Q193" s="13" t="str">
        <f t="shared" si="50"/>
        <v>Medium</v>
      </c>
      <c r="R193" s="3" t="s">
        <v>1164</v>
      </c>
      <c r="S193" s="7">
        <v>861.1</v>
      </c>
      <c r="T193" s="7">
        <f t="shared" si="63"/>
        <v>990.26499999999999</v>
      </c>
      <c r="U193" s="7">
        <v>1224.72</v>
      </c>
      <c r="V193" s="7">
        <f t="shared" si="51"/>
        <v>1224.72</v>
      </c>
      <c r="W193" s="7">
        <f t="shared" si="64"/>
        <v>1408.4279999999999</v>
      </c>
      <c r="X193" s="16">
        <v>0.17399999999999999</v>
      </c>
      <c r="Y193" t="str">
        <f t="shared" si="52"/>
        <v>OK</v>
      </c>
      <c r="Z193" s="16">
        <f t="shared" si="53"/>
        <v>0.17399999999999999</v>
      </c>
      <c r="AA193" s="16">
        <f t="shared" si="65"/>
        <v>0.17399999999999999</v>
      </c>
      <c r="AB193" s="9">
        <v>24</v>
      </c>
      <c r="AC193" s="9">
        <f t="shared" si="66"/>
        <v>28.799999999999997</v>
      </c>
      <c r="AD193" s="9">
        <f t="shared" si="54"/>
        <v>24278.849280000002</v>
      </c>
      <c r="AE193" s="9">
        <f t="shared" si="67"/>
        <v>47620.640793599989</v>
      </c>
      <c r="AF193" s="9">
        <f t="shared" si="55"/>
        <v>20666.400000000001</v>
      </c>
      <c r="AG193" s="9">
        <f t="shared" si="56"/>
        <v>3612.4492800000007</v>
      </c>
      <c r="AH193" s="9">
        <f t="shared" si="68"/>
        <v>26954.240793599987</v>
      </c>
      <c r="AI193">
        <f t="shared" si="57"/>
        <v>0.14878997098827909</v>
      </c>
      <c r="AJ193" s="5">
        <f t="shared" si="58"/>
        <v>44928</v>
      </c>
      <c r="AK193" t="str">
        <f t="shared" si="59"/>
        <v>Jan-2023</v>
      </c>
      <c r="AL193">
        <v>0</v>
      </c>
      <c r="AM193">
        <v>0</v>
      </c>
      <c r="AN193">
        <v>0</v>
      </c>
    </row>
    <row r="194" spans="1:40" x14ac:dyDescent="0.45">
      <c r="A194" s="3" t="s">
        <v>467</v>
      </c>
      <c r="B194" s="5">
        <v>45417</v>
      </c>
      <c r="C194" s="9" t="str">
        <f t="shared" ref="C194:C257" si="69">TEXT(B194,"MMM-YYYY")</f>
        <v>May-2024</v>
      </c>
      <c r="D194" s="5" t="str">
        <f t="shared" ref="D194:D257" si="70">YEAR(B194)&amp; "-Q"&amp;ROUNDUP(MONTH(B194)/3,0)</f>
        <v>2024-Q2</v>
      </c>
      <c r="E194" s="5">
        <v>45430</v>
      </c>
      <c r="F194" s="9">
        <f t="shared" si="60"/>
        <v>13</v>
      </c>
      <c r="G194" s="9" t="str">
        <f t="shared" si="61"/>
        <v>NOT ACHIEVED</v>
      </c>
      <c r="H194" s="3" t="s">
        <v>643</v>
      </c>
      <c r="I194" s="3" t="s">
        <v>651</v>
      </c>
      <c r="J194" s="3" t="s">
        <v>667</v>
      </c>
      <c r="K194" s="13" t="str">
        <f t="shared" si="62"/>
        <v>Europe &gt; France &gt; Marseille</v>
      </c>
      <c r="L194" s="3" t="s">
        <v>695</v>
      </c>
      <c r="M194" s="3" t="s">
        <v>703</v>
      </c>
      <c r="N194" s="13" t="str">
        <f t="shared" ref="N194:N257" si="71">IF(ISBLANK(M194),"Unknown",M194)</f>
        <v>Marketplace</v>
      </c>
      <c r="O194" s="3" t="s">
        <v>714</v>
      </c>
      <c r="P194" s="3" t="s">
        <v>721</v>
      </c>
      <c r="Q194" s="13" t="str">
        <f t="shared" ref="Q194:Q257" si="72">IF(U194&lt;=$AM$2,"Low",IF(U194&lt;=$AM$3,"Medium","High"))</f>
        <v>High</v>
      </c>
      <c r="R194" s="3" t="s">
        <v>1185</v>
      </c>
      <c r="S194" s="7">
        <v>1264.04</v>
      </c>
      <c r="T194" s="7">
        <f t="shared" si="63"/>
        <v>1453.646</v>
      </c>
      <c r="U194" s="7">
        <v>1870.89</v>
      </c>
      <c r="V194" s="7">
        <f t="shared" ref="V194:V257" si="73">IF(U194&lt;0,"",U194)</f>
        <v>1870.89</v>
      </c>
      <c r="W194" s="7">
        <f t="shared" si="64"/>
        <v>2151.5234999999998</v>
      </c>
      <c r="X194" s="16">
        <v>0</v>
      </c>
      <c r="Y194" t="str">
        <f t="shared" ref="Y194:Y257" si="74">IF(X194&gt;0.3,"Excess dis","OK")</f>
        <v>OK</v>
      </c>
      <c r="Z194" s="16">
        <f t="shared" ref="Z194:Z257" si="75">IF(X194&gt;0.3,0.3,X194)</f>
        <v>0</v>
      </c>
      <c r="AA194" s="16">
        <f t="shared" si="65"/>
        <v>0</v>
      </c>
      <c r="AB194" s="9">
        <v>13</v>
      </c>
      <c r="AC194" s="9">
        <f t="shared" si="66"/>
        <v>15.6</v>
      </c>
      <c r="AD194" s="9">
        <f t="shared" ref="AD194:AD257" si="76">V194*AB194*(1-Z194)</f>
        <v>24321.57</v>
      </c>
      <c r="AE194" s="9">
        <f t="shared" si="67"/>
        <v>33563.766599999995</v>
      </c>
      <c r="AF194" s="9">
        <f t="shared" ref="AF194:AF257" si="77">S194*AB194</f>
        <v>16432.52</v>
      </c>
      <c r="AG194" s="9">
        <f t="shared" ref="AG194:AG257" si="78">AD194-AF194</f>
        <v>7889.0499999999993</v>
      </c>
      <c r="AH194" s="9">
        <f t="shared" si="68"/>
        <v>17131.246599999995</v>
      </c>
      <c r="AI194">
        <f t="shared" ref="AI194:AI257" si="79">IF(AD194=0,0,AG194/AD194)</f>
        <v>0.32436433996653996</v>
      </c>
      <c r="AJ194" s="5">
        <f t="shared" ref="AJ194:AJ257" si="80">MIN(IF($I$2:$I$632=I194, $B$2:$B$632))</f>
        <v>44928</v>
      </c>
      <c r="AK194" t="str">
        <f t="shared" ref="AK194:AK257" si="81">TEXT(AJ194,"MMM-YYYY")</f>
        <v>Jan-2023</v>
      </c>
      <c r="AL194">
        <v>0</v>
      </c>
      <c r="AM194">
        <v>0</v>
      </c>
      <c r="AN194">
        <v>0</v>
      </c>
    </row>
    <row r="195" spans="1:40" x14ac:dyDescent="0.45">
      <c r="A195" s="3" t="s">
        <v>479</v>
      </c>
      <c r="B195" s="5">
        <v>45167</v>
      </c>
      <c r="C195" s="9" t="str">
        <f t="shared" si="69"/>
        <v>Aug-2023</v>
      </c>
      <c r="D195" s="5" t="str">
        <f t="shared" si="70"/>
        <v>2023-Q3</v>
      </c>
      <c r="E195" s="5">
        <v>45188</v>
      </c>
      <c r="F195" s="9">
        <f t="shared" ref="F195:F258" si="82">E195-B195</f>
        <v>21</v>
      </c>
      <c r="G195" s="9" t="str">
        <f t="shared" ref="G195:G258" si="83">IF(F195&lt;=7,"ACHIEVED","NOT ACHIEVED")</f>
        <v>NOT ACHIEVED</v>
      </c>
      <c r="H195" s="3" t="s">
        <v>643</v>
      </c>
      <c r="I195" s="3" t="s">
        <v>651</v>
      </c>
      <c r="J195" s="3" t="s">
        <v>673</v>
      </c>
      <c r="K195" s="13" t="str">
        <f t="shared" ref="K195:K258" si="84">H195&amp;" &gt; "&amp;I195&amp;" &gt; "&amp;J195</f>
        <v>Europe &gt; France &gt; Lyon</v>
      </c>
      <c r="L195" s="3" t="s">
        <v>699</v>
      </c>
      <c r="M195" s="3" t="s">
        <v>705</v>
      </c>
      <c r="N195" s="13" t="str">
        <f t="shared" si="71"/>
        <v>Direct</v>
      </c>
      <c r="O195" s="3" t="s">
        <v>711</v>
      </c>
      <c r="P195" s="3" t="s">
        <v>722</v>
      </c>
      <c r="Q195" s="13" t="str">
        <f t="shared" si="72"/>
        <v>High</v>
      </c>
      <c r="R195" s="3" t="s">
        <v>1197</v>
      </c>
      <c r="S195" s="7">
        <v>784.46</v>
      </c>
      <c r="T195" s="7">
        <f t="shared" ref="T195:T258" si="85">S195*(1+$AM$6)</f>
        <v>902.12900000000002</v>
      </c>
      <c r="U195" s="7">
        <v>1843.51</v>
      </c>
      <c r="V195" s="7">
        <f t="shared" si="73"/>
        <v>1843.51</v>
      </c>
      <c r="W195" s="7">
        <f t="shared" ref="W195:W258" si="86">V195*(1+$AM$6)</f>
        <v>2120.0364999999997</v>
      </c>
      <c r="X195" s="16">
        <v>0.13800000000000001</v>
      </c>
      <c r="Y195" t="str">
        <f t="shared" si="74"/>
        <v>OK</v>
      </c>
      <c r="Z195" s="16">
        <f t="shared" si="75"/>
        <v>0.13800000000000001</v>
      </c>
      <c r="AA195" s="16">
        <f t="shared" ref="AA195:AA258" si="87">MIN(Z195,$AM$5)</f>
        <v>0.13800000000000001</v>
      </c>
      <c r="AB195" s="9">
        <v>23</v>
      </c>
      <c r="AC195" s="9">
        <f t="shared" ref="AC195:AC258" si="88">AB195*(1+$AM$7)</f>
        <v>27.599999999999998</v>
      </c>
      <c r="AD195" s="9">
        <f t="shared" si="76"/>
        <v>36549.429260000004</v>
      </c>
      <c r="AE195" s="9">
        <f t="shared" ref="AE195:AE258" si="89">W195*AC195*(1+AA195)</f>
        <v>66587.802421199987</v>
      </c>
      <c r="AF195" s="9">
        <f t="shared" si="77"/>
        <v>18042.580000000002</v>
      </c>
      <c r="AG195" s="9">
        <f t="shared" si="78"/>
        <v>18506.849260000003</v>
      </c>
      <c r="AH195" s="9">
        <f t="shared" ref="AH195:AH258" si="90">AE195-AF195</f>
        <v>48545.222421199986</v>
      </c>
      <c r="AI195">
        <f t="shared" si="79"/>
        <v>0.50635125184441798</v>
      </c>
      <c r="AJ195" s="5">
        <f t="shared" si="80"/>
        <v>44928</v>
      </c>
      <c r="AK195" t="str">
        <f t="shared" si="81"/>
        <v>Jan-2023</v>
      </c>
      <c r="AL195">
        <v>0</v>
      </c>
      <c r="AM195">
        <v>0</v>
      </c>
      <c r="AN195">
        <v>0</v>
      </c>
    </row>
    <row r="196" spans="1:40" x14ac:dyDescent="0.45">
      <c r="A196" s="3" t="s">
        <v>482</v>
      </c>
      <c r="B196" s="5">
        <v>45882</v>
      </c>
      <c r="C196" s="9" t="str">
        <f t="shared" si="69"/>
        <v>Aug-2025</v>
      </c>
      <c r="D196" s="5" t="str">
        <f t="shared" si="70"/>
        <v>2025-Q3</v>
      </c>
      <c r="E196" s="5">
        <v>45903</v>
      </c>
      <c r="F196" s="9">
        <f t="shared" si="82"/>
        <v>21</v>
      </c>
      <c r="G196" s="9" t="str">
        <f t="shared" si="83"/>
        <v>NOT ACHIEVED</v>
      </c>
      <c r="H196" s="3" t="s">
        <v>643</v>
      </c>
      <c r="I196" s="3" t="s">
        <v>651</v>
      </c>
      <c r="J196" s="3" t="s">
        <v>684</v>
      </c>
      <c r="K196" s="13" t="str">
        <f t="shared" si="84"/>
        <v>Europe &gt; France &gt; Paris</v>
      </c>
      <c r="L196" s="3" t="s">
        <v>696</v>
      </c>
      <c r="M196" s="3" t="s">
        <v>701</v>
      </c>
      <c r="N196" s="13" t="str">
        <f t="shared" si="71"/>
        <v>Retail</v>
      </c>
      <c r="O196" s="3" t="s">
        <v>708</v>
      </c>
      <c r="P196" s="3" t="s">
        <v>724</v>
      </c>
      <c r="Q196" s="13" t="str">
        <f t="shared" si="72"/>
        <v>Medium</v>
      </c>
      <c r="R196" s="3" t="s">
        <v>1200</v>
      </c>
      <c r="S196" s="7">
        <v>603.47</v>
      </c>
      <c r="T196" s="7">
        <f t="shared" si="85"/>
        <v>693.9905</v>
      </c>
      <c r="U196" s="7">
        <v>1344.05</v>
      </c>
      <c r="V196" s="7">
        <f t="shared" si="73"/>
        <v>1344.05</v>
      </c>
      <c r="W196" s="7">
        <f t="shared" si="86"/>
        <v>1545.6574999999998</v>
      </c>
      <c r="X196" s="16">
        <v>0.20499999999999999</v>
      </c>
      <c r="Y196" t="str">
        <f t="shared" si="74"/>
        <v>OK</v>
      </c>
      <c r="Z196" s="16">
        <f t="shared" si="75"/>
        <v>0.20499999999999999</v>
      </c>
      <c r="AA196" s="16">
        <f t="shared" si="87"/>
        <v>0.20499999999999999</v>
      </c>
      <c r="AB196" s="9">
        <v>18</v>
      </c>
      <c r="AC196" s="9">
        <f t="shared" si="88"/>
        <v>21.599999999999998</v>
      </c>
      <c r="AD196" s="9">
        <f t="shared" si="76"/>
        <v>19233.355499999998</v>
      </c>
      <c r="AE196" s="9">
        <f t="shared" si="89"/>
        <v>40230.373409999993</v>
      </c>
      <c r="AF196" s="9">
        <f t="shared" si="77"/>
        <v>10862.460000000001</v>
      </c>
      <c r="AG196" s="9">
        <f t="shared" si="78"/>
        <v>8370.8954999999969</v>
      </c>
      <c r="AH196" s="9">
        <f t="shared" si="90"/>
        <v>29367.913409999994</v>
      </c>
      <c r="AI196">
        <f t="shared" si="79"/>
        <v>0.43522803392262976</v>
      </c>
      <c r="AJ196" s="5">
        <f t="shared" si="80"/>
        <v>44928</v>
      </c>
      <c r="AK196" t="str">
        <f t="shared" si="81"/>
        <v>Jan-2023</v>
      </c>
      <c r="AL196">
        <v>0</v>
      </c>
      <c r="AM196">
        <v>0</v>
      </c>
      <c r="AN196">
        <v>0</v>
      </c>
    </row>
    <row r="197" spans="1:40" x14ac:dyDescent="0.45">
      <c r="A197" s="3" t="s">
        <v>490</v>
      </c>
      <c r="B197" s="5">
        <v>45899</v>
      </c>
      <c r="C197" s="9" t="str">
        <f t="shared" si="69"/>
        <v>Aug-2025</v>
      </c>
      <c r="D197" s="5" t="str">
        <f t="shared" si="70"/>
        <v>2025-Q3</v>
      </c>
      <c r="E197" s="5">
        <v>45903</v>
      </c>
      <c r="F197" s="9">
        <f t="shared" si="82"/>
        <v>4</v>
      </c>
      <c r="G197" s="9" t="str">
        <f t="shared" si="83"/>
        <v>ACHIEVED</v>
      </c>
      <c r="H197" s="3" t="s">
        <v>643</v>
      </c>
      <c r="I197" s="3" t="s">
        <v>651</v>
      </c>
      <c r="J197" s="3" t="s">
        <v>667</v>
      </c>
      <c r="K197" s="13" t="str">
        <f t="shared" si="84"/>
        <v>Europe &gt; France &gt; Marseille</v>
      </c>
      <c r="L197" s="3" t="s">
        <v>699</v>
      </c>
      <c r="M197" s="3" t="s">
        <v>703</v>
      </c>
      <c r="N197" s="13" t="str">
        <f t="shared" si="71"/>
        <v>Marketplace</v>
      </c>
      <c r="O197" s="3" t="s">
        <v>707</v>
      </c>
      <c r="P197" s="3" t="s">
        <v>725</v>
      </c>
      <c r="Q197" s="13" t="str">
        <f t="shared" si="72"/>
        <v>High</v>
      </c>
      <c r="R197" s="3" t="s">
        <v>1208</v>
      </c>
      <c r="S197" s="7">
        <v>1286.56</v>
      </c>
      <c r="T197" s="7">
        <f t="shared" si="85"/>
        <v>1479.5439999999999</v>
      </c>
      <c r="U197" s="7">
        <v>2777.35</v>
      </c>
      <c r="V197" s="7">
        <f t="shared" si="73"/>
        <v>2777.35</v>
      </c>
      <c r="W197" s="7">
        <f t="shared" si="86"/>
        <v>3193.9524999999999</v>
      </c>
      <c r="X197" s="16">
        <v>0.13200000000000001</v>
      </c>
      <c r="Y197" t="str">
        <f t="shared" si="74"/>
        <v>OK</v>
      </c>
      <c r="Z197" s="16">
        <f t="shared" si="75"/>
        <v>0.13200000000000001</v>
      </c>
      <c r="AA197" s="16">
        <f t="shared" si="87"/>
        <v>0.13200000000000001</v>
      </c>
      <c r="AB197" s="9">
        <v>15</v>
      </c>
      <c r="AC197" s="9">
        <f t="shared" si="88"/>
        <v>18</v>
      </c>
      <c r="AD197" s="9">
        <f t="shared" si="76"/>
        <v>36161.097000000002</v>
      </c>
      <c r="AE197" s="9">
        <f t="shared" si="89"/>
        <v>65079.976140000006</v>
      </c>
      <c r="AF197" s="9">
        <f t="shared" si="77"/>
        <v>19298.399999999998</v>
      </c>
      <c r="AG197" s="9">
        <f t="shared" si="78"/>
        <v>16862.697000000004</v>
      </c>
      <c r="AH197" s="9">
        <f t="shared" si="90"/>
        <v>45781.576140000005</v>
      </c>
      <c r="AI197">
        <f t="shared" si="79"/>
        <v>0.46632150014696744</v>
      </c>
      <c r="AJ197" s="5">
        <f t="shared" si="80"/>
        <v>44928</v>
      </c>
      <c r="AK197" t="str">
        <f t="shared" si="81"/>
        <v>Jan-2023</v>
      </c>
      <c r="AL197">
        <v>0</v>
      </c>
      <c r="AM197">
        <v>0</v>
      </c>
      <c r="AN197">
        <v>0</v>
      </c>
    </row>
    <row r="198" spans="1:40" x14ac:dyDescent="0.45">
      <c r="A198" s="3" t="s">
        <v>493</v>
      </c>
      <c r="B198" s="5">
        <v>45634</v>
      </c>
      <c r="C198" s="9" t="str">
        <f t="shared" si="69"/>
        <v>Dec-2024</v>
      </c>
      <c r="D198" s="5" t="str">
        <f t="shared" si="70"/>
        <v>2024-Q4</v>
      </c>
      <c r="E198" s="5">
        <v>45634</v>
      </c>
      <c r="F198" s="9">
        <f t="shared" si="82"/>
        <v>0</v>
      </c>
      <c r="G198" s="9" t="str">
        <f t="shared" si="83"/>
        <v>ACHIEVED</v>
      </c>
      <c r="H198" s="3" t="s">
        <v>643</v>
      </c>
      <c r="I198" s="3" t="s">
        <v>651</v>
      </c>
      <c r="J198" s="3" t="s">
        <v>673</v>
      </c>
      <c r="K198" s="13" t="str">
        <f t="shared" si="84"/>
        <v>Europe &gt; France &gt; Lyon</v>
      </c>
      <c r="L198" s="3" t="s">
        <v>700</v>
      </c>
      <c r="M198" s="3" t="s">
        <v>701</v>
      </c>
      <c r="N198" s="13" t="str">
        <f t="shared" si="71"/>
        <v>Retail</v>
      </c>
      <c r="O198" s="3" t="s">
        <v>716</v>
      </c>
      <c r="P198" s="3" t="s">
        <v>721</v>
      </c>
      <c r="Q198" s="13" t="str">
        <f t="shared" si="72"/>
        <v>Low</v>
      </c>
      <c r="R198" s="3" t="s">
        <v>1211</v>
      </c>
      <c r="S198" s="7">
        <v>257.44</v>
      </c>
      <c r="T198" s="7">
        <f t="shared" si="85"/>
        <v>296.05599999999998</v>
      </c>
      <c r="U198" s="7">
        <v>290.33</v>
      </c>
      <c r="V198" s="7">
        <f t="shared" si="73"/>
        <v>290.33</v>
      </c>
      <c r="W198" s="7">
        <f t="shared" si="86"/>
        <v>333.87949999999995</v>
      </c>
      <c r="X198" s="16">
        <v>9.1999999999999998E-2</v>
      </c>
      <c r="Y198" t="str">
        <f t="shared" si="74"/>
        <v>OK</v>
      </c>
      <c r="Z198" s="16">
        <f t="shared" si="75"/>
        <v>9.1999999999999998E-2</v>
      </c>
      <c r="AA198" s="16">
        <f t="shared" si="87"/>
        <v>9.1999999999999998E-2</v>
      </c>
      <c r="AB198" s="9">
        <v>23</v>
      </c>
      <c r="AC198" s="9">
        <f t="shared" si="88"/>
        <v>27.599999999999998</v>
      </c>
      <c r="AD198" s="9">
        <f t="shared" si="76"/>
        <v>6063.2517199999993</v>
      </c>
      <c r="AE198" s="9">
        <f t="shared" si="89"/>
        <v>10062.861026399998</v>
      </c>
      <c r="AF198" s="9">
        <f t="shared" si="77"/>
        <v>5921.12</v>
      </c>
      <c r="AG198" s="9">
        <f t="shared" si="78"/>
        <v>142.1317199999994</v>
      </c>
      <c r="AH198" s="9">
        <f t="shared" si="90"/>
        <v>4141.7410263999982</v>
      </c>
      <c r="AI198">
        <f t="shared" si="79"/>
        <v>2.3441500792581216E-2</v>
      </c>
      <c r="AJ198" s="5">
        <f t="shared" si="80"/>
        <v>44928</v>
      </c>
      <c r="AK198" t="str">
        <f t="shared" si="81"/>
        <v>Jan-2023</v>
      </c>
      <c r="AL198">
        <v>0</v>
      </c>
      <c r="AM198">
        <v>0</v>
      </c>
      <c r="AN198">
        <v>0</v>
      </c>
    </row>
    <row r="199" spans="1:40" x14ac:dyDescent="0.45">
      <c r="A199" s="3" t="s">
        <v>494</v>
      </c>
      <c r="B199" s="5">
        <v>45224</v>
      </c>
      <c r="C199" s="9" t="str">
        <f t="shared" si="69"/>
        <v>Oct-2023</v>
      </c>
      <c r="D199" s="5" t="str">
        <f t="shared" si="70"/>
        <v>2023-Q4</v>
      </c>
      <c r="E199" s="5">
        <v>45254</v>
      </c>
      <c r="F199" s="9">
        <f t="shared" si="82"/>
        <v>30</v>
      </c>
      <c r="G199" s="9" t="str">
        <f t="shared" si="83"/>
        <v>NOT ACHIEVED</v>
      </c>
      <c r="H199" s="3" t="s">
        <v>643</v>
      </c>
      <c r="I199" s="3" t="s">
        <v>651</v>
      </c>
      <c r="J199" s="3" t="s">
        <v>684</v>
      </c>
      <c r="K199" s="13" t="str">
        <f t="shared" si="84"/>
        <v>Europe &gt; France &gt; Paris</v>
      </c>
      <c r="L199" s="3" t="s">
        <v>700</v>
      </c>
      <c r="M199" s="3" t="s">
        <v>704</v>
      </c>
      <c r="N199" s="13" t="str">
        <f t="shared" si="71"/>
        <v>Distributor</v>
      </c>
      <c r="O199" s="3" t="s">
        <v>706</v>
      </c>
      <c r="P199" s="3" t="s">
        <v>724</v>
      </c>
      <c r="Q199" s="13" t="str">
        <f t="shared" si="72"/>
        <v>Low</v>
      </c>
      <c r="R199" s="3" t="s">
        <v>1212</v>
      </c>
      <c r="S199" s="7">
        <v>287.85000000000002</v>
      </c>
      <c r="T199" s="7">
        <f t="shared" si="85"/>
        <v>331.02749999999997</v>
      </c>
      <c r="U199" s="7">
        <v>602.91999999999996</v>
      </c>
      <c r="V199" s="7">
        <f t="shared" si="73"/>
        <v>602.91999999999996</v>
      </c>
      <c r="W199" s="7">
        <f t="shared" si="86"/>
        <v>693.35799999999995</v>
      </c>
      <c r="X199" s="16">
        <v>0.222</v>
      </c>
      <c r="Y199" t="str">
        <f t="shared" si="74"/>
        <v>OK</v>
      </c>
      <c r="Z199" s="16">
        <f t="shared" si="75"/>
        <v>0.222</v>
      </c>
      <c r="AA199" s="16">
        <f t="shared" si="87"/>
        <v>0.222</v>
      </c>
      <c r="AB199" s="9">
        <v>11</v>
      </c>
      <c r="AC199" s="9">
        <f t="shared" si="88"/>
        <v>13.2</v>
      </c>
      <c r="AD199" s="9">
        <f t="shared" si="76"/>
        <v>5159.7893599999998</v>
      </c>
      <c r="AE199" s="9">
        <f t="shared" si="89"/>
        <v>11184.141883199998</v>
      </c>
      <c r="AF199" s="9">
        <f t="shared" si="77"/>
        <v>3166.3500000000004</v>
      </c>
      <c r="AG199" s="9">
        <f t="shared" si="78"/>
        <v>1993.4393599999994</v>
      </c>
      <c r="AH199" s="9">
        <f t="shared" si="90"/>
        <v>8017.7918831999978</v>
      </c>
      <c r="AI199">
        <f t="shared" si="79"/>
        <v>0.38634122847216373</v>
      </c>
      <c r="AJ199" s="5">
        <f t="shared" si="80"/>
        <v>44928</v>
      </c>
      <c r="AK199" t="str">
        <f t="shared" si="81"/>
        <v>Jan-2023</v>
      </c>
      <c r="AL199">
        <v>0</v>
      </c>
      <c r="AM199">
        <v>0</v>
      </c>
      <c r="AN199">
        <v>0</v>
      </c>
    </row>
    <row r="200" spans="1:40" x14ac:dyDescent="0.45">
      <c r="A200" s="3" t="s">
        <v>499</v>
      </c>
      <c r="B200" s="5">
        <v>45523</v>
      </c>
      <c r="C200" s="9" t="str">
        <f t="shared" si="69"/>
        <v>Aug-2024</v>
      </c>
      <c r="D200" s="5" t="str">
        <f t="shared" si="70"/>
        <v>2024-Q3</v>
      </c>
      <c r="E200" s="5">
        <v>45542</v>
      </c>
      <c r="F200" s="9">
        <f t="shared" si="82"/>
        <v>19</v>
      </c>
      <c r="G200" s="9" t="str">
        <f t="shared" si="83"/>
        <v>NOT ACHIEVED</v>
      </c>
      <c r="H200" s="3" t="s">
        <v>643</v>
      </c>
      <c r="I200" s="3" t="s">
        <v>651</v>
      </c>
      <c r="J200" s="3" t="s">
        <v>673</v>
      </c>
      <c r="K200" s="13" t="str">
        <f t="shared" si="84"/>
        <v>Europe &gt; France &gt; Lyon</v>
      </c>
      <c r="L200" s="3" t="s">
        <v>695</v>
      </c>
      <c r="M200" s="3" t="s">
        <v>705</v>
      </c>
      <c r="N200" s="13" t="str">
        <f t="shared" si="71"/>
        <v>Direct</v>
      </c>
      <c r="O200" s="3" t="s">
        <v>707</v>
      </c>
      <c r="P200" s="3" t="s">
        <v>721</v>
      </c>
      <c r="Q200" s="13" t="str">
        <f t="shared" si="72"/>
        <v>Low</v>
      </c>
      <c r="R200" s="3" t="s">
        <v>1217</v>
      </c>
      <c r="S200" s="7">
        <v>297.58999999999997</v>
      </c>
      <c r="T200" s="7">
        <f t="shared" si="85"/>
        <v>342.22849999999994</v>
      </c>
      <c r="U200" s="7">
        <v>666.41</v>
      </c>
      <c r="V200" s="7">
        <f t="shared" si="73"/>
        <v>666.41</v>
      </c>
      <c r="W200" s="7">
        <f t="shared" si="86"/>
        <v>766.37149999999986</v>
      </c>
      <c r="X200" s="16">
        <v>0</v>
      </c>
      <c r="Y200" t="str">
        <f t="shared" si="74"/>
        <v>OK</v>
      </c>
      <c r="Z200" s="16">
        <f t="shared" si="75"/>
        <v>0</v>
      </c>
      <c r="AA200" s="16">
        <f t="shared" si="87"/>
        <v>0</v>
      </c>
      <c r="AB200" s="9">
        <v>10</v>
      </c>
      <c r="AC200" s="9">
        <f t="shared" si="88"/>
        <v>12</v>
      </c>
      <c r="AD200" s="9">
        <f t="shared" si="76"/>
        <v>6664.0999999999995</v>
      </c>
      <c r="AE200" s="9">
        <f t="shared" si="89"/>
        <v>9196.4579999999987</v>
      </c>
      <c r="AF200" s="9">
        <f t="shared" si="77"/>
        <v>2975.8999999999996</v>
      </c>
      <c r="AG200" s="9">
        <f t="shared" si="78"/>
        <v>3688.2</v>
      </c>
      <c r="AH200" s="9">
        <f t="shared" si="90"/>
        <v>6220.5579999999991</v>
      </c>
      <c r="AI200">
        <f t="shared" si="79"/>
        <v>0.55344307558409989</v>
      </c>
      <c r="AJ200" s="5">
        <f t="shared" si="80"/>
        <v>44928</v>
      </c>
      <c r="AK200" t="str">
        <f t="shared" si="81"/>
        <v>Jan-2023</v>
      </c>
      <c r="AL200">
        <v>0</v>
      </c>
      <c r="AM200">
        <v>0</v>
      </c>
      <c r="AN200">
        <v>0</v>
      </c>
    </row>
    <row r="201" spans="1:40" x14ac:dyDescent="0.45">
      <c r="A201" s="3" t="s">
        <v>516</v>
      </c>
      <c r="B201" s="5">
        <v>45029</v>
      </c>
      <c r="C201" s="9" t="str">
        <f t="shared" si="69"/>
        <v>Apr-2023</v>
      </c>
      <c r="D201" s="5" t="str">
        <f t="shared" si="70"/>
        <v>2023-Q2</v>
      </c>
      <c r="E201" s="5">
        <v>45036</v>
      </c>
      <c r="F201" s="9">
        <f t="shared" si="82"/>
        <v>7</v>
      </c>
      <c r="G201" s="9" t="str">
        <f t="shared" si="83"/>
        <v>ACHIEVED</v>
      </c>
      <c r="H201" s="3" t="s">
        <v>643</v>
      </c>
      <c r="I201" s="3" t="s">
        <v>651</v>
      </c>
      <c r="J201" s="3" t="s">
        <v>673</v>
      </c>
      <c r="K201" s="13" t="str">
        <f t="shared" si="84"/>
        <v>Europe &gt; France &gt; Lyon</v>
      </c>
      <c r="L201" s="3" t="s">
        <v>699</v>
      </c>
      <c r="M201" s="3" t="s">
        <v>702</v>
      </c>
      <c r="N201" s="13" t="str">
        <f t="shared" si="71"/>
        <v>Online</v>
      </c>
      <c r="O201" s="3" t="s">
        <v>714</v>
      </c>
      <c r="P201" s="3" t="s">
        <v>725</v>
      </c>
      <c r="Q201" s="13" t="str">
        <f t="shared" si="72"/>
        <v>Low</v>
      </c>
      <c r="R201" s="3" t="s">
        <v>1234</v>
      </c>
      <c r="S201" s="7">
        <v>227.02</v>
      </c>
      <c r="T201" s="7">
        <f t="shared" si="85"/>
        <v>261.07299999999998</v>
      </c>
      <c r="U201" s="7">
        <v>434.72</v>
      </c>
      <c r="V201" s="7">
        <f t="shared" si="73"/>
        <v>434.72</v>
      </c>
      <c r="W201" s="7">
        <f t="shared" si="86"/>
        <v>499.928</v>
      </c>
      <c r="X201" s="16">
        <v>9.8000000000000004E-2</v>
      </c>
      <c r="Y201" t="str">
        <f t="shared" si="74"/>
        <v>OK</v>
      </c>
      <c r="Z201" s="16">
        <f t="shared" si="75"/>
        <v>9.8000000000000004E-2</v>
      </c>
      <c r="AA201" s="16">
        <f t="shared" si="87"/>
        <v>9.8000000000000004E-2</v>
      </c>
      <c r="AB201" s="9">
        <v>10</v>
      </c>
      <c r="AC201" s="9">
        <f t="shared" si="88"/>
        <v>12</v>
      </c>
      <c r="AD201" s="9">
        <f t="shared" si="76"/>
        <v>3921.1744000000008</v>
      </c>
      <c r="AE201" s="9">
        <f t="shared" si="89"/>
        <v>6587.0513280000014</v>
      </c>
      <c r="AF201" s="9">
        <f t="shared" si="77"/>
        <v>2270.2000000000003</v>
      </c>
      <c r="AG201" s="9">
        <f t="shared" si="78"/>
        <v>1650.9744000000005</v>
      </c>
      <c r="AH201" s="9">
        <f t="shared" si="90"/>
        <v>4316.8513280000006</v>
      </c>
      <c r="AI201">
        <f t="shared" si="79"/>
        <v>0.42104079838938052</v>
      </c>
      <c r="AJ201" s="5">
        <f t="shared" si="80"/>
        <v>44928</v>
      </c>
      <c r="AK201" t="str">
        <f t="shared" si="81"/>
        <v>Jan-2023</v>
      </c>
      <c r="AL201">
        <v>0</v>
      </c>
      <c r="AM201">
        <v>0</v>
      </c>
      <c r="AN201">
        <v>0</v>
      </c>
    </row>
    <row r="202" spans="1:40" x14ac:dyDescent="0.45">
      <c r="A202" s="3" t="s">
        <v>528</v>
      </c>
      <c r="B202" s="5">
        <v>45482</v>
      </c>
      <c r="C202" s="9" t="str">
        <f t="shared" si="69"/>
        <v>Jul-2024</v>
      </c>
      <c r="D202" s="5" t="str">
        <f t="shared" si="70"/>
        <v>2024-Q3</v>
      </c>
      <c r="E202" s="5">
        <v>45512</v>
      </c>
      <c r="F202" s="9">
        <f t="shared" si="82"/>
        <v>30</v>
      </c>
      <c r="G202" s="9" t="str">
        <f t="shared" si="83"/>
        <v>NOT ACHIEVED</v>
      </c>
      <c r="H202" s="3" t="s">
        <v>643</v>
      </c>
      <c r="I202" s="3" t="s">
        <v>651</v>
      </c>
      <c r="J202" s="3" t="s">
        <v>667</v>
      </c>
      <c r="K202" s="13" t="str">
        <f t="shared" si="84"/>
        <v>Europe &gt; France &gt; Marseille</v>
      </c>
      <c r="L202" s="3" t="s">
        <v>695</v>
      </c>
      <c r="M202" s="3" t="s">
        <v>705</v>
      </c>
      <c r="N202" s="13" t="str">
        <f t="shared" si="71"/>
        <v>Direct</v>
      </c>
      <c r="O202" s="3" t="s">
        <v>707</v>
      </c>
      <c r="P202" s="3" t="s">
        <v>721</v>
      </c>
      <c r="Q202" s="13" t="str">
        <f t="shared" si="72"/>
        <v>Medium</v>
      </c>
      <c r="R202" s="3" t="s">
        <v>1246</v>
      </c>
      <c r="S202" s="7">
        <v>1062.3800000000001</v>
      </c>
      <c r="T202" s="7">
        <f t="shared" si="85"/>
        <v>1221.7370000000001</v>
      </c>
      <c r="U202" s="7">
        <v>1503.96</v>
      </c>
      <c r="V202" s="7">
        <f t="shared" si="73"/>
        <v>1503.96</v>
      </c>
      <c r="W202" s="7">
        <f t="shared" si="86"/>
        <v>1729.5539999999999</v>
      </c>
      <c r="X202" s="16">
        <v>0.18</v>
      </c>
      <c r="Y202" t="str">
        <f t="shared" si="74"/>
        <v>OK</v>
      </c>
      <c r="Z202" s="16">
        <f t="shared" si="75"/>
        <v>0.18</v>
      </c>
      <c r="AA202" s="16">
        <f t="shared" si="87"/>
        <v>0.18</v>
      </c>
      <c r="AB202" s="9">
        <v>6</v>
      </c>
      <c r="AC202" s="9">
        <f t="shared" si="88"/>
        <v>7.1999999999999993</v>
      </c>
      <c r="AD202" s="9">
        <f t="shared" si="76"/>
        <v>7399.4832000000006</v>
      </c>
      <c r="AE202" s="9">
        <f t="shared" si="89"/>
        <v>14694.290783999997</v>
      </c>
      <c r="AF202" s="9">
        <f t="shared" si="77"/>
        <v>6374.2800000000007</v>
      </c>
      <c r="AG202" s="9">
        <f t="shared" si="78"/>
        <v>1025.2031999999999</v>
      </c>
      <c r="AH202" s="9">
        <f t="shared" si="90"/>
        <v>8320.0107839999964</v>
      </c>
      <c r="AI202">
        <f t="shared" si="79"/>
        <v>0.13855064905073369</v>
      </c>
      <c r="AJ202" s="5">
        <f t="shared" si="80"/>
        <v>44928</v>
      </c>
      <c r="AK202" t="str">
        <f t="shared" si="81"/>
        <v>Jan-2023</v>
      </c>
      <c r="AL202">
        <v>0</v>
      </c>
      <c r="AM202">
        <v>0</v>
      </c>
      <c r="AN202">
        <v>0</v>
      </c>
    </row>
    <row r="203" spans="1:40" x14ac:dyDescent="0.45">
      <c r="A203" s="3" t="s">
        <v>540</v>
      </c>
      <c r="B203" s="5">
        <v>45769</v>
      </c>
      <c r="C203" s="9" t="str">
        <f t="shared" si="69"/>
        <v>Apr-2025</v>
      </c>
      <c r="D203" s="5" t="str">
        <f t="shared" si="70"/>
        <v>2025-Q2</v>
      </c>
      <c r="E203" s="5">
        <v>45789</v>
      </c>
      <c r="F203" s="9">
        <f t="shared" si="82"/>
        <v>20</v>
      </c>
      <c r="G203" s="9" t="str">
        <f t="shared" si="83"/>
        <v>NOT ACHIEVED</v>
      </c>
      <c r="H203" s="3" t="s">
        <v>643</v>
      </c>
      <c r="I203" s="3" t="s">
        <v>651</v>
      </c>
      <c r="J203" s="3" t="s">
        <v>673</v>
      </c>
      <c r="K203" s="13" t="str">
        <f t="shared" si="84"/>
        <v>Europe &gt; France &gt; Lyon</v>
      </c>
      <c r="L203" s="3" t="s">
        <v>700</v>
      </c>
      <c r="M203" s="3" t="s">
        <v>703</v>
      </c>
      <c r="N203" s="13" t="str">
        <f t="shared" si="71"/>
        <v>Marketplace</v>
      </c>
      <c r="O203" s="3" t="s">
        <v>717</v>
      </c>
      <c r="P203" s="3" t="s">
        <v>726</v>
      </c>
      <c r="Q203" s="13" t="str">
        <f t="shared" si="72"/>
        <v>Low</v>
      </c>
      <c r="R203" s="3" t="s">
        <v>1258</v>
      </c>
      <c r="S203" s="7">
        <v>59.51</v>
      </c>
      <c r="T203" s="7">
        <f t="shared" si="85"/>
        <v>68.436499999999995</v>
      </c>
      <c r="U203" s="7">
        <v>67.040000000000006</v>
      </c>
      <c r="V203" s="7">
        <f t="shared" si="73"/>
        <v>67.040000000000006</v>
      </c>
      <c r="W203" s="7">
        <f t="shared" si="86"/>
        <v>77.096000000000004</v>
      </c>
      <c r="X203" s="16">
        <v>0.114</v>
      </c>
      <c r="Y203" t="str">
        <f t="shared" si="74"/>
        <v>OK</v>
      </c>
      <c r="Z203" s="16">
        <f t="shared" si="75"/>
        <v>0.114</v>
      </c>
      <c r="AA203" s="16">
        <f t="shared" si="87"/>
        <v>0.114</v>
      </c>
      <c r="AB203" s="9">
        <v>9</v>
      </c>
      <c r="AC203" s="9">
        <f t="shared" si="88"/>
        <v>10.799999999999999</v>
      </c>
      <c r="AD203" s="9">
        <f t="shared" si="76"/>
        <v>534.57695999999999</v>
      </c>
      <c r="AE203" s="9">
        <f t="shared" si="89"/>
        <v>927.55739520000009</v>
      </c>
      <c r="AF203" s="9">
        <f t="shared" si="77"/>
        <v>535.59</v>
      </c>
      <c r="AG203" s="9">
        <f t="shared" si="78"/>
        <v>-1.0130400000000463</v>
      </c>
      <c r="AH203" s="9">
        <f t="shared" si="90"/>
        <v>391.96739520000006</v>
      </c>
      <c r="AI203">
        <f t="shared" si="79"/>
        <v>-1.8950311663264469E-3</v>
      </c>
      <c r="AJ203" s="5">
        <f t="shared" si="80"/>
        <v>44928</v>
      </c>
      <c r="AK203" t="str">
        <f t="shared" si="81"/>
        <v>Jan-2023</v>
      </c>
      <c r="AL203">
        <v>0</v>
      </c>
      <c r="AM203">
        <v>0</v>
      </c>
      <c r="AN203">
        <v>0</v>
      </c>
    </row>
    <row r="204" spans="1:40" x14ac:dyDescent="0.45">
      <c r="A204" s="3" t="s">
        <v>544</v>
      </c>
      <c r="B204" s="5">
        <v>45108</v>
      </c>
      <c r="C204" s="9" t="str">
        <f t="shared" si="69"/>
        <v>Jul-2023</v>
      </c>
      <c r="D204" s="5" t="str">
        <f t="shared" si="70"/>
        <v>2023-Q3</v>
      </c>
      <c r="E204" s="5">
        <v>45118</v>
      </c>
      <c r="F204" s="9">
        <f t="shared" si="82"/>
        <v>10</v>
      </c>
      <c r="G204" s="9" t="str">
        <f t="shared" si="83"/>
        <v>NOT ACHIEVED</v>
      </c>
      <c r="H204" s="3" t="s">
        <v>643</v>
      </c>
      <c r="I204" s="3" t="s">
        <v>651</v>
      </c>
      <c r="J204" s="3" t="s">
        <v>684</v>
      </c>
      <c r="K204" s="13" t="str">
        <f t="shared" si="84"/>
        <v>Europe &gt; France &gt; Paris</v>
      </c>
      <c r="L204" s="3" t="s">
        <v>695</v>
      </c>
      <c r="M204" s="3" t="s">
        <v>705</v>
      </c>
      <c r="N204" s="13" t="str">
        <f t="shared" si="71"/>
        <v>Direct</v>
      </c>
      <c r="O204" s="3" t="s">
        <v>715</v>
      </c>
      <c r="P204" s="3" t="s">
        <v>723</v>
      </c>
      <c r="Q204" s="13" t="str">
        <f t="shared" si="72"/>
        <v>Low</v>
      </c>
      <c r="R204" s="3" t="s">
        <v>1262</v>
      </c>
      <c r="S204" s="7">
        <v>479.5</v>
      </c>
      <c r="T204" s="7">
        <f t="shared" si="85"/>
        <v>551.42499999999995</v>
      </c>
      <c r="U204" s="7">
        <v>656.66</v>
      </c>
      <c r="V204" s="7">
        <f t="shared" si="73"/>
        <v>656.66</v>
      </c>
      <c r="W204" s="7">
        <f t="shared" si="86"/>
        <v>755.15899999999988</v>
      </c>
      <c r="X204" s="16">
        <v>0.14899999999999999</v>
      </c>
      <c r="Y204" t="str">
        <f t="shared" si="74"/>
        <v>OK</v>
      </c>
      <c r="Z204" s="16">
        <f t="shared" si="75"/>
        <v>0.14899999999999999</v>
      </c>
      <c r="AA204" s="16">
        <f t="shared" si="87"/>
        <v>0.14899999999999999</v>
      </c>
      <c r="AB204" s="9">
        <v>14</v>
      </c>
      <c r="AC204" s="9">
        <f t="shared" si="88"/>
        <v>16.8</v>
      </c>
      <c r="AD204" s="9">
        <f t="shared" si="76"/>
        <v>7823.4472399999995</v>
      </c>
      <c r="AE204" s="9">
        <f t="shared" si="89"/>
        <v>14576.985208799999</v>
      </c>
      <c r="AF204" s="9">
        <f t="shared" si="77"/>
        <v>6713</v>
      </c>
      <c r="AG204" s="9">
        <f t="shared" si="78"/>
        <v>1110.4472399999995</v>
      </c>
      <c r="AH204" s="9">
        <f t="shared" si="90"/>
        <v>7863.9852087999989</v>
      </c>
      <c r="AI204">
        <f t="shared" si="79"/>
        <v>0.14193835606412289</v>
      </c>
      <c r="AJ204" s="5">
        <f t="shared" si="80"/>
        <v>44928</v>
      </c>
      <c r="AK204" t="str">
        <f t="shared" si="81"/>
        <v>Jan-2023</v>
      </c>
      <c r="AL204">
        <v>0</v>
      </c>
      <c r="AM204">
        <v>0</v>
      </c>
      <c r="AN204">
        <v>0</v>
      </c>
    </row>
    <row r="205" spans="1:40" x14ac:dyDescent="0.45">
      <c r="A205" s="3" t="s">
        <v>576</v>
      </c>
      <c r="B205" s="5">
        <v>45600</v>
      </c>
      <c r="C205" s="9" t="str">
        <f t="shared" si="69"/>
        <v>Nov-2024</v>
      </c>
      <c r="D205" s="5" t="str">
        <f t="shared" si="70"/>
        <v>2024-Q4</v>
      </c>
      <c r="E205" s="5">
        <v>45603</v>
      </c>
      <c r="F205" s="9">
        <f t="shared" si="82"/>
        <v>3</v>
      </c>
      <c r="G205" s="9" t="str">
        <f t="shared" si="83"/>
        <v>ACHIEVED</v>
      </c>
      <c r="H205" s="3" t="s">
        <v>643</v>
      </c>
      <c r="I205" s="3" t="s">
        <v>651</v>
      </c>
      <c r="J205" s="3" t="s">
        <v>673</v>
      </c>
      <c r="K205" s="13" t="str">
        <f t="shared" si="84"/>
        <v>Europe &gt; France &gt; Lyon</v>
      </c>
      <c r="L205" s="3" t="s">
        <v>695</v>
      </c>
      <c r="M205" s="3" t="s">
        <v>702</v>
      </c>
      <c r="N205" s="13" t="str">
        <f t="shared" si="71"/>
        <v>Online</v>
      </c>
      <c r="O205" s="3" t="s">
        <v>713</v>
      </c>
      <c r="P205" s="3" t="s">
        <v>726</v>
      </c>
      <c r="Q205" s="13" t="str">
        <f t="shared" si="72"/>
        <v>High</v>
      </c>
      <c r="R205" s="3" t="s">
        <v>1293</v>
      </c>
      <c r="S205" s="7">
        <v>740.68</v>
      </c>
      <c r="T205" s="7">
        <f t="shared" si="85"/>
        <v>851.78199999999993</v>
      </c>
      <c r="U205" s="7">
        <v>1837.19</v>
      </c>
      <c r="V205" s="7">
        <f t="shared" si="73"/>
        <v>1837.19</v>
      </c>
      <c r="W205" s="7">
        <f t="shared" si="86"/>
        <v>2112.7684999999997</v>
      </c>
      <c r="X205" s="16">
        <v>0.19700000000000001</v>
      </c>
      <c r="Y205" t="str">
        <f t="shared" si="74"/>
        <v>OK</v>
      </c>
      <c r="Z205" s="16">
        <f t="shared" si="75"/>
        <v>0.19700000000000001</v>
      </c>
      <c r="AA205" s="16">
        <f t="shared" si="87"/>
        <v>0.19700000000000001</v>
      </c>
      <c r="AB205" s="9">
        <v>17</v>
      </c>
      <c r="AC205" s="9">
        <f t="shared" si="88"/>
        <v>20.399999999999999</v>
      </c>
      <c r="AD205" s="9">
        <f t="shared" si="76"/>
        <v>25079.480689999997</v>
      </c>
      <c r="AE205" s="9">
        <f t="shared" si="89"/>
        <v>51591.271447799991</v>
      </c>
      <c r="AF205" s="9">
        <f t="shared" si="77"/>
        <v>12591.56</v>
      </c>
      <c r="AG205" s="9">
        <f t="shared" si="78"/>
        <v>12487.920689999997</v>
      </c>
      <c r="AH205" s="9">
        <f t="shared" si="90"/>
        <v>38999.711447799993</v>
      </c>
      <c r="AI205">
        <f t="shared" si="79"/>
        <v>0.4979337827748298</v>
      </c>
      <c r="AJ205" s="5">
        <f t="shared" si="80"/>
        <v>44928</v>
      </c>
      <c r="AK205" t="str">
        <f t="shared" si="81"/>
        <v>Jan-2023</v>
      </c>
      <c r="AL205">
        <v>0</v>
      </c>
      <c r="AM205">
        <v>0</v>
      </c>
      <c r="AN205">
        <v>0</v>
      </c>
    </row>
    <row r="206" spans="1:40" x14ac:dyDescent="0.45">
      <c r="A206" s="3" t="s">
        <v>583</v>
      </c>
      <c r="B206" s="5">
        <v>45042</v>
      </c>
      <c r="C206" s="9" t="str">
        <f t="shared" si="69"/>
        <v>Apr-2023</v>
      </c>
      <c r="D206" s="5" t="str">
        <f t="shared" si="70"/>
        <v>2023-Q2</v>
      </c>
      <c r="E206" s="5">
        <v>45042</v>
      </c>
      <c r="F206" s="9">
        <f t="shared" si="82"/>
        <v>0</v>
      </c>
      <c r="G206" s="9" t="str">
        <f t="shared" si="83"/>
        <v>ACHIEVED</v>
      </c>
      <c r="H206" s="3" t="s">
        <v>643</v>
      </c>
      <c r="I206" s="3" t="s">
        <v>651</v>
      </c>
      <c r="J206" s="3" t="s">
        <v>667</v>
      </c>
      <c r="K206" s="13" t="str">
        <f t="shared" si="84"/>
        <v>Europe &gt; France &gt; Marseille</v>
      </c>
      <c r="L206" s="3" t="s">
        <v>698</v>
      </c>
      <c r="M206" s="3" t="s">
        <v>705</v>
      </c>
      <c r="N206" s="13" t="str">
        <f t="shared" si="71"/>
        <v>Direct</v>
      </c>
      <c r="O206" s="3" t="s">
        <v>718</v>
      </c>
      <c r="P206" s="3" t="s">
        <v>721</v>
      </c>
      <c r="Q206" s="13" t="str">
        <f t="shared" si="72"/>
        <v>Low</v>
      </c>
      <c r="R206" s="3" t="s">
        <v>1300</v>
      </c>
      <c r="S206" s="7">
        <v>81.489999999999995</v>
      </c>
      <c r="T206" s="7">
        <f t="shared" si="85"/>
        <v>93.713499999999982</v>
      </c>
      <c r="U206" s="7">
        <v>113.08</v>
      </c>
      <c r="V206" s="7">
        <f t="shared" si="73"/>
        <v>113.08</v>
      </c>
      <c r="W206" s="7">
        <f t="shared" si="86"/>
        <v>130.042</v>
      </c>
      <c r="X206" s="16">
        <v>0.121</v>
      </c>
      <c r="Y206" t="str">
        <f t="shared" si="74"/>
        <v>OK</v>
      </c>
      <c r="Z206" s="16">
        <f t="shared" si="75"/>
        <v>0.121</v>
      </c>
      <c r="AA206" s="16">
        <f t="shared" si="87"/>
        <v>0.121</v>
      </c>
      <c r="AB206" s="9">
        <v>5</v>
      </c>
      <c r="AC206" s="9">
        <f t="shared" si="88"/>
        <v>6</v>
      </c>
      <c r="AD206" s="9">
        <f t="shared" si="76"/>
        <v>496.98660000000001</v>
      </c>
      <c r="AE206" s="9">
        <f t="shared" si="89"/>
        <v>874.66249199999993</v>
      </c>
      <c r="AF206" s="9">
        <f t="shared" si="77"/>
        <v>407.45</v>
      </c>
      <c r="AG206" s="9">
        <f t="shared" si="78"/>
        <v>89.536600000000021</v>
      </c>
      <c r="AH206" s="9">
        <f t="shared" si="90"/>
        <v>467.21249199999994</v>
      </c>
      <c r="AI206">
        <f t="shared" si="79"/>
        <v>0.18015898215364362</v>
      </c>
      <c r="AJ206" s="5">
        <f t="shared" si="80"/>
        <v>44928</v>
      </c>
      <c r="AK206" t="str">
        <f t="shared" si="81"/>
        <v>Jan-2023</v>
      </c>
      <c r="AL206">
        <v>0</v>
      </c>
      <c r="AM206">
        <v>0</v>
      </c>
      <c r="AN206">
        <v>0</v>
      </c>
    </row>
    <row r="207" spans="1:40" x14ac:dyDescent="0.45">
      <c r="A207" s="3" t="s">
        <v>597</v>
      </c>
      <c r="B207" s="5">
        <v>45703</v>
      </c>
      <c r="C207" s="9" t="str">
        <f t="shared" si="69"/>
        <v>Feb-2025</v>
      </c>
      <c r="D207" s="5" t="str">
        <f t="shared" si="70"/>
        <v>2025-Q1</v>
      </c>
      <c r="E207" s="5">
        <v>45715</v>
      </c>
      <c r="F207" s="9">
        <f t="shared" si="82"/>
        <v>12</v>
      </c>
      <c r="G207" s="9" t="str">
        <f t="shared" si="83"/>
        <v>NOT ACHIEVED</v>
      </c>
      <c r="H207" s="3" t="s">
        <v>643</v>
      </c>
      <c r="I207" s="3" t="s">
        <v>651</v>
      </c>
      <c r="J207" s="3" t="s">
        <v>673</v>
      </c>
      <c r="K207" s="13" t="str">
        <f t="shared" si="84"/>
        <v>Europe &gt; France &gt; Lyon</v>
      </c>
      <c r="L207" s="3" t="s">
        <v>697</v>
      </c>
      <c r="M207" s="3" t="s">
        <v>705</v>
      </c>
      <c r="N207" s="13" t="str">
        <f t="shared" si="71"/>
        <v>Direct</v>
      </c>
      <c r="O207" s="3" t="s">
        <v>717</v>
      </c>
      <c r="P207" s="3" t="s">
        <v>727</v>
      </c>
      <c r="Q207" s="13" t="str">
        <f t="shared" si="72"/>
        <v>High</v>
      </c>
      <c r="R207" s="3" t="s">
        <v>1314</v>
      </c>
      <c r="S207" s="7">
        <v>1027.26</v>
      </c>
      <c r="T207" s="7">
        <f t="shared" si="85"/>
        <v>1181.3489999999999</v>
      </c>
      <c r="U207" s="7">
        <v>2200.41</v>
      </c>
      <c r="V207" s="7">
        <f t="shared" si="73"/>
        <v>2200.41</v>
      </c>
      <c r="W207" s="7">
        <f t="shared" si="86"/>
        <v>2530.4714999999997</v>
      </c>
      <c r="X207" s="16">
        <v>8.7999999999999995E-2</v>
      </c>
      <c r="Y207" t="str">
        <f t="shared" si="74"/>
        <v>OK</v>
      </c>
      <c r="Z207" s="16">
        <f t="shared" si="75"/>
        <v>8.7999999999999995E-2</v>
      </c>
      <c r="AA207" s="16">
        <f t="shared" si="87"/>
        <v>8.7999999999999995E-2</v>
      </c>
      <c r="AB207" s="9">
        <v>6</v>
      </c>
      <c r="AC207" s="9">
        <f t="shared" si="88"/>
        <v>7.1999999999999993</v>
      </c>
      <c r="AD207" s="9">
        <f t="shared" si="76"/>
        <v>12040.64352</v>
      </c>
      <c r="AE207" s="9">
        <f t="shared" si="89"/>
        <v>19822.701542399995</v>
      </c>
      <c r="AF207" s="9">
        <f t="shared" si="77"/>
        <v>6163.5599999999995</v>
      </c>
      <c r="AG207" s="9">
        <f t="shared" si="78"/>
        <v>5877.0835200000001</v>
      </c>
      <c r="AH207" s="9">
        <f t="shared" si="90"/>
        <v>13659.141542399995</v>
      </c>
      <c r="AI207">
        <f t="shared" si="79"/>
        <v>0.48810377204822358</v>
      </c>
      <c r="AJ207" s="5">
        <f t="shared" si="80"/>
        <v>44928</v>
      </c>
      <c r="AK207" t="str">
        <f t="shared" si="81"/>
        <v>Jan-2023</v>
      </c>
      <c r="AL207">
        <v>0</v>
      </c>
      <c r="AM207">
        <v>0</v>
      </c>
      <c r="AN207">
        <v>0</v>
      </c>
    </row>
    <row r="208" spans="1:40" x14ac:dyDescent="0.45">
      <c r="A208" s="3" t="s">
        <v>598</v>
      </c>
      <c r="B208" s="5">
        <v>45019</v>
      </c>
      <c r="C208" s="9" t="str">
        <f t="shared" si="69"/>
        <v>Apr-2023</v>
      </c>
      <c r="D208" s="5" t="str">
        <f t="shared" si="70"/>
        <v>2023-Q2</v>
      </c>
      <c r="E208" s="5">
        <v>45032</v>
      </c>
      <c r="F208" s="9">
        <f t="shared" si="82"/>
        <v>13</v>
      </c>
      <c r="G208" s="9" t="str">
        <f t="shared" si="83"/>
        <v>NOT ACHIEVED</v>
      </c>
      <c r="H208" s="3" t="s">
        <v>643</v>
      </c>
      <c r="I208" s="3" t="s">
        <v>651</v>
      </c>
      <c r="J208" s="3" t="s">
        <v>667</v>
      </c>
      <c r="K208" s="13" t="str">
        <f t="shared" si="84"/>
        <v>Europe &gt; France &gt; Marseille</v>
      </c>
      <c r="L208" s="3" t="s">
        <v>697</v>
      </c>
      <c r="M208" s="3" t="s">
        <v>703</v>
      </c>
      <c r="N208" s="13" t="str">
        <f t="shared" si="71"/>
        <v>Marketplace</v>
      </c>
      <c r="O208" s="3" t="s">
        <v>718</v>
      </c>
      <c r="P208" s="3" t="s">
        <v>727</v>
      </c>
      <c r="Q208" s="13" t="str">
        <f t="shared" si="72"/>
        <v>Low</v>
      </c>
      <c r="R208" s="3" t="s">
        <v>1315</v>
      </c>
      <c r="S208" s="7">
        <v>790.54</v>
      </c>
      <c r="T208" s="7">
        <f t="shared" si="85"/>
        <v>909.12099999999987</v>
      </c>
      <c r="U208" s="7">
        <v>601.49</v>
      </c>
      <c r="V208" s="7">
        <f t="shared" si="73"/>
        <v>601.49</v>
      </c>
      <c r="W208" s="7">
        <f t="shared" si="86"/>
        <v>691.71349999999995</v>
      </c>
      <c r="X208" s="16">
        <v>0</v>
      </c>
      <c r="Y208" t="str">
        <f t="shared" si="74"/>
        <v>OK</v>
      </c>
      <c r="Z208" s="16">
        <f t="shared" si="75"/>
        <v>0</v>
      </c>
      <c r="AA208" s="16">
        <f t="shared" si="87"/>
        <v>0</v>
      </c>
      <c r="AB208" s="9">
        <v>15</v>
      </c>
      <c r="AC208" s="9">
        <f t="shared" si="88"/>
        <v>18</v>
      </c>
      <c r="AD208" s="9">
        <f t="shared" si="76"/>
        <v>9022.35</v>
      </c>
      <c r="AE208" s="9">
        <f t="shared" si="89"/>
        <v>12450.842999999999</v>
      </c>
      <c r="AF208" s="9">
        <f t="shared" si="77"/>
        <v>11858.099999999999</v>
      </c>
      <c r="AG208" s="9">
        <f t="shared" si="78"/>
        <v>-2835.7499999999982</v>
      </c>
      <c r="AH208" s="9">
        <f t="shared" si="90"/>
        <v>592.74300000000039</v>
      </c>
      <c r="AI208">
        <f t="shared" si="79"/>
        <v>-0.31430281467688553</v>
      </c>
      <c r="AJ208" s="5">
        <f t="shared" si="80"/>
        <v>44928</v>
      </c>
      <c r="AK208" t="str">
        <f t="shared" si="81"/>
        <v>Jan-2023</v>
      </c>
      <c r="AL208">
        <v>0</v>
      </c>
      <c r="AM208">
        <v>0</v>
      </c>
      <c r="AN208">
        <v>0</v>
      </c>
    </row>
    <row r="209" spans="1:40" x14ac:dyDescent="0.45">
      <c r="A209" s="3" t="s">
        <v>599</v>
      </c>
      <c r="B209" s="5">
        <v>45899</v>
      </c>
      <c r="C209" s="9" t="str">
        <f t="shared" si="69"/>
        <v>Aug-2025</v>
      </c>
      <c r="D209" s="5" t="str">
        <f t="shared" si="70"/>
        <v>2025-Q3</v>
      </c>
      <c r="E209" s="5">
        <v>45922</v>
      </c>
      <c r="F209" s="9">
        <f t="shared" si="82"/>
        <v>23</v>
      </c>
      <c r="G209" s="9" t="str">
        <f t="shared" si="83"/>
        <v>NOT ACHIEVED</v>
      </c>
      <c r="H209" s="3" t="s">
        <v>643</v>
      </c>
      <c r="I209" s="3" t="s">
        <v>651</v>
      </c>
      <c r="J209" s="3" t="s">
        <v>667</v>
      </c>
      <c r="K209" s="13" t="str">
        <f t="shared" si="84"/>
        <v>Europe &gt; France &gt; Marseille</v>
      </c>
      <c r="L209" s="3" t="s">
        <v>695</v>
      </c>
      <c r="M209" s="3" t="s">
        <v>705</v>
      </c>
      <c r="N209" s="13" t="str">
        <f t="shared" si="71"/>
        <v>Direct</v>
      </c>
      <c r="O209" s="3" t="s">
        <v>712</v>
      </c>
      <c r="P209" s="3" t="s">
        <v>721</v>
      </c>
      <c r="Q209" s="13" t="str">
        <f t="shared" si="72"/>
        <v>Medium</v>
      </c>
      <c r="R209" s="3" t="s">
        <v>1316</v>
      </c>
      <c r="S209" s="7">
        <v>663.9</v>
      </c>
      <c r="T209" s="7">
        <f t="shared" si="85"/>
        <v>763.4849999999999</v>
      </c>
      <c r="U209" s="7">
        <v>947.77</v>
      </c>
      <c r="V209" s="7">
        <f t="shared" si="73"/>
        <v>947.77</v>
      </c>
      <c r="W209" s="7">
        <f t="shared" si="86"/>
        <v>1089.9354999999998</v>
      </c>
      <c r="X209" s="16">
        <v>0.17399999999999999</v>
      </c>
      <c r="Y209" t="str">
        <f t="shared" si="74"/>
        <v>OK</v>
      </c>
      <c r="Z209" s="16">
        <f t="shared" si="75"/>
        <v>0.17399999999999999</v>
      </c>
      <c r="AA209" s="16">
        <f t="shared" si="87"/>
        <v>0.17399999999999999</v>
      </c>
      <c r="AB209" s="9">
        <v>15</v>
      </c>
      <c r="AC209" s="9">
        <f t="shared" si="88"/>
        <v>18</v>
      </c>
      <c r="AD209" s="9">
        <f t="shared" si="76"/>
        <v>11742.8703</v>
      </c>
      <c r="AE209" s="9">
        <f t="shared" si="89"/>
        <v>23032.516985999995</v>
      </c>
      <c r="AF209" s="9">
        <f t="shared" si="77"/>
        <v>9958.5</v>
      </c>
      <c r="AG209" s="9">
        <f t="shared" si="78"/>
        <v>1784.3703000000005</v>
      </c>
      <c r="AH209" s="9">
        <f t="shared" si="90"/>
        <v>13074.016985999995</v>
      </c>
      <c r="AI209">
        <f t="shared" si="79"/>
        <v>0.1519535049280073</v>
      </c>
      <c r="AJ209" s="5">
        <f t="shared" si="80"/>
        <v>44928</v>
      </c>
      <c r="AK209" t="str">
        <f t="shared" si="81"/>
        <v>Jan-2023</v>
      </c>
      <c r="AL209">
        <v>0</v>
      </c>
      <c r="AM209">
        <v>0</v>
      </c>
      <c r="AN209">
        <v>0</v>
      </c>
    </row>
    <row r="210" spans="1:40" x14ac:dyDescent="0.45">
      <c r="A210" s="3" t="s">
        <v>602</v>
      </c>
      <c r="B210" s="5">
        <v>45823</v>
      </c>
      <c r="C210" s="9" t="str">
        <f t="shared" si="69"/>
        <v>Jun-2025</v>
      </c>
      <c r="D210" s="5" t="str">
        <f t="shared" si="70"/>
        <v>2025-Q2</v>
      </c>
      <c r="E210" s="5">
        <v>45850</v>
      </c>
      <c r="F210" s="9">
        <f t="shared" si="82"/>
        <v>27</v>
      </c>
      <c r="G210" s="9" t="str">
        <f t="shared" si="83"/>
        <v>NOT ACHIEVED</v>
      </c>
      <c r="H210" s="3" t="s">
        <v>643</v>
      </c>
      <c r="I210" s="3" t="s">
        <v>651</v>
      </c>
      <c r="J210" s="3" t="s">
        <v>667</v>
      </c>
      <c r="K210" s="13" t="str">
        <f t="shared" si="84"/>
        <v>Europe &gt; France &gt; Marseille</v>
      </c>
      <c r="L210" s="3" t="s">
        <v>698</v>
      </c>
      <c r="M210" s="3" t="s">
        <v>705</v>
      </c>
      <c r="N210" s="13" t="str">
        <f t="shared" si="71"/>
        <v>Direct</v>
      </c>
      <c r="O210" s="3" t="s">
        <v>706</v>
      </c>
      <c r="P210" s="3" t="s">
        <v>727</v>
      </c>
      <c r="Q210" s="13" t="str">
        <f t="shared" si="72"/>
        <v>Low</v>
      </c>
      <c r="R210" s="3" t="s">
        <v>1319</v>
      </c>
      <c r="S210" s="7">
        <v>318.83</v>
      </c>
      <c r="T210" s="7">
        <f t="shared" si="85"/>
        <v>366.65449999999993</v>
      </c>
      <c r="U210" s="7">
        <v>699.5</v>
      </c>
      <c r="V210" s="7">
        <f t="shared" si="73"/>
        <v>699.5</v>
      </c>
      <c r="W210" s="7">
        <f t="shared" si="86"/>
        <v>804.42499999999995</v>
      </c>
      <c r="X210" s="16">
        <v>0.08</v>
      </c>
      <c r="Y210" t="str">
        <f t="shared" si="74"/>
        <v>OK</v>
      </c>
      <c r="Z210" s="16">
        <f t="shared" si="75"/>
        <v>0.08</v>
      </c>
      <c r="AA210" s="16">
        <f t="shared" si="87"/>
        <v>0.08</v>
      </c>
      <c r="AB210" s="9">
        <v>13</v>
      </c>
      <c r="AC210" s="9">
        <f t="shared" si="88"/>
        <v>15.6</v>
      </c>
      <c r="AD210" s="9">
        <f t="shared" si="76"/>
        <v>8366.02</v>
      </c>
      <c r="AE210" s="9">
        <f t="shared" si="89"/>
        <v>13552.9524</v>
      </c>
      <c r="AF210" s="9">
        <f t="shared" si="77"/>
        <v>4144.79</v>
      </c>
      <c r="AG210" s="9">
        <f t="shared" si="78"/>
        <v>4221.2300000000005</v>
      </c>
      <c r="AH210" s="9">
        <f t="shared" si="90"/>
        <v>9408.1624000000011</v>
      </c>
      <c r="AI210">
        <f t="shared" si="79"/>
        <v>0.50456848059172699</v>
      </c>
      <c r="AJ210" s="5">
        <f t="shared" si="80"/>
        <v>44928</v>
      </c>
      <c r="AK210" t="str">
        <f t="shared" si="81"/>
        <v>Jan-2023</v>
      </c>
      <c r="AL210">
        <v>0</v>
      </c>
      <c r="AM210">
        <v>0</v>
      </c>
      <c r="AN210">
        <v>0</v>
      </c>
    </row>
    <row r="211" spans="1:40" x14ac:dyDescent="0.45">
      <c r="A211" s="3" t="s">
        <v>610</v>
      </c>
      <c r="B211" s="5">
        <v>45880</v>
      </c>
      <c r="C211" s="9" t="str">
        <f t="shared" si="69"/>
        <v>Aug-2025</v>
      </c>
      <c r="D211" s="5" t="str">
        <f t="shared" si="70"/>
        <v>2025-Q3</v>
      </c>
      <c r="E211" s="5">
        <v>45897</v>
      </c>
      <c r="F211" s="9">
        <f t="shared" si="82"/>
        <v>17</v>
      </c>
      <c r="G211" s="9" t="str">
        <f t="shared" si="83"/>
        <v>NOT ACHIEVED</v>
      </c>
      <c r="H211" s="3" t="s">
        <v>643</v>
      </c>
      <c r="I211" s="3" t="s">
        <v>651</v>
      </c>
      <c r="J211" s="3" t="s">
        <v>684</v>
      </c>
      <c r="K211" s="13" t="str">
        <f t="shared" si="84"/>
        <v>Europe &gt; France &gt; Paris</v>
      </c>
      <c r="L211" s="3" t="s">
        <v>696</v>
      </c>
      <c r="M211" s="3" t="s">
        <v>702</v>
      </c>
      <c r="N211" s="13" t="str">
        <f t="shared" si="71"/>
        <v>Online</v>
      </c>
      <c r="O211" s="3" t="s">
        <v>715</v>
      </c>
      <c r="P211" s="3" t="s">
        <v>723</v>
      </c>
      <c r="Q211" s="13" t="str">
        <f t="shared" si="72"/>
        <v>Low</v>
      </c>
      <c r="R211" s="3" t="s">
        <v>1327</v>
      </c>
      <c r="S211" s="7">
        <v>416.16</v>
      </c>
      <c r="T211" s="7">
        <f t="shared" si="85"/>
        <v>478.584</v>
      </c>
      <c r="U211" s="7">
        <v>571.9</v>
      </c>
      <c r="V211" s="7">
        <f t="shared" si="73"/>
        <v>571.9</v>
      </c>
      <c r="W211" s="7">
        <f t="shared" si="86"/>
        <v>657.68499999999995</v>
      </c>
      <c r="X211" s="16">
        <v>7.0999999999999994E-2</v>
      </c>
      <c r="Y211" t="str">
        <f t="shared" si="74"/>
        <v>OK</v>
      </c>
      <c r="Z211" s="16">
        <f t="shared" si="75"/>
        <v>7.0999999999999994E-2</v>
      </c>
      <c r="AA211" s="16">
        <f t="shared" si="87"/>
        <v>7.0999999999999994E-2</v>
      </c>
      <c r="AB211" s="9">
        <v>2</v>
      </c>
      <c r="AC211" s="9">
        <f t="shared" si="88"/>
        <v>2.4</v>
      </c>
      <c r="AD211" s="9">
        <f t="shared" si="76"/>
        <v>1062.5902000000001</v>
      </c>
      <c r="AE211" s="9">
        <f t="shared" si="89"/>
        <v>1690.5135239999997</v>
      </c>
      <c r="AF211" s="9">
        <f t="shared" si="77"/>
        <v>832.32</v>
      </c>
      <c r="AG211" s="9">
        <f t="shared" si="78"/>
        <v>230.27020000000005</v>
      </c>
      <c r="AH211" s="9">
        <f t="shared" si="90"/>
        <v>858.19352399999968</v>
      </c>
      <c r="AI211">
        <f t="shared" si="79"/>
        <v>0.21670649701079497</v>
      </c>
      <c r="AJ211" s="5">
        <f t="shared" si="80"/>
        <v>44928</v>
      </c>
      <c r="AK211" t="str">
        <f t="shared" si="81"/>
        <v>Jan-2023</v>
      </c>
      <c r="AL211">
        <v>0</v>
      </c>
      <c r="AM211">
        <v>0</v>
      </c>
      <c r="AN211">
        <v>0</v>
      </c>
    </row>
    <row r="212" spans="1:40" x14ac:dyDescent="0.45">
      <c r="A212" s="3" t="s">
        <v>622</v>
      </c>
      <c r="B212" s="5">
        <v>45137</v>
      </c>
      <c r="C212" s="9" t="str">
        <f t="shared" si="69"/>
        <v>Jul-2023</v>
      </c>
      <c r="D212" s="5" t="str">
        <f t="shared" si="70"/>
        <v>2023-Q3</v>
      </c>
      <c r="E212" s="5">
        <v>45157</v>
      </c>
      <c r="F212" s="9">
        <f t="shared" si="82"/>
        <v>20</v>
      </c>
      <c r="G212" s="9" t="str">
        <f t="shared" si="83"/>
        <v>NOT ACHIEVED</v>
      </c>
      <c r="H212" s="3" t="s">
        <v>643</v>
      </c>
      <c r="I212" s="3" t="s">
        <v>651</v>
      </c>
      <c r="J212" s="3" t="s">
        <v>684</v>
      </c>
      <c r="K212" s="13" t="str">
        <f t="shared" si="84"/>
        <v>Europe &gt; France &gt; Paris</v>
      </c>
      <c r="L212" s="3" t="s">
        <v>700</v>
      </c>
      <c r="M212" s="3" t="s">
        <v>703</v>
      </c>
      <c r="N212" s="13" t="str">
        <f t="shared" si="71"/>
        <v>Marketplace</v>
      </c>
      <c r="O212" s="3" t="s">
        <v>709</v>
      </c>
      <c r="P212" s="3" t="s">
        <v>723</v>
      </c>
      <c r="Q212" s="13" t="str">
        <f t="shared" si="72"/>
        <v>High</v>
      </c>
      <c r="R212" s="3" t="s">
        <v>1339</v>
      </c>
      <c r="S212" s="7">
        <v>1418.51</v>
      </c>
      <c r="T212" s="7">
        <f t="shared" si="85"/>
        <v>1631.2864999999999</v>
      </c>
      <c r="U212" s="7">
        <v>2789.61</v>
      </c>
      <c r="V212" s="7">
        <f t="shared" si="73"/>
        <v>2789.61</v>
      </c>
      <c r="W212" s="7">
        <f t="shared" si="86"/>
        <v>3208.0515</v>
      </c>
      <c r="X212" s="16">
        <v>0.17100000000000001</v>
      </c>
      <c r="Y212" t="str">
        <f t="shared" si="74"/>
        <v>OK</v>
      </c>
      <c r="Z212" s="16">
        <f t="shared" si="75"/>
        <v>0.17100000000000001</v>
      </c>
      <c r="AA212" s="16">
        <f t="shared" si="87"/>
        <v>0.17100000000000001</v>
      </c>
      <c r="AB212" s="9">
        <v>8</v>
      </c>
      <c r="AC212" s="9">
        <f t="shared" si="88"/>
        <v>9.6</v>
      </c>
      <c r="AD212" s="9">
        <f t="shared" si="76"/>
        <v>18500.693520000001</v>
      </c>
      <c r="AE212" s="9">
        <f t="shared" si="89"/>
        <v>36063.631742400001</v>
      </c>
      <c r="AF212" s="9">
        <f t="shared" si="77"/>
        <v>11348.08</v>
      </c>
      <c r="AG212" s="9">
        <f t="shared" si="78"/>
        <v>7152.6135200000008</v>
      </c>
      <c r="AH212" s="9">
        <f t="shared" si="90"/>
        <v>24715.551742399999</v>
      </c>
      <c r="AI212">
        <f t="shared" si="79"/>
        <v>0.38661326464695689</v>
      </c>
      <c r="AJ212" s="5">
        <f t="shared" si="80"/>
        <v>44928</v>
      </c>
      <c r="AK212" t="str">
        <f t="shared" si="81"/>
        <v>Jan-2023</v>
      </c>
      <c r="AL212">
        <v>0</v>
      </c>
      <c r="AM212">
        <v>0</v>
      </c>
      <c r="AN212">
        <v>0</v>
      </c>
    </row>
    <row r="213" spans="1:40" x14ac:dyDescent="0.45">
      <c r="A213" s="3" t="s">
        <v>627</v>
      </c>
      <c r="B213" s="5">
        <v>45578</v>
      </c>
      <c r="C213" s="9" t="str">
        <f t="shared" si="69"/>
        <v>Oct-2024</v>
      </c>
      <c r="D213" s="5" t="str">
        <f t="shared" si="70"/>
        <v>2024-Q4</v>
      </c>
      <c r="E213" s="5">
        <v>45589</v>
      </c>
      <c r="F213" s="9">
        <f t="shared" si="82"/>
        <v>11</v>
      </c>
      <c r="G213" s="9" t="str">
        <f t="shared" si="83"/>
        <v>NOT ACHIEVED</v>
      </c>
      <c r="H213" s="3" t="s">
        <v>643</v>
      </c>
      <c r="I213" s="3" t="s">
        <v>651</v>
      </c>
      <c r="J213" s="3" t="s">
        <v>684</v>
      </c>
      <c r="K213" s="13" t="str">
        <f t="shared" si="84"/>
        <v>Europe &gt; France &gt; Paris</v>
      </c>
      <c r="L213" s="3" t="s">
        <v>696</v>
      </c>
      <c r="M213" s="3" t="s">
        <v>704</v>
      </c>
      <c r="N213" s="13" t="str">
        <f t="shared" si="71"/>
        <v>Distributor</v>
      </c>
      <c r="O213" s="3" t="s">
        <v>715</v>
      </c>
      <c r="P213" s="3" t="s">
        <v>721</v>
      </c>
      <c r="Q213" s="13" t="str">
        <f t="shared" si="72"/>
        <v>Medium</v>
      </c>
      <c r="R213" s="3" t="s">
        <v>1344</v>
      </c>
      <c r="S213" s="7">
        <v>816.7</v>
      </c>
      <c r="T213" s="7">
        <f t="shared" si="85"/>
        <v>939.20499999999993</v>
      </c>
      <c r="U213" s="7">
        <v>1010.75</v>
      </c>
      <c r="V213" s="7">
        <f t="shared" si="73"/>
        <v>1010.75</v>
      </c>
      <c r="W213" s="7">
        <f t="shared" si="86"/>
        <v>1162.3625</v>
      </c>
      <c r="X213" s="16">
        <v>4.7E-2</v>
      </c>
      <c r="Y213" t="str">
        <f t="shared" si="74"/>
        <v>OK</v>
      </c>
      <c r="Z213" s="16">
        <f t="shared" si="75"/>
        <v>4.7E-2</v>
      </c>
      <c r="AA213" s="16">
        <f t="shared" si="87"/>
        <v>4.7E-2</v>
      </c>
      <c r="AB213" s="9">
        <v>43</v>
      </c>
      <c r="AC213" s="9">
        <f t="shared" si="88"/>
        <v>51.6</v>
      </c>
      <c r="AD213" s="9">
        <f t="shared" si="76"/>
        <v>41419.524249999995</v>
      </c>
      <c r="AE213" s="9">
        <f t="shared" si="89"/>
        <v>62796.866534999994</v>
      </c>
      <c r="AF213" s="9">
        <f t="shared" si="77"/>
        <v>35118.1</v>
      </c>
      <c r="AG213" s="9">
        <f t="shared" si="78"/>
        <v>6301.4242499999964</v>
      </c>
      <c r="AH213" s="9">
        <f t="shared" si="90"/>
        <v>27678.766534999995</v>
      </c>
      <c r="AI213">
        <f t="shared" si="79"/>
        <v>0.15213656757537472</v>
      </c>
      <c r="AJ213" s="5">
        <f t="shared" si="80"/>
        <v>44928</v>
      </c>
      <c r="AK213" t="str">
        <f t="shared" si="81"/>
        <v>Jan-2023</v>
      </c>
      <c r="AL213">
        <v>0</v>
      </c>
      <c r="AM213">
        <v>0</v>
      </c>
      <c r="AN213">
        <v>0</v>
      </c>
    </row>
    <row r="214" spans="1:40" x14ac:dyDescent="0.45">
      <c r="A214" s="3" t="s">
        <v>19</v>
      </c>
      <c r="B214" s="5">
        <v>45319</v>
      </c>
      <c r="C214" s="9" t="str">
        <f t="shared" si="69"/>
        <v>Jan-2024</v>
      </c>
      <c r="D214" s="5" t="str">
        <f t="shared" si="70"/>
        <v>2024-Q1</v>
      </c>
      <c r="E214" s="5">
        <v>45331</v>
      </c>
      <c r="F214" s="9">
        <f t="shared" si="82"/>
        <v>12</v>
      </c>
      <c r="G214" s="9" t="str">
        <f t="shared" si="83"/>
        <v>NOT ACHIEVED</v>
      </c>
      <c r="H214" s="3" t="s">
        <v>643</v>
      </c>
      <c r="I214" s="3" t="s">
        <v>650</v>
      </c>
      <c r="J214" s="3" t="s">
        <v>665</v>
      </c>
      <c r="K214" s="13" t="str">
        <f t="shared" si="84"/>
        <v>Europe &gt; Germany &gt; Berlin</v>
      </c>
      <c r="L214" s="3" t="s">
        <v>695</v>
      </c>
      <c r="M214" s="3" t="s">
        <v>702</v>
      </c>
      <c r="N214" s="13" t="str">
        <f t="shared" si="71"/>
        <v>Online</v>
      </c>
      <c r="O214" s="3" t="s">
        <v>709</v>
      </c>
      <c r="P214" s="3" t="s">
        <v>727</v>
      </c>
      <c r="Q214" s="13" t="str">
        <f t="shared" si="72"/>
        <v>Low</v>
      </c>
      <c r="R214" s="3" t="s">
        <v>738</v>
      </c>
      <c r="S214" s="7">
        <v>644.16999999999996</v>
      </c>
      <c r="T214" s="7">
        <f t="shared" si="85"/>
        <v>740.79549999999995</v>
      </c>
      <c r="U214" s="7">
        <v>700.12</v>
      </c>
      <c r="V214" s="7">
        <f t="shared" si="73"/>
        <v>700.12</v>
      </c>
      <c r="W214" s="7">
        <f t="shared" si="86"/>
        <v>805.13799999999992</v>
      </c>
      <c r="X214" s="16">
        <v>6.0000000000000001E-3</v>
      </c>
      <c r="Y214" t="str">
        <f t="shared" si="74"/>
        <v>OK</v>
      </c>
      <c r="Z214" s="16">
        <f t="shared" si="75"/>
        <v>6.0000000000000001E-3</v>
      </c>
      <c r="AA214" s="16">
        <f t="shared" si="87"/>
        <v>6.0000000000000001E-3</v>
      </c>
      <c r="AB214" s="9">
        <v>23</v>
      </c>
      <c r="AC214" s="9">
        <f t="shared" si="88"/>
        <v>27.599999999999998</v>
      </c>
      <c r="AD214" s="9">
        <f t="shared" si="76"/>
        <v>16006.14344</v>
      </c>
      <c r="AE214" s="9">
        <f t="shared" si="89"/>
        <v>22355.139652799997</v>
      </c>
      <c r="AF214" s="9">
        <f t="shared" si="77"/>
        <v>14815.91</v>
      </c>
      <c r="AG214" s="9">
        <f t="shared" si="78"/>
        <v>1190.23344</v>
      </c>
      <c r="AH214" s="9">
        <f t="shared" si="90"/>
        <v>7539.229652799997</v>
      </c>
      <c r="AI214">
        <f t="shared" si="79"/>
        <v>7.436103796405813E-2</v>
      </c>
      <c r="AJ214" s="5">
        <f t="shared" si="80"/>
        <v>44928</v>
      </c>
      <c r="AK214" t="str">
        <f t="shared" si="81"/>
        <v>Jan-2023</v>
      </c>
      <c r="AL214">
        <v>0</v>
      </c>
      <c r="AM214">
        <v>0</v>
      </c>
      <c r="AN214">
        <v>0</v>
      </c>
    </row>
    <row r="215" spans="1:40" x14ac:dyDescent="0.45">
      <c r="A215" s="3" t="s">
        <v>45</v>
      </c>
      <c r="B215" s="5">
        <v>45358</v>
      </c>
      <c r="C215" s="9" t="str">
        <f t="shared" si="69"/>
        <v>Mar-2024</v>
      </c>
      <c r="D215" s="5" t="str">
        <f t="shared" si="70"/>
        <v>2024-Q1</v>
      </c>
      <c r="E215" s="5">
        <v>45376</v>
      </c>
      <c r="F215" s="9">
        <f t="shared" si="82"/>
        <v>18</v>
      </c>
      <c r="G215" s="9" t="str">
        <f t="shared" si="83"/>
        <v>NOT ACHIEVED</v>
      </c>
      <c r="H215" s="3" t="s">
        <v>643</v>
      </c>
      <c r="I215" s="3" t="s">
        <v>650</v>
      </c>
      <c r="J215" s="3" t="s">
        <v>678</v>
      </c>
      <c r="K215" s="13" t="str">
        <f t="shared" si="84"/>
        <v>Europe &gt; Germany &gt; Munich</v>
      </c>
      <c r="L215" s="3" t="s">
        <v>695</v>
      </c>
      <c r="M215" s="3" t="s">
        <v>702</v>
      </c>
      <c r="N215" s="13" t="str">
        <f t="shared" si="71"/>
        <v>Online</v>
      </c>
      <c r="O215" s="3" t="s">
        <v>711</v>
      </c>
      <c r="P215" s="3" t="s">
        <v>721</v>
      </c>
      <c r="Q215" s="13" t="str">
        <f t="shared" si="72"/>
        <v>Medium</v>
      </c>
      <c r="R215" s="3" t="s">
        <v>764</v>
      </c>
      <c r="S215" s="7">
        <v>712.84</v>
      </c>
      <c r="T215" s="7">
        <f t="shared" si="85"/>
        <v>819.76599999999996</v>
      </c>
      <c r="U215" s="7">
        <v>927.51</v>
      </c>
      <c r="V215" s="7">
        <f t="shared" si="73"/>
        <v>927.51</v>
      </c>
      <c r="W215" s="7">
        <f t="shared" si="86"/>
        <v>1066.6364999999998</v>
      </c>
      <c r="X215" s="16">
        <v>0.24299999999999999</v>
      </c>
      <c r="Y215" t="str">
        <f t="shared" si="74"/>
        <v>OK</v>
      </c>
      <c r="Z215" s="16">
        <f t="shared" si="75"/>
        <v>0.24299999999999999</v>
      </c>
      <c r="AA215" s="16">
        <f t="shared" si="87"/>
        <v>0.24299999999999999</v>
      </c>
      <c r="AB215" s="9">
        <v>27</v>
      </c>
      <c r="AC215" s="9">
        <f t="shared" si="88"/>
        <v>32.4</v>
      </c>
      <c r="AD215" s="9">
        <f t="shared" si="76"/>
        <v>18957.37689</v>
      </c>
      <c r="AE215" s="9">
        <f t="shared" si="89"/>
        <v>42956.865091799991</v>
      </c>
      <c r="AF215" s="9">
        <f t="shared" si="77"/>
        <v>19246.68</v>
      </c>
      <c r="AG215" s="9">
        <f t="shared" si="78"/>
        <v>-289.30311000000074</v>
      </c>
      <c r="AH215" s="9">
        <f t="shared" si="90"/>
        <v>23710.185091799991</v>
      </c>
      <c r="AI215">
        <f t="shared" si="79"/>
        <v>-1.5260714163076427E-2</v>
      </c>
      <c r="AJ215" s="5">
        <f t="shared" si="80"/>
        <v>44928</v>
      </c>
      <c r="AK215" t="str">
        <f t="shared" si="81"/>
        <v>Jan-2023</v>
      </c>
      <c r="AL215">
        <v>0</v>
      </c>
      <c r="AM215">
        <v>0</v>
      </c>
      <c r="AN215">
        <v>0</v>
      </c>
    </row>
    <row r="216" spans="1:40" x14ac:dyDescent="0.45">
      <c r="A216" s="3" t="s">
        <v>49</v>
      </c>
      <c r="B216" s="5">
        <v>45531</v>
      </c>
      <c r="C216" s="9" t="str">
        <f t="shared" si="69"/>
        <v>Aug-2024</v>
      </c>
      <c r="D216" s="5" t="str">
        <f t="shared" si="70"/>
        <v>2024-Q3</v>
      </c>
      <c r="E216" s="5">
        <v>45554</v>
      </c>
      <c r="F216" s="9">
        <f t="shared" si="82"/>
        <v>23</v>
      </c>
      <c r="G216" s="9" t="str">
        <f t="shared" si="83"/>
        <v>NOT ACHIEVED</v>
      </c>
      <c r="H216" s="3" t="s">
        <v>643</v>
      </c>
      <c r="I216" s="3" t="s">
        <v>650</v>
      </c>
      <c r="J216" s="3" t="s">
        <v>665</v>
      </c>
      <c r="K216" s="13" t="str">
        <f t="shared" si="84"/>
        <v>Europe &gt; Germany &gt; Berlin</v>
      </c>
      <c r="L216" s="3" t="s">
        <v>699</v>
      </c>
      <c r="M216" s="3" t="s">
        <v>705</v>
      </c>
      <c r="N216" s="13" t="str">
        <f t="shared" si="71"/>
        <v>Direct</v>
      </c>
      <c r="O216" s="3" t="s">
        <v>720</v>
      </c>
      <c r="P216" s="3" t="s">
        <v>726</v>
      </c>
      <c r="Q216" s="13" t="str">
        <f t="shared" si="72"/>
        <v>Medium</v>
      </c>
      <c r="R216" s="3" t="s">
        <v>768</v>
      </c>
      <c r="S216" s="7">
        <v>1024.01</v>
      </c>
      <c r="T216" s="7">
        <f t="shared" si="85"/>
        <v>1177.6115</v>
      </c>
      <c r="U216" s="7">
        <v>1580.97</v>
      </c>
      <c r="V216" s="7">
        <f t="shared" si="73"/>
        <v>1580.97</v>
      </c>
      <c r="W216" s="7">
        <f t="shared" si="86"/>
        <v>1818.1154999999999</v>
      </c>
      <c r="X216" s="16">
        <v>3.6999999999999998E-2</v>
      </c>
      <c r="Y216" t="str">
        <f t="shared" si="74"/>
        <v>OK</v>
      </c>
      <c r="Z216" s="16">
        <f t="shared" si="75"/>
        <v>3.6999999999999998E-2</v>
      </c>
      <c r="AA216" s="16">
        <f t="shared" si="87"/>
        <v>3.6999999999999998E-2</v>
      </c>
      <c r="AB216" s="9">
        <v>27</v>
      </c>
      <c r="AC216" s="9">
        <f t="shared" si="88"/>
        <v>32.4</v>
      </c>
      <c r="AD216" s="9">
        <f t="shared" si="76"/>
        <v>41106.800970000004</v>
      </c>
      <c r="AE216" s="9">
        <f t="shared" si="89"/>
        <v>61086.499061399983</v>
      </c>
      <c r="AF216" s="9">
        <f t="shared" si="77"/>
        <v>27648.27</v>
      </c>
      <c r="AG216" s="9">
        <f t="shared" si="78"/>
        <v>13458.530970000003</v>
      </c>
      <c r="AH216" s="9">
        <f t="shared" si="90"/>
        <v>33438.229061399979</v>
      </c>
      <c r="AI216">
        <f t="shared" si="79"/>
        <v>0.3274039976942531</v>
      </c>
      <c r="AJ216" s="5">
        <f t="shared" si="80"/>
        <v>44928</v>
      </c>
      <c r="AK216" t="str">
        <f t="shared" si="81"/>
        <v>Jan-2023</v>
      </c>
      <c r="AL216">
        <v>0</v>
      </c>
      <c r="AM216">
        <v>0</v>
      </c>
      <c r="AN216">
        <v>0</v>
      </c>
    </row>
    <row r="217" spans="1:40" x14ac:dyDescent="0.45">
      <c r="A217" s="3" t="s">
        <v>52</v>
      </c>
      <c r="B217" s="5">
        <v>45806</v>
      </c>
      <c r="C217" s="9" t="str">
        <f t="shared" si="69"/>
        <v>May-2025</v>
      </c>
      <c r="D217" s="5" t="str">
        <f t="shared" si="70"/>
        <v>2025-Q2</v>
      </c>
      <c r="E217" s="5">
        <v>45828</v>
      </c>
      <c r="F217" s="9">
        <f t="shared" si="82"/>
        <v>22</v>
      </c>
      <c r="G217" s="9" t="str">
        <f t="shared" si="83"/>
        <v>NOT ACHIEVED</v>
      </c>
      <c r="H217" s="3" t="s">
        <v>643</v>
      </c>
      <c r="I217" s="3" t="s">
        <v>650</v>
      </c>
      <c r="J217" s="3" t="s">
        <v>665</v>
      </c>
      <c r="K217" s="13" t="str">
        <f t="shared" si="84"/>
        <v>Europe &gt; Germany &gt; Berlin</v>
      </c>
      <c r="L217" s="3" t="s">
        <v>695</v>
      </c>
      <c r="M217" s="3" t="s">
        <v>705</v>
      </c>
      <c r="N217" s="13" t="str">
        <f t="shared" si="71"/>
        <v>Direct</v>
      </c>
      <c r="O217" s="3" t="s">
        <v>714</v>
      </c>
      <c r="P217" s="3" t="s">
        <v>722</v>
      </c>
      <c r="Q217" s="13" t="str">
        <f t="shared" si="72"/>
        <v>Medium</v>
      </c>
      <c r="R217" s="3" t="s">
        <v>771</v>
      </c>
      <c r="S217" s="7">
        <v>483.47</v>
      </c>
      <c r="T217" s="7">
        <f t="shared" si="85"/>
        <v>555.9905</v>
      </c>
      <c r="U217" s="7">
        <v>1135.43</v>
      </c>
      <c r="V217" s="7">
        <f t="shared" si="73"/>
        <v>1135.43</v>
      </c>
      <c r="W217" s="7">
        <f t="shared" si="86"/>
        <v>1305.7445</v>
      </c>
      <c r="X217" s="16">
        <v>0.14599999999999999</v>
      </c>
      <c r="Y217" t="str">
        <f t="shared" si="74"/>
        <v>OK</v>
      </c>
      <c r="Z217" s="16">
        <f t="shared" si="75"/>
        <v>0.14599999999999999</v>
      </c>
      <c r="AA217" s="16">
        <f t="shared" si="87"/>
        <v>0.14599999999999999</v>
      </c>
      <c r="AB217" s="9">
        <v>11</v>
      </c>
      <c r="AC217" s="9">
        <f t="shared" si="88"/>
        <v>13.2</v>
      </c>
      <c r="AD217" s="9">
        <f t="shared" si="76"/>
        <v>10666.229420000001</v>
      </c>
      <c r="AE217" s="9">
        <f t="shared" si="89"/>
        <v>19752.258200399996</v>
      </c>
      <c r="AF217" s="9">
        <f t="shared" si="77"/>
        <v>5318.17</v>
      </c>
      <c r="AG217" s="9">
        <f t="shared" si="78"/>
        <v>5348.0594200000014</v>
      </c>
      <c r="AH217" s="9">
        <f t="shared" si="90"/>
        <v>14434.088200399996</v>
      </c>
      <c r="AI217">
        <f t="shared" si="79"/>
        <v>0.50140112399719983</v>
      </c>
      <c r="AJ217" s="5">
        <f t="shared" si="80"/>
        <v>44928</v>
      </c>
      <c r="AK217" t="str">
        <f t="shared" si="81"/>
        <v>Jan-2023</v>
      </c>
      <c r="AL217">
        <v>0</v>
      </c>
      <c r="AM217">
        <v>0</v>
      </c>
      <c r="AN217">
        <v>0</v>
      </c>
    </row>
    <row r="218" spans="1:40" x14ac:dyDescent="0.45">
      <c r="A218" s="3" t="s">
        <v>63</v>
      </c>
      <c r="B218" s="5">
        <v>45168</v>
      </c>
      <c r="C218" s="9" t="str">
        <f t="shared" si="69"/>
        <v>Aug-2023</v>
      </c>
      <c r="D218" s="5" t="str">
        <f t="shared" si="70"/>
        <v>2023-Q3</v>
      </c>
      <c r="E218" s="5">
        <v>45170</v>
      </c>
      <c r="F218" s="9">
        <f t="shared" si="82"/>
        <v>2</v>
      </c>
      <c r="G218" s="9" t="str">
        <f t="shared" si="83"/>
        <v>ACHIEVED</v>
      </c>
      <c r="H218" s="3" t="s">
        <v>643</v>
      </c>
      <c r="I218" s="3" t="s">
        <v>650</v>
      </c>
      <c r="J218" s="3" t="s">
        <v>678</v>
      </c>
      <c r="K218" s="13" t="str">
        <f t="shared" si="84"/>
        <v>Europe &gt; Germany &gt; Munich</v>
      </c>
      <c r="L218" s="3" t="s">
        <v>695</v>
      </c>
      <c r="M218" s="3" t="s">
        <v>705</v>
      </c>
      <c r="N218" s="13" t="str">
        <f t="shared" si="71"/>
        <v>Direct</v>
      </c>
      <c r="O218" s="3" t="s">
        <v>719</v>
      </c>
      <c r="P218" s="3" t="s">
        <v>723</v>
      </c>
      <c r="Q218" s="13" t="str">
        <f t="shared" si="72"/>
        <v>Low</v>
      </c>
      <c r="R218" s="3" t="s">
        <v>782</v>
      </c>
      <c r="S218" s="7">
        <v>44.42</v>
      </c>
      <c r="T218" s="7">
        <f t="shared" si="85"/>
        <v>51.082999999999998</v>
      </c>
      <c r="U218" s="7">
        <v>41.9</v>
      </c>
      <c r="V218" s="7">
        <f t="shared" si="73"/>
        <v>41.9</v>
      </c>
      <c r="W218" s="7">
        <f t="shared" si="86"/>
        <v>48.184999999999995</v>
      </c>
      <c r="X218" s="16">
        <v>0.14399999999999999</v>
      </c>
      <c r="Y218" t="str">
        <f t="shared" si="74"/>
        <v>OK</v>
      </c>
      <c r="Z218" s="16">
        <f t="shared" si="75"/>
        <v>0.14399999999999999</v>
      </c>
      <c r="AA218" s="16">
        <f t="shared" si="87"/>
        <v>0.14399999999999999</v>
      </c>
      <c r="AB218" s="9">
        <v>6</v>
      </c>
      <c r="AC218" s="9">
        <f t="shared" si="88"/>
        <v>7.1999999999999993</v>
      </c>
      <c r="AD218" s="9">
        <f t="shared" si="76"/>
        <v>215.19839999999996</v>
      </c>
      <c r="AE218" s="9">
        <f t="shared" si="89"/>
        <v>396.89020799999986</v>
      </c>
      <c r="AF218" s="9">
        <f t="shared" si="77"/>
        <v>266.52</v>
      </c>
      <c r="AG218" s="9">
        <f t="shared" si="78"/>
        <v>-51.321600000000018</v>
      </c>
      <c r="AH218" s="9">
        <f t="shared" si="90"/>
        <v>130.37020799999988</v>
      </c>
      <c r="AI218">
        <f t="shared" si="79"/>
        <v>-0.23848504449847224</v>
      </c>
      <c r="AJ218" s="5">
        <f t="shared" si="80"/>
        <v>44928</v>
      </c>
      <c r="AK218" t="str">
        <f t="shared" si="81"/>
        <v>Jan-2023</v>
      </c>
      <c r="AL218">
        <v>0</v>
      </c>
      <c r="AM218">
        <v>0</v>
      </c>
      <c r="AN218">
        <v>0</v>
      </c>
    </row>
    <row r="219" spans="1:40" x14ac:dyDescent="0.45">
      <c r="A219" s="3" t="s">
        <v>66</v>
      </c>
      <c r="B219" s="5">
        <v>45643</v>
      </c>
      <c r="C219" s="9" t="str">
        <f t="shared" si="69"/>
        <v>Dec-2024</v>
      </c>
      <c r="D219" s="5" t="str">
        <f t="shared" si="70"/>
        <v>2024-Q4</v>
      </c>
      <c r="E219" s="5">
        <v>45644</v>
      </c>
      <c r="F219" s="9">
        <f t="shared" si="82"/>
        <v>1</v>
      </c>
      <c r="G219" s="9" t="str">
        <f t="shared" si="83"/>
        <v>ACHIEVED</v>
      </c>
      <c r="H219" s="3" t="s">
        <v>643</v>
      </c>
      <c r="I219" s="3" t="s">
        <v>650</v>
      </c>
      <c r="J219" s="3" t="s">
        <v>678</v>
      </c>
      <c r="K219" s="13" t="str">
        <f t="shared" si="84"/>
        <v>Europe &gt; Germany &gt; Munich</v>
      </c>
      <c r="L219" s="3" t="s">
        <v>696</v>
      </c>
      <c r="M219" s="3" t="s">
        <v>701</v>
      </c>
      <c r="N219" s="13" t="str">
        <f t="shared" si="71"/>
        <v>Retail</v>
      </c>
      <c r="O219" s="3" t="s">
        <v>710</v>
      </c>
      <c r="P219" s="3" t="s">
        <v>727</v>
      </c>
      <c r="Q219" s="13" t="str">
        <f t="shared" si="72"/>
        <v>Low</v>
      </c>
      <c r="R219" s="3" t="s">
        <v>785</v>
      </c>
      <c r="S219" s="7">
        <v>346.82</v>
      </c>
      <c r="T219" s="7">
        <f t="shared" si="85"/>
        <v>398.84299999999996</v>
      </c>
      <c r="U219" s="7">
        <v>701.95</v>
      </c>
      <c r="V219" s="7">
        <f t="shared" si="73"/>
        <v>701.95</v>
      </c>
      <c r="W219" s="7">
        <f t="shared" si="86"/>
        <v>807.24249999999995</v>
      </c>
      <c r="X219" s="16">
        <v>0.14699999999999999</v>
      </c>
      <c r="Y219" t="str">
        <f t="shared" si="74"/>
        <v>OK</v>
      </c>
      <c r="Z219" s="16">
        <f t="shared" si="75"/>
        <v>0.14699999999999999</v>
      </c>
      <c r="AA219" s="16">
        <f t="shared" si="87"/>
        <v>0.14699999999999999</v>
      </c>
      <c r="AB219" s="9">
        <v>8</v>
      </c>
      <c r="AC219" s="9">
        <f t="shared" si="88"/>
        <v>9.6</v>
      </c>
      <c r="AD219" s="9">
        <f t="shared" si="76"/>
        <v>4790.1068000000005</v>
      </c>
      <c r="AE219" s="9">
        <f t="shared" si="89"/>
        <v>8888.7086159999999</v>
      </c>
      <c r="AF219" s="9">
        <f t="shared" si="77"/>
        <v>2774.56</v>
      </c>
      <c r="AG219" s="9">
        <f t="shared" si="78"/>
        <v>2015.5468000000005</v>
      </c>
      <c r="AH219" s="9">
        <f t="shared" si="90"/>
        <v>6114.1486160000004</v>
      </c>
      <c r="AI219">
        <f t="shared" si="79"/>
        <v>0.42077283120284509</v>
      </c>
      <c r="AJ219" s="5">
        <f t="shared" si="80"/>
        <v>44928</v>
      </c>
      <c r="AK219" t="str">
        <f t="shared" si="81"/>
        <v>Jan-2023</v>
      </c>
      <c r="AL219">
        <v>0</v>
      </c>
      <c r="AM219">
        <v>0</v>
      </c>
      <c r="AN219">
        <v>0</v>
      </c>
    </row>
    <row r="220" spans="1:40" x14ac:dyDescent="0.45">
      <c r="A220" s="3" t="s">
        <v>79</v>
      </c>
      <c r="B220" s="5">
        <v>45369</v>
      </c>
      <c r="C220" s="9" t="str">
        <f t="shared" si="69"/>
        <v>Mar-2024</v>
      </c>
      <c r="D220" s="5" t="str">
        <f t="shared" si="70"/>
        <v>2024-Q1</v>
      </c>
      <c r="E220" s="5">
        <v>45372</v>
      </c>
      <c r="F220" s="9">
        <f t="shared" si="82"/>
        <v>3</v>
      </c>
      <c r="G220" s="9" t="str">
        <f t="shared" si="83"/>
        <v>ACHIEVED</v>
      </c>
      <c r="H220" s="3" t="s">
        <v>643</v>
      </c>
      <c r="I220" s="3" t="s">
        <v>650</v>
      </c>
      <c r="J220" s="3" t="s">
        <v>678</v>
      </c>
      <c r="K220" s="13" t="str">
        <f t="shared" si="84"/>
        <v>Europe &gt; Germany &gt; Munich</v>
      </c>
      <c r="L220" s="3" t="s">
        <v>699</v>
      </c>
      <c r="M220" s="3" t="s">
        <v>702</v>
      </c>
      <c r="N220" s="13" t="str">
        <f t="shared" si="71"/>
        <v>Online</v>
      </c>
      <c r="O220" s="3" t="s">
        <v>718</v>
      </c>
      <c r="P220" s="3" t="s">
        <v>727</v>
      </c>
      <c r="Q220" s="13" t="str">
        <f t="shared" si="72"/>
        <v>Medium</v>
      </c>
      <c r="R220" s="3" t="s">
        <v>798</v>
      </c>
      <c r="S220" s="7">
        <v>910.63</v>
      </c>
      <c r="T220" s="7">
        <f t="shared" si="85"/>
        <v>1047.2244999999998</v>
      </c>
      <c r="U220" s="7">
        <v>1269.4000000000001</v>
      </c>
      <c r="V220" s="7">
        <f t="shared" si="73"/>
        <v>1269.4000000000001</v>
      </c>
      <c r="W220" s="7">
        <f t="shared" si="86"/>
        <v>1459.81</v>
      </c>
      <c r="X220" s="16">
        <v>6.8000000000000005E-2</v>
      </c>
      <c r="Y220" t="str">
        <f t="shared" si="74"/>
        <v>OK</v>
      </c>
      <c r="Z220" s="16">
        <f t="shared" si="75"/>
        <v>6.8000000000000005E-2</v>
      </c>
      <c r="AA220" s="16">
        <f t="shared" si="87"/>
        <v>6.8000000000000005E-2</v>
      </c>
      <c r="AB220" s="9">
        <v>9</v>
      </c>
      <c r="AC220" s="9">
        <f t="shared" si="88"/>
        <v>10.799999999999999</v>
      </c>
      <c r="AD220" s="9">
        <f t="shared" si="76"/>
        <v>10647.727199999999</v>
      </c>
      <c r="AE220" s="9">
        <f t="shared" si="89"/>
        <v>16838.032464</v>
      </c>
      <c r="AF220" s="9">
        <f t="shared" si="77"/>
        <v>8195.67</v>
      </c>
      <c r="AG220" s="9">
        <f t="shared" si="78"/>
        <v>2452.0571999999993</v>
      </c>
      <c r="AH220" s="9">
        <f t="shared" si="90"/>
        <v>8642.3624639999998</v>
      </c>
      <c r="AI220">
        <f t="shared" si="79"/>
        <v>0.23028925834989455</v>
      </c>
      <c r="AJ220" s="5">
        <f t="shared" si="80"/>
        <v>44928</v>
      </c>
      <c r="AK220" t="str">
        <f t="shared" si="81"/>
        <v>Jan-2023</v>
      </c>
      <c r="AL220">
        <v>0</v>
      </c>
      <c r="AM220">
        <v>0</v>
      </c>
      <c r="AN220">
        <v>0</v>
      </c>
    </row>
    <row r="221" spans="1:40" x14ac:dyDescent="0.45">
      <c r="A221" s="3" t="s">
        <v>108</v>
      </c>
      <c r="B221" s="5">
        <v>44985</v>
      </c>
      <c r="C221" s="9" t="str">
        <f t="shared" si="69"/>
        <v>Feb-2023</v>
      </c>
      <c r="D221" s="5" t="str">
        <f t="shared" si="70"/>
        <v>2023-Q1</v>
      </c>
      <c r="E221" s="5">
        <v>45005</v>
      </c>
      <c r="F221" s="9">
        <f t="shared" si="82"/>
        <v>20</v>
      </c>
      <c r="G221" s="9" t="str">
        <f t="shared" si="83"/>
        <v>NOT ACHIEVED</v>
      </c>
      <c r="H221" s="3" t="s">
        <v>643</v>
      </c>
      <c r="I221" s="3" t="s">
        <v>650</v>
      </c>
      <c r="J221" s="3" t="s">
        <v>665</v>
      </c>
      <c r="K221" s="13" t="str">
        <f t="shared" si="84"/>
        <v>Europe &gt; Germany &gt; Berlin</v>
      </c>
      <c r="L221" s="3" t="s">
        <v>699</v>
      </c>
      <c r="M221" s="3" t="s">
        <v>705</v>
      </c>
      <c r="N221" s="13" t="str">
        <f t="shared" si="71"/>
        <v>Direct</v>
      </c>
      <c r="O221" s="3" t="s">
        <v>716</v>
      </c>
      <c r="P221" s="3" t="s">
        <v>725</v>
      </c>
      <c r="Q221" s="13" t="str">
        <f t="shared" si="72"/>
        <v>High</v>
      </c>
      <c r="R221" s="3" t="s">
        <v>827</v>
      </c>
      <c r="S221" s="7">
        <v>1200.78</v>
      </c>
      <c r="T221" s="7">
        <f t="shared" si="85"/>
        <v>1380.8969999999999</v>
      </c>
      <c r="U221" s="7">
        <v>2001.17</v>
      </c>
      <c r="V221" s="7">
        <f t="shared" si="73"/>
        <v>2001.17</v>
      </c>
      <c r="W221" s="7">
        <f t="shared" si="86"/>
        <v>2301.3454999999999</v>
      </c>
      <c r="X221" s="16">
        <v>0.29199999999999998</v>
      </c>
      <c r="Y221" t="str">
        <f t="shared" si="74"/>
        <v>OK</v>
      </c>
      <c r="Z221" s="16">
        <f t="shared" si="75"/>
        <v>0.29199999999999998</v>
      </c>
      <c r="AA221" s="16">
        <f t="shared" si="87"/>
        <v>0.25</v>
      </c>
      <c r="AB221" s="9">
        <v>18</v>
      </c>
      <c r="AC221" s="9">
        <f t="shared" si="88"/>
        <v>21.599999999999998</v>
      </c>
      <c r="AD221" s="9">
        <f t="shared" si="76"/>
        <v>25502.910479999999</v>
      </c>
      <c r="AE221" s="9">
        <f t="shared" si="89"/>
        <v>62136.328499999989</v>
      </c>
      <c r="AF221" s="9">
        <f t="shared" si="77"/>
        <v>21614.04</v>
      </c>
      <c r="AG221" s="9">
        <f t="shared" si="78"/>
        <v>3888.8704799999978</v>
      </c>
      <c r="AH221" s="9">
        <f t="shared" si="90"/>
        <v>40522.288499999988</v>
      </c>
      <c r="AI221">
        <f t="shared" si="79"/>
        <v>0.15248732034132906</v>
      </c>
      <c r="AJ221" s="5">
        <f t="shared" si="80"/>
        <v>44928</v>
      </c>
      <c r="AK221" t="str">
        <f t="shared" si="81"/>
        <v>Jan-2023</v>
      </c>
      <c r="AL221">
        <v>0</v>
      </c>
      <c r="AM221">
        <v>0</v>
      </c>
      <c r="AN221">
        <v>0</v>
      </c>
    </row>
    <row r="222" spans="1:40" x14ac:dyDescent="0.45">
      <c r="A222" s="3" t="s">
        <v>126</v>
      </c>
      <c r="B222" s="5">
        <v>45653</v>
      </c>
      <c r="C222" s="9" t="str">
        <f t="shared" si="69"/>
        <v>Dec-2024</v>
      </c>
      <c r="D222" s="5" t="str">
        <f t="shared" si="70"/>
        <v>2024-Q4</v>
      </c>
      <c r="E222" s="5">
        <v>45659</v>
      </c>
      <c r="F222" s="9">
        <f t="shared" si="82"/>
        <v>6</v>
      </c>
      <c r="G222" s="9" t="str">
        <f t="shared" si="83"/>
        <v>ACHIEVED</v>
      </c>
      <c r="H222" s="3" t="s">
        <v>643</v>
      </c>
      <c r="I222" s="3" t="s">
        <v>650</v>
      </c>
      <c r="J222" s="3" t="s">
        <v>692</v>
      </c>
      <c r="K222" s="13" t="str">
        <f t="shared" si="84"/>
        <v>Europe &gt; Germany &gt; Frankfurt</v>
      </c>
      <c r="L222" s="3" t="s">
        <v>696</v>
      </c>
      <c r="M222" s="3" t="s">
        <v>705</v>
      </c>
      <c r="N222" s="13" t="str">
        <f t="shared" si="71"/>
        <v>Direct</v>
      </c>
      <c r="O222" s="3" t="s">
        <v>715</v>
      </c>
      <c r="P222" s="3" t="s">
        <v>725</v>
      </c>
      <c r="Q222" s="13" t="str">
        <f t="shared" si="72"/>
        <v>High</v>
      </c>
      <c r="R222" s="3" t="s">
        <v>845</v>
      </c>
      <c r="S222" s="7">
        <v>1391.99</v>
      </c>
      <c r="T222" s="7">
        <f t="shared" si="85"/>
        <v>1600.7884999999999</v>
      </c>
      <c r="U222" s="7">
        <v>3469.7</v>
      </c>
      <c r="V222" s="7">
        <f t="shared" si="73"/>
        <v>3469.7</v>
      </c>
      <c r="W222" s="7">
        <f t="shared" si="86"/>
        <v>3990.1549999999993</v>
      </c>
      <c r="X222" s="16">
        <v>0.184</v>
      </c>
      <c r="Y222" t="str">
        <f t="shared" si="74"/>
        <v>OK</v>
      </c>
      <c r="Z222" s="16">
        <f t="shared" si="75"/>
        <v>0.184</v>
      </c>
      <c r="AA222" s="16">
        <f t="shared" si="87"/>
        <v>0.184</v>
      </c>
      <c r="AB222" s="9">
        <v>23</v>
      </c>
      <c r="AC222" s="9">
        <f t="shared" si="88"/>
        <v>27.599999999999998</v>
      </c>
      <c r="AD222" s="9">
        <f t="shared" si="76"/>
        <v>65119.329599999997</v>
      </c>
      <c r="AE222" s="9">
        <f t="shared" si="89"/>
        <v>130391.88115199997</v>
      </c>
      <c r="AF222" s="9">
        <f t="shared" si="77"/>
        <v>32015.77</v>
      </c>
      <c r="AG222" s="9">
        <f t="shared" si="78"/>
        <v>33103.559599999993</v>
      </c>
      <c r="AH222" s="9">
        <f t="shared" si="90"/>
        <v>98376.111151999969</v>
      </c>
      <c r="AI222">
        <f t="shared" si="79"/>
        <v>0.50835227886006973</v>
      </c>
      <c r="AJ222" s="5">
        <f t="shared" si="80"/>
        <v>44928</v>
      </c>
      <c r="AK222" t="str">
        <f t="shared" si="81"/>
        <v>Jan-2023</v>
      </c>
      <c r="AL222">
        <v>0</v>
      </c>
      <c r="AM222">
        <v>0</v>
      </c>
      <c r="AN222">
        <v>0</v>
      </c>
    </row>
    <row r="223" spans="1:40" x14ac:dyDescent="0.45">
      <c r="A223" s="3" t="s">
        <v>135</v>
      </c>
      <c r="B223" s="5">
        <v>45450</v>
      </c>
      <c r="C223" s="9" t="str">
        <f t="shared" si="69"/>
        <v>Jun-2024</v>
      </c>
      <c r="D223" s="5" t="str">
        <f t="shared" si="70"/>
        <v>2024-Q2</v>
      </c>
      <c r="E223" s="5">
        <v>45469</v>
      </c>
      <c r="F223" s="9">
        <f t="shared" si="82"/>
        <v>19</v>
      </c>
      <c r="G223" s="9" t="str">
        <f t="shared" si="83"/>
        <v>NOT ACHIEVED</v>
      </c>
      <c r="H223" s="3" t="s">
        <v>643</v>
      </c>
      <c r="I223" s="3" t="s">
        <v>650</v>
      </c>
      <c r="J223" s="3" t="s">
        <v>665</v>
      </c>
      <c r="K223" s="13" t="str">
        <f t="shared" si="84"/>
        <v>Europe &gt; Germany &gt; Berlin</v>
      </c>
      <c r="L223" s="3" t="s">
        <v>697</v>
      </c>
      <c r="M223" s="3" t="s">
        <v>703</v>
      </c>
      <c r="N223" s="13" t="str">
        <f t="shared" si="71"/>
        <v>Marketplace</v>
      </c>
      <c r="O223" s="3" t="s">
        <v>718</v>
      </c>
      <c r="P223" s="3" t="s">
        <v>721</v>
      </c>
      <c r="Q223" s="13" t="str">
        <f t="shared" si="72"/>
        <v>High</v>
      </c>
      <c r="R223" s="3" t="s">
        <v>854</v>
      </c>
      <c r="S223" s="7">
        <v>1064.32</v>
      </c>
      <c r="T223" s="7">
        <f t="shared" si="85"/>
        <v>1223.9679999999998</v>
      </c>
      <c r="U223" s="7">
        <v>1848.39</v>
      </c>
      <c r="V223" s="7">
        <f t="shared" si="73"/>
        <v>1848.39</v>
      </c>
      <c r="W223" s="7">
        <f t="shared" si="86"/>
        <v>2125.6484999999998</v>
      </c>
      <c r="X223" s="16">
        <v>7.2999999999999995E-2</v>
      </c>
      <c r="Y223" t="str">
        <f t="shared" si="74"/>
        <v>OK</v>
      </c>
      <c r="Z223" s="16">
        <f t="shared" si="75"/>
        <v>7.2999999999999995E-2</v>
      </c>
      <c r="AA223" s="16">
        <f t="shared" si="87"/>
        <v>7.2999999999999995E-2</v>
      </c>
      <c r="AB223" s="9">
        <v>38</v>
      </c>
      <c r="AC223" s="9">
        <f t="shared" si="88"/>
        <v>45.6</v>
      </c>
      <c r="AD223" s="9">
        <f t="shared" si="76"/>
        <v>65111.38614000001</v>
      </c>
      <c r="AE223" s="9">
        <f t="shared" si="89"/>
        <v>104005.43032679999</v>
      </c>
      <c r="AF223" s="9">
        <f t="shared" si="77"/>
        <v>40444.159999999996</v>
      </c>
      <c r="AG223" s="9">
        <f t="shared" si="78"/>
        <v>24667.226140000013</v>
      </c>
      <c r="AH223" s="9">
        <f t="shared" si="90"/>
        <v>63561.270326799997</v>
      </c>
      <c r="AI223">
        <f t="shared" si="79"/>
        <v>0.3788465827921631</v>
      </c>
      <c r="AJ223" s="5">
        <f t="shared" si="80"/>
        <v>44928</v>
      </c>
      <c r="AK223" t="str">
        <f t="shared" si="81"/>
        <v>Jan-2023</v>
      </c>
      <c r="AL223">
        <v>0</v>
      </c>
      <c r="AM223">
        <v>0</v>
      </c>
      <c r="AN223">
        <v>0</v>
      </c>
    </row>
    <row r="224" spans="1:40" x14ac:dyDescent="0.45">
      <c r="A224" s="3" t="s">
        <v>150</v>
      </c>
      <c r="B224" s="5">
        <v>45649</v>
      </c>
      <c r="C224" s="9" t="str">
        <f t="shared" si="69"/>
        <v>Dec-2024</v>
      </c>
      <c r="D224" s="5" t="str">
        <f t="shared" si="70"/>
        <v>2024-Q4</v>
      </c>
      <c r="E224" s="5">
        <v>45668</v>
      </c>
      <c r="F224" s="9">
        <f t="shared" si="82"/>
        <v>19</v>
      </c>
      <c r="G224" s="9" t="str">
        <f t="shared" si="83"/>
        <v>NOT ACHIEVED</v>
      </c>
      <c r="H224" s="3" t="s">
        <v>643</v>
      </c>
      <c r="I224" s="3" t="s">
        <v>650</v>
      </c>
      <c r="J224" s="3" t="s">
        <v>665</v>
      </c>
      <c r="K224" s="13" t="str">
        <f t="shared" si="84"/>
        <v>Europe &gt; Germany &gt; Berlin</v>
      </c>
      <c r="L224" s="3" t="s">
        <v>696</v>
      </c>
      <c r="M224" s="3" t="s">
        <v>701</v>
      </c>
      <c r="N224" s="13" t="str">
        <f t="shared" si="71"/>
        <v>Retail</v>
      </c>
      <c r="O224" s="3" t="s">
        <v>717</v>
      </c>
      <c r="P224" s="3" t="s">
        <v>724</v>
      </c>
      <c r="Q224" s="13" t="str">
        <f t="shared" si="72"/>
        <v>Medium</v>
      </c>
      <c r="R224" s="3" t="s">
        <v>869</v>
      </c>
      <c r="S224" s="7">
        <v>501.81</v>
      </c>
      <c r="T224" s="7">
        <f t="shared" si="85"/>
        <v>577.08150000000001</v>
      </c>
      <c r="U224" s="7">
        <v>921.62</v>
      </c>
      <c r="V224" s="7">
        <f t="shared" si="73"/>
        <v>921.62</v>
      </c>
      <c r="W224" s="7">
        <f t="shared" si="86"/>
        <v>1059.8629999999998</v>
      </c>
      <c r="X224" s="16">
        <v>0.01</v>
      </c>
      <c r="Y224" t="str">
        <f t="shared" si="74"/>
        <v>OK</v>
      </c>
      <c r="Z224" s="16">
        <f t="shared" si="75"/>
        <v>0.01</v>
      </c>
      <c r="AA224" s="16">
        <f t="shared" si="87"/>
        <v>0.01</v>
      </c>
      <c r="AB224" s="9">
        <v>9</v>
      </c>
      <c r="AC224" s="9">
        <f t="shared" si="88"/>
        <v>10.799999999999999</v>
      </c>
      <c r="AD224" s="9">
        <f t="shared" si="76"/>
        <v>8211.6342000000004</v>
      </c>
      <c r="AE224" s="9">
        <f t="shared" si="89"/>
        <v>11560.985603999998</v>
      </c>
      <c r="AF224" s="9">
        <f t="shared" si="77"/>
        <v>4516.29</v>
      </c>
      <c r="AG224" s="9">
        <f t="shared" si="78"/>
        <v>3695.3442000000005</v>
      </c>
      <c r="AH224" s="9">
        <f t="shared" si="90"/>
        <v>7044.6956039999977</v>
      </c>
      <c r="AI224">
        <f t="shared" si="79"/>
        <v>0.45001325071202031</v>
      </c>
      <c r="AJ224" s="5">
        <f t="shared" si="80"/>
        <v>44928</v>
      </c>
      <c r="AK224" t="str">
        <f t="shared" si="81"/>
        <v>Jan-2023</v>
      </c>
      <c r="AL224">
        <v>0</v>
      </c>
      <c r="AM224">
        <v>0</v>
      </c>
      <c r="AN224">
        <v>0</v>
      </c>
    </row>
    <row r="225" spans="1:40" x14ac:dyDescent="0.45">
      <c r="A225" s="3" t="s">
        <v>156</v>
      </c>
      <c r="B225" s="5">
        <v>45386</v>
      </c>
      <c r="C225" s="9" t="str">
        <f t="shared" si="69"/>
        <v>Apr-2024</v>
      </c>
      <c r="D225" s="5" t="str">
        <f t="shared" si="70"/>
        <v>2024-Q2</v>
      </c>
      <c r="E225" s="5">
        <v>45406</v>
      </c>
      <c r="F225" s="9">
        <f t="shared" si="82"/>
        <v>20</v>
      </c>
      <c r="G225" s="9" t="str">
        <f t="shared" si="83"/>
        <v>NOT ACHIEVED</v>
      </c>
      <c r="H225" s="3" t="s">
        <v>643</v>
      </c>
      <c r="I225" s="3" t="s">
        <v>650</v>
      </c>
      <c r="J225" s="3" t="s">
        <v>692</v>
      </c>
      <c r="K225" s="13" t="str">
        <f t="shared" si="84"/>
        <v>Europe &gt; Germany &gt; Frankfurt</v>
      </c>
      <c r="L225" s="3" t="s">
        <v>697</v>
      </c>
      <c r="M225" s="3" t="s">
        <v>705</v>
      </c>
      <c r="N225" s="13" t="str">
        <f t="shared" si="71"/>
        <v>Direct</v>
      </c>
      <c r="O225" s="3" t="s">
        <v>713</v>
      </c>
      <c r="P225" s="3" t="s">
        <v>727</v>
      </c>
      <c r="Q225" s="13" t="str">
        <f t="shared" si="72"/>
        <v>Medium</v>
      </c>
      <c r="R225" s="3" t="s">
        <v>875</v>
      </c>
      <c r="S225" s="7">
        <v>683.42</v>
      </c>
      <c r="T225" s="7">
        <f t="shared" si="85"/>
        <v>785.93299999999988</v>
      </c>
      <c r="U225" s="7">
        <v>951.51</v>
      </c>
      <c r="V225" s="7">
        <f t="shared" si="73"/>
        <v>951.51</v>
      </c>
      <c r="W225" s="7">
        <f t="shared" si="86"/>
        <v>1094.2365</v>
      </c>
      <c r="X225" s="16">
        <v>0</v>
      </c>
      <c r="Y225" t="str">
        <f t="shared" si="74"/>
        <v>OK</v>
      </c>
      <c r="Z225" s="16">
        <f t="shared" si="75"/>
        <v>0</v>
      </c>
      <c r="AA225" s="16">
        <f t="shared" si="87"/>
        <v>0</v>
      </c>
      <c r="AB225" s="9">
        <v>14</v>
      </c>
      <c r="AC225" s="9">
        <f t="shared" si="88"/>
        <v>16.8</v>
      </c>
      <c r="AD225" s="9">
        <f t="shared" si="76"/>
        <v>13321.14</v>
      </c>
      <c r="AE225" s="9">
        <f t="shared" si="89"/>
        <v>18383.173200000001</v>
      </c>
      <c r="AF225" s="9">
        <f t="shared" si="77"/>
        <v>9567.8799999999992</v>
      </c>
      <c r="AG225" s="9">
        <f t="shared" si="78"/>
        <v>3753.26</v>
      </c>
      <c r="AH225" s="9">
        <f t="shared" si="90"/>
        <v>8815.2932000000019</v>
      </c>
      <c r="AI225">
        <f t="shared" si="79"/>
        <v>0.28175216235247136</v>
      </c>
      <c r="AJ225" s="5">
        <f t="shared" si="80"/>
        <v>44928</v>
      </c>
      <c r="AK225" t="str">
        <f t="shared" si="81"/>
        <v>Jan-2023</v>
      </c>
      <c r="AL225">
        <v>0</v>
      </c>
      <c r="AM225">
        <v>0</v>
      </c>
      <c r="AN225">
        <v>0</v>
      </c>
    </row>
    <row r="226" spans="1:40" x14ac:dyDescent="0.45">
      <c r="A226" s="3" t="s">
        <v>167</v>
      </c>
      <c r="B226" s="5">
        <v>45703</v>
      </c>
      <c r="C226" s="9" t="str">
        <f t="shared" si="69"/>
        <v>Feb-2025</v>
      </c>
      <c r="D226" s="5" t="str">
        <f t="shared" si="70"/>
        <v>2025-Q1</v>
      </c>
      <c r="E226" s="5">
        <v>45703</v>
      </c>
      <c r="F226" s="9">
        <f t="shared" si="82"/>
        <v>0</v>
      </c>
      <c r="G226" s="9" t="str">
        <f t="shared" si="83"/>
        <v>ACHIEVED</v>
      </c>
      <c r="H226" s="3" t="s">
        <v>643</v>
      </c>
      <c r="I226" s="3" t="s">
        <v>650</v>
      </c>
      <c r="J226" s="3" t="s">
        <v>692</v>
      </c>
      <c r="K226" s="13" t="str">
        <f t="shared" si="84"/>
        <v>Europe &gt; Germany &gt; Frankfurt</v>
      </c>
      <c r="L226" s="3" t="s">
        <v>699</v>
      </c>
      <c r="M226" s="3" t="s">
        <v>703</v>
      </c>
      <c r="N226" s="13" t="str">
        <f t="shared" si="71"/>
        <v>Marketplace</v>
      </c>
      <c r="O226" s="3" t="s">
        <v>710</v>
      </c>
      <c r="P226" s="3" t="s">
        <v>727</v>
      </c>
      <c r="Q226" s="13" t="str">
        <f t="shared" si="72"/>
        <v>High</v>
      </c>
      <c r="R226" s="3" t="s">
        <v>886</v>
      </c>
      <c r="S226" s="7">
        <v>815.83</v>
      </c>
      <c r="T226" s="7">
        <f t="shared" si="85"/>
        <v>938.20449999999994</v>
      </c>
      <c r="U226" s="7">
        <v>1982.18</v>
      </c>
      <c r="V226" s="7">
        <f t="shared" si="73"/>
        <v>1982.18</v>
      </c>
      <c r="W226" s="7">
        <f t="shared" si="86"/>
        <v>2279.5070000000001</v>
      </c>
      <c r="X226" s="16">
        <v>0.127</v>
      </c>
      <c r="Y226" t="str">
        <f t="shared" si="74"/>
        <v>OK</v>
      </c>
      <c r="Z226" s="16">
        <f t="shared" si="75"/>
        <v>0.127</v>
      </c>
      <c r="AA226" s="16">
        <f t="shared" si="87"/>
        <v>0.127</v>
      </c>
      <c r="AB226" s="9">
        <v>6</v>
      </c>
      <c r="AC226" s="9">
        <f t="shared" si="88"/>
        <v>7.1999999999999993</v>
      </c>
      <c r="AD226" s="9">
        <f t="shared" si="76"/>
        <v>10382.65884</v>
      </c>
      <c r="AE226" s="9">
        <f t="shared" si="89"/>
        <v>18496.831600799997</v>
      </c>
      <c r="AF226" s="9">
        <f t="shared" si="77"/>
        <v>4894.9800000000005</v>
      </c>
      <c r="AG226" s="9">
        <f t="shared" si="78"/>
        <v>5487.6788399999996</v>
      </c>
      <c r="AH226" s="9">
        <f t="shared" si="90"/>
        <v>13601.851600799997</v>
      </c>
      <c r="AI226">
        <f t="shared" si="79"/>
        <v>0.52854272923408507</v>
      </c>
      <c r="AJ226" s="5">
        <f t="shared" si="80"/>
        <v>44928</v>
      </c>
      <c r="AK226" t="str">
        <f t="shared" si="81"/>
        <v>Jan-2023</v>
      </c>
      <c r="AL226">
        <v>0</v>
      </c>
      <c r="AM226">
        <v>0</v>
      </c>
      <c r="AN226">
        <v>0</v>
      </c>
    </row>
    <row r="227" spans="1:40" x14ac:dyDescent="0.45">
      <c r="A227" s="3" t="s">
        <v>174</v>
      </c>
      <c r="B227" s="5">
        <v>44976</v>
      </c>
      <c r="C227" s="9" t="str">
        <f t="shared" si="69"/>
        <v>Feb-2023</v>
      </c>
      <c r="D227" s="5" t="str">
        <f t="shared" si="70"/>
        <v>2023-Q1</v>
      </c>
      <c r="E227" s="5">
        <v>44997</v>
      </c>
      <c r="F227" s="9">
        <f t="shared" si="82"/>
        <v>21</v>
      </c>
      <c r="G227" s="9" t="str">
        <f t="shared" si="83"/>
        <v>NOT ACHIEVED</v>
      </c>
      <c r="H227" s="3" t="s">
        <v>643</v>
      </c>
      <c r="I227" s="3" t="s">
        <v>650</v>
      </c>
      <c r="J227" s="3" t="s">
        <v>665</v>
      </c>
      <c r="K227" s="13" t="str">
        <f t="shared" si="84"/>
        <v>Europe &gt; Germany &gt; Berlin</v>
      </c>
      <c r="L227" s="3" t="s">
        <v>699</v>
      </c>
      <c r="M227" s="3" t="s">
        <v>705</v>
      </c>
      <c r="N227" s="13" t="str">
        <f t="shared" si="71"/>
        <v>Direct</v>
      </c>
      <c r="O227" s="3" t="s">
        <v>710</v>
      </c>
      <c r="P227" s="3" t="s">
        <v>726</v>
      </c>
      <c r="Q227" s="13" t="str">
        <f t="shared" si="72"/>
        <v>High</v>
      </c>
      <c r="R227" s="3" t="s">
        <v>893</v>
      </c>
      <c r="S227" s="7">
        <v>1234.81</v>
      </c>
      <c r="T227" s="7">
        <f t="shared" si="85"/>
        <v>1420.0314999999998</v>
      </c>
      <c r="U227" s="7">
        <v>2055.2399999999998</v>
      </c>
      <c r="V227" s="7">
        <f t="shared" si="73"/>
        <v>2055.2399999999998</v>
      </c>
      <c r="W227" s="7">
        <f t="shared" si="86"/>
        <v>2363.5259999999994</v>
      </c>
      <c r="X227" s="16">
        <v>5.2999999999999999E-2</v>
      </c>
      <c r="Y227" t="str">
        <f t="shared" si="74"/>
        <v>OK</v>
      </c>
      <c r="Z227" s="16">
        <f t="shared" si="75"/>
        <v>5.2999999999999999E-2</v>
      </c>
      <c r="AA227" s="16">
        <f t="shared" si="87"/>
        <v>5.2999999999999999E-2</v>
      </c>
      <c r="AB227" s="9">
        <v>44</v>
      </c>
      <c r="AC227" s="9">
        <f t="shared" si="88"/>
        <v>52.8</v>
      </c>
      <c r="AD227" s="9">
        <f t="shared" si="76"/>
        <v>85637.740319999997</v>
      </c>
      <c r="AE227" s="9">
        <f t="shared" si="89"/>
        <v>131408.26395839994</v>
      </c>
      <c r="AF227" s="9">
        <f t="shared" si="77"/>
        <v>54331.64</v>
      </c>
      <c r="AG227" s="9">
        <f t="shared" si="78"/>
        <v>31306.100319999998</v>
      </c>
      <c r="AH227" s="9">
        <f t="shared" si="90"/>
        <v>77076.623958399941</v>
      </c>
      <c r="AI227">
        <f t="shared" si="79"/>
        <v>0.36556429680441616</v>
      </c>
      <c r="AJ227" s="5">
        <f t="shared" si="80"/>
        <v>44928</v>
      </c>
      <c r="AK227" t="str">
        <f t="shared" si="81"/>
        <v>Jan-2023</v>
      </c>
      <c r="AL227">
        <v>0</v>
      </c>
      <c r="AM227">
        <v>0</v>
      </c>
      <c r="AN227">
        <v>0</v>
      </c>
    </row>
    <row r="228" spans="1:40" x14ac:dyDescent="0.45">
      <c r="A228" s="3" t="s">
        <v>186</v>
      </c>
      <c r="B228" s="5">
        <v>45325</v>
      </c>
      <c r="C228" s="9" t="str">
        <f t="shared" si="69"/>
        <v>Feb-2024</v>
      </c>
      <c r="D228" s="5" t="str">
        <f t="shared" si="70"/>
        <v>2024-Q1</v>
      </c>
      <c r="E228" s="5">
        <v>45343</v>
      </c>
      <c r="F228" s="9">
        <f t="shared" si="82"/>
        <v>18</v>
      </c>
      <c r="G228" s="9" t="str">
        <f t="shared" si="83"/>
        <v>NOT ACHIEVED</v>
      </c>
      <c r="H228" s="3" t="s">
        <v>643</v>
      </c>
      <c r="I228" s="3" t="s">
        <v>650</v>
      </c>
      <c r="J228" s="3" t="s">
        <v>692</v>
      </c>
      <c r="K228" s="13" t="str">
        <f t="shared" si="84"/>
        <v>Europe &gt; Germany &gt; Frankfurt</v>
      </c>
      <c r="L228" s="3" t="s">
        <v>695</v>
      </c>
      <c r="M228" s="3" t="s">
        <v>701</v>
      </c>
      <c r="N228" s="13" t="str">
        <f t="shared" si="71"/>
        <v>Retail</v>
      </c>
      <c r="O228" s="3" t="s">
        <v>716</v>
      </c>
      <c r="P228" s="3" t="s">
        <v>721</v>
      </c>
      <c r="Q228" s="13" t="str">
        <f t="shared" si="72"/>
        <v>Low</v>
      </c>
      <c r="R228" s="3" t="s">
        <v>905</v>
      </c>
      <c r="S228" s="7">
        <v>39.229999999999997</v>
      </c>
      <c r="T228" s="7">
        <f t="shared" si="85"/>
        <v>45.114499999999992</v>
      </c>
      <c r="U228" s="7">
        <v>30.09</v>
      </c>
      <c r="V228" s="7">
        <f t="shared" si="73"/>
        <v>30.09</v>
      </c>
      <c r="W228" s="7">
        <f t="shared" si="86"/>
        <v>34.603499999999997</v>
      </c>
      <c r="X228" s="16">
        <v>0.17699999999999999</v>
      </c>
      <c r="Y228" t="str">
        <f t="shared" si="74"/>
        <v>OK</v>
      </c>
      <c r="Z228" s="16">
        <f t="shared" si="75"/>
        <v>0.17699999999999999</v>
      </c>
      <c r="AA228" s="16">
        <f t="shared" si="87"/>
        <v>0.17699999999999999</v>
      </c>
      <c r="AB228" s="9">
        <v>13</v>
      </c>
      <c r="AC228" s="9">
        <f t="shared" si="88"/>
        <v>15.6</v>
      </c>
      <c r="AD228" s="9">
        <f t="shared" si="76"/>
        <v>321.93290999999999</v>
      </c>
      <c r="AE228" s="9">
        <f t="shared" si="89"/>
        <v>635.36178419999999</v>
      </c>
      <c r="AF228" s="9">
        <f t="shared" si="77"/>
        <v>509.98999999999995</v>
      </c>
      <c r="AG228" s="9">
        <f t="shared" si="78"/>
        <v>-188.05708999999996</v>
      </c>
      <c r="AH228" s="9">
        <f t="shared" si="90"/>
        <v>125.37178420000004</v>
      </c>
      <c r="AI228">
        <f t="shared" si="79"/>
        <v>-0.58414993981199359</v>
      </c>
      <c r="AJ228" s="5">
        <f t="shared" si="80"/>
        <v>44928</v>
      </c>
      <c r="AK228" t="str">
        <f t="shared" si="81"/>
        <v>Jan-2023</v>
      </c>
      <c r="AL228">
        <v>0</v>
      </c>
      <c r="AM228">
        <v>0</v>
      </c>
      <c r="AN228">
        <v>0</v>
      </c>
    </row>
    <row r="229" spans="1:40" x14ac:dyDescent="0.45">
      <c r="A229" s="3" t="s">
        <v>206</v>
      </c>
      <c r="B229" s="5">
        <v>44956</v>
      </c>
      <c r="C229" s="9" t="str">
        <f t="shared" si="69"/>
        <v>Jan-2023</v>
      </c>
      <c r="D229" s="5" t="str">
        <f t="shared" si="70"/>
        <v>2023-Q1</v>
      </c>
      <c r="E229" s="5">
        <v>44978</v>
      </c>
      <c r="F229" s="9">
        <f t="shared" si="82"/>
        <v>22</v>
      </c>
      <c r="G229" s="9" t="str">
        <f t="shared" si="83"/>
        <v>NOT ACHIEVED</v>
      </c>
      <c r="H229" s="3" t="s">
        <v>643</v>
      </c>
      <c r="I229" s="3" t="s">
        <v>650</v>
      </c>
      <c r="J229" s="3" t="s">
        <v>678</v>
      </c>
      <c r="K229" s="13" t="str">
        <f t="shared" si="84"/>
        <v>Europe &gt; Germany &gt; Munich</v>
      </c>
      <c r="L229" s="3" t="s">
        <v>699</v>
      </c>
      <c r="M229" s="3" t="s">
        <v>703</v>
      </c>
      <c r="N229" s="13" t="str">
        <f t="shared" si="71"/>
        <v>Marketplace</v>
      </c>
      <c r="O229" s="3" t="s">
        <v>709</v>
      </c>
      <c r="P229" s="3" t="s">
        <v>723</v>
      </c>
      <c r="Q229" s="13" t="str">
        <f t="shared" si="72"/>
        <v>Medium</v>
      </c>
      <c r="R229" s="3" t="s">
        <v>925</v>
      </c>
      <c r="S229" s="7">
        <v>1142.8800000000001</v>
      </c>
      <c r="T229" s="7">
        <f t="shared" si="85"/>
        <v>1314.3120000000001</v>
      </c>
      <c r="U229" s="7">
        <v>1465.29</v>
      </c>
      <c r="V229" s="7">
        <f t="shared" si="73"/>
        <v>1465.29</v>
      </c>
      <c r="W229" s="7">
        <f t="shared" si="86"/>
        <v>1685.0834999999997</v>
      </c>
      <c r="X229" s="16">
        <v>0.186</v>
      </c>
      <c r="Y229" t="str">
        <f t="shared" si="74"/>
        <v>OK</v>
      </c>
      <c r="Z229" s="16">
        <f t="shared" si="75"/>
        <v>0.186</v>
      </c>
      <c r="AA229" s="16">
        <f t="shared" si="87"/>
        <v>0.186</v>
      </c>
      <c r="AB229" s="9">
        <v>7</v>
      </c>
      <c r="AC229" s="9">
        <f t="shared" si="88"/>
        <v>8.4</v>
      </c>
      <c r="AD229" s="9">
        <f t="shared" si="76"/>
        <v>8349.2224200000001</v>
      </c>
      <c r="AE229" s="9">
        <f t="shared" si="89"/>
        <v>16787.475860399998</v>
      </c>
      <c r="AF229" s="9">
        <f t="shared" si="77"/>
        <v>8000.1600000000008</v>
      </c>
      <c r="AG229" s="9">
        <f t="shared" si="78"/>
        <v>349.06241999999929</v>
      </c>
      <c r="AH229" s="9">
        <f t="shared" si="90"/>
        <v>8787.3158603999982</v>
      </c>
      <c r="AI229">
        <f t="shared" si="79"/>
        <v>4.1807775915017401E-2</v>
      </c>
      <c r="AJ229" s="5">
        <f t="shared" si="80"/>
        <v>44928</v>
      </c>
      <c r="AK229" t="str">
        <f t="shared" si="81"/>
        <v>Jan-2023</v>
      </c>
      <c r="AL229">
        <v>0</v>
      </c>
      <c r="AM229">
        <v>0</v>
      </c>
      <c r="AN229">
        <v>0</v>
      </c>
    </row>
    <row r="230" spans="1:40" x14ac:dyDescent="0.45">
      <c r="A230" s="3" t="s">
        <v>207</v>
      </c>
      <c r="B230" s="5">
        <v>45030</v>
      </c>
      <c r="C230" s="9" t="str">
        <f t="shared" si="69"/>
        <v>Apr-2023</v>
      </c>
      <c r="D230" s="5" t="str">
        <f t="shared" si="70"/>
        <v>2023-Q2</v>
      </c>
      <c r="E230" s="5">
        <v>45059</v>
      </c>
      <c r="F230" s="9">
        <f t="shared" si="82"/>
        <v>29</v>
      </c>
      <c r="G230" s="9" t="str">
        <f t="shared" si="83"/>
        <v>NOT ACHIEVED</v>
      </c>
      <c r="H230" s="3" t="s">
        <v>643</v>
      </c>
      <c r="I230" s="3" t="s">
        <v>650</v>
      </c>
      <c r="J230" s="3" t="s">
        <v>692</v>
      </c>
      <c r="K230" s="13" t="str">
        <f t="shared" si="84"/>
        <v>Europe &gt; Germany &gt; Frankfurt</v>
      </c>
      <c r="L230" s="3" t="s">
        <v>698</v>
      </c>
      <c r="M230" s="3" t="s">
        <v>705</v>
      </c>
      <c r="N230" s="13" t="str">
        <f t="shared" si="71"/>
        <v>Direct</v>
      </c>
      <c r="O230" s="3" t="s">
        <v>707</v>
      </c>
      <c r="P230" s="3" t="s">
        <v>722</v>
      </c>
      <c r="Q230" s="13" t="str">
        <f t="shared" si="72"/>
        <v>High</v>
      </c>
      <c r="R230" s="3" t="s">
        <v>926</v>
      </c>
      <c r="S230" s="7">
        <v>1320.33</v>
      </c>
      <c r="T230" s="7">
        <f t="shared" si="85"/>
        <v>1518.3794999999998</v>
      </c>
      <c r="U230" s="7">
        <v>2645.23</v>
      </c>
      <c r="V230" s="7">
        <f t="shared" si="73"/>
        <v>2645.23</v>
      </c>
      <c r="W230" s="7">
        <f t="shared" si="86"/>
        <v>3042.0144999999998</v>
      </c>
      <c r="X230" s="16">
        <v>0.155</v>
      </c>
      <c r="Y230" t="str">
        <f t="shared" si="74"/>
        <v>OK</v>
      </c>
      <c r="Z230" s="16">
        <f t="shared" si="75"/>
        <v>0.155</v>
      </c>
      <c r="AA230" s="16">
        <f t="shared" si="87"/>
        <v>0.155</v>
      </c>
      <c r="AB230" s="9">
        <v>25</v>
      </c>
      <c r="AC230" s="9">
        <f t="shared" si="88"/>
        <v>30</v>
      </c>
      <c r="AD230" s="9">
        <f t="shared" si="76"/>
        <v>55880.483749999999</v>
      </c>
      <c r="AE230" s="9">
        <f t="shared" si="89"/>
        <v>105405.802425</v>
      </c>
      <c r="AF230" s="9">
        <f t="shared" si="77"/>
        <v>33008.25</v>
      </c>
      <c r="AG230" s="9">
        <f t="shared" si="78"/>
        <v>22872.233749999999</v>
      </c>
      <c r="AH230" s="9">
        <f t="shared" si="90"/>
        <v>72397.552425000002</v>
      </c>
      <c r="AI230">
        <f t="shared" si="79"/>
        <v>0.40930629470436536</v>
      </c>
      <c r="AJ230" s="5">
        <f t="shared" si="80"/>
        <v>44928</v>
      </c>
      <c r="AK230" t="str">
        <f t="shared" si="81"/>
        <v>Jan-2023</v>
      </c>
      <c r="AL230">
        <v>0</v>
      </c>
      <c r="AM230">
        <v>0</v>
      </c>
      <c r="AN230">
        <v>0</v>
      </c>
    </row>
    <row r="231" spans="1:40" x14ac:dyDescent="0.45">
      <c r="A231" s="3" t="s">
        <v>213</v>
      </c>
      <c r="B231" s="5">
        <v>45035</v>
      </c>
      <c r="C231" s="9" t="str">
        <f t="shared" si="69"/>
        <v>Apr-2023</v>
      </c>
      <c r="D231" s="5" t="str">
        <f t="shared" si="70"/>
        <v>2023-Q2</v>
      </c>
      <c r="E231" s="5">
        <v>45044</v>
      </c>
      <c r="F231" s="9">
        <f t="shared" si="82"/>
        <v>9</v>
      </c>
      <c r="G231" s="9" t="str">
        <f t="shared" si="83"/>
        <v>NOT ACHIEVED</v>
      </c>
      <c r="H231" s="3" t="s">
        <v>643</v>
      </c>
      <c r="I231" s="3" t="s">
        <v>650</v>
      </c>
      <c r="J231" s="3" t="s">
        <v>665</v>
      </c>
      <c r="K231" s="13" t="str">
        <f t="shared" si="84"/>
        <v>Europe &gt; Germany &gt; Berlin</v>
      </c>
      <c r="L231" s="3" t="s">
        <v>696</v>
      </c>
      <c r="M231" s="3" t="s">
        <v>702</v>
      </c>
      <c r="N231" s="13" t="str">
        <f t="shared" si="71"/>
        <v>Online</v>
      </c>
      <c r="O231" s="3" t="s">
        <v>712</v>
      </c>
      <c r="P231" s="3" t="s">
        <v>726</v>
      </c>
      <c r="Q231" s="13" t="str">
        <f t="shared" si="72"/>
        <v>High</v>
      </c>
      <c r="R231" s="3" t="s">
        <v>932</v>
      </c>
      <c r="S231" s="7">
        <v>1178.42</v>
      </c>
      <c r="T231" s="7">
        <f t="shared" si="85"/>
        <v>1355.183</v>
      </c>
      <c r="U231" s="7">
        <v>2446.56</v>
      </c>
      <c r="V231" s="7">
        <f t="shared" si="73"/>
        <v>2446.56</v>
      </c>
      <c r="W231" s="7">
        <f t="shared" si="86"/>
        <v>2813.5439999999999</v>
      </c>
      <c r="X231" s="16">
        <v>2.9000000000000001E-2</v>
      </c>
      <c r="Y231" t="str">
        <f t="shared" si="74"/>
        <v>OK</v>
      </c>
      <c r="Z231" s="16">
        <f t="shared" si="75"/>
        <v>2.9000000000000001E-2</v>
      </c>
      <c r="AA231" s="16">
        <f t="shared" si="87"/>
        <v>2.9000000000000001E-2</v>
      </c>
      <c r="AB231" s="9">
        <v>11</v>
      </c>
      <c r="AC231" s="9">
        <f t="shared" si="88"/>
        <v>13.2</v>
      </c>
      <c r="AD231" s="9">
        <f t="shared" si="76"/>
        <v>26131.70736</v>
      </c>
      <c r="AE231" s="9">
        <f t="shared" si="89"/>
        <v>38215.805443199992</v>
      </c>
      <c r="AF231" s="9">
        <f t="shared" si="77"/>
        <v>12962.62</v>
      </c>
      <c r="AG231" s="9">
        <f t="shared" si="78"/>
        <v>13169.08736</v>
      </c>
      <c r="AH231" s="9">
        <f t="shared" si="90"/>
        <v>25253.185443199989</v>
      </c>
      <c r="AI231">
        <f t="shared" si="79"/>
        <v>0.5039505141618883</v>
      </c>
      <c r="AJ231" s="5">
        <f t="shared" si="80"/>
        <v>44928</v>
      </c>
      <c r="AK231" t="str">
        <f t="shared" si="81"/>
        <v>Jan-2023</v>
      </c>
      <c r="AL231">
        <v>0</v>
      </c>
      <c r="AM231">
        <v>0</v>
      </c>
      <c r="AN231">
        <v>0</v>
      </c>
    </row>
    <row r="232" spans="1:40" x14ac:dyDescent="0.45">
      <c r="A232" s="3" t="s">
        <v>225</v>
      </c>
      <c r="B232" s="5">
        <v>44948</v>
      </c>
      <c r="C232" s="9" t="str">
        <f t="shared" si="69"/>
        <v>Jan-2023</v>
      </c>
      <c r="D232" s="5" t="str">
        <f t="shared" si="70"/>
        <v>2023-Q1</v>
      </c>
      <c r="E232" s="5">
        <v>44953</v>
      </c>
      <c r="F232" s="9">
        <f t="shared" si="82"/>
        <v>5</v>
      </c>
      <c r="G232" s="9" t="str">
        <f t="shared" si="83"/>
        <v>ACHIEVED</v>
      </c>
      <c r="H232" s="3" t="s">
        <v>643</v>
      </c>
      <c r="I232" s="3" t="s">
        <v>650</v>
      </c>
      <c r="J232" s="3" t="s">
        <v>678</v>
      </c>
      <c r="K232" s="13" t="str">
        <f t="shared" si="84"/>
        <v>Europe &gt; Germany &gt; Munich</v>
      </c>
      <c r="L232" s="3" t="s">
        <v>695</v>
      </c>
      <c r="M232" s="3" t="s">
        <v>705</v>
      </c>
      <c r="N232" s="13" t="str">
        <f t="shared" si="71"/>
        <v>Direct</v>
      </c>
      <c r="O232" s="3" t="s">
        <v>715</v>
      </c>
      <c r="P232" s="3" t="s">
        <v>726</v>
      </c>
      <c r="Q232" s="13" t="str">
        <f t="shared" si="72"/>
        <v>Low</v>
      </c>
      <c r="R232" s="3" t="s">
        <v>944</v>
      </c>
      <c r="S232" s="7">
        <v>150.86000000000001</v>
      </c>
      <c r="T232" s="7">
        <f t="shared" si="85"/>
        <v>173.489</v>
      </c>
      <c r="U232" s="7">
        <v>346.96</v>
      </c>
      <c r="V232" s="7">
        <f t="shared" si="73"/>
        <v>346.96</v>
      </c>
      <c r="W232" s="7">
        <f t="shared" si="86"/>
        <v>399.00399999999996</v>
      </c>
      <c r="X232" s="16">
        <v>0.19600000000000001</v>
      </c>
      <c r="Y232" t="str">
        <f t="shared" si="74"/>
        <v>OK</v>
      </c>
      <c r="Z232" s="16">
        <f t="shared" si="75"/>
        <v>0.19600000000000001</v>
      </c>
      <c r="AA232" s="16">
        <f t="shared" si="87"/>
        <v>0.19600000000000001</v>
      </c>
      <c r="AB232" s="9">
        <v>8</v>
      </c>
      <c r="AC232" s="9">
        <f t="shared" si="88"/>
        <v>9.6</v>
      </c>
      <c r="AD232" s="9">
        <f t="shared" si="76"/>
        <v>2231.6467200000002</v>
      </c>
      <c r="AE232" s="9">
        <f t="shared" si="89"/>
        <v>4581.2043263999994</v>
      </c>
      <c r="AF232" s="9">
        <f t="shared" si="77"/>
        <v>1206.8800000000001</v>
      </c>
      <c r="AG232" s="9">
        <f t="shared" si="78"/>
        <v>1024.7667200000001</v>
      </c>
      <c r="AH232" s="9">
        <f t="shared" si="90"/>
        <v>3374.3243263999993</v>
      </c>
      <c r="AI232">
        <f t="shared" si="79"/>
        <v>0.45919755614365343</v>
      </c>
      <c r="AJ232" s="5">
        <f t="shared" si="80"/>
        <v>44928</v>
      </c>
      <c r="AK232" t="str">
        <f t="shared" si="81"/>
        <v>Jan-2023</v>
      </c>
      <c r="AL232">
        <v>0</v>
      </c>
      <c r="AM232">
        <v>0</v>
      </c>
      <c r="AN232">
        <v>0</v>
      </c>
    </row>
    <row r="233" spans="1:40" x14ac:dyDescent="0.45">
      <c r="A233" s="3" t="s">
        <v>251</v>
      </c>
      <c r="B233" s="5">
        <v>45630</v>
      </c>
      <c r="C233" s="9" t="str">
        <f t="shared" si="69"/>
        <v>Dec-2024</v>
      </c>
      <c r="D233" s="5" t="str">
        <f t="shared" si="70"/>
        <v>2024-Q4</v>
      </c>
      <c r="E233" s="5">
        <v>45638</v>
      </c>
      <c r="F233" s="9">
        <f t="shared" si="82"/>
        <v>8</v>
      </c>
      <c r="G233" s="9" t="str">
        <f t="shared" si="83"/>
        <v>NOT ACHIEVED</v>
      </c>
      <c r="H233" s="3" t="s">
        <v>643</v>
      </c>
      <c r="I233" s="3" t="s">
        <v>650</v>
      </c>
      <c r="J233" s="3" t="s">
        <v>692</v>
      </c>
      <c r="K233" s="13" t="str">
        <f t="shared" si="84"/>
        <v>Europe &gt; Germany &gt; Frankfurt</v>
      </c>
      <c r="L233" s="3" t="s">
        <v>700</v>
      </c>
      <c r="M233" s="3" t="s">
        <v>703</v>
      </c>
      <c r="N233" s="13" t="str">
        <f t="shared" si="71"/>
        <v>Marketplace</v>
      </c>
      <c r="O233" s="3" t="s">
        <v>711</v>
      </c>
      <c r="P233" s="3" t="s">
        <v>722</v>
      </c>
      <c r="Q233" s="13" t="str">
        <f t="shared" si="72"/>
        <v>Low</v>
      </c>
      <c r="R233" s="3" t="s">
        <v>970</v>
      </c>
      <c r="S233" s="7">
        <v>72.06</v>
      </c>
      <c r="T233" s="7">
        <f t="shared" si="85"/>
        <v>82.869</v>
      </c>
      <c r="U233" s="7">
        <v>122.74</v>
      </c>
      <c r="V233" s="7">
        <f t="shared" si="73"/>
        <v>122.74</v>
      </c>
      <c r="W233" s="7">
        <f t="shared" si="86"/>
        <v>141.15099999999998</v>
      </c>
      <c r="X233" s="16">
        <v>0.23799999999999999</v>
      </c>
      <c r="Y233" t="str">
        <f t="shared" si="74"/>
        <v>OK</v>
      </c>
      <c r="Z233" s="16">
        <f t="shared" si="75"/>
        <v>0.23799999999999999</v>
      </c>
      <c r="AA233" s="16">
        <f t="shared" si="87"/>
        <v>0.23799999999999999</v>
      </c>
      <c r="AB233" s="9">
        <v>8</v>
      </c>
      <c r="AC233" s="9">
        <f t="shared" si="88"/>
        <v>9.6</v>
      </c>
      <c r="AD233" s="9">
        <f t="shared" si="76"/>
        <v>748.22303999999997</v>
      </c>
      <c r="AE233" s="9">
        <f t="shared" si="89"/>
        <v>1677.5514047999998</v>
      </c>
      <c r="AF233" s="9">
        <f t="shared" si="77"/>
        <v>576.48</v>
      </c>
      <c r="AG233" s="9">
        <f t="shared" si="78"/>
        <v>171.74303999999995</v>
      </c>
      <c r="AH233" s="9">
        <f t="shared" si="90"/>
        <v>1101.0714047999998</v>
      </c>
      <c r="AI233">
        <f t="shared" si="79"/>
        <v>0.22953455162246802</v>
      </c>
      <c r="AJ233" s="5">
        <f t="shared" si="80"/>
        <v>44928</v>
      </c>
      <c r="AK233" t="str">
        <f t="shared" si="81"/>
        <v>Jan-2023</v>
      </c>
      <c r="AL233">
        <v>0</v>
      </c>
      <c r="AM233">
        <v>0</v>
      </c>
      <c r="AN233">
        <v>0</v>
      </c>
    </row>
    <row r="234" spans="1:40" x14ac:dyDescent="0.45">
      <c r="A234" s="3" t="s">
        <v>255</v>
      </c>
      <c r="B234" s="5">
        <v>45769</v>
      </c>
      <c r="C234" s="9" t="str">
        <f t="shared" si="69"/>
        <v>Apr-2025</v>
      </c>
      <c r="D234" s="5" t="str">
        <f t="shared" si="70"/>
        <v>2025-Q2</v>
      </c>
      <c r="E234" s="5">
        <v>45779</v>
      </c>
      <c r="F234" s="9">
        <f t="shared" si="82"/>
        <v>10</v>
      </c>
      <c r="G234" s="9" t="str">
        <f t="shared" si="83"/>
        <v>NOT ACHIEVED</v>
      </c>
      <c r="H234" s="3" t="s">
        <v>643</v>
      </c>
      <c r="I234" s="3" t="s">
        <v>650</v>
      </c>
      <c r="J234" s="3" t="s">
        <v>665</v>
      </c>
      <c r="K234" s="13" t="str">
        <f t="shared" si="84"/>
        <v>Europe &gt; Germany &gt; Berlin</v>
      </c>
      <c r="L234" s="3" t="s">
        <v>695</v>
      </c>
      <c r="M234" s="3" t="s">
        <v>703</v>
      </c>
      <c r="N234" s="13" t="str">
        <f t="shared" si="71"/>
        <v>Marketplace</v>
      </c>
      <c r="O234" s="3" t="s">
        <v>706</v>
      </c>
      <c r="P234" s="3" t="s">
        <v>726</v>
      </c>
      <c r="Q234" s="13" t="str">
        <f t="shared" si="72"/>
        <v>Low</v>
      </c>
      <c r="R234" s="3" t="s">
        <v>974</v>
      </c>
      <c r="S234" s="7">
        <v>20.149999999999999</v>
      </c>
      <c r="T234" s="7">
        <f t="shared" si="85"/>
        <v>23.172499999999996</v>
      </c>
      <c r="U234" s="7">
        <v>39.74</v>
      </c>
      <c r="V234" s="7">
        <f t="shared" si="73"/>
        <v>39.74</v>
      </c>
      <c r="W234" s="7">
        <f t="shared" si="86"/>
        <v>45.701000000000001</v>
      </c>
      <c r="X234" s="16">
        <v>0.151</v>
      </c>
      <c r="Y234" t="str">
        <f t="shared" si="74"/>
        <v>OK</v>
      </c>
      <c r="Z234" s="16">
        <f t="shared" si="75"/>
        <v>0.151</v>
      </c>
      <c r="AA234" s="16">
        <f t="shared" si="87"/>
        <v>0.151</v>
      </c>
      <c r="AB234" s="9">
        <v>18</v>
      </c>
      <c r="AC234" s="9">
        <f t="shared" si="88"/>
        <v>21.599999999999998</v>
      </c>
      <c r="AD234" s="9">
        <f t="shared" si="76"/>
        <v>607.30668000000003</v>
      </c>
      <c r="AE234" s="9">
        <f t="shared" si="89"/>
        <v>1136.1999816</v>
      </c>
      <c r="AF234" s="9">
        <f t="shared" si="77"/>
        <v>362.7</v>
      </c>
      <c r="AG234" s="9">
        <f t="shared" si="78"/>
        <v>244.60668000000004</v>
      </c>
      <c r="AH234" s="9">
        <f t="shared" si="90"/>
        <v>773.49998159999996</v>
      </c>
      <c r="AI234">
        <f t="shared" si="79"/>
        <v>0.4027729120318585</v>
      </c>
      <c r="AJ234" s="5">
        <f t="shared" si="80"/>
        <v>44928</v>
      </c>
      <c r="AK234" t="str">
        <f t="shared" si="81"/>
        <v>Jan-2023</v>
      </c>
      <c r="AL234">
        <v>0</v>
      </c>
      <c r="AM234">
        <v>0</v>
      </c>
      <c r="AN234">
        <v>0</v>
      </c>
    </row>
    <row r="235" spans="1:40" x14ac:dyDescent="0.45">
      <c r="A235" s="3" t="s">
        <v>263</v>
      </c>
      <c r="B235" s="5">
        <v>45411</v>
      </c>
      <c r="C235" s="9" t="str">
        <f t="shared" si="69"/>
        <v>Apr-2024</v>
      </c>
      <c r="D235" s="5" t="str">
        <f t="shared" si="70"/>
        <v>2024-Q2</v>
      </c>
      <c r="E235" s="5">
        <v>45431</v>
      </c>
      <c r="F235" s="9">
        <f t="shared" si="82"/>
        <v>20</v>
      </c>
      <c r="G235" s="9" t="str">
        <f t="shared" si="83"/>
        <v>NOT ACHIEVED</v>
      </c>
      <c r="H235" s="3" t="s">
        <v>643</v>
      </c>
      <c r="I235" s="3" t="s">
        <v>650</v>
      </c>
      <c r="J235" s="3" t="s">
        <v>692</v>
      </c>
      <c r="K235" s="13" t="str">
        <f t="shared" si="84"/>
        <v>Europe &gt; Germany &gt; Frankfurt</v>
      </c>
      <c r="L235" s="3" t="s">
        <v>700</v>
      </c>
      <c r="M235" s="3" t="s">
        <v>703</v>
      </c>
      <c r="N235" s="13" t="str">
        <f t="shared" si="71"/>
        <v>Marketplace</v>
      </c>
      <c r="O235" s="3" t="s">
        <v>706</v>
      </c>
      <c r="P235" s="3" t="s">
        <v>725</v>
      </c>
      <c r="Q235" s="13" t="str">
        <f t="shared" si="72"/>
        <v>High</v>
      </c>
      <c r="R235" s="3" t="s">
        <v>982</v>
      </c>
      <c r="S235" s="7">
        <v>668.97</v>
      </c>
      <c r="T235" s="7">
        <f t="shared" si="85"/>
        <v>769.31549999999993</v>
      </c>
      <c r="U235" s="7">
        <v>1667.44</v>
      </c>
      <c r="V235" s="7">
        <f t="shared" si="73"/>
        <v>1667.44</v>
      </c>
      <c r="W235" s="7">
        <f t="shared" si="86"/>
        <v>1917.5559999999998</v>
      </c>
      <c r="X235" s="16">
        <v>3.4000000000000002E-2</v>
      </c>
      <c r="Y235" t="str">
        <f t="shared" si="74"/>
        <v>OK</v>
      </c>
      <c r="Z235" s="16">
        <f t="shared" si="75"/>
        <v>3.4000000000000002E-2</v>
      </c>
      <c r="AA235" s="16">
        <f t="shared" si="87"/>
        <v>3.4000000000000002E-2</v>
      </c>
      <c r="AB235" s="9">
        <v>15</v>
      </c>
      <c r="AC235" s="9">
        <f t="shared" si="88"/>
        <v>18</v>
      </c>
      <c r="AD235" s="9">
        <f t="shared" si="76"/>
        <v>24161.205600000001</v>
      </c>
      <c r="AE235" s="9">
        <f t="shared" si="89"/>
        <v>35689.552271999994</v>
      </c>
      <c r="AF235" s="9">
        <f t="shared" si="77"/>
        <v>10034.550000000001</v>
      </c>
      <c r="AG235" s="9">
        <f t="shared" si="78"/>
        <v>14126.6556</v>
      </c>
      <c r="AH235" s="9">
        <f t="shared" si="90"/>
        <v>25655.002271999991</v>
      </c>
      <c r="AI235">
        <f t="shared" si="79"/>
        <v>0.58468339013679016</v>
      </c>
      <c r="AJ235" s="5">
        <f t="shared" si="80"/>
        <v>44928</v>
      </c>
      <c r="AK235" t="str">
        <f t="shared" si="81"/>
        <v>Jan-2023</v>
      </c>
      <c r="AL235">
        <v>0</v>
      </c>
      <c r="AM235">
        <v>0</v>
      </c>
      <c r="AN235">
        <v>0</v>
      </c>
    </row>
    <row r="236" spans="1:40" x14ac:dyDescent="0.45">
      <c r="A236" s="3" t="s">
        <v>266</v>
      </c>
      <c r="B236" s="5">
        <v>45835</v>
      </c>
      <c r="C236" s="9" t="str">
        <f t="shared" si="69"/>
        <v>Jun-2025</v>
      </c>
      <c r="D236" s="5" t="str">
        <f t="shared" si="70"/>
        <v>2025-Q2</v>
      </c>
      <c r="E236" s="5">
        <v>45843</v>
      </c>
      <c r="F236" s="9">
        <f t="shared" si="82"/>
        <v>8</v>
      </c>
      <c r="G236" s="9" t="str">
        <f t="shared" si="83"/>
        <v>NOT ACHIEVED</v>
      </c>
      <c r="H236" s="3" t="s">
        <v>643</v>
      </c>
      <c r="I236" s="3" t="s">
        <v>650</v>
      </c>
      <c r="J236" s="3" t="s">
        <v>678</v>
      </c>
      <c r="K236" s="13" t="str">
        <f t="shared" si="84"/>
        <v>Europe &gt; Germany &gt; Munich</v>
      </c>
      <c r="L236" s="3" t="s">
        <v>699</v>
      </c>
      <c r="M236" s="3" t="s">
        <v>705</v>
      </c>
      <c r="N236" s="13" t="str">
        <f t="shared" si="71"/>
        <v>Direct</v>
      </c>
      <c r="O236" s="3" t="s">
        <v>709</v>
      </c>
      <c r="P236" s="3" t="s">
        <v>726</v>
      </c>
      <c r="Q236" s="13" t="str">
        <f t="shared" si="72"/>
        <v>Low</v>
      </c>
      <c r="R236" s="3" t="s">
        <v>985</v>
      </c>
      <c r="S236" s="7">
        <v>314.93</v>
      </c>
      <c r="T236" s="7">
        <f t="shared" si="85"/>
        <v>362.16949999999997</v>
      </c>
      <c r="U236" s="7">
        <v>687.95</v>
      </c>
      <c r="V236" s="7">
        <f t="shared" si="73"/>
        <v>687.95</v>
      </c>
      <c r="W236" s="7">
        <f t="shared" si="86"/>
        <v>791.14250000000004</v>
      </c>
      <c r="X236" s="16">
        <v>0.20499999999999999</v>
      </c>
      <c r="Y236" t="str">
        <f t="shared" si="74"/>
        <v>OK</v>
      </c>
      <c r="Z236" s="16">
        <f t="shared" si="75"/>
        <v>0.20499999999999999</v>
      </c>
      <c r="AA236" s="16">
        <f t="shared" si="87"/>
        <v>0.20499999999999999</v>
      </c>
      <c r="AB236" s="9">
        <v>8</v>
      </c>
      <c r="AC236" s="9">
        <f t="shared" si="88"/>
        <v>9.6</v>
      </c>
      <c r="AD236" s="9">
        <f t="shared" si="76"/>
        <v>4375.3620000000001</v>
      </c>
      <c r="AE236" s="9">
        <f t="shared" si="89"/>
        <v>9151.9364399999995</v>
      </c>
      <c r="AF236" s="9">
        <f t="shared" si="77"/>
        <v>2519.44</v>
      </c>
      <c r="AG236" s="9">
        <f t="shared" si="78"/>
        <v>1855.922</v>
      </c>
      <c r="AH236" s="9">
        <f t="shared" si="90"/>
        <v>6632.496439999999</v>
      </c>
      <c r="AI236">
        <f t="shared" si="79"/>
        <v>0.424175645352316</v>
      </c>
      <c r="AJ236" s="5">
        <f t="shared" si="80"/>
        <v>44928</v>
      </c>
      <c r="AK236" t="str">
        <f t="shared" si="81"/>
        <v>Jan-2023</v>
      </c>
      <c r="AL236">
        <v>0</v>
      </c>
      <c r="AM236">
        <v>0</v>
      </c>
      <c r="AN236">
        <v>0</v>
      </c>
    </row>
    <row r="237" spans="1:40" x14ac:dyDescent="0.45">
      <c r="A237" s="3" t="s">
        <v>269</v>
      </c>
      <c r="B237" s="5">
        <v>45073</v>
      </c>
      <c r="C237" s="9" t="str">
        <f t="shared" si="69"/>
        <v>May-2023</v>
      </c>
      <c r="D237" s="5" t="str">
        <f t="shared" si="70"/>
        <v>2023-Q2</v>
      </c>
      <c r="E237" s="5">
        <v>45096</v>
      </c>
      <c r="F237" s="9">
        <f t="shared" si="82"/>
        <v>23</v>
      </c>
      <c r="G237" s="9" t="str">
        <f t="shared" si="83"/>
        <v>NOT ACHIEVED</v>
      </c>
      <c r="H237" s="3" t="s">
        <v>643</v>
      </c>
      <c r="I237" s="3" t="s">
        <v>650</v>
      </c>
      <c r="J237" s="3" t="s">
        <v>665</v>
      </c>
      <c r="K237" s="13" t="str">
        <f t="shared" si="84"/>
        <v>Europe &gt; Germany &gt; Berlin</v>
      </c>
      <c r="L237" s="3" t="s">
        <v>696</v>
      </c>
      <c r="M237" s="3" t="s">
        <v>701</v>
      </c>
      <c r="N237" s="13" t="str">
        <f t="shared" si="71"/>
        <v>Retail</v>
      </c>
      <c r="O237" s="3" t="s">
        <v>713</v>
      </c>
      <c r="P237" s="3" t="s">
        <v>727</v>
      </c>
      <c r="Q237" s="13" t="str">
        <f t="shared" si="72"/>
        <v>High</v>
      </c>
      <c r="R237" s="3" t="s">
        <v>988</v>
      </c>
      <c r="S237" s="7">
        <v>1471.58</v>
      </c>
      <c r="T237" s="7">
        <f t="shared" si="85"/>
        <v>1692.3169999999998</v>
      </c>
      <c r="U237" s="7">
        <v>2576.65</v>
      </c>
      <c r="V237" s="7">
        <f t="shared" si="73"/>
        <v>2576.65</v>
      </c>
      <c r="W237" s="7">
        <f t="shared" si="86"/>
        <v>2963.1475</v>
      </c>
      <c r="X237" s="16">
        <v>4.0000000000000001E-3</v>
      </c>
      <c r="Y237" t="str">
        <f t="shared" si="74"/>
        <v>OK</v>
      </c>
      <c r="Z237" s="16">
        <f t="shared" si="75"/>
        <v>4.0000000000000001E-3</v>
      </c>
      <c r="AA237" s="16">
        <f t="shared" si="87"/>
        <v>4.0000000000000001E-3</v>
      </c>
      <c r="AB237" s="9">
        <v>7</v>
      </c>
      <c r="AC237" s="9">
        <f t="shared" si="88"/>
        <v>8.4</v>
      </c>
      <c r="AD237" s="9">
        <f t="shared" si="76"/>
        <v>17964.4038</v>
      </c>
      <c r="AE237" s="9">
        <f t="shared" si="89"/>
        <v>24990.000756000001</v>
      </c>
      <c r="AF237" s="9">
        <f t="shared" si="77"/>
        <v>10301.06</v>
      </c>
      <c r="AG237" s="9">
        <f t="shared" si="78"/>
        <v>7663.3438000000006</v>
      </c>
      <c r="AH237" s="9">
        <f t="shared" si="90"/>
        <v>14688.940756000002</v>
      </c>
      <c r="AI237">
        <f t="shared" si="79"/>
        <v>0.4265849223451546</v>
      </c>
      <c r="AJ237" s="5">
        <f t="shared" si="80"/>
        <v>44928</v>
      </c>
      <c r="AK237" t="str">
        <f t="shared" si="81"/>
        <v>Jan-2023</v>
      </c>
      <c r="AL237">
        <v>0</v>
      </c>
      <c r="AM237">
        <v>0</v>
      </c>
      <c r="AN237">
        <v>0</v>
      </c>
    </row>
    <row r="238" spans="1:40" x14ac:dyDescent="0.45">
      <c r="A238" s="3" t="s">
        <v>280</v>
      </c>
      <c r="B238" s="5">
        <v>45382</v>
      </c>
      <c r="C238" s="9" t="str">
        <f t="shared" si="69"/>
        <v>Mar-2024</v>
      </c>
      <c r="D238" s="5" t="str">
        <f t="shared" si="70"/>
        <v>2024-Q1</v>
      </c>
      <c r="E238" s="5">
        <v>45399</v>
      </c>
      <c r="F238" s="9">
        <f t="shared" si="82"/>
        <v>17</v>
      </c>
      <c r="G238" s="9" t="str">
        <f t="shared" si="83"/>
        <v>NOT ACHIEVED</v>
      </c>
      <c r="H238" s="3" t="s">
        <v>643</v>
      </c>
      <c r="I238" s="3" t="s">
        <v>650</v>
      </c>
      <c r="J238" s="3" t="s">
        <v>692</v>
      </c>
      <c r="K238" s="13" t="str">
        <f t="shared" si="84"/>
        <v>Europe &gt; Germany &gt; Frankfurt</v>
      </c>
      <c r="L238" s="3" t="s">
        <v>696</v>
      </c>
      <c r="M238" s="3" t="s">
        <v>705</v>
      </c>
      <c r="N238" s="13" t="str">
        <f t="shared" si="71"/>
        <v>Direct</v>
      </c>
      <c r="O238" s="3" t="s">
        <v>716</v>
      </c>
      <c r="P238" s="3" t="s">
        <v>726</v>
      </c>
      <c r="Q238" s="13" t="str">
        <f t="shared" si="72"/>
        <v>Medium</v>
      </c>
      <c r="R238" s="3" t="s">
        <v>999</v>
      </c>
      <c r="S238" s="7">
        <v>1025.51</v>
      </c>
      <c r="T238" s="7">
        <f t="shared" si="85"/>
        <v>1179.3364999999999</v>
      </c>
      <c r="U238" s="7">
        <v>1436.54</v>
      </c>
      <c r="V238" s="7">
        <f t="shared" si="73"/>
        <v>1436.54</v>
      </c>
      <c r="W238" s="7">
        <f t="shared" si="86"/>
        <v>1652.0209999999997</v>
      </c>
      <c r="X238" s="16">
        <v>0.13900000000000001</v>
      </c>
      <c r="Y238" t="str">
        <f t="shared" si="74"/>
        <v>OK</v>
      </c>
      <c r="Z238" s="16">
        <f t="shared" si="75"/>
        <v>0.13900000000000001</v>
      </c>
      <c r="AA238" s="16">
        <f t="shared" si="87"/>
        <v>0.13900000000000001</v>
      </c>
      <c r="AB238" s="9">
        <v>28</v>
      </c>
      <c r="AC238" s="9">
        <f t="shared" si="88"/>
        <v>33.6</v>
      </c>
      <c r="AD238" s="9">
        <f t="shared" si="76"/>
        <v>34632.106319999999</v>
      </c>
      <c r="AE238" s="9">
        <f t="shared" si="89"/>
        <v>63223.504478399991</v>
      </c>
      <c r="AF238" s="9">
        <f t="shared" si="77"/>
        <v>28714.28</v>
      </c>
      <c r="AG238" s="9">
        <f t="shared" si="78"/>
        <v>5917.8263200000001</v>
      </c>
      <c r="AH238" s="9">
        <f t="shared" si="90"/>
        <v>34509.224478399992</v>
      </c>
      <c r="AI238">
        <f t="shared" si="79"/>
        <v>0.17087688127656453</v>
      </c>
      <c r="AJ238" s="5">
        <f t="shared" si="80"/>
        <v>44928</v>
      </c>
      <c r="AK238" t="str">
        <f t="shared" si="81"/>
        <v>Jan-2023</v>
      </c>
      <c r="AL238">
        <v>0</v>
      </c>
      <c r="AM238">
        <v>0</v>
      </c>
      <c r="AN238">
        <v>0</v>
      </c>
    </row>
    <row r="239" spans="1:40" x14ac:dyDescent="0.45">
      <c r="A239" s="3" t="s">
        <v>285</v>
      </c>
      <c r="B239" s="5">
        <v>45832</v>
      </c>
      <c r="C239" s="9" t="str">
        <f t="shared" si="69"/>
        <v>Jun-2025</v>
      </c>
      <c r="D239" s="5" t="str">
        <f t="shared" si="70"/>
        <v>2025-Q2</v>
      </c>
      <c r="E239" s="5">
        <v>45852</v>
      </c>
      <c r="F239" s="9">
        <f t="shared" si="82"/>
        <v>20</v>
      </c>
      <c r="G239" s="9" t="str">
        <f t="shared" si="83"/>
        <v>NOT ACHIEVED</v>
      </c>
      <c r="H239" s="3" t="s">
        <v>643</v>
      </c>
      <c r="I239" s="3" t="s">
        <v>650</v>
      </c>
      <c r="J239" s="3" t="s">
        <v>665</v>
      </c>
      <c r="K239" s="13" t="str">
        <f t="shared" si="84"/>
        <v>Europe &gt; Germany &gt; Berlin</v>
      </c>
      <c r="L239" s="3" t="s">
        <v>695</v>
      </c>
      <c r="M239" s="3" t="s">
        <v>705</v>
      </c>
      <c r="N239" s="13" t="str">
        <f t="shared" si="71"/>
        <v>Direct</v>
      </c>
      <c r="O239" s="3" t="s">
        <v>713</v>
      </c>
      <c r="P239" s="3" t="s">
        <v>727</v>
      </c>
      <c r="Q239" s="13" t="str">
        <f t="shared" si="72"/>
        <v>Medium</v>
      </c>
      <c r="R239" s="3" t="s">
        <v>1004</v>
      </c>
      <c r="S239" s="7">
        <v>385.08</v>
      </c>
      <c r="T239" s="7">
        <f t="shared" si="85"/>
        <v>442.84199999999993</v>
      </c>
      <c r="U239" s="7">
        <v>893.19</v>
      </c>
      <c r="V239" s="7">
        <f t="shared" si="73"/>
        <v>893.19</v>
      </c>
      <c r="W239" s="7">
        <f t="shared" si="86"/>
        <v>1027.1685</v>
      </c>
      <c r="X239" s="16">
        <v>0.151</v>
      </c>
      <c r="Y239" t="str">
        <f t="shared" si="74"/>
        <v>OK</v>
      </c>
      <c r="Z239" s="16">
        <f t="shared" si="75"/>
        <v>0.151</v>
      </c>
      <c r="AA239" s="16">
        <f t="shared" si="87"/>
        <v>0.151</v>
      </c>
      <c r="AB239" s="9">
        <v>8</v>
      </c>
      <c r="AC239" s="9">
        <f t="shared" si="88"/>
        <v>9.6</v>
      </c>
      <c r="AD239" s="9">
        <f t="shared" si="76"/>
        <v>6066.54648</v>
      </c>
      <c r="AE239" s="9">
        <f t="shared" si="89"/>
        <v>11349.8010576</v>
      </c>
      <c r="AF239" s="9">
        <f t="shared" si="77"/>
        <v>3080.64</v>
      </c>
      <c r="AG239" s="9">
        <f t="shared" si="78"/>
        <v>2985.9064800000001</v>
      </c>
      <c r="AH239" s="9">
        <f t="shared" si="90"/>
        <v>8269.1610576000003</v>
      </c>
      <c r="AI239">
        <f t="shared" si="79"/>
        <v>0.49219213762621666</v>
      </c>
      <c r="AJ239" s="5">
        <f t="shared" si="80"/>
        <v>44928</v>
      </c>
      <c r="AK239" t="str">
        <f t="shared" si="81"/>
        <v>Jan-2023</v>
      </c>
      <c r="AL239">
        <v>0</v>
      </c>
      <c r="AM239">
        <v>0</v>
      </c>
      <c r="AN239">
        <v>0</v>
      </c>
    </row>
    <row r="240" spans="1:40" x14ac:dyDescent="0.45">
      <c r="A240" s="3" t="s">
        <v>292</v>
      </c>
      <c r="B240" s="5">
        <v>45304</v>
      </c>
      <c r="C240" s="9" t="str">
        <f t="shared" si="69"/>
        <v>Jan-2024</v>
      </c>
      <c r="D240" s="5" t="str">
        <f t="shared" si="70"/>
        <v>2024-Q1</v>
      </c>
      <c r="E240" s="5">
        <v>45327</v>
      </c>
      <c r="F240" s="9">
        <f t="shared" si="82"/>
        <v>23</v>
      </c>
      <c r="G240" s="9" t="str">
        <f t="shared" si="83"/>
        <v>NOT ACHIEVED</v>
      </c>
      <c r="H240" s="3" t="s">
        <v>643</v>
      </c>
      <c r="I240" s="3" t="s">
        <v>650</v>
      </c>
      <c r="J240" s="3" t="s">
        <v>692</v>
      </c>
      <c r="K240" s="13" t="str">
        <f t="shared" si="84"/>
        <v>Europe &gt; Germany &gt; Frankfurt</v>
      </c>
      <c r="L240" s="3" t="s">
        <v>696</v>
      </c>
      <c r="M240" s="3" t="s">
        <v>705</v>
      </c>
      <c r="N240" s="13" t="str">
        <f t="shared" si="71"/>
        <v>Direct</v>
      </c>
      <c r="O240" s="3" t="s">
        <v>711</v>
      </c>
      <c r="P240" s="3" t="s">
        <v>725</v>
      </c>
      <c r="Q240" s="13" t="str">
        <f t="shared" si="72"/>
        <v>Medium</v>
      </c>
      <c r="R240" s="3" t="s">
        <v>1011</v>
      </c>
      <c r="S240" s="7">
        <v>1017.93</v>
      </c>
      <c r="T240" s="7">
        <f t="shared" si="85"/>
        <v>1170.6194999999998</v>
      </c>
      <c r="U240" s="7">
        <v>1529.14</v>
      </c>
      <c r="V240" s="7">
        <f t="shared" si="73"/>
        <v>1529.14</v>
      </c>
      <c r="W240" s="7">
        <f t="shared" si="86"/>
        <v>1758.511</v>
      </c>
      <c r="X240" s="16">
        <v>0.155</v>
      </c>
      <c r="Y240" t="str">
        <f t="shared" si="74"/>
        <v>OK</v>
      </c>
      <c r="Z240" s="16">
        <f t="shared" si="75"/>
        <v>0.155</v>
      </c>
      <c r="AA240" s="16">
        <f t="shared" si="87"/>
        <v>0.155</v>
      </c>
      <c r="AB240" s="9">
        <v>12</v>
      </c>
      <c r="AC240" s="9">
        <f t="shared" si="88"/>
        <v>14.399999999999999</v>
      </c>
      <c r="AD240" s="9">
        <f t="shared" si="76"/>
        <v>15505.479600000001</v>
      </c>
      <c r="AE240" s="9">
        <f t="shared" si="89"/>
        <v>29247.554951999999</v>
      </c>
      <c r="AF240" s="9">
        <f t="shared" si="77"/>
        <v>12215.16</v>
      </c>
      <c r="AG240" s="9">
        <f t="shared" si="78"/>
        <v>3290.3196000000007</v>
      </c>
      <c r="AH240" s="9">
        <f t="shared" si="90"/>
        <v>17032.394951999999</v>
      </c>
      <c r="AI240">
        <f t="shared" si="79"/>
        <v>0.21220366508366503</v>
      </c>
      <c r="AJ240" s="5">
        <f t="shared" si="80"/>
        <v>44928</v>
      </c>
      <c r="AK240" t="str">
        <f t="shared" si="81"/>
        <v>Jan-2023</v>
      </c>
      <c r="AL240">
        <v>0</v>
      </c>
      <c r="AM240">
        <v>0</v>
      </c>
      <c r="AN240">
        <v>0</v>
      </c>
    </row>
    <row r="241" spans="1:40" x14ac:dyDescent="0.45">
      <c r="A241" s="3" t="s">
        <v>294</v>
      </c>
      <c r="B241" s="5">
        <v>45751</v>
      </c>
      <c r="C241" s="9" t="str">
        <f t="shared" si="69"/>
        <v>Apr-2025</v>
      </c>
      <c r="D241" s="5" t="str">
        <f t="shared" si="70"/>
        <v>2025-Q2</v>
      </c>
      <c r="E241" s="5">
        <v>45760</v>
      </c>
      <c r="F241" s="9">
        <f t="shared" si="82"/>
        <v>9</v>
      </c>
      <c r="G241" s="9" t="str">
        <f t="shared" si="83"/>
        <v>NOT ACHIEVED</v>
      </c>
      <c r="H241" s="3" t="s">
        <v>643</v>
      </c>
      <c r="I241" s="3" t="s">
        <v>650</v>
      </c>
      <c r="J241" s="3" t="s">
        <v>678</v>
      </c>
      <c r="K241" s="13" t="str">
        <f t="shared" si="84"/>
        <v>Europe &gt; Germany &gt; Munich</v>
      </c>
      <c r="L241" s="3" t="s">
        <v>698</v>
      </c>
      <c r="M241" s="3" t="s">
        <v>703</v>
      </c>
      <c r="N241" s="13" t="str">
        <f t="shared" si="71"/>
        <v>Marketplace</v>
      </c>
      <c r="O241" s="3" t="s">
        <v>715</v>
      </c>
      <c r="P241" s="3" t="s">
        <v>724</v>
      </c>
      <c r="Q241" s="13" t="str">
        <f t="shared" si="72"/>
        <v>Low</v>
      </c>
      <c r="R241" s="3" t="s">
        <v>1013</v>
      </c>
      <c r="S241" s="7">
        <v>7.02</v>
      </c>
      <c r="T241" s="7">
        <f t="shared" si="85"/>
        <v>8.0729999999999986</v>
      </c>
      <c r="U241" s="7">
        <v>6.28</v>
      </c>
      <c r="V241" s="7">
        <f t="shared" si="73"/>
        <v>6.28</v>
      </c>
      <c r="W241" s="7">
        <f t="shared" si="86"/>
        <v>7.2219999999999995</v>
      </c>
      <c r="X241" s="16">
        <v>0.13400000000000001</v>
      </c>
      <c r="Y241" t="str">
        <f t="shared" si="74"/>
        <v>OK</v>
      </c>
      <c r="Z241" s="16">
        <f t="shared" si="75"/>
        <v>0.13400000000000001</v>
      </c>
      <c r="AA241" s="16">
        <f t="shared" si="87"/>
        <v>0.13400000000000001</v>
      </c>
      <c r="AB241" s="9">
        <v>14</v>
      </c>
      <c r="AC241" s="9">
        <f t="shared" si="88"/>
        <v>16.8</v>
      </c>
      <c r="AD241" s="9">
        <f t="shared" si="76"/>
        <v>76.138720000000006</v>
      </c>
      <c r="AE241" s="9">
        <f t="shared" si="89"/>
        <v>137.58776639999999</v>
      </c>
      <c r="AF241" s="9">
        <f t="shared" si="77"/>
        <v>98.28</v>
      </c>
      <c r="AG241" s="9">
        <f t="shared" si="78"/>
        <v>-22.141279999999995</v>
      </c>
      <c r="AH241" s="9">
        <f t="shared" si="90"/>
        <v>39.307766399999991</v>
      </c>
      <c r="AI241">
        <f t="shared" si="79"/>
        <v>-0.29080184169106066</v>
      </c>
      <c r="AJ241" s="5">
        <f t="shared" si="80"/>
        <v>44928</v>
      </c>
      <c r="AK241" t="str">
        <f t="shared" si="81"/>
        <v>Jan-2023</v>
      </c>
      <c r="AL241">
        <v>0</v>
      </c>
      <c r="AM241">
        <v>0</v>
      </c>
      <c r="AN241">
        <v>0</v>
      </c>
    </row>
    <row r="242" spans="1:40" x14ac:dyDescent="0.45">
      <c r="A242" s="3" t="s">
        <v>303</v>
      </c>
      <c r="B242" s="5">
        <v>45809</v>
      </c>
      <c r="C242" s="9" t="str">
        <f t="shared" si="69"/>
        <v>Jun-2025</v>
      </c>
      <c r="D242" s="5" t="str">
        <f t="shared" si="70"/>
        <v>2025-Q2</v>
      </c>
      <c r="E242" s="5">
        <v>45835</v>
      </c>
      <c r="F242" s="9">
        <f t="shared" si="82"/>
        <v>26</v>
      </c>
      <c r="G242" s="9" t="str">
        <f t="shared" si="83"/>
        <v>NOT ACHIEVED</v>
      </c>
      <c r="H242" s="3" t="s">
        <v>643</v>
      </c>
      <c r="I242" s="3" t="s">
        <v>650</v>
      </c>
      <c r="J242" s="3" t="s">
        <v>678</v>
      </c>
      <c r="K242" s="13" t="str">
        <f t="shared" si="84"/>
        <v>Europe &gt; Germany &gt; Munich</v>
      </c>
      <c r="L242" s="3" t="s">
        <v>698</v>
      </c>
      <c r="M242" s="3" t="s">
        <v>704</v>
      </c>
      <c r="N242" s="13" t="str">
        <f t="shared" si="71"/>
        <v>Distributor</v>
      </c>
      <c r="O242" s="3" t="s">
        <v>712</v>
      </c>
      <c r="P242" s="3" t="s">
        <v>725</v>
      </c>
      <c r="Q242" s="13" t="str">
        <f t="shared" si="72"/>
        <v>High</v>
      </c>
      <c r="R242" s="3" t="s">
        <v>1022</v>
      </c>
      <c r="S242" s="7">
        <v>1362.31</v>
      </c>
      <c r="T242" s="7">
        <f t="shared" si="85"/>
        <v>1566.6564999999998</v>
      </c>
      <c r="U242" s="7">
        <v>3294.57</v>
      </c>
      <c r="V242" s="7">
        <f t="shared" si="73"/>
        <v>3294.57</v>
      </c>
      <c r="W242" s="7">
        <f t="shared" si="86"/>
        <v>3788.7554999999998</v>
      </c>
      <c r="X242" s="16">
        <v>0.113</v>
      </c>
      <c r="Y242" t="str">
        <f t="shared" si="74"/>
        <v>OK</v>
      </c>
      <c r="Z242" s="16">
        <f t="shared" si="75"/>
        <v>0.113</v>
      </c>
      <c r="AA242" s="16">
        <f t="shared" si="87"/>
        <v>0.113</v>
      </c>
      <c r="AB242" s="9">
        <v>7</v>
      </c>
      <c r="AC242" s="9">
        <f t="shared" si="88"/>
        <v>8.4</v>
      </c>
      <c r="AD242" s="9">
        <f t="shared" si="76"/>
        <v>20455.985130000001</v>
      </c>
      <c r="AE242" s="9">
        <f t="shared" si="89"/>
        <v>35421.832920599998</v>
      </c>
      <c r="AF242" s="9">
        <f t="shared" si="77"/>
        <v>9536.17</v>
      </c>
      <c r="AG242" s="9">
        <f t="shared" si="78"/>
        <v>10919.815130000001</v>
      </c>
      <c r="AH242" s="9">
        <f t="shared" si="90"/>
        <v>25885.6629206</v>
      </c>
      <c r="AI242">
        <f t="shared" si="79"/>
        <v>0.5338200561157721</v>
      </c>
      <c r="AJ242" s="5">
        <f t="shared" si="80"/>
        <v>44928</v>
      </c>
      <c r="AK242" t="str">
        <f t="shared" si="81"/>
        <v>Jan-2023</v>
      </c>
      <c r="AL242">
        <v>0</v>
      </c>
      <c r="AM242">
        <v>0</v>
      </c>
      <c r="AN242">
        <v>0</v>
      </c>
    </row>
    <row r="243" spans="1:40" x14ac:dyDescent="0.45">
      <c r="A243" s="3" t="s">
        <v>328</v>
      </c>
      <c r="B243" s="5">
        <v>45440</v>
      </c>
      <c r="C243" s="9" t="str">
        <f t="shared" si="69"/>
        <v>May-2024</v>
      </c>
      <c r="D243" s="5" t="str">
        <f t="shared" si="70"/>
        <v>2024-Q2</v>
      </c>
      <c r="E243" s="5">
        <v>45461</v>
      </c>
      <c r="F243" s="9">
        <f t="shared" si="82"/>
        <v>21</v>
      </c>
      <c r="G243" s="9" t="str">
        <f t="shared" si="83"/>
        <v>NOT ACHIEVED</v>
      </c>
      <c r="H243" s="3" t="s">
        <v>643</v>
      </c>
      <c r="I243" s="3" t="s">
        <v>650</v>
      </c>
      <c r="J243" s="3" t="s">
        <v>692</v>
      </c>
      <c r="K243" s="13" t="str">
        <f t="shared" si="84"/>
        <v>Europe &gt; Germany &gt; Frankfurt</v>
      </c>
      <c r="L243" s="3" t="s">
        <v>699</v>
      </c>
      <c r="M243" s="3" t="s">
        <v>702</v>
      </c>
      <c r="N243" s="13" t="str">
        <f t="shared" si="71"/>
        <v>Online</v>
      </c>
      <c r="O243" s="3" t="s">
        <v>712</v>
      </c>
      <c r="P243" s="3" t="s">
        <v>724</v>
      </c>
      <c r="Q243" s="13" t="str">
        <f t="shared" si="72"/>
        <v>High</v>
      </c>
      <c r="R243" s="3" t="s">
        <v>1047</v>
      </c>
      <c r="S243" s="7">
        <v>986.85</v>
      </c>
      <c r="T243" s="7">
        <f t="shared" si="85"/>
        <v>1134.8774999999998</v>
      </c>
      <c r="U243" s="7">
        <v>2422.1</v>
      </c>
      <c r="V243" s="7">
        <f t="shared" si="73"/>
        <v>2422.1</v>
      </c>
      <c r="W243" s="7">
        <f t="shared" si="86"/>
        <v>2785.4149999999995</v>
      </c>
      <c r="X243" s="16">
        <v>7.5999999999999998E-2</v>
      </c>
      <c r="Y243" t="str">
        <f t="shared" si="74"/>
        <v>OK</v>
      </c>
      <c r="Z243" s="16">
        <f t="shared" si="75"/>
        <v>7.5999999999999998E-2</v>
      </c>
      <c r="AA243" s="16">
        <f t="shared" si="87"/>
        <v>7.5999999999999998E-2</v>
      </c>
      <c r="AB243" s="9">
        <v>10</v>
      </c>
      <c r="AC243" s="9">
        <f t="shared" si="88"/>
        <v>12</v>
      </c>
      <c r="AD243" s="9">
        <f t="shared" si="76"/>
        <v>22380.204000000002</v>
      </c>
      <c r="AE243" s="9">
        <f t="shared" si="89"/>
        <v>35965.278480000001</v>
      </c>
      <c r="AF243" s="9">
        <f t="shared" si="77"/>
        <v>9868.5</v>
      </c>
      <c r="AG243" s="9">
        <f t="shared" si="78"/>
        <v>12511.704000000002</v>
      </c>
      <c r="AH243" s="9">
        <f t="shared" si="90"/>
        <v>26096.778480000001</v>
      </c>
      <c r="AI243">
        <f t="shared" si="79"/>
        <v>0.55905227673527913</v>
      </c>
      <c r="AJ243" s="5">
        <f t="shared" si="80"/>
        <v>44928</v>
      </c>
      <c r="AK243" t="str">
        <f t="shared" si="81"/>
        <v>Jan-2023</v>
      </c>
      <c r="AL243">
        <v>0</v>
      </c>
      <c r="AM243">
        <v>0</v>
      </c>
      <c r="AN243">
        <v>0</v>
      </c>
    </row>
    <row r="244" spans="1:40" x14ac:dyDescent="0.45">
      <c r="A244" s="3" t="s">
        <v>359</v>
      </c>
      <c r="B244" s="5">
        <v>45262</v>
      </c>
      <c r="C244" s="9" t="str">
        <f t="shared" si="69"/>
        <v>Dec-2023</v>
      </c>
      <c r="D244" s="5" t="str">
        <f t="shared" si="70"/>
        <v>2023-Q4</v>
      </c>
      <c r="E244" s="5">
        <v>45276</v>
      </c>
      <c r="F244" s="9">
        <f t="shared" si="82"/>
        <v>14</v>
      </c>
      <c r="G244" s="9" t="str">
        <f t="shared" si="83"/>
        <v>NOT ACHIEVED</v>
      </c>
      <c r="H244" s="3" t="s">
        <v>643</v>
      </c>
      <c r="I244" s="3" t="s">
        <v>650</v>
      </c>
      <c r="J244" s="3" t="s">
        <v>692</v>
      </c>
      <c r="K244" s="13" t="str">
        <f t="shared" si="84"/>
        <v>Europe &gt; Germany &gt; Frankfurt</v>
      </c>
      <c r="L244" s="3" t="s">
        <v>696</v>
      </c>
      <c r="M244" s="3" t="s">
        <v>705</v>
      </c>
      <c r="N244" s="13" t="str">
        <f t="shared" si="71"/>
        <v>Direct</v>
      </c>
      <c r="O244" s="3" t="s">
        <v>719</v>
      </c>
      <c r="P244" s="3" t="s">
        <v>726</v>
      </c>
      <c r="Q244" s="13" t="str">
        <f t="shared" si="72"/>
        <v>Medium</v>
      </c>
      <c r="R244" s="3" t="s">
        <v>1078</v>
      </c>
      <c r="S244" s="7">
        <v>879.08</v>
      </c>
      <c r="T244" s="7">
        <f t="shared" si="85"/>
        <v>1010.942</v>
      </c>
      <c r="U244" s="7">
        <v>1093.3900000000001</v>
      </c>
      <c r="V244" s="7">
        <f t="shared" si="73"/>
        <v>1093.3900000000001</v>
      </c>
      <c r="W244" s="7">
        <f t="shared" si="86"/>
        <v>1257.3985</v>
      </c>
      <c r="X244" s="16">
        <v>0.113</v>
      </c>
      <c r="Y244" t="str">
        <f t="shared" si="74"/>
        <v>OK</v>
      </c>
      <c r="Z244" s="16">
        <f t="shared" si="75"/>
        <v>0.113</v>
      </c>
      <c r="AA244" s="16">
        <f t="shared" si="87"/>
        <v>0.113</v>
      </c>
      <c r="AB244" s="9">
        <v>17</v>
      </c>
      <c r="AC244" s="9">
        <f t="shared" si="88"/>
        <v>20.399999999999999</v>
      </c>
      <c r="AD244" s="9">
        <f t="shared" si="76"/>
        <v>16487.22781</v>
      </c>
      <c r="AE244" s="9">
        <f t="shared" si="89"/>
        <v>28549.484422199996</v>
      </c>
      <c r="AF244" s="9">
        <f t="shared" si="77"/>
        <v>14944.36</v>
      </c>
      <c r="AG244" s="9">
        <f t="shared" si="78"/>
        <v>1542.8678099999997</v>
      </c>
      <c r="AH244" s="9">
        <f t="shared" si="90"/>
        <v>13605.124422199995</v>
      </c>
      <c r="AI244">
        <f t="shared" si="79"/>
        <v>9.3579577341935186E-2</v>
      </c>
      <c r="AJ244" s="5">
        <f t="shared" si="80"/>
        <v>44928</v>
      </c>
      <c r="AK244" t="str">
        <f t="shared" si="81"/>
        <v>Jan-2023</v>
      </c>
      <c r="AL244">
        <v>0</v>
      </c>
      <c r="AM244">
        <v>0</v>
      </c>
      <c r="AN244">
        <v>0</v>
      </c>
    </row>
    <row r="245" spans="1:40" x14ac:dyDescent="0.45">
      <c r="A245" s="3" t="s">
        <v>404</v>
      </c>
      <c r="B245" s="5">
        <v>45890</v>
      </c>
      <c r="C245" s="9" t="str">
        <f t="shared" si="69"/>
        <v>Aug-2025</v>
      </c>
      <c r="D245" s="5" t="str">
        <f t="shared" si="70"/>
        <v>2025-Q3</v>
      </c>
      <c r="E245" s="5">
        <v>45914</v>
      </c>
      <c r="F245" s="9">
        <f t="shared" si="82"/>
        <v>24</v>
      </c>
      <c r="G245" s="9" t="str">
        <f t="shared" si="83"/>
        <v>NOT ACHIEVED</v>
      </c>
      <c r="H245" s="3" t="s">
        <v>643</v>
      </c>
      <c r="I245" s="3" t="s">
        <v>650</v>
      </c>
      <c r="J245" s="3" t="s">
        <v>665</v>
      </c>
      <c r="K245" s="13" t="str">
        <f t="shared" si="84"/>
        <v>Europe &gt; Germany &gt; Berlin</v>
      </c>
      <c r="L245" s="3" t="s">
        <v>697</v>
      </c>
      <c r="M245" s="3" t="s">
        <v>702</v>
      </c>
      <c r="N245" s="13" t="str">
        <f t="shared" si="71"/>
        <v>Online</v>
      </c>
      <c r="O245" s="3" t="s">
        <v>714</v>
      </c>
      <c r="P245" s="3" t="s">
        <v>726</v>
      </c>
      <c r="Q245" s="13" t="str">
        <f t="shared" si="72"/>
        <v>High</v>
      </c>
      <c r="R245" s="3" t="s">
        <v>1122</v>
      </c>
      <c r="S245" s="7">
        <v>1397.67</v>
      </c>
      <c r="T245" s="7">
        <f t="shared" si="85"/>
        <v>1607.3205</v>
      </c>
      <c r="U245" s="7">
        <v>3131.37</v>
      </c>
      <c r="V245" s="7">
        <f t="shared" si="73"/>
        <v>3131.37</v>
      </c>
      <c r="W245" s="7">
        <f t="shared" si="86"/>
        <v>3601.0754999999995</v>
      </c>
      <c r="X245" s="16">
        <v>0.10299999999999999</v>
      </c>
      <c r="Y245" t="str">
        <f t="shared" si="74"/>
        <v>OK</v>
      </c>
      <c r="Z245" s="16">
        <f t="shared" si="75"/>
        <v>0.10299999999999999</v>
      </c>
      <c r="AA245" s="16">
        <f t="shared" si="87"/>
        <v>0.10299999999999999</v>
      </c>
      <c r="AB245" s="9">
        <v>20</v>
      </c>
      <c r="AC245" s="9">
        <f t="shared" si="88"/>
        <v>24</v>
      </c>
      <c r="AD245" s="9">
        <f t="shared" si="76"/>
        <v>56176.777799999996</v>
      </c>
      <c r="AE245" s="9">
        <f t="shared" si="89"/>
        <v>95327.670635999995</v>
      </c>
      <c r="AF245" s="9">
        <f t="shared" si="77"/>
        <v>27953.4</v>
      </c>
      <c r="AG245" s="9">
        <f t="shared" si="78"/>
        <v>28223.377799999995</v>
      </c>
      <c r="AH245" s="9">
        <f t="shared" si="90"/>
        <v>67374.270636000001</v>
      </c>
      <c r="AI245">
        <f t="shared" si="79"/>
        <v>0.50240293062874808</v>
      </c>
      <c r="AJ245" s="5">
        <f t="shared" si="80"/>
        <v>44928</v>
      </c>
      <c r="AK245" t="str">
        <f t="shared" si="81"/>
        <v>Jan-2023</v>
      </c>
      <c r="AL245">
        <v>0</v>
      </c>
      <c r="AM245">
        <v>0</v>
      </c>
      <c r="AN245">
        <v>0</v>
      </c>
    </row>
    <row r="246" spans="1:40" x14ac:dyDescent="0.45">
      <c r="A246" s="3" t="s">
        <v>420</v>
      </c>
      <c r="B246" s="5">
        <v>45002</v>
      </c>
      <c r="C246" s="9" t="str">
        <f t="shared" si="69"/>
        <v>Mar-2023</v>
      </c>
      <c r="D246" s="5" t="str">
        <f t="shared" si="70"/>
        <v>2023-Q1</v>
      </c>
      <c r="E246" s="5">
        <v>45022</v>
      </c>
      <c r="F246" s="9">
        <f t="shared" si="82"/>
        <v>20</v>
      </c>
      <c r="G246" s="9" t="str">
        <f t="shared" si="83"/>
        <v>NOT ACHIEVED</v>
      </c>
      <c r="H246" s="3" t="s">
        <v>643</v>
      </c>
      <c r="I246" s="3" t="s">
        <v>650</v>
      </c>
      <c r="J246" s="3" t="s">
        <v>678</v>
      </c>
      <c r="K246" s="13" t="str">
        <f t="shared" si="84"/>
        <v>Europe &gt; Germany &gt; Munich</v>
      </c>
      <c r="L246" s="3" t="s">
        <v>698</v>
      </c>
      <c r="M246" s="3" t="s">
        <v>701</v>
      </c>
      <c r="N246" s="13" t="str">
        <f t="shared" si="71"/>
        <v>Retail</v>
      </c>
      <c r="O246" s="3" t="s">
        <v>713</v>
      </c>
      <c r="P246" s="3" t="s">
        <v>724</v>
      </c>
      <c r="Q246" s="13" t="str">
        <f t="shared" si="72"/>
        <v>Medium</v>
      </c>
      <c r="R246" s="3" t="s">
        <v>1138</v>
      </c>
      <c r="S246" s="7">
        <v>692.18</v>
      </c>
      <c r="T246" s="7">
        <f t="shared" si="85"/>
        <v>796.00699999999983</v>
      </c>
      <c r="U246" s="7">
        <v>1159.3499999999999</v>
      </c>
      <c r="V246" s="7">
        <f t="shared" si="73"/>
        <v>1159.3499999999999</v>
      </c>
      <c r="W246" s="7">
        <f t="shared" si="86"/>
        <v>1333.2524999999998</v>
      </c>
      <c r="X246" s="16">
        <v>0.112</v>
      </c>
      <c r="Y246" t="str">
        <f t="shared" si="74"/>
        <v>OK</v>
      </c>
      <c r="Z246" s="16">
        <f t="shared" si="75"/>
        <v>0.112</v>
      </c>
      <c r="AA246" s="16">
        <f t="shared" si="87"/>
        <v>0.112</v>
      </c>
      <c r="AB246" s="9">
        <v>2</v>
      </c>
      <c r="AC246" s="9">
        <f t="shared" si="88"/>
        <v>2.4</v>
      </c>
      <c r="AD246" s="9">
        <f t="shared" si="76"/>
        <v>2059.0056</v>
      </c>
      <c r="AE246" s="9">
        <f t="shared" si="89"/>
        <v>3558.184272</v>
      </c>
      <c r="AF246" s="9">
        <f t="shared" si="77"/>
        <v>1384.36</v>
      </c>
      <c r="AG246" s="9">
        <f t="shared" si="78"/>
        <v>674.64560000000006</v>
      </c>
      <c r="AH246" s="9">
        <f t="shared" si="90"/>
        <v>2173.8242719999998</v>
      </c>
      <c r="AI246">
        <f t="shared" si="79"/>
        <v>0.32765602968734037</v>
      </c>
      <c r="AJ246" s="5">
        <f t="shared" si="80"/>
        <v>44928</v>
      </c>
      <c r="AK246" t="str">
        <f t="shared" si="81"/>
        <v>Jan-2023</v>
      </c>
      <c r="AL246">
        <v>0</v>
      </c>
      <c r="AM246">
        <v>0</v>
      </c>
      <c r="AN246">
        <v>0</v>
      </c>
    </row>
    <row r="247" spans="1:40" x14ac:dyDescent="0.45">
      <c r="A247" s="3" t="s">
        <v>427</v>
      </c>
      <c r="B247" s="5">
        <v>45307</v>
      </c>
      <c r="C247" s="9" t="str">
        <f t="shared" si="69"/>
        <v>Jan-2024</v>
      </c>
      <c r="D247" s="5" t="str">
        <f t="shared" si="70"/>
        <v>2024-Q1</v>
      </c>
      <c r="E247" s="5">
        <v>45333</v>
      </c>
      <c r="F247" s="9">
        <f t="shared" si="82"/>
        <v>26</v>
      </c>
      <c r="G247" s="9" t="str">
        <f t="shared" si="83"/>
        <v>NOT ACHIEVED</v>
      </c>
      <c r="H247" s="3" t="s">
        <v>643</v>
      </c>
      <c r="I247" s="3" t="s">
        <v>650</v>
      </c>
      <c r="J247" s="3" t="s">
        <v>692</v>
      </c>
      <c r="K247" s="13" t="str">
        <f t="shared" si="84"/>
        <v>Europe &gt; Germany &gt; Frankfurt</v>
      </c>
      <c r="L247" s="3" t="s">
        <v>697</v>
      </c>
      <c r="M247" s="3" t="s">
        <v>704</v>
      </c>
      <c r="N247" s="13" t="str">
        <f t="shared" si="71"/>
        <v>Distributor</v>
      </c>
      <c r="O247" s="3" t="s">
        <v>712</v>
      </c>
      <c r="P247" s="3" t="s">
        <v>726</v>
      </c>
      <c r="Q247" s="13" t="str">
        <f t="shared" si="72"/>
        <v>Medium</v>
      </c>
      <c r="R247" s="3" t="s">
        <v>1145</v>
      </c>
      <c r="S247" s="7">
        <v>504.93</v>
      </c>
      <c r="T247" s="7">
        <f t="shared" si="85"/>
        <v>580.66949999999997</v>
      </c>
      <c r="U247" s="7">
        <v>819.06</v>
      </c>
      <c r="V247" s="7">
        <f t="shared" si="73"/>
        <v>819.06</v>
      </c>
      <c r="W247" s="7">
        <f t="shared" si="86"/>
        <v>941.91899999999987</v>
      </c>
      <c r="X247" s="16">
        <v>0.22600000000000001</v>
      </c>
      <c r="Y247" t="str">
        <f t="shared" si="74"/>
        <v>OK</v>
      </c>
      <c r="Z247" s="16">
        <f t="shared" si="75"/>
        <v>0.22600000000000001</v>
      </c>
      <c r="AA247" s="16">
        <f t="shared" si="87"/>
        <v>0.22600000000000001</v>
      </c>
      <c r="AB247" s="9">
        <v>15</v>
      </c>
      <c r="AC247" s="9">
        <f t="shared" si="88"/>
        <v>18</v>
      </c>
      <c r="AD247" s="9">
        <f t="shared" si="76"/>
        <v>9509.2865999999995</v>
      </c>
      <c r="AE247" s="9">
        <f t="shared" si="89"/>
        <v>20786.268491999996</v>
      </c>
      <c r="AF247" s="9">
        <f t="shared" si="77"/>
        <v>7573.95</v>
      </c>
      <c r="AG247" s="9">
        <f t="shared" si="78"/>
        <v>1935.3365999999996</v>
      </c>
      <c r="AH247" s="9">
        <f t="shared" si="90"/>
        <v>13212.318491999995</v>
      </c>
      <c r="AI247">
        <f t="shared" si="79"/>
        <v>0.20352069312959814</v>
      </c>
      <c r="AJ247" s="5">
        <f t="shared" si="80"/>
        <v>44928</v>
      </c>
      <c r="AK247" t="str">
        <f t="shared" si="81"/>
        <v>Jan-2023</v>
      </c>
      <c r="AL247">
        <v>0</v>
      </c>
      <c r="AM247">
        <v>0</v>
      </c>
      <c r="AN247">
        <v>0</v>
      </c>
    </row>
    <row r="248" spans="1:40" x14ac:dyDescent="0.45">
      <c r="A248" s="3" t="s">
        <v>438</v>
      </c>
      <c r="B248" s="5">
        <v>45597</v>
      </c>
      <c r="C248" s="9" t="str">
        <f t="shared" si="69"/>
        <v>Nov-2024</v>
      </c>
      <c r="D248" s="5" t="str">
        <f t="shared" si="70"/>
        <v>2024-Q4</v>
      </c>
      <c r="E248" s="5">
        <v>45608</v>
      </c>
      <c r="F248" s="9">
        <f t="shared" si="82"/>
        <v>11</v>
      </c>
      <c r="G248" s="9" t="str">
        <f t="shared" si="83"/>
        <v>NOT ACHIEVED</v>
      </c>
      <c r="H248" s="3" t="s">
        <v>643</v>
      </c>
      <c r="I248" s="3" t="s">
        <v>650</v>
      </c>
      <c r="J248" s="3" t="s">
        <v>692</v>
      </c>
      <c r="K248" s="13" t="str">
        <f t="shared" si="84"/>
        <v>Europe &gt; Germany &gt; Frankfurt</v>
      </c>
      <c r="L248" s="3" t="s">
        <v>698</v>
      </c>
      <c r="M248" s="3" t="s">
        <v>702</v>
      </c>
      <c r="N248" s="13" t="str">
        <f t="shared" si="71"/>
        <v>Online</v>
      </c>
      <c r="O248" s="3" t="s">
        <v>711</v>
      </c>
      <c r="P248" s="3" t="s">
        <v>722</v>
      </c>
      <c r="Q248" s="13" t="str">
        <f t="shared" si="72"/>
        <v>Medium</v>
      </c>
      <c r="R248" s="3" t="s">
        <v>1156</v>
      </c>
      <c r="S248" s="7">
        <v>599.84</v>
      </c>
      <c r="T248" s="7">
        <f t="shared" si="85"/>
        <v>689.81600000000003</v>
      </c>
      <c r="U248" s="7">
        <v>1330.85</v>
      </c>
      <c r="V248" s="7">
        <f t="shared" si="73"/>
        <v>1330.85</v>
      </c>
      <c r="W248" s="7">
        <f t="shared" si="86"/>
        <v>1530.4774999999997</v>
      </c>
      <c r="X248" s="16">
        <v>0.115</v>
      </c>
      <c r="Y248" t="str">
        <f t="shared" si="74"/>
        <v>OK</v>
      </c>
      <c r="Z248" s="16">
        <f t="shared" si="75"/>
        <v>0.115</v>
      </c>
      <c r="AA248" s="16">
        <f t="shared" si="87"/>
        <v>0.115</v>
      </c>
      <c r="AB248" s="9">
        <v>11</v>
      </c>
      <c r="AC248" s="9">
        <f t="shared" si="88"/>
        <v>13.2</v>
      </c>
      <c r="AD248" s="9">
        <f t="shared" si="76"/>
        <v>12955.824749999998</v>
      </c>
      <c r="AE248" s="9">
        <f t="shared" si="89"/>
        <v>22525.567844999994</v>
      </c>
      <c r="AF248" s="9">
        <f t="shared" si="77"/>
        <v>6598.2400000000007</v>
      </c>
      <c r="AG248" s="9">
        <f t="shared" si="78"/>
        <v>6357.5847499999973</v>
      </c>
      <c r="AH248" s="9">
        <f t="shared" si="90"/>
        <v>15927.327844999993</v>
      </c>
      <c r="AI248">
        <f t="shared" si="79"/>
        <v>0.49071246892252063</v>
      </c>
      <c r="AJ248" s="5">
        <f t="shared" si="80"/>
        <v>44928</v>
      </c>
      <c r="AK248" t="str">
        <f t="shared" si="81"/>
        <v>Jan-2023</v>
      </c>
      <c r="AL248">
        <v>0</v>
      </c>
      <c r="AM248">
        <v>0</v>
      </c>
      <c r="AN248">
        <v>0</v>
      </c>
    </row>
    <row r="249" spans="1:40" x14ac:dyDescent="0.45">
      <c r="A249" s="3" t="s">
        <v>451</v>
      </c>
      <c r="B249" s="5">
        <v>45526</v>
      </c>
      <c r="C249" s="9" t="str">
        <f t="shared" si="69"/>
        <v>Aug-2024</v>
      </c>
      <c r="D249" s="5" t="str">
        <f t="shared" si="70"/>
        <v>2024-Q3</v>
      </c>
      <c r="E249" s="5">
        <v>45539</v>
      </c>
      <c r="F249" s="9">
        <f t="shared" si="82"/>
        <v>13</v>
      </c>
      <c r="G249" s="9" t="str">
        <f t="shared" si="83"/>
        <v>NOT ACHIEVED</v>
      </c>
      <c r="H249" s="3" t="s">
        <v>643</v>
      </c>
      <c r="I249" s="3" t="s">
        <v>650</v>
      </c>
      <c r="J249" s="3" t="s">
        <v>692</v>
      </c>
      <c r="K249" s="13" t="str">
        <f t="shared" si="84"/>
        <v>Europe &gt; Germany &gt; Frankfurt</v>
      </c>
      <c r="L249" s="3" t="s">
        <v>697</v>
      </c>
      <c r="M249" s="3" t="s">
        <v>701</v>
      </c>
      <c r="N249" s="13" t="str">
        <f t="shared" si="71"/>
        <v>Retail</v>
      </c>
      <c r="O249" s="3" t="s">
        <v>710</v>
      </c>
      <c r="P249" s="3" t="s">
        <v>722</v>
      </c>
      <c r="Q249" s="13" t="str">
        <f t="shared" si="72"/>
        <v>Low</v>
      </c>
      <c r="R249" s="3" t="s">
        <v>1169</v>
      </c>
      <c r="S249" s="7">
        <v>90.04</v>
      </c>
      <c r="T249" s="7">
        <f t="shared" si="85"/>
        <v>103.54599999999999</v>
      </c>
      <c r="U249" s="7">
        <v>194.62</v>
      </c>
      <c r="V249" s="7">
        <f t="shared" si="73"/>
        <v>194.62</v>
      </c>
      <c r="W249" s="7">
        <f t="shared" si="86"/>
        <v>223.81299999999999</v>
      </c>
      <c r="X249" s="16">
        <v>4.2999999999999997E-2</v>
      </c>
      <c r="Y249" t="str">
        <f t="shared" si="74"/>
        <v>OK</v>
      </c>
      <c r="Z249" s="16">
        <f t="shared" si="75"/>
        <v>4.2999999999999997E-2</v>
      </c>
      <c r="AA249" s="16">
        <f t="shared" si="87"/>
        <v>4.2999999999999997E-2</v>
      </c>
      <c r="AB249" s="9">
        <v>32</v>
      </c>
      <c r="AC249" s="9">
        <f t="shared" si="88"/>
        <v>38.4</v>
      </c>
      <c r="AD249" s="9">
        <f t="shared" si="76"/>
        <v>5960.04288</v>
      </c>
      <c r="AE249" s="9">
        <f t="shared" si="89"/>
        <v>8963.9792255999982</v>
      </c>
      <c r="AF249" s="9">
        <f t="shared" si="77"/>
        <v>2881.28</v>
      </c>
      <c r="AG249" s="9">
        <f t="shared" si="78"/>
        <v>3078.7628799999998</v>
      </c>
      <c r="AH249" s="9">
        <f t="shared" si="90"/>
        <v>6082.6992255999976</v>
      </c>
      <c r="AI249">
        <f t="shared" si="79"/>
        <v>0.51656723650954672</v>
      </c>
      <c r="AJ249" s="5">
        <f t="shared" si="80"/>
        <v>44928</v>
      </c>
      <c r="AK249" t="str">
        <f t="shared" si="81"/>
        <v>Jan-2023</v>
      </c>
      <c r="AL249">
        <v>0</v>
      </c>
      <c r="AM249">
        <v>0</v>
      </c>
      <c r="AN249">
        <v>0</v>
      </c>
    </row>
    <row r="250" spans="1:40" x14ac:dyDescent="0.45">
      <c r="A250" s="3" t="s">
        <v>466</v>
      </c>
      <c r="B250" s="5">
        <v>45260</v>
      </c>
      <c r="C250" s="9" t="str">
        <f t="shared" si="69"/>
        <v>Nov-2023</v>
      </c>
      <c r="D250" s="5" t="str">
        <f t="shared" si="70"/>
        <v>2023-Q4</v>
      </c>
      <c r="E250" s="5">
        <v>45270</v>
      </c>
      <c r="F250" s="9">
        <f t="shared" si="82"/>
        <v>10</v>
      </c>
      <c r="G250" s="9" t="str">
        <f t="shared" si="83"/>
        <v>NOT ACHIEVED</v>
      </c>
      <c r="H250" s="3" t="s">
        <v>643</v>
      </c>
      <c r="I250" s="3" t="s">
        <v>650</v>
      </c>
      <c r="J250" s="3" t="s">
        <v>678</v>
      </c>
      <c r="K250" s="13" t="str">
        <f t="shared" si="84"/>
        <v>Europe &gt; Germany &gt; Munich</v>
      </c>
      <c r="L250" s="3" t="s">
        <v>699</v>
      </c>
      <c r="M250" s="3" t="s">
        <v>705</v>
      </c>
      <c r="N250" s="13" t="str">
        <f t="shared" si="71"/>
        <v>Direct</v>
      </c>
      <c r="O250" s="3" t="s">
        <v>715</v>
      </c>
      <c r="P250" s="3" t="s">
        <v>725</v>
      </c>
      <c r="Q250" s="13" t="str">
        <f t="shared" si="72"/>
        <v>Low</v>
      </c>
      <c r="R250" s="3" t="s">
        <v>1184</v>
      </c>
      <c r="S250" s="7">
        <v>174.74</v>
      </c>
      <c r="T250" s="7">
        <f t="shared" si="85"/>
        <v>200.95099999999999</v>
      </c>
      <c r="U250" s="7">
        <v>415.96</v>
      </c>
      <c r="V250" s="7">
        <f t="shared" si="73"/>
        <v>415.96</v>
      </c>
      <c r="W250" s="7">
        <f t="shared" si="86"/>
        <v>478.35399999999993</v>
      </c>
      <c r="X250" s="16">
        <v>0.125</v>
      </c>
      <c r="Y250" t="str">
        <f t="shared" si="74"/>
        <v>OK</v>
      </c>
      <c r="Z250" s="16">
        <f t="shared" si="75"/>
        <v>0.125</v>
      </c>
      <c r="AA250" s="16">
        <f t="shared" si="87"/>
        <v>0.125</v>
      </c>
      <c r="AB250" s="9">
        <v>21</v>
      </c>
      <c r="AC250" s="9">
        <f t="shared" si="88"/>
        <v>25.2</v>
      </c>
      <c r="AD250" s="9">
        <f t="shared" si="76"/>
        <v>7643.2649999999994</v>
      </c>
      <c r="AE250" s="9">
        <f t="shared" si="89"/>
        <v>13561.335899999998</v>
      </c>
      <c r="AF250" s="9">
        <f t="shared" si="77"/>
        <v>3669.54</v>
      </c>
      <c r="AG250" s="9">
        <f t="shared" si="78"/>
        <v>3973.7249999999995</v>
      </c>
      <c r="AH250" s="9">
        <f t="shared" si="90"/>
        <v>9891.7958999999973</v>
      </c>
      <c r="AI250">
        <f t="shared" si="79"/>
        <v>0.51989889137691803</v>
      </c>
      <c r="AJ250" s="5">
        <f t="shared" si="80"/>
        <v>44928</v>
      </c>
      <c r="AK250" t="str">
        <f t="shared" si="81"/>
        <v>Jan-2023</v>
      </c>
      <c r="AL250">
        <v>0</v>
      </c>
      <c r="AM250">
        <v>0</v>
      </c>
      <c r="AN250">
        <v>0</v>
      </c>
    </row>
    <row r="251" spans="1:40" x14ac:dyDescent="0.45">
      <c r="A251" s="3" t="s">
        <v>470</v>
      </c>
      <c r="B251" s="5">
        <v>45358</v>
      </c>
      <c r="C251" s="9" t="str">
        <f t="shared" si="69"/>
        <v>Mar-2024</v>
      </c>
      <c r="D251" s="5" t="str">
        <f t="shared" si="70"/>
        <v>2024-Q1</v>
      </c>
      <c r="E251" s="5">
        <v>45385</v>
      </c>
      <c r="F251" s="9">
        <f t="shared" si="82"/>
        <v>27</v>
      </c>
      <c r="G251" s="9" t="str">
        <f t="shared" si="83"/>
        <v>NOT ACHIEVED</v>
      </c>
      <c r="H251" s="3" t="s">
        <v>643</v>
      </c>
      <c r="I251" s="3" t="s">
        <v>650</v>
      </c>
      <c r="J251" s="3" t="s">
        <v>692</v>
      </c>
      <c r="K251" s="13" t="str">
        <f t="shared" si="84"/>
        <v>Europe &gt; Germany &gt; Frankfurt</v>
      </c>
      <c r="L251" s="3" t="s">
        <v>695</v>
      </c>
      <c r="M251" s="3" t="s">
        <v>705</v>
      </c>
      <c r="N251" s="13" t="str">
        <f t="shared" si="71"/>
        <v>Direct</v>
      </c>
      <c r="O251" s="3" t="s">
        <v>718</v>
      </c>
      <c r="P251" s="3" t="s">
        <v>722</v>
      </c>
      <c r="Q251" s="13" t="str">
        <f t="shared" si="72"/>
        <v>Medium</v>
      </c>
      <c r="R251" s="3" t="s">
        <v>1188</v>
      </c>
      <c r="S251" s="7">
        <v>738.16</v>
      </c>
      <c r="T251" s="7">
        <f t="shared" si="85"/>
        <v>848.8839999999999</v>
      </c>
      <c r="U251" s="7">
        <v>956.49</v>
      </c>
      <c r="V251" s="7">
        <f t="shared" si="73"/>
        <v>956.49</v>
      </c>
      <c r="W251" s="7">
        <f t="shared" si="86"/>
        <v>1099.9634999999998</v>
      </c>
      <c r="X251" s="16">
        <v>0.152</v>
      </c>
      <c r="Y251" t="str">
        <f t="shared" si="74"/>
        <v>OK</v>
      </c>
      <c r="Z251" s="16">
        <f t="shared" si="75"/>
        <v>0.152</v>
      </c>
      <c r="AA251" s="16">
        <f t="shared" si="87"/>
        <v>0.152</v>
      </c>
      <c r="AB251" s="9">
        <v>5</v>
      </c>
      <c r="AC251" s="9">
        <f t="shared" si="88"/>
        <v>6</v>
      </c>
      <c r="AD251" s="9">
        <f t="shared" si="76"/>
        <v>4055.5175999999997</v>
      </c>
      <c r="AE251" s="9">
        <f t="shared" si="89"/>
        <v>7602.9477119999983</v>
      </c>
      <c r="AF251" s="9">
        <f t="shared" si="77"/>
        <v>3690.7999999999997</v>
      </c>
      <c r="AG251" s="9">
        <f t="shared" si="78"/>
        <v>364.71759999999995</v>
      </c>
      <c r="AH251" s="9">
        <f t="shared" si="90"/>
        <v>3912.1477119999986</v>
      </c>
      <c r="AI251">
        <f t="shared" si="79"/>
        <v>8.9931208780847108E-2</v>
      </c>
      <c r="AJ251" s="5">
        <f t="shared" si="80"/>
        <v>44928</v>
      </c>
      <c r="AK251" t="str">
        <f t="shared" si="81"/>
        <v>Jan-2023</v>
      </c>
      <c r="AL251">
        <v>0</v>
      </c>
      <c r="AM251">
        <v>0</v>
      </c>
      <c r="AN251">
        <v>0</v>
      </c>
    </row>
    <row r="252" spans="1:40" x14ac:dyDescent="0.45">
      <c r="A252" s="3" t="s">
        <v>476</v>
      </c>
      <c r="B252" s="5">
        <v>45809</v>
      </c>
      <c r="C252" s="9" t="str">
        <f t="shared" si="69"/>
        <v>Jun-2025</v>
      </c>
      <c r="D252" s="5" t="str">
        <f t="shared" si="70"/>
        <v>2025-Q2</v>
      </c>
      <c r="E252" s="5">
        <v>45813</v>
      </c>
      <c r="F252" s="9">
        <f t="shared" si="82"/>
        <v>4</v>
      </c>
      <c r="G252" s="9" t="str">
        <f t="shared" si="83"/>
        <v>ACHIEVED</v>
      </c>
      <c r="H252" s="3" t="s">
        <v>643</v>
      </c>
      <c r="I252" s="3" t="s">
        <v>650</v>
      </c>
      <c r="J252" s="3" t="s">
        <v>678</v>
      </c>
      <c r="K252" s="13" t="str">
        <f t="shared" si="84"/>
        <v>Europe &gt; Germany &gt; Munich</v>
      </c>
      <c r="L252" s="3" t="s">
        <v>700</v>
      </c>
      <c r="M252" s="3" t="s">
        <v>705</v>
      </c>
      <c r="N252" s="13" t="str">
        <f t="shared" si="71"/>
        <v>Direct</v>
      </c>
      <c r="O252" s="3" t="s">
        <v>718</v>
      </c>
      <c r="P252" s="3" t="s">
        <v>721</v>
      </c>
      <c r="Q252" s="13" t="str">
        <f t="shared" si="72"/>
        <v>High</v>
      </c>
      <c r="R252" s="3" t="s">
        <v>1194</v>
      </c>
      <c r="S252" s="7">
        <v>1171.42</v>
      </c>
      <c r="T252" s="7">
        <f t="shared" si="85"/>
        <v>1347.133</v>
      </c>
      <c r="U252" s="7">
        <v>2187.8000000000002</v>
      </c>
      <c r="V252" s="7">
        <f t="shared" si="73"/>
        <v>2187.8000000000002</v>
      </c>
      <c r="W252" s="7">
        <f t="shared" si="86"/>
        <v>2515.9699999999998</v>
      </c>
      <c r="X252" s="16">
        <v>0.23</v>
      </c>
      <c r="Y252" t="str">
        <f t="shared" si="74"/>
        <v>OK</v>
      </c>
      <c r="Z252" s="16">
        <f t="shared" si="75"/>
        <v>0.23</v>
      </c>
      <c r="AA252" s="16">
        <f t="shared" si="87"/>
        <v>0.23</v>
      </c>
      <c r="AB252" s="9">
        <v>15</v>
      </c>
      <c r="AC252" s="9">
        <f t="shared" si="88"/>
        <v>18</v>
      </c>
      <c r="AD252" s="9">
        <f t="shared" si="76"/>
        <v>25269.09</v>
      </c>
      <c r="AE252" s="9">
        <f t="shared" si="89"/>
        <v>55703.575799999999</v>
      </c>
      <c r="AF252" s="9">
        <f t="shared" si="77"/>
        <v>17571.300000000003</v>
      </c>
      <c r="AG252" s="9">
        <f t="shared" si="78"/>
        <v>7697.7899999999972</v>
      </c>
      <c r="AH252" s="9">
        <f t="shared" si="90"/>
        <v>38132.275799999996</v>
      </c>
      <c r="AI252">
        <f t="shared" si="79"/>
        <v>0.30463265594447592</v>
      </c>
      <c r="AJ252" s="5">
        <f t="shared" si="80"/>
        <v>44928</v>
      </c>
      <c r="AK252" t="str">
        <f t="shared" si="81"/>
        <v>Jan-2023</v>
      </c>
      <c r="AL252">
        <v>0</v>
      </c>
      <c r="AM252">
        <v>0</v>
      </c>
      <c r="AN252">
        <v>0</v>
      </c>
    </row>
    <row r="253" spans="1:40" x14ac:dyDescent="0.45">
      <c r="A253" s="3" t="s">
        <v>477</v>
      </c>
      <c r="B253" s="5">
        <v>45739</v>
      </c>
      <c r="C253" s="9" t="str">
        <f t="shared" si="69"/>
        <v>Mar-2025</v>
      </c>
      <c r="D253" s="5" t="str">
        <f t="shared" si="70"/>
        <v>2025-Q1</v>
      </c>
      <c r="E253" s="5">
        <v>45749</v>
      </c>
      <c r="F253" s="9">
        <f t="shared" si="82"/>
        <v>10</v>
      </c>
      <c r="G253" s="9" t="str">
        <f t="shared" si="83"/>
        <v>NOT ACHIEVED</v>
      </c>
      <c r="H253" s="3" t="s">
        <v>643</v>
      </c>
      <c r="I253" s="3" t="s">
        <v>650</v>
      </c>
      <c r="J253" s="3" t="s">
        <v>665</v>
      </c>
      <c r="K253" s="13" t="str">
        <f t="shared" si="84"/>
        <v>Europe &gt; Germany &gt; Berlin</v>
      </c>
      <c r="L253" s="3" t="s">
        <v>700</v>
      </c>
      <c r="M253" s="3" t="s">
        <v>702</v>
      </c>
      <c r="N253" s="13" t="str">
        <f t="shared" si="71"/>
        <v>Online</v>
      </c>
      <c r="O253" s="3" t="s">
        <v>712</v>
      </c>
      <c r="P253" s="3" t="s">
        <v>722</v>
      </c>
      <c r="Q253" s="13" t="str">
        <f t="shared" si="72"/>
        <v>Medium</v>
      </c>
      <c r="R253" s="3" t="s">
        <v>1195</v>
      </c>
      <c r="S253" s="7">
        <v>663.61</v>
      </c>
      <c r="T253" s="7">
        <f t="shared" si="85"/>
        <v>763.15149999999994</v>
      </c>
      <c r="U253" s="7">
        <v>1002.11</v>
      </c>
      <c r="V253" s="7">
        <f t="shared" si="73"/>
        <v>1002.11</v>
      </c>
      <c r="W253" s="7">
        <f t="shared" si="86"/>
        <v>1152.4265</v>
      </c>
      <c r="X253" s="16">
        <v>4.5999999999999999E-2</v>
      </c>
      <c r="Y253" t="str">
        <f t="shared" si="74"/>
        <v>OK</v>
      </c>
      <c r="Z253" s="16">
        <f t="shared" si="75"/>
        <v>4.5999999999999999E-2</v>
      </c>
      <c r="AA253" s="16">
        <f t="shared" si="87"/>
        <v>4.5999999999999999E-2</v>
      </c>
      <c r="AB253" s="9">
        <v>17</v>
      </c>
      <c r="AC253" s="9">
        <f t="shared" si="88"/>
        <v>20.399999999999999</v>
      </c>
      <c r="AD253" s="9">
        <f t="shared" si="76"/>
        <v>16252.219979999998</v>
      </c>
      <c r="AE253" s="9">
        <f t="shared" si="89"/>
        <v>24590.9376276</v>
      </c>
      <c r="AF253" s="9">
        <f t="shared" si="77"/>
        <v>11281.37</v>
      </c>
      <c r="AG253" s="9">
        <f t="shared" si="78"/>
        <v>4970.8499799999972</v>
      </c>
      <c r="AH253" s="9">
        <f t="shared" si="90"/>
        <v>13309.567627599999</v>
      </c>
      <c r="AI253">
        <f t="shared" si="79"/>
        <v>0.30585667595670812</v>
      </c>
      <c r="AJ253" s="5">
        <f t="shared" si="80"/>
        <v>44928</v>
      </c>
      <c r="AK253" t="str">
        <f t="shared" si="81"/>
        <v>Jan-2023</v>
      </c>
      <c r="AL253">
        <v>0</v>
      </c>
      <c r="AM253">
        <v>0</v>
      </c>
      <c r="AN253">
        <v>0</v>
      </c>
    </row>
    <row r="254" spans="1:40" x14ac:dyDescent="0.45">
      <c r="A254" s="3" t="s">
        <v>485</v>
      </c>
      <c r="B254" s="5">
        <v>44999</v>
      </c>
      <c r="C254" s="9" t="str">
        <f t="shared" si="69"/>
        <v>Mar-2023</v>
      </c>
      <c r="D254" s="5" t="str">
        <f t="shared" si="70"/>
        <v>2023-Q1</v>
      </c>
      <c r="E254" s="5">
        <v>45003</v>
      </c>
      <c r="F254" s="9">
        <f t="shared" si="82"/>
        <v>4</v>
      </c>
      <c r="G254" s="9" t="str">
        <f t="shared" si="83"/>
        <v>ACHIEVED</v>
      </c>
      <c r="H254" s="3" t="s">
        <v>643</v>
      </c>
      <c r="I254" s="3" t="s">
        <v>650</v>
      </c>
      <c r="J254" s="3" t="s">
        <v>692</v>
      </c>
      <c r="K254" s="13" t="str">
        <f t="shared" si="84"/>
        <v>Europe &gt; Germany &gt; Frankfurt</v>
      </c>
      <c r="L254" s="3" t="s">
        <v>700</v>
      </c>
      <c r="M254" s="3" t="s">
        <v>705</v>
      </c>
      <c r="N254" s="13" t="str">
        <f t="shared" si="71"/>
        <v>Direct</v>
      </c>
      <c r="O254" s="3" t="s">
        <v>714</v>
      </c>
      <c r="P254" s="3" t="s">
        <v>721</v>
      </c>
      <c r="Q254" s="13" t="str">
        <f t="shared" si="72"/>
        <v>Low</v>
      </c>
      <c r="R254" s="3" t="s">
        <v>1203</v>
      </c>
      <c r="S254" s="7">
        <v>472.33</v>
      </c>
      <c r="T254" s="7">
        <f t="shared" si="85"/>
        <v>543.17949999999996</v>
      </c>
      <c r="U254" s="7">
        <v>360.34</v>
      </c>
      <c r="V254" s="7">
        <f t="shared" si="73"/>
        <v>360.34</v>
      </c>
      <c r="W254" s="7">
        <f t="shared" si="86"/>
        <v>414.39099999999996</v>
      </c>
      <c r="X254" s="16">
        <v>0.16500000000000001</v>
      </c>
      <c r="Y254" t="str">
        <f t="shared" si="74"/>
        <v>OK</v>
      </c>
      <c r="Z254" s="16">
        <f t="shared" si="75"/>
        <v>0.16500000000000001</v>
      </c>
      <c r="AA254" s="16">
        <f t="shared" si="87"/>
        <v>0.16500000000000001</v>
      </c>
      <c r="AB254" s="9">
        <v>14</v>
      </c>
      <c r="AC254" s="9">
        <f t="shared" si="88"/>
        <v>16.8</v>
      </c>
      <c r="AD254" s="9">
        <f t="shared" si="76"/>
        <v>4212.3745999999992</v>
      </c>
      <c r="AE254" s="9">
        <f t="shared" si="89"/>
        <v>8110.4606519999998</v>
      </c>
      <c r="AF254" s="9">
        <f t="shared" si="77"/>
        <v>6612.62</v>
      </c>
      <c r="AG254" s="9">
        <f t="shared" si="78"/>
        <v>-2400.2454000000007</v>
      </c>
      <c r="AH254" s="9">
        <f t="shared" si="90"/>
        <v>1497.8406519999999</v>
      </c>
      <c r="AI254">
        <f t="shared" si="79"/>
        <v>-0.56980815523861561</v>
      </c>
      <c r="AJ254" s="5">
        <f t="shared" si="80"/>
        <v>44928</v>
      </c>
      <c r="AK254" t="str">
        <f t="shared" si="81"/>
        <v>Jan-2023</v>
      </c>
      <c r="AL254">
        <v>0</v>
      </c>
      <c r="AM254">
        <v>0</v>
      </c>
      <c r="AN254">
        <v>0</v>
      </c>
    </row>
    <row r="255" spans="1:40" x14ac:dyDescent="0.45">
      <c r="A255" s="3" t="s">
        <v>487</v>
      </c>
      <c r="B255" s="5">
        <v>45032</v>
      </c>
      <c r="C255" s="9" t="str">
        <f t="shared" si="69"/>
        <v>Apr-2023</v>
      </c>
      <c r="D255" s="5" t="str">
        <f t="shared" si="70"/>
        <v>2023-Q2</v>
      </c>
      <c r="E255" s="5">
        <v>45035</v>
      </c>
      <c r="F255" s="9">
        <f t="shared" si="82"/>
        <v>3</v>
      </c>
      <c r="G255" s="9" t="str">
        <f t="shared" si="83"/>
        <v>ACHIEVED</v>
      </c>
      <c r="H255" s="3" t="s">
        <v>643</v>
      </c>
      <c r="I255" s="3" t="s">
        <v>650</v>
      </c>
      <c r="J255" s="3" t="s">
        <v>678</v>
      </c>
      <c r="K255" s="13" t="str">
        <f t="shared" si="84"/>
        <v>Europe &gt; Germany &gt; Munich</v>
      </c>
      <c r="L255" s="3" t="s">
        <v>695</v>
      </c>
      <c r="M255" s="3" t="s">
        <v>705</v>
      </c>
      <c r="N255" s="13" t="str">
        <f t="shared" si="71"/>
        <v>Direct</v>
      </c>
      <c r="O255" s="3" t="s">
        <v>711</v>
      </c>
      <c r="P255" s="3" t="s">
        <v>727</v>
      </c>
      <c r="Q255" s="13" t="str">
        <f t="shared" si="72"/>
        <v>Low</v>
      </c>
      <c r="R255" s="3" t="s">
        <v>1205</v>
      </c>
      <c r="S255" s="7">
        <v>553.61</v>
      </c>
      <c r="T255" s="7">
        <f t="shared" si="85"/>
        <v>636.65149999999994</v>
      </c>
      <c r="U255" s="7">
        <v>699.47</v>
      </c>
      <c r="V255" s="7">
        <f t="shared" si="73"/>
        <v>699.47</v>
      </c>
      <c r="W255" s="7">
        <f t="shared" si="86"/>
        <v>804.39049999999997</v>
      </c>
      <c r="X255" s="16">
        <v>0.02</v>
      </c>
      <c r="Y255" t="str">
        <f t="shared" si="74"/>
        <v>OK</v>
      </c>
      <c r="Z255" s="16">
        <f t="shared" si="75"/>
        <v>0.02</v>
      </c>
      <c r="AA255" s="16">
        <f t="shared" si="87"/>
        <v>0.02</v>
      </c>
      <c r="AB255" s="9">
        <v>33</v>
      </c>
      <c r="AC255" s="9">
        <f t="shared" si="88"/>
        <v>39.6</v>
      </c>
      <c r="AD255" s="9">
        <f t="shared" si="76"/>
        <v>22620.859800000002</v>
      </c>
      <c r="AE255" s="9">
        <f t="shared" si="89"/>
        <v>32490.941075999999</v>
      </c>
      <c r="AF255" s="9">
        <f t="shared" si="77"/>
        <v>18269.13</v>
      </c>
      <c r="AG255" s="9">
        <f t="shared" si="78"/>
        <v>4351.729800000001</v>
      </c>
      <c r="AH255" s="9">
        <f t="shared" si="90"/>
        <v>14221.811075999998</v>
      </c>
      <c r="AI255">
        <f t="shared" si="79"/>
        <v>0.19237685209472014</v>
      </c>
      <c r="AJ255" s="5">
        <f t="shared" si="80"/>
        <v>44928</v>
      </c>
      <c r="AK255" t="str">
        <f t="shared" si="81"/>
        <v>Jan-2023</v>
      </c>
      <c r="AL255">
        <v>0</v>
      </c>
      <c r="AM255">
        <v>0</v>
      </c>
      <c r="AN255">
        <v>0</v>
      </c>
    </row>
    <row r="256" spans="1:40" x14ac:dyDescent="0.45">
      <c r="A256" s="3" t="s">
        <v>491</v>
      </c>
      <c r="B256" s="5">
        <v>45775</v>
      </c>
      <c r="C256" s="9" t="str">
        <f t="shared" si="69"/>
        <v>Apr-2025</v>
      </c>
      <c r="D256" s="5" t="str">
        <f t="shared" si="70"/>
        <v>2025-Q2</v>
      </c>
      <c r="E256" s="5">
        <v>45796</v>
      </c>
      <c r="F256" s="9">
        <f t="shared" si="82"/>
        <v>21</v>
      </c>
      <c r="G256" s="9" t="str">
        <f t="shared" si="83"/>
        <v>NOT ACHIEVED</v>
      </c>
      <c r="H256" s="3" t="s">
        <v>643</v>
      </c>
      <c r="I256" s="3" t="s">
        <v>650</v>
      </c>
      <c r="J256" s="3" t="s">
        <v>665</v>
      </c>
      <c r="K256" s="13" t="str">
        <f t="shared" si="84"/>
        <v>Europe &gt; Germany &gt; Berlin</v>
      </c>
      <c r="L256" s="3" t="s">
        <v>695</v>
      </c>
      <c r="M256" s="3" t="s">
        <v>704</v>
      </c>
      <c r="N256" s="13" t="str">
        <f t="shared" si="71"/>
        <v>Distributor</v>
      </c>
      <c r="O256" s="3" t="s">
        <v>711</v>
      </c>
      <c r="P256" s="3" t="s">
        <v>724</v>
      </c>
      <c r="Q256" s="13" t="str">
        <f t="shared" si="72"/>
        <v>Low</v>
      </c>
      <c r="R256" s="3" t="s">
        <v>1209</v>
      </c>
      <c r="S256" s="7">
        <v>350.76</v>
      </c>
      <c r="T256" s="7">
        <f t="shared" si="85"/>
        <v>403.37399999999997</v>
      </c>
      <c r="U256" s="7">
        <v>492.18</v>
      </c>
      <c r="V256" s="7">
        <f t="shared" si="73"/>
        <v>492.18</v>
      </c>
      <c r="W256" s="7">
        <f t="shared" si="86"/>
        <v>566.00699999999995</v>
      </c>
      <c r="X256" s="16">
        <v>5.2999999999999999E-2</v>
      </c>
      <c r="Y256" t="str">
        <f t="shared" si="74"/>
        <v>OK</v>
      </c>
      <c r="Z256" s="16">
        <f t="shared" si="75"/>
        <v>5.2999999999999999E-2</v>
      </c>
      <c r="AA256" s="16">
        <f t="shared" si="87"/>
        <v>5.2999999999999999E-2</v>
      </c>
      <c r="AB256" s="9">
        <v>11</v>
      </c>
      <c r="AC256" s="9">
        <f t="shared" si="88"/>
        <v>13.2</v>
      </c>
      <c r="AD256" s="9">
        <f t="shared" si="76"/>
        <v>5127.0390600000001</v>
      </c>
      <c r="AE256" s="9">
        <f t="shared" si="89"/>
        <v>7867.2708971999991</v>
      </c>
      <c r="AF256" s="9">
        <f t="shared" si="77"/>
        <v>3858.3599999999997</v>
      </c>
      <c r="AG256" s="9">
        <f t="shared" si="78"/>
        <v>1268.6790600000004</v>
      </c>
      <c r="AH256" s="9">
        <f t="shared" si="90"/>
        <v>4008.9108971999995</v>
      </c>
      <c r="AI256">
        <f t="shared" si="79"/>
        <v>0.24744868239798437</v>
      </c>
      <c r="AJ256" s="5">
        <f t="shared" si="80"/>
        <v>44928</v>
      </c>
      <c r="AK256" t="str">
        <f t="shared" si="81"/>
        <v>Jan-2023</v>
      </c>
      <c r="AL256">
        <v>0</v>
      </c>
      <c r="AM256">
        <v>0</v>
      </c>
      <c r="AN256">
        <v>0</v>
      </c>
    </row>
    <row r="257" spans="1:40" x14ac:dyDescent="0.45">
      <c r="A257" s="3" t="s">
        <v>521</v>
      </c>
      <c r="B257" s="5">
        <v>45078</v>
      </c>
      <c r="C257" s="9" t="str">
        <f t="shared" si="69"/>
        <v>Jun-2023</v>
      </c>
      <c r="D257" s="5" t="str">
        <f t="shared" si="70"/>
        <v>2023-Q2</v>
      </c>
      <c r="E257" s="5">
        <v>45085</v>
      </c>
      <c r="F257" s="9">
        <f t="shared" si="82"/>
        <v>7</v>
      </c>
      <c r="G257" s="9" t="str">
        <f t="shared" si="83"/>
        <v>ACHIEVED</v>
      </c>
      <c r="H257" s="3" t="s">
        <v>643</v>
      </c>
      <c r="I257" s="3" t="s">
        <v>650</v>
      </c>
      <c r="J257" s="3" t="s">
        <v>692</v>
      </c>
      <c r="K257" s="13" t="str">
        <f t="shared" si="84"/>
        <v>Europe &gt; Germany &gt; Frankfurt</v>
      </c>
      <c r="L257" s="3" t="s">
        <v>698</v>
      </c>
      <c r="M257" s="3" t="s">
        <v>702</v>
      </c>
      <c r="N257" s="13" t="str">
        <f t="shared" si="71"/>
        <v>Online</v>
      </c>
      <c r="O257" s="3" t="s">
        <v>714</v>
      </c>
      <c r="P257" s="3" t="s">
        <v>724</v>
      </c>
      <c r="Q257" s="13" t="str">
        <f t="shared" si="72"/>
        <v>Medium</v>
      </c>
      <c r="R257" s="3" t="s">
        <v>1239</v>
      </c>
      <c r="S257" s="7">
        <v>804.17</v>
      </c>
      <c r="T257" s="7">
        <f t="shared" si="85"/>
        <v>924.79549999999983</v>
      </c>
      <c r="U257" s="7">
        <v>1072.29</v>
      </c>
      <c r="V257" s="7">
        <f t="shared" si="73"/>
        <v>1072.29</v>
      </c>
      <c r="W257" s="7">
        <f t="shared" si="86"/>
        <v>1233.1334999999999</v>
      </c>
      <c r="X257" s="16">
        <v>3.2000000000000001E-2</v>
      </c>
      <c r="Y257" t="str">
        <f t="shared" si="74"/>
        <v>OK</v>
      </c>
      <c r="Z257" s="16">
        <f t="shared" si="75"/>
        <v>3.2000000000000001E-2</v>
      </c>
      <c r="AA257" s="16">
        <f t="shared" si="87"/>
        <v>3.2000000000000001E-2</v>
      </c>
      <c r="AB257" s="9">
        <v>5</v>
      </c>
      <c r="AC257" s="9">
        <f t="shared" si="88"/>
        <v>6</v>
      </c>
      <c r="AD257" s="9">
        <f t="shared" si="76"/>
        <v>5189.8836000000001</v>
      </c>
      <c r="AE257" s="9">
        <f t="shared" si="89"/>
        <v>7635.5626320000001</v>
      </c>
      <c r="AF257" s="9">
        <f t="shared" si="77"/>
        <v>4020.85</v>
      </c>
      <c r="AG257" s="9">
        <f t="shared" si="78"/>
        <v>1169.0336000000002</v>
      </c>
      <c r="AH257" s="9">
        <f t="shared" si="90"/>
        <v>3614.7126320000002</v>
      </c>
      <c r="AI257">
        <f t="shared" si="79"/>
        <v>0.2252523736755869</v>
      </c>
      <c r="AJ257" s="5">
        <f t="shared" si="80"/>
        <v>44928</v>
      </c>
      <c r="AK257" t="str">
        <f t="shared" si="81"/>
        <v>Jan-2023</v>
      </c>
      <c r="AL257">
        <v>0</v>
      </c>
      <c r="AM257">
        <v>0</v>
      </c>
      <c r="AN257">
        <v>0</v>
      </c>
    </row>
    <row r="258" spans="1:40" x14ac:dyDescent="0.45">
      <c r="A258" s="3" t="s">
        <v>526</v>
      </c>
      <c r="B258" s="5">
        <v>45413</v>
      </c>
      <c r="C258" s="9" t="str">
        <f t="shared" ref="C258:C321" si="91">TEXT(B258,"MMM-YYYY")</f>
        <v>May-2024</v>
      </c>
      <c r="D258" s="5" t="str">
        <f t="shared" ref="D258:D321" si="92">YEAR(B258)&amp; "-Q"&amp;ROUNDUP(MONTH(B258)/3,0)</f>
        <v>2024-Q2</v>
      </c>
      <c r="E258" s="5">
        <v>45438</v>
      </c>
      <c r="F258" s="9">
        <f t="shared" si="82"/>
        <v>25</v>
      </c>
      <c r="G258" s="9" t="str">
        <f t="shared" si="83"/>
        <v>NOT ACHIEVED</v>
      </c>
      <c r="H258" s="3" t="s">
        <v>643</v>
      </c>
      <c r="I258" s="3" t="s">
        <v>650</v>
      </c>
      <c r="J258" s="3" t="s">
        <v>665</v>
      </c>
      <c r="K258" s="13" t="str">
        <f t="shared" si="84"/>
        <v>Europe &gt; Germany &gt; Berlin</v>
      </c>
      <c r="L258" s="3" t="s">
        <v>697</v>
      </c>
      <c r="M258" s="3" t="s">
        <v>701</v>
      </c>
      <c r="N258" s="13" t="str">
        <f t="shared" ref="N258:N321" si="93">IF(ISBLANK(M258),"Unknown",M258)</f>
        <v>Retail</v>
      </c>
      <c r="O258" s="3" t="s">
        <v>711</v>
      </c>
      <c r="P258" s="3" t="s">
        <v>723</v>
      </c>
      <c r="Q258" s="13" t="str">
        <f t="shared" ref="Q258:Q321" si="94">IF(U258&lt;=$AM$2,"Low",IF(U258&lt;=$AM$3,"Medium","High"))</f>
        <v>High</v>
      </c>
      <c r="R258" s="3" t="s">
        <v>1244</v>
      </c>
      <c r="S258" s="7">
        <v>930.71</v>
      </c>
      <c r="T258" s="7">
        <f t="shared" si="85"/>
        <v>1070.3164999999999</v>
      </c>
      <c r="U258" s="7">
        <v>1625.42</v>
      </c>
      <c r="V258" s="7">
        <f t="shared" ref="V258:V321" si="95">IF(U258&lt;0,"",U258)</f>
        <v>1625.42</v>
      </c>
      <c r="W258" s="7">
        <f t="shared" si="86"/>
        <v>1869.2329999999999</v>
      </c>
      <c r="X258" s="16">
        <v>0.13800000000000001</v>
      </c>
      <c r="Y258" t="str">
        <f t="shared" ref="Y258:Y321" si="96">IF(X258&gt;0.3,"Excess dis","OK")</f>
        <v>OK</v>
      </c>
      <c r="Z258" s="16">
        <f t="shared" ref="Z258:Z321" si="97">IF(X258&gt;0.3,0.3,X258)</f>
        <v>0.13800000000000001</v>
      </c>
      <c r="AA258" s="16">
        <f t="shared" si="87"/>
        <v>0.13800000000000001</v>
      </c>
      <c r="AB258" s="9">
        <v>7</v>
      </c>
      <c r="AC258" s="9">
        <f t="shared" si="88"/>
        <v>8.4</v>
      </c>
      <c r="AD258" s="9">
        <f t="shared" ref="AD258:AD321" si="98">V258*AB258*(1-Z258)</f>
        <v>9807.7842799999999</v>
      </c>
      <c r="AE258" s="9">
        <f t="shared" si="89"/>
        <v>17868.372093599999</v>
      </c>
      <c r="AF258" s="9">
        <f t="shared" ref="AF258:AF321" si="99">S258*AB258</f>
        <v>6514.97</v>
      </c>
      <c r="AG258" s="9">
        <f t="shared" ref="AG258:AG321" si="100">AD258-AF258</f>
        <v>3292.8142799999996</v>
      </c>
      <c r="AH258" s="9">
        <f t="shared" si="90"/>
        <v>11353.402093599998</v>
      </c>
      <c r="AI258">
        <f t="shared" ref="AI258:AI321" si="101">IF(AD258=0,0,AG258/AD258)</f>
        <v>0.33573477821231196</v>
      </c>
      <c r="AJ258" s="5">
        <f t="shared" ref="AJ258:AJ321" si="102">MIN(IF($I$2:$I$632=I258, $B$2:$B$632))</f>
        <v>44928</v>
      </c>
      <c r="AK258" t="str">
        <f t="shared" ref="AK258:AK321" si="103">TEXT(AJ258,"MMM-YYYY")</f>
        <v>Jan-2023</v>
      </c>
      <c r="AL258">
        <v>0</v>
      </c>
      <c r="AM258">
        <v>0</v>
      </c>
      <c r="AN258">
        <v>0</v>
      </c>
    </row>
    <row r="259" spans="1:40" x14ac:dyDescent="0.45">
      <c r="A259" s="3" t="s">
        <v>539</v>
      </c>
      <c r="B259" s="5">
        <v>45727</v>
      </c>
      <c r="C259" s="9" t="str">
        <f t="shared" si="91"/>
        <v>Mar-2025</v>
      </c>
      <c r="D259" s="5" t="str">
        <f t="shared" si="92"/>
        <v>2025-Q1</v>
      </c>
      <c r="E259" s="5">
        <v>45742</v>
      </c>
      <c r="F259" s="9">
        <f t="shared" ref="F259:F322" si="104">E259-B259</f>
        <v>15</v>
      </c>
      <c r="G259" s="9" t="str">
        <f t="shared" ref="G259:G322" si="105">IF(F259&lt;=7,"ACHIEVED","NOT ACHIEVED")</f>
        <v>NOT ACHIEVED</v>
      </c>
      <c r="H259" s="3" t="s">
        <v>643</v>
      </c>
      <c r="I259" s="3" t="s">
        <v>650</v>
      </c>
      <c r="J259" s="3" t="s">
        <v>665</v>
      </c>
      <c r="K259" s="13" t="str">
        <f t="shared" ref="K259:K322" si="106">H259&amp;" &gt; "&amp;I259&amp;" &gt; "&amp;J259</f>
        <v>Europe &gt; Germany &gt; Berlin</v>
      </c>
      <c r="L259" s="3" t="s">
        <v>699</v>
      </c>
      <c r="M259" s="3" t="s">
        <v>702</v>
      </c>
      <c r="N259" s="13" t="str">
        <f t="shared" si="93"/>
        <v>Online</v>
      </c>
      <c r="O259" s="3" t="s">
        <v>708</v>
      </c>
      <c r="P259" s="3" t="s">
        <v>724</v>
      </c>
      <c r="Q259" s="13" t="str">
        <f t="shared" si="94"/>
        <v>Low</v>
      </c>
      <c r="R259" s="3" t="s">
        <v>1257</v>
      </c>
      <c r="S259" s="7">
        <v>116.97</v>
      </c>
      <c r="T259" s="7">
        <f t="shared" ref="T259:T322" si="107">S259*(1+$AM$6)</f>
        <v>134.51549999999997</v>
      </c>
      <c r="U259" s="7">
        <v>140.82</v>
      </c>
      <c r="V259" s="7">
        <f t="shared" si="95"/>
        <v>140.82</v>
      </c>
      <c r="W259" s="7">
        <f t="shared" ref="W259:W322" si="108">V259*(1+$AM$6)</f>
        <v>161.94299999999998</v>
      </c>
      <c r="X259" s="16">
        <v>0.122</v>
      </c>
      <c r="Y259" t="str">
        <f t="shared" si="96"/>
        <v>OK</v>
      </c>
      <c r="Z259" s="16">
        <f t="shared" si="97"/>
        <v>0.122</v>
      </c>
      <c r="AA259" s="16">
        <f t="shared" ref="AA259:AA322" si="109">MIN(Z259,$AM$5)</f>
        <v>0.122</v>
      </c>
      <c r="AB259" s="9">
        <v>5</v>
      </c>
      <c r="AC259" s="9">
        <f t="shared" ref="AC259:AC322" si="110">AB259*(1+$AM$7)</f>
        <v>6</v>
      </c>
      <c r="AD259" s="9">
        <f t="shared" si="98"/>
        <v>618.19979999999987</v>
      </c>
      <c r="AE259" s="9">
        <f t="shared" ref="AE259:AE322" si="111">W259*AC259*(1+AA259)</f>
        <v>1090.2002759999998</v>
      </c>
      <c r="AF259" s="9">
        <f t="shared" si="99"/>
        <v>584.85</v>
      </c>
      <c r="AG259" s="9">
        <f t="shared" si="100"/>
        <v>33.349799999999846</v>
      </c>
      <c r="AH259" s="9">
        <f t="shared" ref="AH259:AH322" si="112">AE259-AF259</f>
        <v>505.35027599999978</v>
      </c>
      <c r="AI259">
        <f t="shared" si="101"/>
        <v>5.3946636669891926E-2</v>
      </c>
      <c r="AJ259" s="5">
        <f t="shared" si="102"/>
        <v>44928</v>
      </c>
      <c r="AK259" t="str">
        <f t="shared" si="103"/>
        <v>Jan-2023</v>
      </c>
      <c r="AL259">
        <v>0</v>
      </c>
      <c r="AM259">
        <v>0</v>
      </c>
      <c r="AN259">
        <v>0</v>
      </c>
    </row>
    <row r="260" spans="1:40" x14ac:dyDescent="0.45">
      <c r="A260" s="3" t="s">
        <v>548</v>
      </c>
      <c r="B260" s="5">
        <v>44952</v>
      </c>
      <c r="C260" s="9" t="str">
        <f t="shared" si="91"/>
        <v>Jan-2023</v>
      </c>
      <c r="D260" s="5" t="str">
        <f t="shared" si="92"/>
        <v>2023-Q1</v>
      </c>
      <c r="E260" s="5">
        <v>44972</v>
      </c>
      <c r="F260" s="9">
        <f t="shared" si="104"/>
        <v>20</v>
      </c>
      <c r="G260" s="9" t="str">
        <f t="shared" si="105"/>
        <v>NOT ACHIEVED</v>
      </c>
      <c r="H260" s="3" t="s">
        <v>643</v>
      </c>
      <c r="I260" s="3" t="s">
        <v>650</v>
      </c>
      <c r="J260" s="3" t="s">
        <v>665</v>
      </c>
      <c r="K260" s="13" t="str">
        <f t="shared" si="106"/>
        <v>Europe &gt; Germany &gt; Berlin</v>
      </c>
      <c r="L260" s="3" t="s">
        <v>699</v>
      </c>
      <c r="M260" s="3" t="s">
        <v>702</v>
      </c>
      <c r="N260" s="13" t="str">
        <f t="shared" si="93"/>
        <v>Online</v>
      </c>
      <c r="O260" s="3" t="s">
        <v>713</v>
      </c>
      <c r="P260" s="3" t="s">
        <v>723</v>
      </c>
      <c r="Q260" s="13" t="str">
        <f t="shared" si="94"/>
        <v>Low</v>
      </c>
      <c r="R260" s="3" t="s">
        <v>1265</v>
      </c>
      <c r="S260" s="7">
        <v>492.62</v>
      </c>
      <c r="T260" s="7">
        <f t="shared" si="107"/>
        <v>566.51299999999992</v>
      </c>
      <c r="U260" s="7">
        <v>366.7</v>
      </c>
      <c r="V260" s="7">
        <f t="shared" si="95"/>
        <v>366.7</v>
      </c>
      <c r="W260" s="7">
        <f t="shared" si="108"/>
        <v>421.70499999999993</v>
      </c>
      <c r="X260" s="16">
        <v>8.8999999999999996E-2</v>
      </c>
      <c r="Y260" t="str">
        <f t="shared" si="96"/>
        <v>OK</v>
      </c>
      <c r="Z260" s="16">
        <f t="shared" si="97"/>
        <v>8.8999999999999996E-2</v>
      </c>
      <c r="AA260" s="16">
        <f t="shared" si="109"/>
        <v>8.8999999999999996E-2</v>
      </c>
      <c r="AB260" s="9">
        <v>10</v>
      </c>
      <c r="AC260" s="9">
        <f t="shared" si="110"/>
        <v>12</v>
      </c>
      <c r="AD260" s="9">
        <f t="shared" si="98"/>
        <v>3340.6370000000002</v>
      </c>
      <c r="AE260" s="9">
        <f t="shared" si="111"/>
        <v>5510.8409399999991</v>
      </c>
      <c r="AF260" s="9">
        <f t="shared" si="99"/>
        <v>4926.2</v>
      </c>
      <c r="AG260" s="9">
        <f t="shared" si="100"/>
        <v>-1585.5629999999996</v>
      </c>
      <c r="AH260" s="9">
        <f t="shared" si="112"/>
        <v>584.64093999999932</v>
      </c>
      <c r="AI260">
        <f t="shared" si="101"/>
        <v>-0.47462894052840809</v>
      </c>
      <c r="AJ260" s="5">
        <f t="shared" si="102"/>
        <v>44928</v>
      </c>
      <c r="AK260" t="str">
        <f t="shared" si="103"/>
        <v>Jan-2023</v>
      </c>
      <c r="AL260">
        <v>0</v>
      </c>
      <c r="AM260">
        <v>0</v>
      </c>
      <c r="AN260">
        <v>0</v>
      </c>
    </row>
    <row r="261" spans="1:40" x14ac:dyDescent="0.45">
      <c r="A261" s="3" t="s">
        <v>552</v>
      </c>
      <c r="B261" s="5">
        <v>45108</v>
      </c>
      <c r="C261" s="9" t="str">
        <f t="shared" si="91"/>
        <v>Jul-2023</v>
      </c>
      <c r="D261" s="5" t="str">
        <f t="shared" si="92"/>
        <v>2023-Q3</v>
      </c>
      <c r="E261" s="5">
        <v>45115</v>
      </c>
      <c r="F261" s="9">
        <f t="shared" si="104"/>
        <v>7</v>
      </c>
      <c r="G261" s="9" t="str">
        <f t="shared" si="105"/>
        <v>ACHIEVED</v>
      </c>
      <c r="H261" s="3" t="s">
        <v>643</v>
      </c>
      <c r="I261" s="3" t="s">
        <v>650</v>
      </c>
      <c r="J261" s="3" t="s">
        <v>692</v>
      </c>
      <c r="K261" s="13" t="str">
        <f t="shared" si="106"/>
        <v>Europe &gt; Germany &gt; Frankfurt</v>
      </c>
      <c r="L261" s="3" t="s">
        <v>699</v>
      </c>
      <c r="M261" s="3" t="s">
        <v>704</v>
      </c>
      <c r="N261" s="13" t="str">
        <f t="shared" si="93"/>
        <v>Distributor</v>
      </c>
      <c r="O261" s="3" t="s">
        <v>719</v>
      </c>
      <c r="P261" s="3" t="s">
        <v>725</v>
      </c>
      <c r="Q261" s="13" t="str">
        <f t="shared" si="94"/>
        <v>Medium</v>
      </c>
      <c r="R261" s="3" t="s">
        <v>1269</v>
      </c>
      <c r="S261" s="7">
        <v>460.21</v>
      </c>
      <c r="T261" s="7">
        <f t="shared" si="107"/>
        <v>529.24149999999997</v>
      </c>
      <c r="U261" s="7">
        <v>1139.1500000000001</v>
      </c>
      <c r="V261" s="7">
        <f t="shared" si="95"/>
        <v>1139.1500000000001</v>
      </c>
      <c r="W261" s="7">
        <f t="shared" si="108"/>
        <v>1310.0225</v>
      </c>
      <c r="X261" s="16">
        <v>0.115</v>
      </c>
      <c r="Y261" t="str">
        <f t="shared" si="96"/>
        <v>OK</v>
      </c>
      <c r="Z261" s="16">
        <f t="shared" si="97"/>
        <v>0.115</v>
      </c>
      <c r="AA261" s="16">
        <f t="shared" si="109"/>
        <v>0.115</v>
      </c>
      <c r="AB261" s="9">
        <v>14</v>
      </c>
      <c r="AC261" s="9">
        <f t="shared" si="110"/>
        <v>16.8</v>
      </c>
      <c r="AD261" s="9">
        <f t="shared" si="98"/>
        <v>14114.068500000001</v>
      </c>
      <c r="AE261" s="9">
        <f t="shared" si="111"/>
        <v>24539.341469999999</v>
      </c>
      <c r="AF261" s="9">
        <f t="shared" si="99"/>
        <v>6442.94</v>
      </c>
      <c r="AG261" s="9">
        <f t="shared" si="100"/>
        <v>7671.1285000000016</v>
      </c>
      <c r="AH261" s="9">
        <f t="shared" si="112"/>
        <v>18096.401470000001</v>
      </c>
      <c r="AI261">
        <f t="shared" si="101"/>
        <v>0.54350937151821255</v>
      </c>
      <c r="AJ261" s="5">
        <f t="shared" si="102"/>
        <v>44928</v>
      </c>
      <c r="AK261" t="str">
        <f t="shared" si="103"/>
        <v>Jan-2023</v>
      </c>
      <c r="AL261">
        <v>0</v>
      </c>
      <c r="AM261">
        <v>0</v>
      </c>
      <c r="AN261">
        <v>0</v>
      </c>
    </row>
    <row r="262" spans="1:40" x14ac:dyDescent="0.45">
      <c r="A262" s="3" t="s">
        <v>556</v>
      </c>
      <c r="B262" s="5">
        <v>44985</v>
      </c>
      <c r="C262" s="9" t="str">
        <f t="shared" si="91"/>
        <v>Feb-2023</v>
      </c>
      <c r="D262" s="5" t="str">
        <f t="shared" si="92"/>
        <v>2023-Q1</v>
      </c>
      <c r="E262" s="5">
        <v>44991</v>
      </c>
      <c r="F262" s="9">
        <f t="shared" si="104"/>
        <v>6</v>
      </c>
      <c r="G262" s="9" t="str">
        <f t="shared" si="105"/>
        <v>ACHIEVED</v>
      </c>
      <c r="H262" s="3" t="s">
        <v>643</v>
      </c>
      <c r="I262" s="3" t="s">
        <v>650</v>
      </c>
      <c r="J262" s="3" t="s">
        <v>692</v>
      </c>
      <c r="K262" s="13" t="str">
        <f t="shared" si="106"/>
        <v>Europe &gt; Germany &gt; Frankfurt</v>
      </c>
      <c r="L262" s="3" t="s">
        <v>699</v>
      </c>
      <c r="M262" s="3" t="s">
        <v>703</v>
      </c>
      <c r="N262" s="13" t="str">
        <f t="shared" si="93"/>
        <v>Marketplace</v>
      </c>
      <c r="O262" s="3" t="s">
        <v>720</v>
      </c>
      <c r="P262" s="3" t="s">
        <v>722</v>
      </c>
      <c r="Q262" s="13" t="str">
        <f t="shared" si="94"/>
        <v>Medium</v>
      </c>
      <c r="R262" s="3" t="s">
        <v>1273</v>
      </c>
      <c r="S262" s="7">
        <v>880.02</v>
      </c>
      <c r="T262" s="7">
        <f t="shared" si="107"/>
        <v>1012.0229999999999</v>
      </c>
      <c r="U262" s="7">
        <v>1251.21</v>
      </c>
      <c r="V262" s="7">
        <f t="shared" si="95"/>
        <v>1251.21</v>
      </c>
      <c r="W262" s="7">
        <f t="shared" si="108"/>
        <v>1438.8915</v>
      </c>
      <c r="X262" s="16">
        <v>0.123</v>
      </c>
      <c r="Y262" t="str">
        <f t="shared" si="96"/>
        <v>OK</v>
      </c>
      <c r="Z262" s="16">
        <f t="shared" si="97"/>
        <v>0.123</v>
      </c>
      <c r="AA262" s="16">
        <f t="shared" si="109"/>
        <v>0.123</v>
      </c>
      <c r="AB262" s="9">
        <v>29</v>
      </c>
      <c r="AC262" s="9">
        <f t="shared" si="110"/>
        <v>34.799999999999997</v>
      </c>
      <c r="AD262" s="9">
        <f t="shared" si="98"/>
        <v>31822.023930000003</v>
      </c>
      <c r="AE262" s="9">
        <f t="shared" si="111"/>
        <v>56232.455376599995</v>
      </c>
      <c r="AF262" s="9">
        <f t="shared" si="99"/>
        <v>25520.579999999998</v>
      </c>
      <c r="AG262" s="9">
        <f t="shared" si="100"/>
        <v>6301.4439300000049</v>
      </c>
      <c r="AH262" s="9">
        <f t="shared" si="112"/>
        <v>30711.875376599997</v>
      </c>
      <c r="AI262">
        <f t="shared" si="101"/>
        <v>0.19802146915172672</v>
      </c>
      <c r="AJ262" s="5">
        <f t="shared" si="102"/>
        <v>44928</v>
      </c>
      <c r="AK262" t="str">
        <f t="shared" si="103"/>
        <v>Jan-2023</v>
      </c>
      <c r="AL262">
        <v>0</v>
      </c>
      <c r="AM262">
        <v>0</v>
      </c>
      <c r="AN262">
        <v>0</v>
      </c>
    </row>
    <row r="263" spans="1:40" x14ac:dyDescent="0.45">
      <c r="A263" s="3" t="s">
        <v>561</v>
      </c>
      <c r="B263" s="5">
        <v>45704</v>
      </c>
      <c r="C263" s="9" t="str">
        <f t="shared" si="91"/>
        <v>Feb-2025</v>
      </c>
      <c r="D263" s="5" t="str">
        <f t="shared" si="92"/>
        <v>2025-Q1</v>
      </c>
      <c r="E263" s="5">
        <v>45733</v>
      </c>
      <c r="F263" s="9">
        <f t="shared" si="104"/>
        <v>29</v>
      </c>
      <c r="G263" s="9" t="str">
        <f t="shared" si="105"/>
        <v>NOT ACHIEVED</v>
      </c>
      <c r="H263" s="3" t="s">
        <v>643</v>
      </c>
      <c r="I263" s="3" t="s">
        <v>650</v>
      </c>
      <c r="J263" s="3" t="s">
        <v>678</v>
      </c>
      <c r="K263" s="13" t="str">
        <f t="shared" si="106"/>
        <v>Europe &gt; Germany &gt; Munich</v>
      </c>
      <c r="L263" s="3" t="s">
        <v>698</v>
      </c>
      <c r="M263" s="3" t="s">
        <v>701</v>
      </c>
      <c r="N263" s="13" t="str">
        <f t="shared" si="93"/>
        <v>Retail</v>
      </c>
      <c r="O263" s="3" t="s">
        <v>710</v>
      </c>
      <c r="P263" s="3" t="s">
        <v>727</v>
      </c>
      <c r="Q263" s="13" t="str">
        <f t="shared" si="94"/>
        <v>Medium</v>
      </c>
      <c r="R263" s="3" t="s">
        <v>1278</v>
      </c>
      <c r="S263" s="7">
        <v>730.42</v>
      </c>
      <c r="T263" s="7">
        <f t="shared" si="107"/>
        <v>839.98299999999983</v>
      </c>
      <c r="U263" s="7">
        <v>956.7</v>
      </c>
      <c r="V263" s="7">
        <f t="shared" si="95"/>
        <v>956.7</v>
      </c>
      <c r="W263" s="7">
        <f t="shared" si="108"/>
        <v>1100.2049999999999</v>
      </c>
      <c r="X263" s="16">
        <v>4.2000000000000003E-2</v>
      </c>
      <c r="Y263" t="str">
        <f t="shared" si="96"/>
        <v>OK</v>
      </c>
      <c r="Z263" s="16">
        <f t="shared" si="97"/>
        <v>4.2000000000000003E-2</v>
      </c>
      <c r="AA263" s="16">
        <f t="shared" si="109"/>
        <v>4.2000000000000003E-2</v>
      </c>
      <c r="AB263" s="9">
        <v>22</v>
      </c>
      <c r="AC263" s="9">
        <f t="shared" si="110"/>
        <v>26.4</v>
      </c>
      <c r="AD263" s="9">
        <f t="shared" si="98"/>
        <v>20163.409200000002</v>
      </c>
      <c r="AE263" s="9">
        <f t="shared" si="111"/>
        <v>30265.319303999997</v>
      </c>
      <c r="AF263" s="9">
        <f t="shared" si="99"/>
        <v>16069.24</v>
      </c>
      <c r="AG263" s="9">
        <f t="shared" si="100"/>
        <v>4094.1692000000021</v>
      </c>
      <c r="AH263" s="9">
        <f t="shared" si="112"/>
        <v>14196.079303999997</v>
      </c>
      <c r="AI263">
        <f t="shared" si="101"/>
        <v>0.20304945256975698</v>
      </c>
      <c r="AJ263" s="5">
        <f t="shared" si="102"/>
        <v>44928</v>
      </c>
      <c r="AK263" t="str">
        <f t="shared" si="103"/>
        <v>Jan-2023</v>
      </c>
      <c r="AL263">
        <v>0</v>
      </c>
      <c r="AM263">
        <v>0</v>
      </c>
      <c r="AN263">
        <v>0</v>
      </c>
    </row>
    <row r="264" spans="1:40" x14ac:dyDescent="0.45">
      <c r="A264" s="3" t="s">
        <v>637</v>
      </c>
      <c r="B264" s="5">
        <v>45267</v>
      </c>
      <c r="C264" s="9" t="str">
        <f t="shared" si="91"/>
        <v>Dec-2023</v>
      </c>
      <c r="D264" s="5" t="str">
        <f t="shared" si="92"/>
        <v>2023-Q4</v>
      </c>
      <c r="E264" s="5">
        <v>45293</v>
      </c>
      <c r="F264" s="9">
        <f t="shared" si="104"/>
        <v>26</v>
      </c>
      <c r="G264" s="9" t="str">
        <f t="shared" si="105"/>
        <v>NOT ACHIEVED</v>
      </c>
      <c r="H264" s="3" t="s">
        <v>643</v>
      </c>
      <c r="I264" s="3" t="s">
        <v>650</v>
      </c>
      <c r="J264" s="3" t="s">
        <v>692</v>
      </c>
      <c r="K264" s="13" t="str">
        <f t="shared" si="106"/>
        <v>Europe &gt; Germany &gt; Frankfurt</v>
      </c>
      <c r="L264" s="3" t="s">
        <v>700</v>
      </c>
      <c r="M264" s="3" t="s">
        <v>704</v>
      </c>
      <c r="N264" s="13" t="str">
        <f t="shared" si="93"/>
        <v>Distributor</v>
      </c>
      <c r="O264" s="3" t="s">
        <v>712</v>
      </c>
      <c r="P264" s="3" t="s">
        <v>721</v>
      </c>
      <c r="Q264" s="13" t="str">
        <f t="shared" si="94"/>
        <v>High</v>
      </c>
      <c r="R264" s="3" t="s">
        <v>1354</v>
      </c>
      <c r="S264" s="7">
        <v>1071.99</v>
      </c>
      <c r="T264" s="7">
        <f t="shared" si="107"/>
        <v>1232.7884999999999</v>
      </c>
      <c r="U264" s="7">
        <v>2397.3000000000002</v>
      </c>
      <c r="V264" s="7">
        <f t="shared" si="95"/>
        <v>2397.3000000000002</v>
      </c>
      <c r="W264" s="7">
        <f t="shared" si="108"/>
        <v>2756.895</v>
      </c>
      <c r="X264" s="16">
        <v>6.2E-2</v>
      </c>
      <c r="Y264" t="str">
        <f t="shared" si="96"/>
        <v>OK</v>
      </c>
      <c r="Z264" s="16">
        <f t="shared" si="97"/>
        <v>6.2E-2</v>
      </c>
      <c r="AA264" s="16">
        <f t="shared" si="109"/>
        <v>6.2E-2</v>
      </c>
      <c r="AB264" s="9">
        <v>18</v>
      </c>
      <c r="AC264" s="9">
        <f t="shared" si="110"/>
        <v>21.599999999999998</v>
      </c>
      <c r="AD264" s="9">
        <f t="shared" si="98"/>
        <v>40476.013200000001</v>
      </c>
      <c r="AE264" s="9">
        <f t="shared" si="111"/>
        <v>63240.965783999993</v>
      </c>
      <c r="AF264" s="9">
        <f t="shared" si="99"/>
        <v>19295.82</v>
      </c>
      <c r="AG264" s="9">
        <f t="shared" si="100"/>
        <v>21180.193200000002</v>
      </c>
      <c r="AH264" s="9">
        <f t="shared" si="112"/>
        <v>43945.145783999993</v>
      </c>
      <c r="AI264">
        <f t="shared" si="101"/>
        <v>0.52327765324476183</v>
      </c>
      <c r="AJ264" s="5">
        <f t="shared" si="102"/>
        <v>44928</v>
      </c>
      <c r="AK264" t="str">
        <f t="shared" si="103"/>
        <v>Jan-2023</v>
      </c>
      <c r="AL264">
        <v>0</v>
      </c>
      <c r="AM264">
        <v>0</v>
      </c>
      <c r="AN264">
        <v>0</v>
      </c>
    </row>
    <row r="265" spans="1:40" x14ac:dyDescent="0.45">
      <c r="A265" s="3" t="s">
        <v>15</v>
      </c>
      <c r="B265" s="5">
        <v>45653</v>
      </c>
      <c r="C265" s="9" t="str">
        <f t="shared" si="91"/>
        <v>Dec-2024</v>
      </c>
      <c r="D265" s="5" t="str">
        <f t="shared" si="92"/>
        <v>2024-Q4</v>
      </c>
      <c r="E265" s="5">
        <v>45671</v>
      </c>
      <c r="F265" s="9">
        <f t="shared" si="104"/>
        <v>18</v>
      </c>
      <c r="G265" s="9" t="str">
        <f t="shared" si="105"/>
        <v>NOT ACHIEVED</v>
      </c>
      <c r="H265" s="3" t="s">
        <v>641</v>
      </c>
      <c r="I265" s="3" t="s">
        <v>648</v>
      </c>
      <c r="J265" s="3" t="s">
        <v>662</v>
      </c>
      <c r="K265" s="13" t="str">
        <f t="shared" si="106"/>
        <v>Asia &gt; India &gt; Bengaluru</v>
      </c>
      <c r="L265" s="3" t="s">
        <v>699</v>
      </c>
      <c r="M265" s="3" t="s">
        <v>703</v>
      </c>
      <c r="N265" s="13" t="str">
        <f t="shared" si="93"/>
        <v>Marketplace</v>
      </c>
      <c r="O265" s="3" t="s">
        <v>712</v>
      </c>
      <c r="P265" s="3" t="s">
        <v>726</v>
      </c>
      <c r="Q265" s="13" t="str">
        <f t="shared" si="94"/>
        <v>Medium</v>
      </c>
      <c r="R265" s="3" t="s">
        <v>734</v>
      </c>
      <c r="S265" s="7">
        <v>586.07000000000005</v>
      </c>
      <c r="T265" s="7">
        <f t="shared" si="107"/>
        <v>673.98050000000001</v>
      </c>
      <c r="U265" s="7">
        <v>845.97</v>
      </c>
      <c r="V265" s="7">
        <f t="shared" si="95"/>
        <v>845.97</v>
      </c>
      <c r="W265" s="7">
        <f t="shared" si="108"/>
        <v>972.8655</v>
      </c>
      <c r="X265" s="16">
        <v>0.14699999999999999</v>
      </c>
      <c r="Y265" t="str">
        <f t="shared" si="96"/>
        <v>OK</v>
      </c>
      <c r="Z265" s="16">
        <f t="shared" si="97"/>
        <v>0.14699999999999999</v>
      </c>
      <c r="AA265" s="16">
        <f t="shared" si="109"/>
        <v>0.14699999999999999</v>
      </c>
      <c r="AB265" s="9">
        <v>4</v>
      </c>
      <c r="AC265" s="9">
        <f t="shared" si="110"/>
        <v>4.8</v>
      </c>
      <c r="AD265" s="9">
        <f t="shared" si="98"/>
        <v>2886.4496399999998</v>
      </c>
      <c r="AE265" s="9">
        <f t="shared" si="111"/>
        <v>5356.2082967999995</v>
      </c>
      <c r="AF265" s="9">
        <f t="shared" si="99"/>
        <v>2344.2800000000002</v>
      </c>
      <c r="AG265" s="9">
        <f t="shared" si="100"/>
        <v>542.16963999999962</v>
      </c>
      <c r="AH265" s="9">
        <f t="shared" si="112"/>
        <v>3011.9282967999993</v>
      </c>
      <c r="AI265">
        <f t="shared" si="101"/>
        <v>0.18783270370862928</v>
      </c>
      <c r="AJ265" s="5">
        <f t="shared" si="102"/>
        <v>44928</v>
      </c>
      <c r="AK265" t="str">
        <f t="shared" si="103"/>
        <v>Jan-2023</v>
      </c>
      <c r="AL265">
        <v>0</v>
      </c>
      <c r="AM265">
        <v>0</v>
      </c>
      <c r="AN265">
        <v>0</v>
      </c>
    </row>
    <row r="266" spans="1:40" x14ac:dyDescent="0.45">
      <c r="A266" s="3" t="s">
        <v>39</v>
      </c>
      <c r="B266" s="5">
        <v>45653</v>
      </c>
      <c r="C266" s="9" t="str">
        <f t="shared" si="91"/>
        <v>Dec-2024</v>
      </c>
      <c r="D266" s="5" t="str">
        <f t="shared" si="92"/>
        <v>2024-Q4</v>
      </c>
      <c r="E266" s="5">
        <v>45672</v>
      </c>
      <c r="F266" s="9">
        <f t="shared" si="104"/>
        <v>19</v>
      </c>
      <c r="G266" s="9" t="str">
        <f t="shared" si="105"/>
        <v>NOT ACHIEVED</v>
      </c>
      <c r="H266" s="3" t="s">
        <v>641</v>
      </c>
      <c r="I266" s="3" t="s">
        <v>648</v>
      </c>
      <c r="J266" s="3" t="s">
        <v>674</v>
      </c>
      <c r="K266" s="13" t="str">
        <f t="shared" si="106"/>
        <v>Asia &gt; India &gt; Delhi</v>
      </c>
      <c r="L266" s="3" t="s">
        <v>697</v>
      </c>
      <c r="M266" s="3" t="s">
        <v>704</v>
      </c>
      <c r="N266" s="13" t="str">
        <f t="shared" si="93"/>
        <v>Distributor</v>
      </c>
      <c r="O266" s="3" t="s">
        <v>709</v>
      </c>
      <c r="P266" s="3" t="s">
        <v>721</v>
      </c>
      <c r="Q266" s="13" t="str">
        <f t="shared" si="94"/>
        <v>Low</v>
      </c>
      <c r="R266" s="3" t="s">
        <v>758</v>
      </c>
      <c r="S266" s="7">
        <v>495.59</v>
      </c>
      <c r="T266" s="7">
        <f t="shared" si="107"/>
        <v>569.92849999999987</v>
      </c>
      <c r="U266" s="7">
        <v>631.78</v>
      </c>
      <c r="V266" s="7">
        <f t="shared" si="95"/>
        <v>631.78</v>
      </c>
      <c r="W266" s="7">
        <f t="shared" si="108"/>
        <v>726.54699999999991</v>
      </c>
      <c r="X266" s="16">
        <v>8.6999999999999994E-2</v>
      </c>
      <c r="Y266" t="str">
        <f t="shared" si="96"/>
        <v>OK</v>
      </c>
      <c r="Z266" s="16">
        <f t="shared" si="97"/>
        <v>8.6999999999999994E-2</v>
      </c>
      <c r="AA266" s="16">
        <f t="shared" si="109"/>
        <v>8.6999999999999994E-2</v>
      </c>
      <c r="AB266" s="9">
        <v>17</v>
      </c>
      <c r="AC266" s="9">
        <f t="shared" si="110"/>
        <v>20.399999999999999</v>
      </c>
      <c r="AD266" s="9">
        <f t="shared" si="98"/>
        <v>9805.8573800000013</v>
      </c>
      <c r="AE266" s="9">
        <f t="shared" si="111"/>
        <v>16111.034415599996</v>
      </c>
      <c r="AF266" s="9">
        <f t="shared" si="99"/>
        <v>8425.0299999999988</v>
      </c>
      <c r="AG266" s="9">
        <f t="shared" si="100"/>
        <v>1380.8273800000024</v>
      </c>
      <c r="AH266" s="9">
        <f t="shared" si="112"/>
        <v>7686.0044155999967</v>
      </c>
      <c r="AI266">
        <f t="shared" si="101"/>
        <v>0.14081658813601899</v>
      </c>
      <c r="AJ266" s="5">
        <f t="shared" si="102"/>
        <v>44928</v>
      </c>
      <c r="AK266" t="str">
        <f t="shared" si="103"/>
        <v>Jan-2023</v>
      </c>
      <c r="AL266">
        <v>0</v>
      </c>
      <c r="AM266">
        <v>0</v>
      </c>
      <c r="AN266">
        <v>0</v>
      </c>
    </row>
    <row r="267" spans="1:40" x14ac:dyDescent="0.45">
      <c r="A267" s="3" t="s">
        <v>44</v>
      </c>
      <c r="B267" s="5">
        <v>45012</v>
      </c>
      <c r="C267" s="9" t="str">
        <f t="shared" si="91"/>
        <v>Mar-2023</v>
      </c>
      <c r="D267" s="5" t="str">
        <f t="shared" si="92"/>
        <v>2023-Q1</v>
      </c>
      <c r="E267" s="5">
        <v>45038</v>
      </c>
      <c r="F267" s="9">
        <f t="shared" si="104"/>
        <v>26</v>
      </c>
      <c r="G267" s="9" t="str">
        <f t="shared" si="105"/>
        <v>NOT ACHIEVED</v>
      </c>
      <c r="H267" s="3" t="s">
        <v>641</v>
      </c>
      <c r="I267" s="3" t="s">
        <v>648</v>
      </c>
      <c r="J267" s="3" t="s">
        <v>674</v>
      </c>
      <c r="K267" s="13" t="str">
        <f t="shared" si="106"/>
        <v>Asia &gt; India &gt; Delhi</v>
      </c>
      <c r="L267" s="3" t="s">
        <v>697</v>
      </c>
      <c r="M267" s="3" t="s">
        <v>703</v>
      </c>
      <c r="N267" s="13" t="str">
        <f t="shared" si="93"/>
        <v>Marketplace</v>
      </c>
      <c r="O267" s="3" t="s">
        <v>707</v>
      </c>
      <c r="P267" s="3" t="s">
        <v>722</v>
      </c>
      <c r="Q267" s="13" t="str">
        <f t="shared" si="94"/>
        <v>Low</v>
      </c>
      <c r="R267" s="3" t="s">
        <v>763</v>
      </c>
      <c r="S267" s="7">
        <v>178.53</v>
      </c>
      <c r="T267" s="7">
        <f t="shared" si="107"/>
        <v>205.30949999999999</v>
      </c>
      <c r="U267" s="7">
        <v>199.37</v>
      </c>
      <c r="V267" s="7">
        <f t="shared" si="95"/>
        <v>199.37</v>
      </c>
      <c r="W267" s="7">
        <f t="shared" si="108"/>
        <v>229.27549999999999</v>
      </c>
      <c r="X267" s="16">
        <v>0.10100000000000001</v>
      </c>
      <c r="Y267" t="str">
        <f t="shared" si="96"/>
        <v>OK</v>
      </c>
      <c r="Z267" s="16">
        <f t="shared" si="97"/>
        <v>0.10100000000000001</v>
      </c>
      <c r="AA267" s="16">
        <f t="shared" si="109"/>
        <v>0.10100000000000001</v>
      </c>
      <c r="AB267" s="9">
        <v>37</v>
      </c>
      <c r="AC267" s="9">
        <f t="shared" si="110"/>
        <v>44.4</v>
      </c>
      <c r="AD267" s="9">
        <f t="shared" si="98"/>
        <v>6631.6443100000006</v>
      </c>
      <c r="AE267" s="9">
        <f t="shared" si="111"/>
        <v>11207.995252199999</v>
      </c>
      <c r="AF267" s="9">
        <f t="shared" si="99"/>
        <v>6605.61</v>
      </c>
      <c r="AG267" s="9">
        <f t="shared" si="100"/>
        <v>26.034310000000914</v>
      </c>
      <c r="AH267" s="9">
        <f t="shared" si="112"/>
        <v>4602.3852521999988</v>
      </c>
      <c r="AI267">
        <f t="shared" si="101"/>
        <v>3.9257699573457538E-3</v>
      </c>
      <c r="AJ267" s="5">
        <f t="shared" si="102"/>
        <v>44928</v>
      </c>
      <c r="AK267" t="str">
        <f t="shared" si="103"/>
        <v>Jan-2023</v>
      </c>
      <c r="AL267">
        <v>0</v>
      </c>
      <c r="AM267">
        <v>0</v>
      </c>
      <c r="AN267">
        <v>0</v>
      </c>
    </row>
    <row r="268" spans="1:40" x14ac:dyDescent="0.45">
      <c r="A268" s="3" t="s">
        <v>54</v>
      </c>
      <c r="B268" s="5">
        <v>45035</v>
      </c>
      <c r="C268" s="9" t="str">
        <f t="shared" si="91"/>
        <v>Apr-2023</v>
      </c>
      <c r="D268" s="5" t="str">
        <f t="shared" si="92"/>
        <v>2023-Q2</v>
      </c>
      <c r="E268" s="5">
        <v>45046</v>
      </c>
      <c r="F268" s="9">
        <f t="shared" si="104"/>
        <v>11</v>
      </c>
      <c r="G268" s="9" t="str">
        <f t="shared" si="105"/>
        <v>NOT ACHIEVED</v>
      </c>
      <c r="H268" s="3" t="s">
        <v>641</v>
      </c>
      <c r="I268" s="3" t="s">
        <v>648</v>
      </c>
      <c r="J268" s="3" t="s">
        <v>674</v>
      </c>
      <c r="K268" s="13" t="str">
        <f t="shared" si="106"/>
        <v>Asia &gt; India &gt; Delhi</v>
      </c>
      <c r="L268" s="3" t="s">
        <v>699</v>
      </c>
      <c r="M268" s="3" t="s">
        <v>701</v>
      </c>
      <c r="N268" s="13" t="str">
        <f t="shared" si="93"/>
        <v>Retail</v>
      </c>
      <c r="O268" s="3" t="s">
        <v>714</v>
      </c>
      <c r="P268" s="3" t="s">
        <v>723</v>
      </c>
      <c r="Q268" s="13" t="str">
        <f t="shared" si="94"/>
        <v>Medium</v>
      </c>
      <c r="R268" s="3" t="s">
        <v>773</v>
      </c>
      <c r="S268" s="7">
        <v>826.55</v>
      </c>
      <c r="T268" s="7">
        <f t="shared" si="107"/>
        <v>950.53249999999991</v>
      </c>
      <c r="U268" s="7">
        <v>1397.05</v>
      </c>
      <c r="V268" s="7">
        <f t="shared" si="95"/>
        <v>1397.05</v>
      </c>
      <c r="W268" s="7">
        <f t="shared" si="108"/>
        <v>1606.6074999999998</v>
      </c>
      <c r="X268" s="16">
        <v>0.16900000000000001</v>
      </c>
      <c r="Y268" t="str">
        <f t="shared" si="96"/>
        <v>OK</v>
      </c>
      <c r="Z268" s="16">
        <f t="shared" si="97"/>
        <v>0.16900000000000001</v>
      </c>
      <c r="AA268" s="16">
        <f t="shared" si="109"/>
        <v>0.16900000000000001</v>
      </c>
      <c r="AB268" s="9">
        <v>28</v>
      </c>
      <c r="AC268" s="9">
        <f t="shared" si="110"/>
        <v>33.6</v>
      </c>
      <c r="AD268" s="9">
        <f t="shared" si="98"/>
        <v>32506.559399999998</v>
      </c>
      <c r="AE268" s="9">
        <f t="shared" si="111"/>
        <v>63104.972027999996</v>
      </c>
      <c r="AF268" s="9">
        <f t="shared" si="99"/>
        <v>23143.399999999998</v>
      </c>
      <c r="AG268" s="9">
        <f t="shared" si="100"/>
        <v>9363.1594000000005</v>
      </c>
      <c r="AH268" s="9">
        <f t="shared" si="112"/>
        <v>39961.572027999995</v>
      </c>
      <c r="AI268">
        <f t="shared" si="101"/>
        <v>0.28803907804527601</v>
      </c>
      <c r="AJ268" s="5">
        <f t="shared" si="102"/>
        <v>44928</v>
      </c>
      <c r="AK268" t="str">
        <f t="shared" si="103"/>
        <v>Jan-2023</v>
      </c>
      <c r="AL268">
        <v>0</v>
      </c>
      <c r="AM268">
        <v>0</v>
      </c>
      <c r="AN268">
        <v>0</v>
      </c>
    </row>
    <row r="269" spans="1:40" x14ac:dyDescent="0.45">
      <c r="A269" s="3" t="s">
        <v>60</v>
      </c>
      <c r="B269" s="5">
        <v>45582</v>
      </c>
      <c r="C269" s="9" t="str">
        <f t="shared" si="91"/>
        <v>Oct-2024</v>
      </c>
      <c r="D269" s="5" t="str">
        <f t="shared" si="92"/>
        <v>2024-Q4</v>
      </c>
      <c r="E269" s="5">
        <v>45602</v>
      </c>
      <c r="F269" s="9">
        <f t="shared" si="104"/>
        <v>20</v>
      </c>
      <c r="G269" s="9" t="str">
        <f t="shared" si="105"/>
        <v>NOT ACHIEVED</v>
      </c>
      <c r="H269" s="3" t="s">
        <v>641</v>
      </c>
      <c r="I269" s="3" t="s">
        <v>648</v>
      </c>
      <c r="J269" s="3" t="s">
        <v>662</v>
      </c>
      <c r="K269" s="13" t="str">
        <f t="shared" si="106"/>
        <v>Asia &gt; India &gt; Bengaluru</v>
      </c>
      <c r="L269" s="3" t="s">
        <v>700</v>
      </c>
      <c r="M269" s="3" t="s">
        <v>704</v>
      </c>
      <c r="N269" s="13" t="str">
        <f t="shared" si="93"/>
        <v>Distributor</v>
      </c>
      <c r="O269" s="3" t="s">
        <v>713</v>
      </c>
      <c r="P269" s="3" t="s">
        <v>726</v>
      </c>
      <c r="Q269" s="13" t="str">
        <f t="shared" si="94"/>
        <v>Low</v>
      </c>
      <c r="R269" s="3" t="s">
        <v>779</v>
      </c>
      <c r="S269" s="7">
        <v>72.94</v>
      </c>
      <c r="T269" s="7">
        <f t="shared" si="107"/>
        <v>83.880999999999986</v>
      </c>
      <c r="U269" s="7">
        <v>106.3</v>
      </c>
      <c r="V269" s="7">
        <f t="shared" si="95"/>
        <v>106.3</v>
      </c>
      <c r="W269" s="7">
        <f t="shared" si="108"/>
        <v>122.24499999999999</v>
      </c>
      <c r="X269" s="16">
        <v>0.29499999999999998</v>
      </c>
      <c r="Y269" t="str">
        <f t="shared" si="96"/>
        <v>OK</v>
      </c>
      <c r="Z269" s="16">
        <f t="shared" si="97"/>
        <v>0.29499999999999998</v>
      </c>
      <c r="AA269" s="16">
        <f t="shared" si="109"/>
        <v>0.25</v>
      </c>
      <c r="AB269" s="9">
        <v>8</v>
      </c>
      <c r="AC269" s="9">
        <f t="shared" si="110"/>
        <v>9.6</v>
      </c>
      <c r="AD269" s="9">
        <f t="shared" si="98"/>
        <v>599.53200000000004</v>
      </c>
      <c r="AE269" s="9">
        <f t="shared" si="111"/>
        <v>1466.9399999999998</v>
      </c>
      <c r="AF269" s="9">
        <f t="shared" si="99"/>
        <v>583.52</v>
      </c>
      <c r="AG269" s="9">
        <f t="shared" si="100"/>
        <v>16.012000000000057</v>
      </c>
      <c r="AH269" s="9">
        <f t="shared" si="112"/>
        <v>883.41999999999985</v>
      </c>
      <c r="AI269">
        <f t="shared" si="101"/>
        <v>2.6707498515508857E-2</v>
      </c>
      <c r="AJ269" s="5">
        <f t="shared" si="102"/>
        <v>44928</v>
      </c>
      <c r="AK269" t="str">
        <f t="shared" si="103"/>
        <v>Jan-2023</v>
      </c>
      <c r="AL269">
        <v>0</v>
      </c>
      <c r="AM269">
        <v>0</v>
      </c>
      <c r="AN269">
        <v>0</v>
      </c>
    </row>
    <row r="270" spans="1:40" x14ac:dyDescent="0.45">
      <c r="A270" s="3" t="s">
        <v>72</v>
      </c>
      <c r="B270" s="5">
        <v>45598</v>
      </c>
      <c r="C270" s="9" t="str">
        <f t="shared" si="91"/>
        <v>Nov-2024</v>
      </c>
      <c r="D270" s="5" t="str">
        <f t="shared" si="92"/>
        <v>2024-Q4</v>
      </c>
      <c r="E270" s="5">
        <v>45614</v>
      </c>
      <c r="F270" s="9">
        <f t="shared" si="104"/>
        <v>16</v>
      </c>
      <c r="G270" s="9" t="str">
        <f t="shared" si="105"/>
        <v>NOT ACHIEVED</v>
      </c>
      <c r="H270" s="3" t="s">
        <v>641</v>
      </c>
      <c r="I270" s="3" t="s">
        <v>648</v>
      </c>
      <c r="J270" s="3" t="s">
        <v>685</v>
      </c>
      <c r="K270" s="13" t="str">
        <f t="shared" si="106"/>
        <v>Asia &gt; India &gt; Mumbai</v>
      </c>
      <c r="L270" s="3" t="s">
        <v>699</v>
      </c>
      <c r="M270" s="3" t="s">
        <v>704</v>
      </c>
      <c r="N270" s="13" t="str">
        <f t="shared" si="93"/>
        <v>Distributor</v>
      </c>
      <c r="O270" s="3" t="s">
        <v>713</v>
      </c>
      <c r="P270" s="3" t="s">
        <v>726</v>
      </c>
      <c r="Q270" s="13" t="str">
        <f t="shared" si="94"/>
        <v>High</v>
      </c>
      <c r="R270" s="3" t="s">
        <v>791</v>
      </c>
      <c r="S270" s="7">
        <v>1233.58</v>
      </c>
      <c r="T270" s="7">
        <f t="shared" si="107"/>
        <v>1418.6169999999997</v>
      </c>
      <c r="U270" s="7">
        <v>1912.51</v>
      </c>
      <c r="V270" s="7">
        <f t="shared" si="95"/>
        <v>1912.51</v>
      </c>
      <c r="W270" s="7">
        <f t="shared" si="108"/>
        <v>2199.3864999999996</v>
      </c>
      <c r="X270" s="16">
        <v>0.255</v>
      </c>
      <c r="Y270" t="str">
        <f t="shared" si="96"/>
        <v>OK</v>
      </c>
      <c r="Z270" s="16">
        <f t="shared" si="97"/>
        <v>0.255</v>
      </c>
      <c r="AA270" s="16">
        <f t="shared" si="109"/>
        <v>0.25</v>
      </c>
      <c r="AB270" s="9">
        <v>51</v>
      </c>
      <c r="AC270" s="9">
        <f t="shared" si="110"/>
        <v>61.199999999999996</v>
      </c>
      <c r="AD270" s="9">
        <f t="shared" si="98"/>
        <v>72665.817450000002</v>
      </c>
      <c r="AE270" s="9">
        <f t="shared" si="111"/>
        <v>168253.06724999996</v>
      </c>
      <c r="AF270" s="9">
        <f t="shared" si="99"/>
        <v>62912.579999999994</v>
      </c>
      <c r="AG270" s="9">
        <f t="shared" si="100"/>
        <v>9753.2374500000078</v>
      </c>
      <c r="AH270" s="9">
        <f t="shared" si="112"/>
        <v>105340.48724999998</v>
      </c>
      <c r="AI270">
        <f t="shared" si="101"/>
        <v>0.134220432553601</v>
      </c>
      <c r="AJ270" s="5">
        <f t="shared" si="102"/>
        <v>44928</v>
      </c>
      <c r="AK270" t="str">
        <f t="shared" si="103"/>
        <v>Jan-2023</v>
      </c>
      <c r="AL270">
        <v>0</v>
      </c>
      <c r="AM270">
        <v>0</v>
      </c>
      <c r="AN270">
        <v>0</v>
      </c>
    </row>
    <row r="271" spans="1:40" x14ac:dyDescent="0.45">
      <c r="A271" s="3" t="s">
        <v>84</v>
      </c>
      <c r="B271" s="5">
        <v>45187</v>
      </c>
      <c r="C271" s="9" t="str">
        <f t="shared" si="91"/>
        <v>Sep-2023</v>
      </c>
      <c r="D271" s="5" t="str">
        <f t="shared" si="92"/>
        <v>2023-Q3</v>
      </c>
      <c r="E271" s="5">
        <v>45207</v>
      </c>
      <c r="F271" s="9">
        <f t="shared" si="104"/>
        <v>20</v>
      </c>
      <c r="G271" s="9" t="str">
        <f t="shared" si="105"/>
        <v>NOT ACHIEVED</v>
      </c>
      <c r="H271" s="3" t="s">
        <v>641</v>
      </c>
      <c r="I271" s="3" t="s">
        <v>648</v>
      </c>
      <c r="J271" s="3" t="s">
        <v>674</v>
      </c>
      <c r="K271" s="13" t="str">
        <f t="shared" si="106"/>
        <v>Asia &gt; India &gt; Delhi</v>
      </c>
      <c r="L271" s="3" t="s">
        <v>699</v>
      </c>
      <c r="M271" s="3" t="s">
        <v>705</v>
      </c>
      <c r="N271" s="13" t="str">
        <f t="shared" si="93"/>
        <v>Direct</v>
      </c>
      <c r="O271" s="3" t="s">
        <v>711</v>
      </c>
      <c r="P271" s="3" t="s">
        <v>721</v>
      </c>
      <c r="Q271" s="13" t="str">
        <f t="shared" si="94"/>
        <v>Medium</v>
      </c>
      <c r="R271" s="3" t="s">
        <v>803</v>
      </c>
      <c r="S271" s="7">
        <v>825.64</v>
      </c>
      <c r="T271" s="7">
        <f t="shared" si="107"/>
        <v>949.48599999999988</v>
      </c>
      <c r="U271" s="7">
        <v>1108.43</v>
      </c>
      <c r="V271" s="7">
        <f t="shared" si="95"/>
        <v>1108.43</v>
      </c>
      <c r="W271" s="7">
        <f t="shared" si="108"/>
        <v>1274.6945000000001</v>
      </c>
      <c r="X271" s="16">
        <v>0.114</v>
      </c>
      <c r="Y271" t="str">
        <f t="shared" si="96"/>
        <v>OK</v>
      </c>
      <c r="Z271" s="16">
        <f t="shared" si="97"/>
        <v>0.114</v>
      </c>
      <c r="AA271" s="16">
        <f t="shared" si="109"/>
        <v>0.114</v>
      </c>
      <c r="AB271" s="9">
        <v>7</v>
      </c>
      <c r="AC271" s="9">
        <f t="shared" si="110"/>
        <v>8.4</v>
      </c>
      <c r="AD271" s="9">
        <f t="shared" si="98"/>
        <v>6874.4828600000001</v>
      </c>
      <c r="AE271" s="9">
        <f t="shared" si="111"/>
        <v>11928.081253200002</v>
      </c>
      <c r="AF271" s="9">
        <f t="shared" si="99"/>
        <v>5779.48</v>
      </c>
      <c r="AG271" s="9">
        <f t="shared" si="100"/>
        <v>1095.0028600000005</v>
      </c>
      <c r="AH271" s="9">
        <f t="shared" si="112"/>
        <v>6148.6012532000022</v>
      </c>
      <c r="AI271">
        <f t="shared" si="101"/>
        <v>0.15928512475773349</v>
      </c>
      <c r="AJ271" s="5">
        <f t="shared" si="102"/>
        <v>44928</v>
      </c>
      <c r="AK271" t="str">
        <f t="shared" si="103"/>
        <v>Jan-2023</v>
      </c>
      <c r="AL271">
        <v>0</v>
      </c>
      <c r="AM271">
        <v>0</v>
      </c>
      <c r="AN271">
        <v>0</v>
      </c>
    </row>
    <row r="272" spans="1:40" x14ac:dyDescent="0.45">
      <c r="A272" s="3" t="s">
        <v>97</v>
      </c>
      <c r="B272" s="5">
        <v>45312</v>
      </c>
      <c r="C272" s="9" t="str">
        <f t="shared" si="91"/>
        <v>Jan-2024</v>
      </c>
      <c r="D272" s="5" t="str">
        <f t="shared" si="92"/>
        <v>2024-Q1</v>
      </c>
      <c r="E272" s="5">
        <v>45316</v>
      </c>
      <c r="F272" s="9">
        <f t="shared" si="104"/>
        <v>4</v>
      </c>
      <c r="G272" s="9" t="str">
        <f t="shared" si="105"/>
        <v>ACHIEVED</v>
      </c>
      <c r="H272" s="3" t="s">
        <v>641</v>
      </c>
      <c r="I272" s="3" t="s">
        <v>648</v>
      </c>
      <c r="J272" s="3" t="s">
        <v>674</v>
      </c>
      <c r="K272" s="13" t="str">
        <f t="shared" si="106"/>
        <v>Asia &gt; India &gt; Delhi</v>
      </c>
      <c r="L272" s="3" t="s">
        <v>698</v>
      </c>
      <c r="M272" s="3" t="s">
        <v>705</v>
      </c>
      <c r="N272" s="13" t="str">
        <f t="shared" si="93"/>
        <v>Direct</v>
      </c>
      <c r="O272" s="3" t="s">
        <v>706</v>
      </c>
      <c r="P272" s="3" t="s">
        <v>726</v>
      </c>
      <c r="Q272" s="13" t="str">
        <f t="shared" si="94"/>
        <v>Medium</v>
      </c>
      <c r="R272" s="3" t="s">
        <v>816</v>
      </c>
      <c r="S272" s="7">
        <v>523.70000000000005</v>
      </c>
      <c r="T272" s="7">
        <f t="shared" si="107"/>
        <v>602.255</v>
      </c>
      <c r="U272" s="7">
        <v>1109.92</v>
      </c>
      <c r="V272" s="7">
        <f t="shared" si="95"/>
        <v>1109.92</v>
      </c>
      <c r="W272" s="7">
        <f t="shared" si="108"/>
        <v>1276.4079999999999</v>
      </c>
      <c r="X272" s="16">
        <v>0.03</v>
      </c>
      <c r="Y272" t="str">
        <f t="shared" si="96"/>
        <v>OK</v>
      </c>
      <c r="Z272" s="16">
        <f t="shared" si="97"/>
        <v>0.03</v>
      </c>
      <c r="AA272" s="16">
        <f t="shared" si="109"/>
        <v>0.03</v>
      </c>
      <c r="AB272" s="9">
        <v>11</v>
      </c>
      <c r="AC272" s="9">
        <f t="shared" si="110"/>
        <v>13.2</v>
      </c>
      <c r="AD272" s="9">
        <f t="shared" si="98"/>
        <v>11842.8464</v>
      </c>
      <c r="AE272" s="9">
        <f t="shared" si="111"/>
        <v>17354.043168</v>
      </c>
      <c r="AF272" s="9">
        <f t="shared" si="99"/>
        <v>5760.7000000000007</v>
      </c>
      <c r="AG272" s="9">
        <f t="shared" si="100"/>
        <v>6082.1463999999996</v>
      </c>
      <c r="AH272" s="9">
        <f t="shared" si="112"/>
        <v>11593.343167999999</v>
      </c>
      <c r="AI272">
        <f t="shared" si="101"/>
        <v>0.51357133197302973</v>
      </c>
      <c r="AJ272" s="5">
        <f t="shared" si="102"/>
        <v>44928</v>
      </c>
      <c r="AK272" t="str">
        <f t="shared" si="103"/>
        <v>Jan-2023</v>
      </c>
      <c r="AL272">
        <v>0</v>
      </c>
      <c r="AM272">
        <v>0</v>
      </c>
      <c r="AN272">
        <v>0</v>
      </c>
    </row>
    <row r="273" spans="1:40" x14ac:dyDescent="0.45">
      <c r="A273" s="3" t="s">
        <v>100</v>
      </c>
      <c r="B273" s="5">
        <v>45817</v>
      </c>
      <c r="C273" s="9" t="str">
        <f t="shared" si="91"/>
        <v>Jun-2025</v>
      </c>
      <c r="D273" s="5" t="str">
        <f t="shared" si="92"/>
        <v>2025-Q2</v>
      </c>
      <c r="E273" s="5">
        <v>45833</v>
      </c>
      <c r="F273" s="9">
        <f t="shared" si="104"/>
        <v>16</v>
      </c>
      <c r="G273" s="9" t="str">
        <f t="shared" si="105"/>
        <v>NOT ACHIEVED</v>
      </c>
      <c r="H273" s="3" t="s">
        <v>641</v>
      </c>
      <c r="I273" s="3" t="s">
        <v>648</v>
      </c>
      <c r="J273" s="3" t="s">
        <v>690</v>
      </c>
      <c r="K273" s="13" t="str">
        <f t="shared" si="106"/>
        <v>Asia &gt; India &gt; Hyderabad</v>
      </c>
      <c r="L273" s="3" t="s">
        <v>700</v>
      </c>
      <c r="M273" s="3" t="s">
        <v>704</v>
      </c>
      <c r="N273" s="13" t="str">
        <f t="shared" si="93"/>
        <v>Distributor</v>
      </c>
      <c r="O273" s="3" t="s">
        <v>718</v>
      </c>
      <c r="P273" s="3" t="s">
        <v>724</v>
      </c>
      <c r="Q273" s="13" t="str">
        <f t="shared" si="94"/>
        <v>Medium</v>
      </c>
      <c r="R273" s="3" t="s">
        <v>819</v>
      </c>
      <c r="S273" s="7">
        <v>527.33000000000004</v>
      </c>
      <c r="T273" s="7">
        <f t="shared" si="107"/>
        <v>606.42949999999996</v>
      </c>
      <c r="U273" s="7">
        <v>911.72</v>
      </c>
      <c r="V273" s="7">
        <f t="shared" si="95"/>
        <v>911.72</v>
      </c>
      <c r="W273" s="7">
        <f t="shared" si="108"/>
        <v>1048.4779999999998</v>
      </c>
      <c r="X273" s="16">
        <v>0.14399999999999999</v>
      </c>
      <c r="Y273" t="str">
        <f t="shared" si="96"/>
        <v>OK</v>
      </c>
      <c r="Z273" s="16">
        <f t="shared" si="97"/>
        <v>0.14399999999999999</v>
      </c>
      <c r="AA273" s="16">
        <f t="shared" si="109"/>
        <v>0.14399999999999999</v>
      </c>
      <c r="AB273" s="9">
        <v>25</v>
      </c>
      <c r="AC273" s="9">
        <f t="shared" si="110"/>
        <v>30</v>
      </c>
      <c r="AD273" s="9">
        <f t="shared" si="98"/>
        <v>19510.808000000001</v>
      </c>
      <c r="AE273" s="9">
        <f t="shared" si="111"/>
        <v>35983.764959999993</v>
      </c>
      <c r="AF273" s="9">
        <f t="shared" si="99"/>
        <v>13183.250000000002</v>
      </c>
      <c r="AG273" s="9">
        <f t="shared" si="100"/>
        <v>6327.5579999999991</v>
      </c>
      <c r="AH273" s="9">
        <f t="shared" si="112"/>
        <v>22800.514959999993</v>
      </c>
      <c r="AI273">
        <f t="shared" si="101"/>
        <v>0.32431040272652978</v>
      </c>
      <c r="AJ273" s="5">
        <f t="shared" si="102"/>
        <v>44928</v>
      </c>
      <c r="AK273" t="str">
        <f t="shared" si="103"/>
        <v>Jan-2023</v>
      </c>
      <c r="AL273">
        <v>0</v>
      </c>
      <c r="AM273">
        <v>0</v>
      </c>
      <c r="AN273">
        <v>0</v>
      </c>
    </row>
    <row r="274" spans="1:40" x14ac:dyDescent="0.45">
      <c r="A274" s="3" t="s">
        <v>105</v>
      </c>
      <c r="B274" s="5">
        <v>45870</v>
      </c>
      <c r="C274" s="9" t="str">
        <f t="shared" si="91"/>
        <v>Aug-2025</v>
      </c>
      <c r="D274" s="5" t="str">
        <f t="shared" si="92"/>
        <v>2025-Q3</v>
      </c>
      <c r="E274" s="5">
        <v>45885</v>
      </c>
      <c r="F274" s="9">
        <f t="shared" si="104"/>
        <v>15</v>
      </c>
      <c r="G274" s="9" t="str">
        <f t="shared" si="105"/>
        <v>NOT ACHIEVED</v>
      </c>
      <c r="H274" s="3" t="s">
        <v>641</v>
      </c>
      <c r="I274" s="3" t="s">
        <v>648</v>
      </c>
      <c r="J274" s="3" t="s">
        <v>1444</v>
      </c>
      <c r="K274" s="13" t="str">
        <f t="shared" si="106"/>
        <v>Asia &gt; India &gt; Unkown</v>
      </c>
      <c r="L274" s="3" t="s">
        <v>700</v>
      </c>
      <c r="M274" s="3" t="s">
        <v>705</v>
      </c>
      <c r="N274" s="13" t="str">
        <f t="shared" si="93"/>
        <v>Direct</v>
      </c>
      <c r="O274" s="3" t="s">
        <v>713</v>
      </c>
      <c r="P274" s="3" t="s">
        <v>726</v>
      </c>
      <c r="Q274" s="13" t="str">
        <f t="shared" si="94"/>
        <v>Low</v>
      </c>
      <c r="R274" s="3" t="s">
        <v>824</v>
      </c>
      <c r="S274" s="7">
        <v>24.44</v>
      </c>
      <c r="T274" s="7">
        <f t="shared" si="107"/>
        <v>28.105999999999998</v>
      </c>
      <c r="U274" s="7">
        <v>28.69</v>
      </c>
      <c r="V274" s="7">
        <f t="shared" si="95"/>
        <v>28.69</v>
      </c>
      <c r="W274" s="7">
        <f t="shared" si="108"/>
        <v>32.993499999999997</v>
      </c>
      <c r="X274" s="16">
        <v>0.14599999999999999</v>
      </c>
      <c r="Y274" t="str">
        <f t="shared" si="96"/>
        <v>OK</v>
      </c>
      <c r="Z274" s="16">
        <f t="shared" si="97"/>
        <v>0.14599999999999999</v>
      </c>
      <c r="AA274" s="16">
        <f t="shared" si="109"/>
        <v>0.14599999999999999</v>
      </c>
      <c r="AB274" s="9">
        <v>6</v>
      </c>
      <c r="AC274" s="9">
        <f t="shared" si="110"/>
        <v>7.1999999999999993</v>
      </c>
      <c r="AD274" s="9">
        <f t="shared" si="98"/>
        <v>147.00756000000001</v>
      </c>
      <c r="AE274" s="9">
        <f t="shared" si="111"/>
        <v>272.23596719999989</v>
      </c>
      <c r="AF274" s="9">
        <f t="shared" si="99"/>
        <v>146.64000000000001</v>
      </c>
      <c r="AG274" s="9">
        <f t="shared" si="100"/>
        <v>0.36755999999999744</v>
      </c>
      <c r="AH274" s="9">
        <f t="shared" si="112"/>
        <v>125.59596719999988</v>
      </c>
      <c r="AI274">
        <f t="shared" si="101"/>
        <v>2.5002795774584476E-3</v>
      </c>
      <c r="AJ274" s="5">
        <f t="shared" si="102"/>
        <v>44928</v>
      </c>
      <c r="AK274" t="str">
        <f t="shared" si="103"/>
        <v>Jan-2023</v>
      </c>
      <c r="AL274">
        <v>0</v>
      </c>
      <c r="AM274">
        <v>0</v>
      </c>
      <c r="AN274">
        <v>0</v>
      </c>
    </row>
    <row r="275" spans="1:40" x14ac:dyDescent="0.45">
      <c r="A275" s="3" t="s">
        <v>110</v>
      </c>
      <c r="B275" s="5">
        <v>45304</v>
      </c>
      <c r="C275" s="9" t="str">
        <f t="shared" si="91"/>
        <v>Jan-2024</v>
      </c>
      <c r="D275" s="5" t="str">
        <f t="shared" si="92"/>
        <v>2024-Q1</v>
      </c>
      <c r="E275" s="5">
        <v>45313</v>
      </c>
      <c r="F275" s="9">
        <f t="shared" si="104"/>
        <v>9</v>
      </c>
      <c r="G275" s="9" t="str">
        <f t="shared" si="105"/>
        <v>NOT ACHIEVED</v>
      </c>
      <c r="H275" s="3" t="s">
        <v>641</v>
      </c>
      <c r="I275" s="3" t="s">
        <v>648</v>
      </c>
      <c r="J275" s="3" t="s">
        <v>685</v>
      </c>
      <c r="K275" s="13" t="str">
        <f t="shared" si="106"/>
        <v>Asia &gt; India &gt; Mumbai</v>
      </c>
      <c r="L275" s="3" t="s">
        <v>700</v>
      </c>
      <c r="M275" s="3" t="s">
        <v>703</v>
      </c>
      <c r="N275" s="13" t="str">
        <f t="shared" si="93"/>
        <v>Marketplace</v>
      </c>
      <c r="O275" s="3" t="s">
        <v>707</v>
      </c>
      <c r="P275" s="3" t="s">
        <v>721</v>
      </c>
      <c r="Q275" s="13" t="str">
        <f t="shared" si="94"/>
        <v>Low</v>
      </c>
      <c r="R275" s="3" t="s">
        <v>829</v>
      </c>
      <c r="S275" s="7">
        <v>313.60000000000002</v>
      </c>
      <c r="T275" s="7">
        <f t="shared" si="107"/>
        <v>360.64</v>
      </c>
      <c r="U275" s="7">
        <v>334.28</v>
      </c>
      <c r="V275" s="7">
        <f t="shared" si="95"/>
        <v>334.28</v>
      </c>
      <c r="W275" s="7">
        <f t="shared" si="108"/>
        <v>384.42199999999991</v>
      </c>
      <c r="X275" s="16">
        <v>0.14000000000000001</v>
      </c>
      <c r="Y275" t="str">
        <f t="shared" si="96"/>
        <v>OK</v>
      </c>
      <c r="Z275" s="16">
        <f t="shared" si="97"/>
        <v>0.14000000000000001</v>
      </c>
      <c r="AA275" s="16">
        <f t="shared" si="109"/>
        <v>0.14000000000000001</v>
      </c>
      <c r="AB275" s="9">
        <v>22</v>
      </c>
      <c r="AC275" s="9">
        <f t="shared" si="110"/>
        <v>26.4</v>
      </c>
      <c r="AD275" s="9">
        <f t="shared" si="98"/>
        <v>6324.5775999999996</v>
      </c>
      <c r="AE275" s="9">
        <f t="shared" si="111"/>
        <v>11569.564511999999</v>
      </c>
      <c r="AF275" s="9">
        <f t="shared" si="99"/>
        <v>6899.2000000000007</v>
      </c>
      <c r="AG275" s="9">
        <f t="shared" si="100"/>
        <v>-574.62240000000111</v>
      </c>
      <c r="AH275" s="9">
        <f t="shared" si="112"/>
        <v>4670.3645119999983</v>
      </c>
      <c r="AI275">
        <f t="shared" si="101"/>
        <v>-9.0855458868905517E-2</v>
      </c>
      <c r="AJ275" s="5">
        <f t="shared" si="102"/>
        <v>44928</v>
      </c>
      <c r="AK275" t="str">
        <f t="shared" si="103"/>
        <v>Jan-2023</v>
      </c>
      <c r="AL275">
        <v>0</v>
      </c>
      <c r="AM275">
        <v>0</v>
      </c>
      <c r="AN275">
        <v>0</v>
      </c>
    </row>
    <row r="276" spans="1:40" x14ac:dyDescent="0.45">
      <c r="A276" s="3" t="s">
        <v>149</v>
      </c>
      <c r="B276" s="5">
        <v>45048</v>
      </c>
      <c r="C276" s="9" t="str">
        <f t="shared" si="91"/>
        <v>May-2023</v>
      </c>
      <c r="D276" s="5" t="str">
        <f t="shared" si="92"/>
        <v>2023-Q2</v>
      </c>
      <c r="E276" s="5">
        <v>45064</v>
      </c>
      <c r="F276" s="9">
        <f t="shared" si="104"/>
        <v>16</v>
      </c>
      <c r="G276" s="9" t="str">
        <f t="shared" si="105"/>
        <v>NOT ACHIEVED</v>
      </c>
      <c r="H276" s="3" t="s">
        <v>641</v>
      </c>
      <c r="I276" s="3" t="s">
        <v>648</v>
      </c>
      <c r="J276" s="3" t="s">
        <v>674</v>
      </c>
      <c r="K276" s="13" t="str">
        <f t="shared" si="106"/>
        <v>Asia &gt; India &gt; Delhi</v>
      </c>
      <c r="L276" s="3" t="s">
        <v>699</v>
      </c>
      <c r="M276" s="3" t="s">
        <v>703</v>
      </c>
      <c r="N276" s="13" t="str">
        <f t="shared" si="93"/>
        <v>Marketplace</v>
      </c>
      <c r="O276" s="3" t="s">
        <v>717</v>
      </c>
      <c r="P276" s="3" t="s">
        <v>726</v>
      </c>
      <c r="Q276" s="13" t="str">
        <f t="shared" si="94"/>
        <v>High</v>
      </c>
      <c r="R276" s="3" t="s">
        <v>868</v>
      </c>
      <c r="S276" s="7">
        <v>1463.92</v>
      </c>
      <c r="T276" s="7">
        <f t="shared" si="107"/>
        <v>1683.508</v>
      </c>
      <c r="U276" s="7">
        <v>2252.2399999999998</v>
      </c>
      <c r="V276" s="7">
        <f t="shared" si="95"/>
        <v>2252.2399999999998</v>
      </c>
      <c r="W276" s="7">
        <f t="shared" si="108"/>
        <v>2590.0759999999996</v>
      </c>
      <c r="X276" s="16">
        <v>0.11799999999999999</v>
      </c>
      <c r="Y276" t="str">
        <f t="shared" si="96"/>
        <v>OK</v>
      </c>
      <c r="Z276" s="16">
        <f t="shared" si="97"/>
        <v>0.11799999999999999</v>
      </c>
      <c r="AA276" s="16">
        <f t="shared" si="109"/>
        <v>0.11799999999999999</v>
      </c>
      <c r="AB276" s="9">
        <v>44</v>
      </c>
      <c r="AC276" s="9">
        <f t="shared" si="110"/>
        <v>52.8</v>
      </c>
      <c r="AD276" s="9">
        <f t="shared" si="98"/>
        <v>87404.929919999995</v>
      </c>
      <c r="AE276" s="9">
        <f t="shared" si="111"/>
        <v>152893.22231039996</v>
      </c>
      <c r="AF276" s="9">
        <f t="shared" si="99"/>
        <v>64412.480000000003</v>
      </c>
      <c r="AG276" s="9">
        <f t="shared" si="100"/>
        <v>22992.449919999992</v>
      </c>
      <c r="AH276" s="9">
        <f t="shared" si="112"/>
        <v>88480.742310399946</v>
      </c>
      <c r="AI276">
        <f t="shared" si="101"/>
        <v>0.26305667130040061</v>
      </c>
      <c r="AJ276" s="5">
        <f t="shared" si="102"/>
        <v>44928</v>
      </c>
      <c r="AK276" t="str">
        <f t="shared" si="103"/>
        <v>Jan-2023</v>
      </c>
      <c r="AL276">
        <v>0</v>
      </c>
      <c r="AM276">
        <v>0</v>
      </c>
      <c r="AN276">
        <v>0</v>
      </c>
    </row>
    <row r="277" spans="1:40" x14ac:dyDescent="0.45">
      <c r="A277" s="3" t="s">
        <v>166</v>
      </c>
      <c r="B277" s="5">
        <v>45531</v>
      </c>
      <c r="C277" s="9" t="str">
        <f t="shared" si="91"/>
        <v>Aug-2024</v>
      </c>
      <c r="D277" s="5" t="str">
        <f t="shared" si="92"/>
        <v>2024-Q3</v>
      </c>
      <c r="E277" s="5">
        <v>45553</v>
      </c>
      <c r="F277" s="9">
        <f t="shared" si="104"/>
        <v>22</v>
      </c>
      <c r="G277" s="9" t="str">
        <f t="shared" si="105"/>
        <v>NOT ACHIEVED</v>
      </c>
      <c r="H277" s="3" t="s">
        <v>641</v>
      </c>
      <c r="I277" s="3" t="s">
        <v>648</v>
      </c>
      <c r="J277" s="3" t="s">
        <v>674</v>
      </c>
      <c r="K277" s="13" t="str">
        <f t="shared" si="106"/>
        <v>Asia &gt; India &gt; Delhi</v>
      </c>
      <c r="L277" s="3" t="s">
        <v>698</v>
      </c>
      <c r="M277" s="3" t="s">
        <v>705</v>
      </c>
      <c r="N277" s="13" t="str">
        <f t="shared" si="93"/>
        <v>Direct</v>
      </c>
      <c r="O277" s="3" t="s">
        <v>711</v>
      </c>
      <c r="P277" s="3" t="s">
        <v>721</v>
      </c>
      <c r="Q277" s="13" t="str">
        <f t="shared" si="94"/>
        <v>High</v>
      </c>
      <c r="R277" s="3" t="s">
        <v>885</v>
      </c>
      <c r="S277" s="7">
        <v>896.75</v>
      </c>
      <c r="T277" s="7">
        <f t="shared" si="107"/>
        <v>1031.2624999999998</v>
      </c>
      <c r="U277" s="7">
        <v>1651.14</v>
      </c>
      <c r="V277" s="7">
        <f t="shared" si="95"/>
        <v>1651.14</v>
      </c>
      <c r="W277" s="7">
        <f t="shared" si="108"/>
        <v>1898.8109999999999</v>
      </c>
      <c r="X277" s="16">
        <v>2.5000000000000001E-2</v>
      </c>
      <c r="Y277" t="str">
        <f t="shared" si="96"/>
        <v>OK</v>
      </c>
      <c r="Z277" s="16">
        <f t="shared" si="97"/>
        <v>2.5000000000000001E-2</v>
      </c>
      <c r="AA277" s="16">
        <f t="shared" si="109"/>
        <v>2.5000000000000001E-2</v>
      </c>
      <c r="AB277" s="9">
        <v>15</v>
      </c>
      <c r="AC277" s="9">
        <f t="shared" si="110"/>
        <v>18</v>
      </c>
      <c r="AD277" s="9">
        <f t="shared" si="98"/>
        <v>24147.922500000001</v>
      </c>
      <c r="AE277" s="9">
        <f t="shared" si="111"/>
        <v>35033.062949999992</v>
      </c>
      <c r="AF277" s="9">
        <f t="shared" si="99"/>
        <v>13451.25</v>
      </c>
      <c r="AG277" s="9">
        <f t="shared" si="100"/>
        <v>10696.672500000001</v>
      </c>
      <c r="AH277" s="9">
        <f t="shared" si="112"/>
        <v>21581.812949999992</v>
      </c>
      <c r="AI277">
        <f t="shared" si="101"/>
        <v>0.44296450346815552</v>
      </c>
      <c r="AJ277" s="5">
        <f t="shared" si="102"/>
        <v>44928</v>
      </c>
      <c r="AK277" t="str">
        <f t="shared" si="103"/>
        <v>Jan-2023</v>
      </c>
      <c r="AL277">
        <v>0</v>
      </c>
      <c r="AM277">
        <v>0</v>
      </c>
      <c r="AN277">
        <v>0</v>
      </c>
    </row>
    <row r="278" spans="1:40" x14ac:dyDescent="0.45">
      <c r="A278" s="3" t="s">
        <v>169</v>
      </c>
      <c r="B278" s="5">
        <v>44977</v>
      </c>
      <c r="C278" s="9" t="str">
        <f t="shared" si="91"/>
        <v>Feb-2023</v>
      </c>
      <c r="D278" s="5" t="str">
        <f t="shared" si="92"/>
        <v>2023-Q1</v>
      </c>
      <c r="E278" s="5">
        <v>44989</v>
      </c>
      <c r="F278" s="9">
        <f t="shared" si="104"/>
        <v>12</v>
      </c>
      <c r="G278" s="9" t="str">
        <f t="shared" si="105"/>
        <v>NOT ACHIEVED</v>
      </c>
      <c r="H278" s="3" t="s">
        <v>641</v>
      </c>
      <c r="I278" s="3" t="s">
        <v>648</v>
      </c>
      <c r="J278" s="3" t="s">
        <v>674</v>
      </c>
      <c r="K278" s="13" t="str">
        <f t="shared" si="106"/>
        <v>Asia &gt; India &gt; Delhi</v>
      </c>
      <c r="L278" s="3" t="s">
        <v>698</v>
      </c>
      <c r="M278" s="3" t="s">
        <v>704</v>
      </c>
      <c r="N278" s="13" t="str">
        <f t="shared" si="93"/>
        <v>Distributor</v>
      </c>
      <c r="O278" s="3" t="s">
        <v>718</v>
      </c>
      <c r="P278" s="3" t="s">
        <v>726</v>
      </c>
      <c r="Q278" s="13" t="str">
        <f t="shared" si="94"/>
        <v>Low</v>
      </c>
      <c r="R278" s="3" t="s">
        <v>888</v>
      </c>
      <c r="S278" s="7">
        <v>299.75</v>
      </c>
      <c r="T278" s="7">
        <f t="shared" si="107"/>
        <v>344.71249999999998</v>
      </c>
      <c r="U278" s="7">
        <v>523.01</v>
      </c>
      <c r="V278" s="7">
        <f t="shared" si="95"/>
        <v>523.01</v>
      </c>
      <c r="W278" s="7">
        <f t="shared" si="108"/>
        <v>601.46149999999989</v>
      </c>
      <c r="X278" s="16">
        <v>0.157</v>
      </c>
      <c r="Y278" t="str">
        <f t="shared" si="96"/>
        <v>OK</v>
      </c>
      <c r="Z278" s="16">
        <f t="shared" si="97"/>
        <v>0.157</v>
      </c>
      <c r="AA278" s="16">
        <f t="shared" si="109"/>
        <v>0.157</v>
      </c>
      <c r="AB278" s="9">
        <v>50</v>
      </c>
      <c r="AC278" s="9">
        <f t="shared" si="110"/>
        <v>60</v>
      </c>
      <c r="AD278" s="9">
        <f t="shared" si="98"/>
        <v>22044.871499999997</v>
      </c>
      <c r="AE278" s="9">
        <f t="shared" si="111"/>
        <v>41753.457329999997</v>
      </c>
      <c r="AF278" s="9">
        <f t="shared" si="99"/>
        <v>14987.5</v>
      </c>
      <c r="AG278" s="9">
        <f t="shared" si="100"/>
        <v>7057.3714999999975</v>
      </c>
      <c r="AH278" s="9">
        <f t="shared" si="112"/>
        <v>26765.957329999997</v>
      </c>
      <c r="AI278">
        <f t="shared" si="101"/>
        <v>0.32013665854210122</v>
      </c>
      <c r="AJ278" s="5">
        <f t="shared" si="102"/>
        <v>44928</v>
      </c>
      <c r="AK278" t="str">
        <f t="shared" si="103"/>
        <v>Jan-2023</v>
      </c>
      <c r="AL278">
        <v>0</v>
      </c>
      <c r="AM278">
        <v>0</v>
      </c>
      <c r="AN278">
        <v>0</v>
      </c>
    </row>
    <row r="279" spans="1:40" x14ac:dyDescent="0.45">
      <c r="A279" s="3" t="s">
        <v>177</v>
      </c>
      <c r="B279" s="5">
        <v>45206</v>
      </c>
      <c r="C279" s="9" t="str">
        <f t="shared" si="91"/>
        <v>Oct-2023</v>
      </c>
      <c r="D279" s="5" t="str">
        <f t="shared" si="92"/>
        <v>2023-Q4</v>
      </c>
      <c r="E279" s="5">
        <v>45222</v>
      </c>
      <c r="F279" s="9">
        <f t="shared" si="104"/>
        <v>16</v>
      </c>
      <c r="G279" s="9" t="str">
        <f t="shared" si="105"/>
        <v>NOT ACHIEVED</v>
      </c>
      <c r="H279" s="3" t="s">
        <v>641</v>
      </c>
      <c r="I279" s="3" t="s">
        <v>648</v>
      </c>
      <c r="J279" s="3" t="s">
        <v>690</v>
      </c>
      <c r="K279" s="13" t="str">
        <f t="shared" si="106"/>
        <v>Asia &gt; India &gt; Hyderabad</v>
      </c>
      <c r="L279" s="3" t="s">
        <v>698</v>
      </c>
      <c r="M279" s="3" t="s">
        <v>701</v>
      </c>
      <c r="N279" s="13" t="str">
        <f t="shared" si="93"/>
        <v>Retail</v>
      </c>
      <c r="O279" s="3" t="s">
        <v>709</v>
      </c>
      <c r="P279" s="3" t="s">
        <v>726</v>
      </c>
      <c r="Q279" s="13" t="str">
        <f t="shared" si="94"/>
        <v>Medium</v>
      </c>
      <c r="R279" s="3" t="s">
        <v>896</v>
      </c>
      <c r="S279" s="7">
        <v>906.81</v>
      </c>
      <c r="T279" s="7">
        <f t="shared" si="107"/>
        <v>1042.8314999999998</v>
      </c>
      <c r="U279" s="7">
        <v>1395.56</v>
      </c>
      <c r="V279" s="7">
        <f t="shared" si="95"/>
        <v>1395.56</v>
      </c>
      <c r="W279" s="7">
        <f t="shared" si="108"/>
        <v>1604.8939999999998</v>
      </c>
      <c r="X279" s="16">
        <v>0.185</v>
      </c>
      <c r="Y279" t="str">
        <f t="shared" si="96"/>
        <v>OK</v>
      </c>
      <c r="Z279" s="16">
        <f t="shared" si="97"/>
        <v>0.185</v>
      </c>
      <c r="AA279" s="16">
        <f t="shared" si="109"/>
        <v>0.185</v>
      </c>
      <c r="AB279" s="9">
        <v>6</v>
      </c>
      <c r="AC279" s="9">
        <f t="shared" si="110"/>
        <v>7.1999999999999993</v>
      </c>
      <c r="AD279" s="9">
        <f t="shared" si="98"/>
        <v>6824.2884000000004</v>
      </c>
      <c r="AE279" s="9">
        <f t="shared" si="111"/>
        <v>13692.955607999997</v>
      </c>
      <c r="AF279" s="9">
        <f t="shared" si="99"/>
        <v>5440.86</v>
      </c>
      <c r="AG279" s="9">
        <f t="shared" si="100"/>
        <v>1383.4284000000007</v>
      </c>
      <c r="AH279" s="9">
        <f t="shared" si="112"/>
        <v>8252.095607999996</v>
      </c>
      <c r="AI279">
        <f t="shared" si="101"/>
        <v>0.20272126834498974</v>
      </c>
      <c r="AJ279" s="5">
        <f t="shared" si="102"/>
        <v>44928</v>
      </c>
      <c r="AK279" t="str">
        <f t="shared" si="103"/>
        <v>Jan-2023</v>
      </c>
      <c r="AL279">
        <v>0</v>
      </c>
      <c r="AM279">
        <v>0</v>
      </c>
      <c r="AN279">
        <v>0</v>
      </c>
    </row>
    <row r="280" spans="1:40" x14ac:dyDescent="0.45">
      <c r="A280" s="3" t="s">
        <v>224</v>
      </c>
      <c r="B280" s="5">
        <v>45280</v>
      </c>
      <c r="C280" s="9" t="str">
        <f t="shared" si="91"/>
        <v>Dec-2023</v>
      </c>
      <c r="D280" s="5" t="str">
        <f t="shared" si="92"/>
        <v>2023-Q4</v>
      </c>
      <c r="E280" s="5">
        <v>45305</v>
      </c>
      <c r="F280" s="9">
        <f t="shared" si="104"/>
        <v>25</v>
      </c>
      <c r="G280" s="9" t="str">
        <f t="shared" si="105"/>
        <v>NOT ACHIEVED</v>
      </c>
      <c r="H280" s="3" t="s">
        <v>641</v>
      </c>
      <c r="I280" s="3" t="s">
        <v>648</v>
      </c>
      <c r="J280" s="3" t="s">
        <v>685</v>
      </c>
      <c r="K280" s="13" t="str">
        <f t="shared" si="106"/>
        <v>Asia &gt; India &gt; Mumbai</v>
      </c>
      <c r="L280" s="3" t="s">
        <v>697</v>
      </c>
      <c r="M280" s="3" t="s">
        <v>703</v>
      </c>
      <c r="N280" s="13" t="str">
        <f t="shared" si="93"/>
        <v>Marketplace</v>
      </c>
      <c r="O280" s="3" t="s">
        <v>710</v>
      </c>
      <c r="P280" s="3" t="s">
        <v>726</v>
      </c>
      <c r="Q280" s="13" t="str">
        <f t="shared" si="94"/>
        <v>Medium</v>
      </c>
      <c r="R280" s="3" t="s">
        <v>943</v>
      </c>
      <c r="S280" s="7">
        <v>1085.6099999999999</v>
      </c>
      <c r="T280" s="7">
        <f t="shared" si="107"/>
        <v>1248.4514999999999</v>
      </c>
      <c r="U280" s="7">
        <v>1246.4100000000001</v>
      </c>
      <c r="V280" s="7">
        <f t="shared" si="95"/>
        <v>1246.4100000000001</v>
      </c>
      <c r="W280" s="7">
        <f t="shared" si="108"/>
        <v>1433.3715</v>
      </c>
      <c r="X280" s="16">
        <v>0.113</v>
      </c>
      <c r="Y280" t="str">
        <f t="shared" si="96"/>
        <v>OK</v>
      </c>
      <c r="Z280" s="16">
        <f t="shared" si="97"/>
        <v>0.113</v>
      </c>
      <c r="AA280" s="16">
        <f t="shared" si="109"/>
        <v>0.113</v>
      </c>
      <c r="AB280" s="9">
        <v>7</v>
      </c>
      <c r="AC280" s="9">
        <f t="shared" si="110"/>
        <v>8.4</v>
      </c>
      <c r="AD280" s="9">
        <f t="shared" si="98"/>
        <v>7738.9596900000006</v>
      </c>
      <c r="AE280" s="9">
        <f t="shared" si="111"/>
        <v>13400.876827800001</v>
      </c>
      <c r="AF280" s="9">
        <f t="shared" si="99"/>
        <v>7599.2699999999995</v>
      </c>
      <c r="AG280" s="9">
        <f t="shared" si="100"/>
        <v>139.68969000000106</v>
      </c>
      <c r="AH280" s="9">
        <f t="shared" si="112"/>
        <v>5801.6068278000012</v>
      </c>
      <c r="AI280">
        <f t="shared" si="101"/>
        <v>1.8050189637310417E-2</v>
      </c>
      <c r="AJ280" s="5">
        <f t="shared" si="102"/>
        <v>44928</v>
      </c>
      <c r="AK280" t="str">
        <f t="shared" si="103"/>
        <v>Jan-2023</v>
      </c>
      <c r="AL280">
        <v>0</v>
      </c>
      <c r="AM280">
        <v>0</v>
      </c>
      <c r="AN280">
        <v>0</v>
      </c>
    </row>
    <row r="281" spans="1:40" x14ac:dyDescent="0.45">
      <c r="A281" s="3" t="s">
        <v>246</v>
      </c>
      <c r="B281" s="5">
        <v>45258</v>
      </c>
      <c r="C281" s="9" t="str">
        <f t="shared" si="91"/>
        <v>Nov-2023</v>
      </c>
      <c r="D281" s="5" t="str">
        <f t="shared" si="92"/>
        <v>2023-Q4</v>
      </c>
      <c r="E281" s="5">
        <v>45267</v>
      </c>
      <c r="F281" s="9">
        <f t="shared" si="104"/>
        <v>9</v>
      </c>
      <c r="G281" s="9" t="str">
        <f t="shared" si="105"/>
        <v>NOT ACHIEVED</v>
      </c>
      <c r="H281" s="3" t="s">
        <v>641</v>
      </c>
      <c r="I281" s="3" t="s">
        <v>648</v>
      </c>
      <c r="J281" s="3" t="s">
        <v>674</v>
      </c>
      <c r="K281" s="13" t="str">
        <f t="shared" si="106"/>
        <v>Asia &gt; India &gt; Delhi</v>
      </c>
      <c r="L281" s="3" t="s">
        <v>700</v>
      </c>
      <c r="M281" s="3" t="s">
        <v>703</v>
      </c>
      <c r="N281" s="13" t="str">
        <f t="shared" si="93"/>
        <v>Marketplace</v>
      </c>
      <c r="O281" s="3" t="s">
        <v>710</v>
      </c>
      <c r="P281" s="3" t="s">
        <v>724</v>
      </c>
      <c r="Q281" s="13" t="str">
        <f t="shared" si="94"/>
        <v>Medium</v>
      </c>
      <c r="R281" s="3" t="s">
        <v>965</v>
      </c>
      <c r="S281" s="7">
        <v>699.33</v>
      </c>
      <c r="T281" s="7">
        <f t="shared" si="107"/>
        <v>804.22950000000003</v>
      </c>
      <c r="U281" s="7">
        <v>873.75</v>
      </c>
      <c r="V281" s="7">
        <f t="shared" si="95"/>
        <v>873.75</v>
      </c>
      <c r="W281" s="7">
        <f t="shared" si="108"/>
        <v>1004.8124999999999</v>
      </c>
      <c r="X281" s="16">
        <v>0.23499999999999999</v>
      </c>
      <c r="Y281" t="str">
        <f t="shared" si="96"/>
        <v>OK</v>
      </c>
      <c r="Z281" s="16">
        <f t="shared" si="97"/>
        <v>0.23499999999999999</v>
      </c>
      <c r="AA281" s="16">
        <f t="shared" si="109"/>
        <v>0.23499999999999999</v>
      </c>
      <c r="AB281" s="9">
        <v>10</v>
      </c>
      <c r="AC281" s="9">
        <f t="shared" si="110"/>
        <v>12</v>
      </c>
      <c r="AD281" s="9">
        <f t="shared" si="98"/>
        <v>6684.1875</v>
      </c>
      <c r="AE281" s="9">
        <f t="shared" si="111"/>
        <v>14891.321249999995</v>
      </c>
      <c r="AF281" s="9">
        <f t="shared" si="99"/>
        <v>6993.3</v>
      </c>
      <c r="AG281" s="9">
        <f t="shared" si="100"/>
        <v>-309.11250000000018</v>
      </c>
      <c r="AH281" s="9">
        <f t="shared" si="112"/>
        <v>7898.0212499999952</v>
      </c>
      <c r="AI281">
        <f t="shared" si="101"/>
        <v>-4.6245336475076469E-2</v>
      </c>
      <c r="AJ281" s="5">
        <f t="shared" si="102"/>
        <v>44928</v>
      </c>
      <c r="AK281" t="str">
        <f t="shared" si="103"/>
        <v>Jan-2023</v>
      </c>
      <c r="AL281">
        <v>0</v>
      </c>
      <c r="AM281">
        <v>0</v>
      </c>
      <c r="AN281">
        <v>0</v>
      </c>
    </row>
    <row r="282" spans="1:40" x14ac:dyDescent="0.45">
      <c r="A282" s="3" t="s">
        <v>248</v>
      </c>
      <c r="B282" s="5">
        <v>45188</v>
      </c>
      <c r="C282" s="9" t="str">
        <f t="shared" si="91"/>
        <v>Sep-2023</v>
      </c>
      <c r="D282" s="5" t="str">
        <f t="shared" si="92"/>
        <v>2023-Q3</v>
      </c>
      <c r="E282" s="5">
        <v>45207</v>
      </c>
      <c r="F282" s="9">
        <f t="shared" si="104"/>
        <v>19</v>
      </c>
      <c r="G282" s="9" t="str">
        <f t="shared" si="105"/>
        <v>NOT ACHIEVED</v>
      </c>
      <c r="H282" s="3" t="s">
        <v>641</v>
      </c>
      <c r="I282" s="3" t="s">
        <v>648</v>
      </c>
      <c r="J282" s="3" t="s">
        <v>662</v>
      </c>
      <c r="K282" s="13" t="str">
        <f t="shared" si="106"/>
        <v>Asia &gt; India &gt; Bengaluru</v>
      </c>
      <c r="L282" s="3" t="s">
        <v>696</v>
      </c>
      <c r="M282" s="3" t="s">
        <v>705</v>
      </c>
      <c r="N282" s="13" t="str">
        <f t="shared" si="93"/>
        <v>Direct</v>
      </c>
      <c r="O282" s="3" t="s">
        <v>707</v>
      </c>
      <c r="P282" s="3" t="s">
        <v>722</v>
      </c>
      <c r="Q282" s="13" t="str">
        <f t="shared" si="94"/>
        <v>Low</v>
      </c>
      <c r="R282" s="3" t="s">
        <v>967</v>
      </c>
      <c r="S282" s="7">
        <v>385.32</v>
      </c>
      <c r="T282" s="7">
        <f t="shared" si="107"/>
        <v>443.11799999999994</v>
      </c>
      <c r="U282" s="7">
        <v>606.76</v>
      </c>
      <c r="V282" s="7">
        <f t="shared" si="95"/>
        <v>606.76</v>
      </c>
      <c r="W282" s="7">
        <f t="shared" si="108"/>
        <v>697.77399999999989</v>
      </c>
      <c r="X282" s="16">
        <v>8.5999999999999993E-2</v>
      </c>
      <c r="Y282" t="str">
        <f t="shared" si="96"/>
        <v>OK</v>
      </c>
      <c r="Z282" s="16">
        <f t="shared" si="97"/>
        <v>8.5999999999999993E-2</v>
      </c>
      <c r="AA282" s="16">
        <f t="shared" si="109"/>
        <v>8.5999999999999993E-2</v>
      </c>
      <c r="AB282" s="9">
        <v>8</v>
      </c>
      <c r="AC282" s="9">
        <f t="shared" si="110"/>
        <v>9.6</v>
      </c>
      <c r="AD282" s="9">
        <f t="shared" si="98"/>
        <v>4436.6291200000005</v>
      </c>
      <c r="AE282" s="9">
        <f t="shared" si="111"/>
        <v>7274.7126143999994</v>
      </c>
      <c r="AF282" s="9">
        <f t="shared" si="99"/>
        <v>3082.56</v>
      </c>
      <c r="AG282" s="9">
        <f t="shared" si="100"/>
        <v>1354.0691200000006</v>
      </c>
      <c r="AH282" s="9">
        <f t="shared" si="112"/>
        <v>4192.1526143999999</v>
      </c>
      <c r="AI282">
        <f t="shared" si="101"/>
        <v>0.30520223425842735</v>
      </c>
      <c r="AJ282" s="5">
        <f t="shared" si="102"/>
        <v>44928</v>
      </c>
      <c r="AK282" t="str">
        <f t="shared" si="103"/>
        <v>Jan-2023</v>
      </c>
      <c r="AL282">
        <v>0</v>
      </c>
      <c r="AM282">
        <v>0</v>
      </c>
      <c r="AN282">
        <v>0</v>
      </c>
    </row>
    <row r="283" spans="1:40" x14ac:dyDescent="0.45">
      <c r="A283" s="3" t="s">
        <v>264</v>
      </c>
      <c r="B283" s="5">
        <v>45204</v>
      </c>
      <c r="C283" s="9" t="str">
        <f t="shared" si="91"/>
        <v>Oct-2023</v>
      </c>
      <c r="D283" s="5" t="str">
        <f t="shared" si="92"/>
        <v>2023-Q4</v>
      </c>
      <c r="E283" s="5">
        <v>45205</v>
      </c>
      <c r="F283" s="9">
        <f t="shared" si="104"/>
        <v>1</v>
      </c>
      <c r="G283" s="9" t="str">
        <f t="shared" si="105"/>
        <v>ACHIEVED</v>
      </c>
      <c r="H283" s="3" t="s">
        <v>641</v>
      </c>
      <c r="I283" s="3" t="s">
        <v>648</v>
      </c>
      <c r="J283" s="3" t="s">
        <v>662</v>
      </c>
      <c r="K283" s="13" t="str">
        <f t="shared" si="106"/>
        <v>Asia &gt; India &gt; Bengaluru</v>
      </c>
      <c r="L283" s="3" t="s">
        <v>697</v>
      </c>
      <c r="M283" s="3" t="s">
        <v>702</v>
      </c>
      <c r="N283" s="13" t="str">
        <f t="shared" si="93"/>
        <v>Online</v>
      </c>
      <c r="O283" s="3" t="s">
        <v>708</v>
      </c>
      <c r="P283" s="3" t="s">
        <v>721</v>
      </c>
      <c r="Q283" s="13" t="str">
        <f t="shared" si="94"/>
        <v>High</v>
      </c>
      <c r="R283" s="3" t="s">
        <v>983</v>
      </c>
      <c r="S283" s="7">
        <v>1470.26</v>
      </c>
      <c r="T283" s="7">
        <f t="shared" si="107"/>
        <v>1690.7989999999998</v>
      </c>
      <c r="U283" s="7">
        <v>2562.5500000000002</v>
      </c>
      <c r="V283" s="7">
        <f t="shared" si="95"/>
        <v>2562.5500000000002</v>
      </c>
      <c r="W283" s="7">
        <f t="shared" si="108"/>
        <v>2946.9324999999999</v>
      </c>
      <c r="X283" s="16">
        <v>0.17299999999999999</v>
      </c>
      <c r="Y283" t="str">
        <f t="shared" si="96"/>
        <v>OK</v>
      </c>
      <c r="Z283" s="16">
        <f t="shared" si="97"/>
        <v>0.17299999999999999</v>
      </c>
      <c r="AA283" s="16">
        <f t="shared" si="109"/>
        <v>0.17299999999999999</v>
      </c>
      <c r="AB283" s="9">
        <v>9</v>
      </c>
      <c r="AC283" s="9">
        <f t="shared" si="110"/>
        <v>10.799999999999999</v>
      </c>
      <c r="AD283" s="9">
        <f t="shared" si="98"/>
        <v>19073.059649999999</v>
      </c>
      <c r="AE283" s="9">
        <f t="shared" si="111"/>
        <v>37332.919682999993</v>
      </c>
      <c r="AF283" s="9">
        <f t="shared" si="99"/>
        <v>13232.34</v>
      </c>
      <c r="AG283" s="9">
        <f t="shared" si="100"/>
        <v>5840.7196499999991</v>
      </c>
      <c r="AH283" s="9">
        <f t="shared" si="112"/>
        <v>24100.579682999993</v>
      </c>
      <c r="AI283">
        <f t="shared" si="101"/>
        <v>0.30622877279157462</v>
      </c>
      <c r="AJ283" s="5">
        <f t="shared" si="102"/>
        <v>44928</v>
      </c>
      <c r="AK283" t="str">
        <f t="shared" si="103"/>
        <v>Jan-2023</v>
      </c>
      <c r="AL283">
        <v>0</v>
      </c>
      <c r="AM283">
        <v>0</v>
      </c>
      <c r="AN283">
        <v>0</v>
      </c>
    </row>
    <row r="284" spans="1:40" x14ac:dyDescent="0.45">
      <c r="A284" s="3" t="s">
        <v>279</v>
      </c>
      <c r="B284" s="5">
        <v>45707</v>
      </c>
      <c r="C284" s="9" t="str">
        <f t="shared" si="91"/>
        <v>Feb-2025</v>
      </c>
      <c r="D284" s="5" t="str">
        <f t="shared" si="92"/>
        <v>2025-Q1</v>
      </c>
      <c r="E284" s="5">
        <v>45725</v>
      </c>
      <c r="F284" s="9">
        <f t="shared" si="104"/>
        <v>18</v>
      </c>
      <c r="G284" s="9" t="str">
        <f t="shared" si="105"/>
        <v>NOT ACHIEVED</v>
      </c>
      <c r="H284" s="3" t="s">
        <v>641</v>
      </c>
      <c r="I284" s="3" t="s">
        <v>648</v>
      </c>
      <c r="J284" s="3" t="s">
        <v>674</v>
      </c>
      <c r="K284" s="13" t="str">
        <f t="shared" si="106"/>
        <v>Asia &gt; India &gt; Delhi</v>
      </c>
      <c r="L284" s="3" t="s">
        <v>699</v>
      </c>
      <c r="M284" s="3" t="s">
        <v>705</v>
      </c>
      <c r="N284" s="13" t="str">
        <f t="shared" si="93"/>
        <v>Direct</v>
      </c>
      <c r="O284" s="3" t="s">
        <v>713</v>
      </c>
      <c r="P284" s="3" t="s">
        <v>726</v>
      </c>
      <c r="Q284" s="13" t="str">
        <f t="shared" si="94"/>
        <v>Low</v>
      </c>
      <c r="R284" s="3" t="s">
        <v>998</v>
      </c>
      <c r="S284" s="7">
        <v>325.87</v>
      </c>
      <c r="T284" s="7">
        <f t="shared" si="107"/>
        <v>374.75049999999999</v>
      </c>
      <c r="U284" s="7">
        <v>538.79</v>
      </c>
      <c r="V284" s="7">
        <f t="shared" si="95"/>
        <v>538.79</v>
      </c>
      <c r="W284" s="7">
        <f t="shared" si="108"/>
        <v>619.60849999999994</v>
      </c>
      <c r="X284" s="16">
        <v>0.17399999999999999</v>
      </c>
      <c r="Y284" t="str">
        <f t="shared" si="96"/>
        <v>OK</v>
      </c>
      <c r="Z284" s="16">
        <f t="shared" si="97"/>
        <v>0.17399999999999999</v>
      </c>
      <c r="AA284" s="16">
        <f t="shared" si="109"/>
        <v>0.17399999999999999</v>
      </c>
      <c r="AB284" s="9">
        <v>16</v>
      </c>
      <c r="AC284" s="9">
        <f t="shared" si="110"/>
        <v>19.2</v>
      </c>
      <c r="AD284" s="9">
        <f t="shared" si="98"/>
        <v>7120.6486400000003</v>
      </c>
      <c r="AE284" s="9">
        <f t="shared" si="111"/>
        <v>13966.471276799997</v>
      </c>
      <c r="AF284" s="9">
        <f t="shared" si="99"/>
        <v>5213.92</v>
      </c>
      <c r="AG284" s="9">
        <f t="shared" si="100"/>
        <v>1906.7286400000003</v>
      </c>
      <c r="AH284" s="9">
        <f t="shared" si="112"/>
        <v>8752.5512767999971</v>
      </c>
      <c r="AI284">
        <f t="shared" si="101"/>
        <v>0.26777457172778013</v>
      </c>
      <c r="AJ284" s="5">
        <f t="shared" si="102"/>
        <v>44928</v>
      </c>
      <c r="AK284" t="str">
        <f t="shared" si="103"/>
        <v>Jan-2023</v>
      </c>
      <c r="AL284">
        <v>0</v>
      </c>
      <c r="AM284">
        <v>0</v>
      </c>
      <c r="AN284">
        <v>0</v>
      </c>
    </row>
    <row r="285" spans="1:40" x14ac:dyDescent="0.45">
      <c r="A285" s="3" t="s">
        <v>287</v>
      </c>
      <c r="B285" s="5">
        <v>45229</v>
      </c>
      <c r="C285" s="9" t="str">
        <f t="shared" si="91"/>
        <v>Oct-2023</v>
      </c>
      <c r="D285" s="5" t="str">
        <f t="shared" si="92"/>
        <v>2023-Q4</v>
      </c>
      <c r="E285" s="5">
        <v>45244</v>
      </c>
      <c r="F285" s="9">
        <f t="shared" si="104"/>
        <v>15</v>
      </c>
      <c r="G285" s="9" t="str">
        <f t="shared" si="105"/>
        <v>NOT ACHIEVED</v>
      </c>
      <c r="H285" s="3" t="s">
        <v>641</v>
      </c>
      <c r="I285" s="3" t="s">
        <v>648</v>
      </c>
      <c r="J285" s="3" t="s">
        <v>662</v>
      </c>
      <c r="K285" s="13" t="str">
        <f t="shared" si="106"/>
        <v>Asia &gt; India &gt; Bengaluru</v>
      </c>
      <c r="L285" s="3" t="s">
        <v>695</v>
      </c>
      <c r="M285" s="3" t="s">
        <v>702</v>
      </c>
      <c r="N285" s="13" t="str">
        <f t="shared" si="93"/>
        <v>Online</v>
      </c>
      <c r="O285" s="3" t="s">
        <v>715</v>
      </c>
      <c r="P285" s="3" t="s">
        <v>725</v>
      </c>
      <c r="Q285" s="13" t="str">
        <f t="shared" si="94"/>
        <v>High</v>
      </c>
      <c r="R285" s="3" t="s">
        <v>1006</v>
      </c>
      <c r="S285" s="7">
        <v>953.46</v>
      </c>
      <c r="T285" s="7">
        <f t="shared" si="107"/>
        <v>1096.479</v>
      </c>
      <c r="U285" s="7">
        <v>2066.75</v>
      </c>
      <c r="V285" s="7">
        <f t="shared" si="95"/>
        <v>2066.75</v>
      </c>
      <c r="W285" s="7">
        <f t="shared" si="108"/>
        <v>2376.7624999999998</v>
      </c>
      <c r="X285" s="16">
        <v>0.13800000000000001</v>
      </c>
      <c r="Y285" t="str">
        <f t="shared" si="96"/>
        <v>OK</v>
      </c>
      <c r="Z285" s="16">
        <f t="shared" si="97"/>
        <v>0.13800000000000001</v>
      </c>
      <c r="AA285" s="16">
        <f t="shared" si="109"/>
        <v>0.13800000000000001</v>
      </c>
      <c r="AB285" s="9">
        <v>5</v>
      </c>
      <c r="AC285" s="9">
        <f t="shared" si="110"/>
        <v>6</v>
      </c>
      <c r="AD285" s="9">
        <f t="shared" si="98"/>
        <v>8907.6924999999992</v>
      </c>
      <c r="AE285" s="9">
        <f t="shared" si="111"/>
        <v>16228.534349999998</v>
      </c>
      <c r="AF285" s="9">
        <f t="shared" si="99"/>
        <v>4767.3</v>
      </c>
      <c r="AG285" s="9">
        <f t="shared" si="100"/>
        <v>4140.392499999999</v>
      </c>
      <c r="AH285" s="9">
        <f t="shared" si="112"/>
        <v>11461.234349999999</v>
      </c>
      <c r="AI285">
        <f t="shared" si="101"/>
        <v>0.46481089238318446</v>
      </c>
      <c r="AJ285" s="5">
        <f t="shared" si="102"/>
        <v>44928</v>
      </c>
      <c r="AK285" t="str">
        <f t="shared" si="103"/>
        <v>Jan-2023</v>
      </c>
      <c r="AL285">
        <v>0</v>
      </c>
      <c r="AM285">
        <v>0</v>
      </c>
      <c r="AN285">
        <v>0</v>
      </c>
    </row>
    <row r="286" spans="1:40" x14ac:dyDescent="0.45">
      <c r="A286" s="3" t="s">
        <v>291</v>
      </c>
      <c r="B286" s="5">
        <v>45794</v>
      </c>
      <c r="C286" s="9" t="str">
        <f t="shared" si="91"/>
        <v>May-2025</v>
      </c>
      <c r="D286" s="5" t="str">
        <f t="shared" si="92"/>
        <v>2025-Q2</v>
      </c>
      <c r="E286" s="5">
        <v>45805</v>
      </c>
      <c r="F286" s="9">
        <f t="shared" si="104"/>
        <v>11</v>
      </c>
      <c r="G286" s="9" t="str">
        <f t="shared" si="105"/>
        <v>NOT ACHIEVED</v>
      </c>
      <c r="H286" s="3" t="s">
        <v>641</v>
      </c>
      <c r="I286" s="3" t="s">
        <v>648</v>
      </c>
      <c r="J286" s="3" t="s">
        <v>662</v>
      </c>
      <c r="K286" s="13" t="str">
        <f t="shared" si="106"/>
        <v>Asia &gt; India &gt; Bengaluru</v>
      </c>
      <c r="L286" s="3" t="s">
        <v>695</v>
      </c>
      <c r="M286" s="3" t="s">
        <v>704</v>
      </c>
      <c r="N286" s="13" t="str">
        <f t="shared" si="93"/>
        <v>Distributor</v>
      </c>
      <c r="O286" s="3" t="s">
        <v>711</v>
      </c>
      <c r="P286" s="3" t="s">
        <v>725</v>
      </c>
      <c r="Q286" s="13" t="str">
        <f t="shared" si="94"/>
        <v>Medium</v>
      </c>
      <c r="R286" s="3" t="s">
        <v>1010</v>
      </c>
      <c r="S286" s="7">
        <v>623.4</v>
      </c>
      <c r="T286" s="7">
        <f t="shared" si="107"/>
        <v>716.91</v>
      </c>
      <c r="U286" s="7">
        <v>1100.0899999999999</v>
      </c>
      <c r="V286" s="7">
        <f t="shared" si="95"/>
        <v>1100.0899999999999</v>
      </c>
      <c r="W286" s="7">
        <f t="shared" si="108"/>
        <v>1265.1034999999997</v>
      </c>
      <c r="X286" s="16">
        <v>0.114</v>
      </c>
      <c r="Y286" t="str">
        <f t="shared" si="96"/>
        <v>OK</v>
      </c>
      <c r="Z286" s="16">
        <f t="shared" si="97"/>
        <v>0.114</v>
      </c>
      <c r="AA286" s="16">
        <f t="shared" si="109"/>
        <v>0.114</v>
      </c>
      <c r="AB286" s="9">
        <v>12</v>
      </c>
      <c r="AC286" s="9">
        <f t="shared" si="110"/>
        <v>14.399999999999999</v>
      </c>
      <c r="AD286" s="9">
        <f t="shared" si="98"/>
        <v>11696.156879999999</v>
      </c>
      <c r="AE286" s="9">
        <f t="shared" si="111"/>
        <v>20294.284305599995</v>
      </c>
      <c r="AF286" s="9">
        <f t="shared" si="99"/>
        <v>7480.7999999999993</v>
      </c>
      <c r="AG286" s="9">
        <f t="shared" si="100"/>
        <v>4215.3568799999994</v>
      </c>
      <c r="AH286" s="9">
        <f t="shared" si="112"/>
        <v>12813.484305599995</v>
      </c>
      <c r="AI286">
        <f t="shared" si="101"/>
        <v>0.36040529579490388</v>
      </c>
      <c r="AJ286" s="5">
        <f t="shared" si="102"/>
        <v>44928</v>
      </c>
      <c r="AK286" t="str">
        <f t="shared" si="103"/>
        <v>Jan-2023</v>
      </c>
      <c r="AL286">
        <v>0</v>
      </c>
      <c r="AM286">
        <v>0</v>
      </c>
      <c r="AN286">
        <v>0</v>
      </c>
    </row>
    <row r="287" spans="1:40" x14ac:dyDescent="0.45">
      <c r="A287" s="3" t="s">
        <v>295</v>
      </c>
      <c r="B287" s="5">
        <v>45542</v>
      </c>
      <c r="C287" s="9" t="str">
        <f t="shared" si="91"/>
        <v>Sep-2024</v>
      </c>
      <c r="D287" s="5" t="str">
        <f t="shared" si="92"/>
        <v>2024-Q3</v>
      </c>
      <c r="E287" s="5">
        <v>45542</v>
      </c>
      <c r="F287" s="9">
        <f t="shared" si="104"/>
        <v>0</v>
      </c>
      <c r="G287" s="9" t="str">
        <f t="shared" si="105"/>
        <v>ACHIEVED</v>
      </c>
      <c r="H287" s="3" t="s">
        <v>641</v>
      </c>
      <c r="I287" s="3" t="s">
        <v>648</v>
      </c>
      <c r="J287" s="3" t="s">
        <v>685</v>
      </c>
      <c r="K287" s="13" t="str">
        <f t="shared" si="106"/>
        <v>Asia &gt; India &gt; Mumbai</v>
      </c>
      <c r="L287" s="3" t="s">
        <v>696</v>
      </c>
      <c r="M287" s="3" t="s">
        <v>704</v>
      </c>
      <c r="N287" s="13" t="str">
        <f t="shared" si="93"/>
        <v>Distributor</v>
      </c>
      <c r="O287" s="3" t="s">
        <v>711</v>
      </c>
      <c r="P287" s="3" t="s">
        <v>723</v>
      </c>
      <c r="Q287" s="13" t="str">
        <f t="shared" si="94"/>
        <v>High</v>
      </c>
      <c r="R287" s="3" t="s">
        <v>1014</v>
      </c>
      <c r="S287" s="7">
        <v>1066.6500000000001</v>
      </c>
      <c r="T287" s="7">
        <f t="shared" si="107"/>
        <v>1226.6475</v>
      </c>
      <c r="U287" s="7">
        <v>2569.77</v>
      </c>
      <c r="V287" s="7">
        <f t="shared" si="95"/>
        <v>2569.77</v>
      </c>
      <c r="W287" s="7">
        <f t="shared" si="108"/>
        <v>2955.2354999999998</v>
      </c>
      <c r="X287" s="16">
        <v>0.13400000000000001</v>
      </c>
      <c r="Y287" t="str">
        <f t="shared" si="96"/>
        <v>OK</v>
      </c>
      <c r="Z287" s="16">
        <f t="shared" si="97"/>
        <v>0.13400000000000001</v>
      </c>
      <c r="AA287" s="16">
        <f t="shared" si="109"/>
        <v>0.13400000000000001</v>
      </c>
      <c r="AB287" s="9">
        <v>9</v>
      </c>
      <c r="AC287" s="9">
        <f t="shared" si="110"/>
        <v>10.799999999999999</v>
      </c>
      <c r="AD287" s="9">
        <f t="shared" si="98"/>
        <v>20028.787380000002</v>
      </c>
      <c r="AE287" s="9">
        <f t="shared" si="111"/>
        <v>36193.360215599991</v>
      </c>
      <c r="AF287" s="9">
        <f t="shared" si="99"/>
        <v>9599.85</v>
      </c>
      <c r="AG287" s="9">
        <f t="shared" si="100"/>
        <v>10428.937380000001</v>
      </c>
      <c r="AH287" s="9">
        <f t="shared" si="112"/>
        <v>26593.510215599992</v>
      </c>
      <c r="AI287">
        <f t="shared" si="101"/>
        <v>0.52069739331368348</v>
      </c>
      <c r="AJ287" s="5">
        <f t="shared" si="102"/>
        <v>44928</v>
      </c>
      <c r="AK287" t="str">
        <f t="shared" si="103"/>
        <v>Jan-2023</v>
      </c>
      <c r="AL287">
        <v>0</v>
      </c>
      <c r="AM287">
        <v>0</v>
      </c>
      <c r="AN287">
        <v>0</v>
      </c>
    </row>
    <row r="288" spans="1:40" x14ac:dyDescent="0.45">
      <c r="A288" s="3" t="s">
        <v>334</v>
      </c>
      <c r="B288" s="5">
        <v>45303</v>
      </c>
      <c r="C288" s="9" t="str">
        <f t="shared" si="91"/>
        <v>Jan-2024</v>
      </c>
      <c r="D288" s="5" t="str">
        <f t="shared" si="92"/>
        <v>2024-Q1</v>
      </c>
      <c r="E288" s="5">
        <v>45320</v>
      </c>
      <c r="F288" s="9">
        <f t="shared" si="104"/>
        <v>17</v>
      </c>
      <c r="G288" s="9" t="str">
        <f t="shared" si="105"/>
        <v>NOT ACHIEVED</v>
      </c>
      <c r="H288" s="3" t="s">
        <v>641</v>
      </c>
      <c r="I288" s="3" t="s">
        <v>648</v>
      </c>
      <c r="J288" s="3" t="s">
        <v>690</v>
      </c>
      <c r="K288" s="13" t="str">
        <f t="shared" si="106"/>
        <v>Asia &gt; India &gt; Hyderabad</v>
      </c>
      <c r="L288" s="3" t="s">
        <v>699</v>
      </c>
      <c r="M288" s="3" t="s">
        <v>705</v>
      </c>
      <c r="N288" s="13" t="str">
        <f t="shared" si="93"/>
        <v>Direct</v>
      </c>
      <c r="O288" s="3" t="s">
        <v>711</v>
      </c>
      <c r="P288" s="3" t="s">
        <v>721</v>
      </c>
      <c r="Q288" s="13" t="str">
        <f t="shared" si="94"/>
        <v>Low</v>
      </c>
      <c r="R288" s="3" t="s">
        <v>1053</v>
      </c>
      <c r="S288" s="7">
        <v>310.02</v>
      </c>
      <c r="T288" s="7">
        <f t="shared" si="107"/>
        <v>356.52299999999997</v>
      </c>
      <c r="U288" s="7">
        <v>619.51</v>
      </c>
      <c r="V288" s="7">
        <f t="shared" si="95"/>
        <v>619.51</v>
      </c>
      <c r="W288" s="7">
        <f t="shared" si="108"/>
        <v>712.43649999999991</v>
      </c>
      <c r="X288" s="16">
        <v>4.2000000000000003E-2</v>
      </c>
      <c r="Y288" t="str">
        <f t="shared" si="96"/>
        <v>OK</v>
      </c>
      <c r="Z288" s="16">
        <f t="shared" si="97"/>
        <v>4.2000000000000003E-2</v>
      </c>
      <c r="AA288" s="16">
        <f t="shared" si="109"/>
        <v>4.2000000000000003E-2</v>
      </c>
      <c r="AB288" s="9">
        <v>4</v>
      </c>
      <c r="AC288" s="9">
        <f t="shared" si="110"/>
        <v>4.8</v>
      </c>
      <c r="AD288" s="9">
        <f t="shared" si="98"/>
        <v>2373.9623200000001</v>
      </c>
      <c r="AE288" s="9">
        <f t="shared" si="111"/>
        <v>3563.3223983999997</v>
      </c>
      <c r="AF288" s="9">
        <f t="shared" si="99"/>
        <v>1240.08</v>
      </c>
      <c r="AG288" s="9">
        <f t="shared" si="100"/>
        <v>1133.8823200000002</v>
      </c>
      <c r="AH288" s="9">
        <f t="shared" si="112"/>
        <v>2323.2423983999997</v>
      </c>
      <c r="AI288">
        <f t="shared" si="101"/>
        <v>0.47763282106347843</v>
      </c>
      <c r="AJ288" s="5">
        <f t="shared" si="102"/>
        <v>44928</v>
      </c>
      <c r="AK288" t="str">
        <f t="shared" si="103"/>
        <v>Jan-2023</v>
      </c>
      <c r="AL288">
        <v>0</v>
      </c>
      <c r="AM288">
        <v>0</v>
      </c>
      <c r="AN288">
        <v>0</v>
      </c>
    </row>
    <row r="289" spans="1:40" x14ac:dyDescent="0.45">
      <c r="A289" s="3" t="s">
        <v>340</v>
      </c>
      <c r="B289" s="5">
        <v>45168</v>
      </c>
      <c r="C289" s="9" t="str">
        <f t="shared" si="91"/>
        <v>Aug-2023</v>
      </c>
      <c r="D289" s="5" t="str">
        <f t="shared" si="92"/>
        <v>2023-Q3</v>
      </c>
      <c r="E289" s="5">
        <v>45172</v>
      </c>
      <c r="F289" s="9">
        <f t="shared" si="104"/>
        <v>4</v>
      </c>
      <c r="G289" s="9" t="str">
        <f t="shared" si="105"/>
        <v>ACHIEVED</v>
      </c>
      <c r="H289" s="3" t="s">
        <v>641</v>
      </c>
      <c r="I289" s="3" t="s">
        <v>648</v>
      </c>
      <c r="J289" s="3" t="s">
        <v>674</v>
      </c>
      <c r="K289" s="13" t="str">
        <f t="shared" si="106"/>
        <v>Asia &gt; India &gt; Delhi</v>
      </c>
      <c r="L289" s="3" t="s">
        <v>699</v>
      </c>
      <c r="M289" s="3" t="s">
        <v>703</v>
      </c>
      <c r="N289" s="13" t="str">
        <f t="shared" si="93"/>
        <v>Marketplace</v>
      </c>
      <c r="O289" s="3" t="s">
        <v>710</v>
      </c>
      <c r="P289" s="3" t="s">
        <v>727</v>
      </c>
      <c r="Q289" s="13" t="str">
        <f t="shared" si="94"/>
        <v>High</v>
      </c>
      <c r="R289" s="3" t="s">
        <v>1059</v>
      </c>
      <c r="S289" s="7">
        <v>1082.25</v>
      </c>
      <c r="T289" s="7">
        <f t="shared" si="107"/>
        <v>1244.5874999999999</v>
      </c>
      <c r="U289" s="7">
        <v>2433.34</v>
      </c>
      <c r="V289" s="7">
        <f t="shared" si="95"/>
        <v>2433.34</v>
      </c>
      <c r="W289" s="7">
        <f t="shared" si="108"/>
        <v>2798.3409999999999</v>
      </c>
      <c r="X289" s="16">
        <v>0.27</v>
      </c>
      <c r="Y289" t="str">
        <f t="shared" si="96"/>
        <v>OK</v>
      </c>
      <c r="Z289" s="16">
        <f t="shared" si="97"/>
        <v>0.27</v>
      </c>
      <c r="AA289" s="16">
        <f t="shared" si="109"/>
        <v>0.25</v>
      </c>
      <c r="AB289" s="9">
        <v>4</v>
      </c>
      <c r="AC289" s="9">
        <f t="shared" si="110"/>
        <v>4.8</v>
      </c>
      <c r="AD289" s="9">
        <f t="shared" si="98"/>
        <v>7105.3528000000006</v>
      </c>
      <c r="AE289" s="9">
        <f t="shared" si="111"/>
        <v>16790.045999999998</v>
      </c>
      <c r="AF289" s="9">
        <f t="shared" si="99"/>
        <v>4329</v>
      </c>
      <c r="AG289" s="9">
        <f t="shared" si="100"/>
        <v>2776.3528000000006</v>
      </c>
      <c r="AH289" s="9">
        <f t="shared" si="112"/>
        <v>12461.045999999998</v>
      </c>
      <c r="AI289">
        <f t="shared" si="101"/>
        <v>0.3907410199251472</v>
      </c>
      <c r="AJ289" s="5">
        <f t="shared" si="102"/>
        <v>44928</v>
      </c>
      <c r="AK289" t="str">
        <f t="shared" si="103"/>
        <v>Jan-2023</v>
      </c>
      <c r="AL289">
        <v>0</v>
      </c>
      <c r="AM289">
        <v>0</v>
      </c>
      <c r="AN289">
        <v>0</v>
      </c>
    </row>
    <row r="290" spans="1:40" x14ac:dyDescent="0.45">
      <c r="A290" s="3" t="s">
        <v>342</v>
      </c>
      <c r="B290" s="5">
        <v>45774</v>
      </c>
      <c r="C290" s="9" t="str">
        <f t="shared" si="91"/>
        <v>Apr-2025</v>
      </c>
      <c r="D290" s="5" t="str">
        <f t="shared" si="92"/>
        <v>2025-Q2</v>
      </c>
      <c r="E290" s="5">
        <v>45804</v>
      </c>
      <c r="F290" s="9">
        <f t="shared" si="104"/>
        <v>30</v>
      </c>
      <c r="G290" s="9" t="str">
        <f t="shared" si="105"/>
        <v>NOT ACHIEVED</v>
      </c>
      <c r="H290" s="3" t="s">
        <v>641</v>
      </c>
      <c r="I290" s="3" t="s">
        <v>648</v>
      </c>
      <c r="J290" s="3" t="s">
        <v>1444</v>
      </c>
      <c r="K290" s="13" t="str">
        <f t="shared" si="106"/>
        <v>Asia &gt; India &gt; Unkown</v>
      </c>
      <c r="L290" s="3" t="s">
        <v>700</v>
      </c>
      <c r="M290" s="3" t="s">
        <v>703</v>
      </c>
      <c r="N290" s="13" t="str">
        <f t="shared" si="93"/>
        <v>Marketplace</v>
      </c>
      <c r="O290" s="3" t="s">
        <v>716</v>
      </c>
      <c r="P290" s="3" t="s">
        <v>724</v>
      </c>
      <c r="Q290" s="13" t="str">
        <f t="shared" si="94"/>
        <v>Medium</v>
      </c>
      <c r="R290" s="3" t="s">
        <v>1061</v>
      </c>
      <c r="S290" s="7">
        <v>481.32</v>
      </c>
      <c r="T290" s="7">
        <f t="shared" si="107"/>
        <v>553.51799999999992</v>
      </c>
      <c r="U290" s="7">
        <v>1135.99</v>
      </c>
      <c r="V290" s="7">
        <f t="shared" si="95"/>
        <v>1135.99</v>
      </c>
      <c r="W290" s="7">
        <f t="shared" si="108"/>
        <v>1306.3885</v>
      </c>
      <c r="X290" s="16">
        <v>0.14499999999999999</v>
      </c>
      <c r="Y290" t="str">
        <f t="shared" si="96"/>
        <v>OK</v>
      </c>
      <c r="Z290" s="16">
        <f t="shared" si="97"/>
        <v>0.14499999999999999</v>
      </c>
      <c r="AA290" s="16">
        <f t="shared" si="109"/>
        <v>0.14499999999999999</v>
      </c>
      <c r="AB290" s="9">
        <v>5</v>
      </c>
      <c r="AC290" s="9">
        <f t="shared" si="110"/>
        <v>6</v>
      </c>
      <c r="AD290" s="9">
        <f t="shared" si="98"/>
        <v>4856.35725</v>
      </c>
      <c r="AE290" s="9">
        <f t="shared" si="111"/>
        <v>8974.8889950000012</v>
      </c>
      <c r="AF290" s="9">
        <f t="shared" si="99"/>
        <v>2406.6</v>
      </c>
      <c r="AG290" s="9">
        <f t="shared" si="100"/>
        <v>2449.7572500000001</v>
      </c>
      <c r="AH290" s="9">
        <f t="shared" si="112"/>
        <v>6568.2889950000008</v>
      </c>
      <c r="AI290">
        <f t="shared" si="101"/>
        <v>0.50444337677175621</v>
      </c>
      <c r="AJ290" s="5">
        <f t="shared" si="102"/>
        <v>44928</v>
      </c>
      <c r="AK290" t="str">
        <f t="shared" si="103"/>
        <v>Jan-2023</v>
      </c>
      <c r="AL290">
        <v>0</v>
      </c>
      <c r="AM290">
        <v>0</v>
      </c>
      <c r="AN290">
        <v>0</v>
      </c>
    </row>
    <row r="291" spans="1:40" x14ac:dyDescent="0.45">
      <c r="A291" s="3" t="s">
        <v>351</v>
      </c>
      <c r="B291" s="5">
        <v>45339</v>
      </c>
      <c r="C291" s="9" t="str">
        <f t="shared" si="91"/>
        <v>Feb-2024</v>
      </c>
      <c r="D291" s="5" t="str">
        <f t="shared" si="92"/>
        <v>2024-Q1</v>
      </c>
      <c r="E291" s="5">
        <v>45355</v>
      </c>
      <c r="F291" s="9">
        <f t="shared" si="104"/>
        <v>16</v>
      </c>
      <c r="G291" s="9" t="str">
        <f t="shared" si="105"/>
        <v>NOT ACHIEVED</v>
      </c>
      <c r="H291" s="3" t="s">
        <v>641</v>
      </c>
      <c r="I291" s="3" t="s">
        <v>648</v>
      </c>
      <c r="J291" s="3" t="s">
        <v>674</v>
      </c>
      <c r="K291" s="13" t="str">
        <f t="shared" si="106"/>
        <v>Asia &gt; India &gt; Delhi</v>
      </c>
      <c r="L291" s="3" t="s">
        <v>699</v>
      </c>
      <c r="M291" s="3" t="s">
        <v>703</v>
      </c>
      <c r="N291" s="13" t="str">
        <f t="shared" si="93"/>
        <v>Marketplace</v>
      </c>
      <c r="O291" s="3" t="s">
        <v>715</v>
      </c>
      <c r="P291" s="3" t="s">
        <v>724</v>
      </c>
      <c r="Q291" s="13" t="str">
        <f t="shared" si="94"/>
        <v>High</v>
      </c>
      <c r="R291" s="3" t="s">
        <v>1070</v>
      </c>
      <c r="S291" s="7">
        <v>1231.8</v>
      </c>
      <c r="T291" s="7">
        <f t="shared" si="107"/>
        <v>1416.57</v>
      </c>
      <c r="U291" s="7">
        <v>2015.99</v>
      </c>
      <c r="V291" s="7">
        <f t="shared" si="95"/>
        <v>2015.99</v>
      </c>
      <c r="W291" s="7">
        <f t="shared" si="108"/>
        <v>2318.3885</v>
      </c>
      <c r="X291" s="16">
        <v>0.26100000000000001</v>
      </c>
      <c r="Y291" t="str">
        <f t="shared" si="96"/>
        <v>OK</v>
      </c>
      <c r="Z291" s="16">
        <f t="shared" si="97"/>
        <v>0.26100000000000001</v>
      </c>
      <c r="AA291" s="16">
        <f t="shared" si="109"/>
        <v>0.25</v>
      </c>
      <c r="AB291" s="9">
        <v>6</v>
      </c>
      <c r="AC291" s="9">
        <f t="shared" si="110"/>
        <v>7.1999999999999993</v>
      </c>
      <c r="AD291" s="9">
        <f t="shared" si="98"/>
        <v>8938.8996600000009</v>
      </c>
      <c r="AE291" s="9">
        <f t="shared" si="111"/>
        <v>20865.496500000001</v>
      </c>
      <c r="AF291" s="9">
        <f t="shared" si="99"/>
        <v>7390.7999999999993</v>
      </c>
      <c r="AG291" s="9">
        <f t="shared" si="100"/>
        <v>1548.0996600000017</v>
      </c>
      <c r="AH291" s="9">
        <f t="shared" si="112"/>
        <v>13474.696500000002</v>
      </c>
      <c r="AI291">
        <f t="shared" si="101"/>
        <v>0.17318682599464391</v>
      </c>
      <c r="AJ291" s="5">
        <f t="shared" si="102"/>
        <v>44928</v>
      </c>
      <c r="AK291" t="str">
        <f t="shared" si="103"/>
        <v>Jan-2023</v>
      </c>
      <c r="AL291">
        <v>0</v>
      </c>
      <c r="AM291">
        <v>0</v>
      </c>
      <c r="AN291">
        <v>0</v>
      </c>
    </row>
    <row r="292" spans="1:40" x14ac:dyDescent="0.45">
      <c r="A292" s="3" t="s">
        <v>357</v>
      </c>
      <c r="B292" s="5">
        <v>45825</v>
      </c>
      <c r="C292" s="9" t="str">
        <f t="shared" si="91"/>
        <v>Jun-2025</v>
      </c>
      <c r="D292" s="5" t="str">
        <f t="shared" si="92"/>
        <v>2025-Q2</v>
      </c>
      <c r="E292" s="5">
        <v>45843</v>
      </c>
      <c r="F292" s="9">
        <f t="shared" si="104"/>
        <v>18</v>
      </c>
      <c r="G292" s="9" t="str">
        <f t="shared" si="105"/>
        <v>NOT ACHIEVED</v>
      </c>
      <c r="H292" s="3" t="s">
        <v>641</v>
      </c>
      <c r="I292" s="3" t="s">
        <v>648</v>
      </c>
      <c r="J292" s="3" t="s">
        <v>674</v>
      </c>
      <c r="K292" s="13" t="str">
        <f t="shared" si="106"/>
        <v>Asia &gt; India &gt; Delhi</v>
      </c>
      <c r="L292" s="3" t="s">
        <v>698</v>
      </c>
      <c r="M292" s="3" t="s">
        <v>703</v>
      </c>
      <c r="N292" s="13" t="str">
        <f t="shared" si="93"/>
        <v>Marketplace</v>
      </c>
      <c r="O292" s="3" t="s">
        <v>710</v>
      </c>
      <c r="P292" s="3" t="s">
        <v>725</v>
      </c>
      <c r="Q292" s="13" t="str">
        <f t="shared" si="94"/>
        <v>High</v>
      </c>
      <c r="R292" s="3" t="s">
        <v>1076</v>
      </c>
      <c r="S292" s="7">
        <v>982.93</v>
      </c>
      <c r="T292" s="7">
        <f t="shared" si="107"/>
        <v>1130.3694999999998</v>
      </c>
      <c r="U292" s="7">
        <v>2299.3000000000002</v>
      </c>
      <c r="V292" s="7">
        <f t="shared" si="95"/>
        <v>2299.3000000000002</v>
      </c>
      <c r="W292" s="7">
        <f t="shared" si="108"/>
        <v>2644.1950000000002</v>
      </c>
      <c r="X292" s="16">
        <v>0.113</v>
      </c>
      <c r="Y292" t="str">
        <f t="shared" si="96"/>
        <v>OK</v>
      </c>
      <c r="Z292" s="16">
        <f t="shared" si="97"/>
        <v>0.113</v>
      </c>
      <c r="AA292" s="16">
        <f t="shared" si="109"/>
        <v>0.113</v>
      </c>
      <c r="AB292" s="9">
        <v>6</v>
      </c>
      <c r="AC292" s="9">
        <f t="shared" si="110"/>
        <v>7.1999999999999993</v>
      </c>
      <c r="AD292" s="9">
        <f t="shared" si="98"/>
        <v>12236.874600000001</v>
      </c>
      <c r="AE292" s="9">
        <f t="shared" si="111"/>
        <v>21189.521051999996</v>
      </c>
      <c r="AF292" s="9">
        <f t="shared" si="99"/>
        <v>5897.58</v>
      </c>
      <c r="AG292" s="9">
        <f t="shared" si="100"/>
        <v>6339.2946000000011</v>
      </c>
      <c r="AH292" s="9">
        <f t="shared" si="112"/>
        <v>15291.941051999996</v>
      </c>
      <c r="AI292">
        <f t="shared" si="101"/>
        <v>0.51804850562087157</v>
      </c>
      <c r="AJ292" s="5">
        <f t="shared" si="102"/>
        <v>44928</v>
      </c>
      <c r="AK292" t="str">
        <f t="shared" si="103"/>
        <v>Jan-2023</v>
      </c>
      <c r="AL292">
        <v>0</v>
      </c>
      <c r="AM292">
        <v>0</v>
      </c>
      <c r="AN292">
        <v>0</v>
      </c>
    </row>
    <row r="293" spans="1:40" x14ac:dyDescent="0.45">
      <c r="A293" s="3" t="s">
        <v>375</v>
      </c>
      <c r="B293" s="5">
        <v>45731</v>
      </c>
      <c r="C293" s="9" t="str">
        <f t="shared" si="91"/>
        <v>Mar-2025</v>
      </c>
      <c r="D293" s="5" t="str">
        <f t="shared" si="92"/>
        <v>2025-Q1</v>
      </c>
      <c r="E293" s="5">
        <v>45745</v>
      </c>
      <c r="F293" s="9">
        <f t="shared" si="104"/>
        <v>14</v>
      </c>
      <c r="G293" s="9" t="str">
        <f t="shared" si="105"/>
        <v>NOT ACHIEVED</v>
      </c>
      <c r="H293" s="3" t="s">
        <v>641</v>
      </c>
      <c r="I293" s="3" t="s">
        <v>648</v>
      </c>
      <c r="J293" s="3" t="s">
        <v>685</v>
      </c>
      <c r="K293" s="13" t="str">
        <f t="shared" si="106"/>
        <v>Asia &gt; India &gt; Mumbai</v>
      </c>
      <c r="L293" s="3" t="s">
        <v>700</v>
      </c>
      <c r="M293" s="3" t="s">
        <v>705</v>
      </c>
      <c r="N293" s="13" t="str">
        <f t="shared" si="93"/>
        <v>Direct</v>
      </c>
      <c r="O293" s="3" t="s">
        <v>706</v>
      </c>
      <c r="P293" s="3" t="s">
        <v>721</v>
      </c>
      <c r="Q293" s="13" t="str">
        <f t="shared" si="94"/>
        <v>High</v>
      </c>
      <c r="R293" s="3" t="s">
        <v>1094</v>
      </c>
      <c r="S293" s="7">
        <v>935.83</v>
      </c>
      <c r="T293" s="7">
        <f t="shared" si="107"/>
        <v>1076.2045000000001</v>
      </c>
      <c r="U293" s="7">
        <v>2303.46</v>
      </c>
      <c r="V293" s="7">
        <f t="shared" si="95"/>
        <v>2303.46</v>
      </c>
      <c r="W293" s="7">
        <f t="shared" si="108"/>
        <v>2648.9789999999998</v>
      </c>
      <c r="X293" s="16">
        <v>0.105</v>
      </c>
      <c r="Y293" t="str">
        <f t="shared" si="96"/>
        <v>OK</v>
      </c>
      <c r="Z293" s="16">
        <f t="shared" si="97"/>
        <v>0.105</v>
      </c>
      <c r="AA293" s="16">
        <f t="shared" si="109"/>
        <v>0.105</v>
      </c>
      <c r="AB293" s="9">
        <v>9</v>
      </c>
      <c r="AC293" s="9">
        <f t="shared" si="110"/>
        <v>10.799999999999999</v>
      </c>
      <c r="AD293" s="9">
        <f t="shared" si="98"/>
        <v>18554.370299999999</v>
      </c>
      <c r="AE293" s="9">
        <f t="shared" si="111"/>
        <v>31612.915385999997</v>
      </c>
      <c r="AF293" s="9">
        <f t="shared" si="99"/>
        <v>8422.4700000000012</v>
      </c>
      <c r="AG293" s="9">
        <f t="shared" si="100"/>
        <v>10131.900299999998</v>
      </c>
      <c r="AH293" s="9">
        <f t="shared" si="112"/>
        <v>23190.445385999996</v>
      </c>
      <c r="AI293">
        <f t="shared" si="101"/>
        <v>0.54606543559174292</v>
      </c>
      <c r="AJ293" s="5">
        <f t="shared" si="102"/>
        <v>44928</v>
      </c>
      <c r="AK293" t="str">
        <f t="shared" si="103"/>
        <v>Jan-2023</v>
      </c>
      <c r="AL293">
        <v>0</v>
      </c>
      <c r="AM293">
        <v>0</v>
      </c>
      <c r="AN293">
        <v>0</v>
      </c>
    </row>
    <row r="294" spans="1:40" x14ac:dyDescent="0.45">
      <c r="A294" s="3" t="s">
        <v>393</v>
      </c>
      <c r="B294" s="5">
        <v>45066</v>
      </c>
      <c r="C294" s="9" t="str">
        <f t="shared" si="91"/>
        <v>May-2023</v>
      </c>
      <c r="D294" s="5" t="str">
        <f t="shared" si="92"/>
        <v>2023-Q2</v>
      </c>
      <c r="E294" s="5">
        <v>45096</v>
      </c>
      <c r="F294" s="9">
        <f t="shared" si="104"/>
        <v>30</v>
      </c>
      <c r="G294" s="9" t="str">
        <f t="shared" si="105"/>
        <v>NOT ACHIEVED</v>
      </c>
      <c r="H294" s="3" t="s">
        <v>641</v>
      </c>
      <c r="I294" s="3" t="s">
        <v>648</v>
      </c>
      <c r="J294" s="3" t="s">
        <v>674</v>
      </c>
      <c r="K294" s="13" t="str">
        <f t="shared" si="106"/>
        <v>Asia &gt; India &gt; Delhi</v>
      </c>
      <c r="L294" s="3" t="s">
        <v>697</v>
      </c>
      <c r="M294" s="3" t="s">
        <v>703</v>
      </c>
      <c r="N294" s="13" t="str">
        <f t="shared" si="93"/>
        <v>Marketplace</v>
      </c>
      <c r="O294" s="3" t="s">
        <v>716</v>
      </c>
      <c r="P294" s="3" t="s">
        <v>725</v>
      </c>
      <c r="Q294" s="13" t="str">
        <f t="shared" si="94"/>
        <v>Medium</v>
      </c>
      <c r="R294" s="3" t="s">
        <v>1111</v>
      </c>
      <c r="S294" s="7">
        <v>1161.2</v>
      </c>
      <c r="T294" s="7">
        <f t="shared" si="107"/>
        <v>1335.3799999999999</v>
      </c>
      <c r="U294" s="7">
        <v>878.73</v>
      </c>
      <c r="V294" s="7">
        <f t="shared" si="95"/>
        <v>878.73</v>
      </c>
      <c r="W294" s="7">
        <f t="shared" si="108"/>
        <v>1010.5395</v>
      </c>
      <c r="X294" s="16">
        <v>0.19</v>
      </c>
      <c r="Y294" t="str">
        <f t="shared" si="96"/>
        <v>OK</v>
      </c>
      <c r="Z294" s="16">
        <f t="shared" si="97"/>
        <v>0.19</v>
      </c>
      <c r="AA294" s="16">
        <f t="shared" si="109"/>
        <v>0.19</v>
      </c>
      <c r="AB294" s="9">
        <v>31</v>
      </c>
      <c r="AC294" s="9">
        <f t="shared" si="110"/>
        <v>37.199999999999996</v>
      </c>
      <c r="AD294" s="9">
        <f t="shared" si="98"/>
        <v>22064.910300000003</v>
      </c>
      <c r="AE294" s="9">
        <f t="shared" si="111"/>
        <v>44734.562585999993</v>
      </c>
      <c r="AF294" s="9">
        <f t="shared" si="99"/>
        <v>35997.200000000004</v>
      </c>
      <c r="AG294" s="9">
        <f t="shared" si="100"/>
        <v>-13932.289700000001</v>
      </c>
      <c r="AH294" s="9">
        <f t="shared" si="112"/>
        <v>8737.3625859999884</v>
      </c>
      <c r="AI294">
        <f t="shared" si="101"/>
        <v>-0.63142290227212028</v>
      </c>
      <c r="AJ294" s="5">
        <f t="shared" si="102"/>
        <v>44928</v>
      </c>
      <c r="AK294" t="str">
        <f t="shared" si="103"/>
        <v>Jan-2023</v>
      </c>
      <c r="AL294">
        <v>0</v>
      </c>
      <c r="AM294">
        <v>0</v>
      </c>
      <c r="AN294">
        <v>0</v>
      </c>
    </row>
    <row r="295" spans="1:40" x14ac:dyDescent="0.45">
      <c r="A295" s="3" t="s">
        <v>394</v>
      </c>
      <c r="B295" s="5">
        <v>45789</v>
      </c>
      <c r="C295" s="9" t="str">
        <f t="shared" si="91"/>
        <v>May-2025</v>
      </c>
      <c r="D295" s="5" t="str">
        <f t="shared" si="92"/>
        <v>2025-Q2</v>
      </c>
      <c r="E295" s="5">
        <v>45803</v>
      </c>
      <c r="F295" s="9">
        <f t="shared" si="104"/>
        <v>14</v>
      </c>
      <c r="G295" s="9" t="str">
        <f t="shared" si="105"/>
        <v>NOT ACHIEVED</v>
      </c>
      <c r="H295" s="3" t="s">
        <v>641</v>
      </c>
      <c r="I295" s="3" t="s">
        <v>648</v>
      </c>
      <c r="J295" s="3" t="s">
        <v>690</v>
      </c>
      <c r="K295" s="13" t="str">
        <f t="shared" si="106"/>
        <v>Asia &gt; India &gt; Hyderabad</v>
      </c>
      <c r="L295" s="3" t="s">
        <v>695</v>
      </c>
      <c r="M295" s="3" t="s">
        <v>703</v>
      </c>
      <c r="N295" s="13" t="str">
        <f t="shared" si="93"/>
        <v>Marketplace</v>
      </c>
      <c r="O295" s="3" t="s">
        <v>709</v>
      </c>
      <c r="P295" s="3" t="s">
        <v>722</v>
      </c>
      <c r="Q295" s="13" t="str">
        <f t="shared" si="94"/>
        <v>Low</v>
      </c>
      <c r="R295" s="3" t="s">
        <v>1112</v>
      </c>
      <c r="S295" s="7">
        <v>320.12</v>
      </c>
      <c r="T295" s="7">
        <f t="shared" si="107"/>
        <v>368.13799999999998</v>
      </c>
      <c r="U295" s="7">
        <v>594.41999999999996</v>
      </c>
      <c r="V295" s="7">
        <f t="shared" si="95"/>
        <v>594.41999999999996</v>
      </c>
      <c r="W295" s="7">
        <f t="shared" si="108"/>
        <v>683.58299999999986</v>
      </c>
      <c r="X295" s="16">
        <v>0.104</v>
      </c>
      <c r="Y295" t="str">
        <f t="shared" si="96"/>
        <v>OK</v>
      </c>
      <c r="Z295" s="16">
        <f t="shared" si="97"/>
        <v>0.104</v>
      </c>
      <c r="AA295" s="16">
        <f t="shared" si="109"/>
        <v>0.104</v>
      </c>
      <c r="AB295" s="9">
        <v>18</v>
      </c>
      <c r="AC295" s="9">
        <f t="shared" si="110"/>
        <v>21.599999999999998</v>
      </c>
      <c r="AD295" s="9">
        <f t="shared" si="98"/>
        <v>9586.8057599999993</v>
      </c>
      <c r="AE295" s="9">
        <f t="shared" si="111"/>
        <v>16300.993651199997</v>
      </c>
      <c r="AF295" s="9">
        <f t="shared" si="99"/>
        <v>5762.16</v>
      </c>
      <c r="AG295" s="9">
        <f t="shared" si="100"/>
        <v>3824.6457599999994</v>
      </c>
      <c r="AH295" s="9">
        <f t="shared" si="112"/>
        <v>10538.833651199997</v>
      </c>
      <c r="AI295">
        <f t="shared" si="101"/>
        <v>0.39894891538931104</v>
      </c>
      <c r="AJ295" s="5">
        <f t="shared" si="102"/>
        <v>44928</v>
      </c>
      <c r="AK295" t="str">
        <f t="shared" si="103"/>
        <v>Jan-2023</v>
      </c>
      <c r="AL295">
        <v>0</v>
      </c>
      <c r="AM295">
        <v>0</v>
      </c>
      <c r="AN295">
        <v>0</v>
      </c>
    </row>
    <row r="296" spans="1:40" x14ac:dyDescent="0.45">
      <c r="A296" s="3" t="s">
        <v>414</v>
      </c>
      <c r="B296" s="5">
        <v>45646</v>
      </c>
      <c r="C296" s="9" t="str">
        <f t="shared" si="91"/>
        <v>Dec-2024</v>
      </c>
      <c r="D296" s="5" t="str">
        <f t="shared" si="92"/>
        <v>2024-Q4</v>
      </c>
      <c r="E296" s="5">
        <v>45671</v>
      </c>
      <c r="F296" s="9">
        <f t="shared" si="104"/>
        <v>25</v>
      </c>
      <c r="G296" s="9" t="str">
        <f t="shared" si="105"/>
        <v>NOT ACHIEVED</v>
      </c>
      <c r="H296" s="3" t="s">
        <v>641</v>
      </c>
      <c r="I296" s="3" t="s">
        <v>648</v>
      </c>
      <c r="J296" s="3" t="s">
        <v>674</v>
      </c>
      <c r="K296" s="13" t="str">
        <f t="shared" si="106"/>
        <v>Asia &gt; India &gt; Delhi</v>
      </c>
      <c r="L296" s="3" t="s">
        <v>699</v>
      </c>
      <c r="M296" s="3" t="s">
        <v>701</v>
      </c>
      <c r="N296" s="13" t="str">
        <f t="shared" si="93"/>
        <v>Retail</v>
      </c>
      <c r="O296" s="3" t="s">
        <v>718</v>
      </c>
      <c r="P296" s="3" t="s">
        <v>722</v>
      </c>
      <c r="Q296" s="13" t="str">
        <f t="shared" si="94"/>
        <v>High</v>
      </c>
      <c r="R296" s="3" t="s">
        <v>1132</v>
      </c>
      <c r="S296" s="7">
        <v>1361.34</v>
      </c>
      <c r="T296" s="7">
        <f t="shared" si="107"/>
        <v>1565.5409999999997</v>
      </c>
      <c r="U296" s="7">
        <v>1737.9</v>
      </c>
      <c r="V296" s="7">
        <f t="shared" si="95"/>
        <v>1737.9</v>
      </c>
      <c r="W296" s="7">
        <f t="shared" si="108"/>
        <v>1998.585</v>
      </c>
      <c r="X296" s="16">
        <v>7.6999999999999999E-2</v>
      </c>
      <c r="Y296" t="str">
        <f t="shared" si="96"/>
        <v>OK</v>
      </c>
      <c r="Z296" s="16">
        <f t="shared" si="97"/>
        <v>7.6999999999999999E-2</v>
      </c>
      <c r="AA296" s="16">
        <f t="shared" si="109"/>
        <v>7.6999999999999999E-2</v>
      </c>
      <c r="AB296" s="9">
        <v>14</v>
      </c>
      <c r="AC296" s="9">
        <f t="shared" si="110"/>
        <v>16.8</v>
      </c>
      <c r="AD296" s="9">
        <f t="shared" si="98"/>
        <v>22457.143800000002</v>
      </c>
      <c r="AE296" s="9">
        <f t="shared" si="111"/>
        <v>36161.597556000001</v>
      </c>
      <c r="AF296" s="9">
        <f t="shared" si="99"/>
        <v>19058.759999999998</v>
      </c>
      <c r="AG296" s="9">
        <f t="shared" si="100"/>
        <v>3398.3838000000032</v>
      </c>
      <c r="AH296" s="9">
        <f t="shared" si="112"/>
        <v>17102.837556000002</v>
      </c>
      <c r="AI296">
        <f t="shared" si="101"/>
        <v>0.15132751654731813</v>
      </c>
      <c r="AJ296" s="5">
        <f t="shared" si="102"/>
        <v>44928</v>
      </c>
      <c r="AK296" t="str">
        <f t="shared" si="103"/>
        <v>Jan-2023</v>
      </c>
      <c r="AL296">
        <v>0</v>
      </c>
      <c r="AM296">
        <v>0</v>
      </c>
      <c r="AN296">
        <v>0</v>
      </c>
    </row>
    <row r="297" spans="1:40" x14ac:dyDescent="0.45">
      <c r="A297" s="3" t="s">
        <v>416</v>
      </c>
      <c r="B297" s="5">
        <v>45724</v>
      </c>
      <c r="C297" s="9" t="str">
        <f t="shared" si="91"/>
        <v>Mar-2025</v>
      </c>
      <c r="D297" s="5" t="str">
        <f t="shared" si="92"/>
        <v>2025-Q1</v>
      </c>
      <c r="E297" s="5">
        <v>45731</v>
      </c>
      <c r="F297" s="9">
        <f t="shared" si="104"/>
        <v>7</v>
      </c>
      <c r="G297" s="9" t="str">
        <f t="shared" si="105"/>
        <v>ACHIEVED</v>
      </c>
      <c r="H297" s="3" t="s">
        <v>641</v>
      </c>
      <c r="I297" s="3" t="s">
        <v>648</v>
      </c>
      <c r="J297" s="3" t="s">
        <v>662</v>
      </c>
      <c r="K297" s="13" t="str">
        <f t="shared" si="106"/>
        <v>Asia &gt; India &gt; Bengaluru</v>
      </c>
      <c r="L297" s="3" t="s">
        <v>695</v>
      </c>
      <c r="M297" s="3" t="s">
        <v>704</v>
      </c>
      <c r="N297" s="13" t="str">
        <f t="shared" si="93"/>
        <v>Distributor</v>
      </c>
      <c r="O297" s="3" t="s">
        <v>717</v>
      </c>
      <c r="P297" s="3" t="s">
        <v>725</v>
      </c>
      <c r="Q297" s="13" t="str">
        <f t="shared" si="94"/>
        <v>Low</v>
      </c>
      <c r="R297" s="3" t="s">
        <v>1134</v>
      </c>
      <c r="S297" s="7">
        <v>475.66</v>
      </c>
      <c r="T297" s="7">
        <f t="shared" si="107"/>
        <v>547.00900000000001</v>
      </c>
      <c r="U297" s="7">
        <v>529.14</v>
      </c>
      <c r="V297" s="7">
        <f t="shared" si="95"/>
        <v>529.14</v>
      </c>
      <c r="W297" s="7">
        <f t="shared" si="108"/>
        <v>608.51099999999997</v>
      </c>
      <c r="X297" s="16">
        <v>0.19600000000000001</v>
      </c>
      <c r="Y297" t="str">
        <f t="shared" si="96"/>
        <v>OK</v>
      </c>
      <c r="Z297" s="16">
        <f t="shared" si="97"/>
        <v>0.19600000000000001</v>
      </c>
      <c r="AA297" s="16">
        <f t="shared" si="109"/>
        <v>0.19600000000000001</v>
      </c>
      <c r="AB297" s="9">
        <v>11</v>
      </c>
      <c r="AC297" s="9">
        <f t="shared" si="110"/>
        <v>13.2</v>
      </c>
      <c r="AD297" s="9">
        <f t="shared" si="98"/>
        <v>4679.7141600000004</v>
      </c>
      <c r="AE297" s="9">
        <f t="shared" si="111"/>
        <v>9606.6848591999988</v>
      </c>
      <c r="AF297" s="9">
        <f t="shared" si="99"/>
        <v>5232.26</v>
      </c>
      <c r="AG297" s="9">
        <f t="shared" si="100"/>
        <v>-552.54583999999977</v>
      </c>
      <c r="AH297" s="9">
        <f t="shared" si="112"/>
        <v>4374.4248591999985</v>
      </c>
      <c r="AI297">
        <f t="shared" si="101"/>
        <v>-0.11807256193613323</v>
      </c>
      <c r="AJ297" s="5">
        <f t="shared" si="102"/>
        <v>44928</v>
      </c>
      <c r="AK297" t="str">
        <f t="shared" si="103"/>
        <v>Jan-2023</v>
      </c>
      <c r="AL297">
        <v>0</v>
      </c>
      <c r="AM297">
        <v>0</v>
      </c>
      <c r="AN297">
        <v>0</v>
      </c>
    </row>
    <row r="298" spans="1:40" x14ac:dyDescent="0.45">
      <c r="A298" s="3" t="s">
        <v>422</v>
      </c>
      <c r="B298" s="5">
        <v>45449</v>
      </c>
      <c r="C298" s="9" t="str">
        <f t="shared" si="91"/>
        <v>Jun-2024</v>
      </c>
      <c r="D298" s="5" t="str">
        <f t="shared" si="92"/>
        <v>2024-Q2</v>
      </c>
      <c r="E298" s="5">
        <v>45467</v>
      </c>
      <c r="F298" s="9">
        <f t="shared" si="104"/>
        <v>18</v>
      </c>
      <c r="G298" s="9" t="str">
        <f t="shared" si="105"/>
        <v>NOT ACHIEVED</v>
      </c>
      <c r="H298" s="3" t="s">
        <v>641</v>
      </c>
      <c r="I298" s="3" t="s">
        <v>648</v>
      </c>
      <c r="J298" s="3" t="s">
        <v>662</v>
      </c>
      <c r="K298" s="13" t="str">
        <f t="shared" si="106"/>
        <v>Asia &gt; India &gt; Bengaluru</v>
      </c>
      <c r="L298" s="3" t="s">
        <v>699</v>
      </c>
      <c r="M298" s="3" t="s">
        <v>705</v>
      </c>
      <c r="N298" s="13" t="str">
        <f t="shared" si="93"/>
        <v>Direct</v>
      </c>
      <c r="O298" s="3" t="s">
        <v>716</v>
      </c>
      <c r="P298" s="3" t="s">
        <v>723</v>
      </c>
      <c r="Q298" s="13" t="str">
        <f t="shared" si="94"/>
        <v>High</v>
      </c>
      <c r="R298" s="3" t="s">
        <v>1140</v>
      </c>
      <c r="S298" s="7">
        <v>1253.25</v>
      </c>
      <c r="T298" s="7">
        <f t="shared" si="107"/>
        <v>1441.2375</v>
      </c>
      <c r="U298" s="7">
        <v>3087.13</v>
      </c>
      <c r="V298" s="7">
        <f t="shared" si="95"/>
        <v>3087.13</v>
      </c>
      <c r="W298" s="7">
        <f t="shared" si="108"/>
        <v>3550.1994999999997</v>
      </c>
      <c r="X298" s="16">
        <v>7.1999999999999995E-2</v>
      </c>
      <c r="Y298" t="str">
        <f t="shared" si="96"/>
        <v>OK</v>
      </c>
      <c r="Z298" s="16">
        <f t="shared" si="97"/>
        <v>7.1999999999999995E-2</v>
      </c>
      <c r="AA298" s="16">
        <f t="shared" si="109"/>
        <v>7.1999999999999995E-2</v>
      </c>
      <c r="AB298" s="9">
        <v>11</v>
      </c>
      <c r="AC298" s="9">
        <f t="shared" si="110"/>
        <v>13.2</v>
      </c>
      <c r="AD298" s="9">
        <f t="shared" si="98"/>
        <v>31513.423040000001</v>
      </c>
      <c r="AE298" s="9">
        <f t="shared" si="111"/>
        <v>50236.743004799995</v>
      </c>
      <c r="AF298" s="9">
        <f t="shared" si="99"/>
        <v>13785.75</v>
      </c>
      <c r="AG298" s="9">
        <f t="shared" si="100"/>
        <v>17727.673040000001</v>
      </c>
      <c r="AH298" s="9">
        <f t="shared" si="112"/>
        <v>36450.993004799995</v>
      </c>
      <c r="AI298">
        <f t="shared" si="101"/>
        <v>0.562543555408064</v>
      </c>
      <c r="AJ298" s="5">
        <f t="shared" si="102"/>
        <v>44928</v>
      </c>
      <c r="AK298" t="str">
        <f t="shared" si="103"/>
        <v>Jan-2023</v>
      </c>
      <c r="AL298">
        <v>0</v>
      </c>
      <c r="AM298">
        <v>0</v>
      </c>
      <c r="AN298">
        <v>0</v>
      </c>
    </row>
    <row r="299" spans="1:40" x14ac:dyDescent="0.45">
      <c r="A299" s="3" t="s">
        <v>424</v>
      </c>
      <c r="B299" s="5">
        <v>45626</v>
      </c>
      <c r="C299" s="9" t="str">
        <f t="shared" si="91"/>
        <v>Nov-2024</v>
      </c>
      <c r="D299" s="5" t="str">
        <f t="shared" si="92"/>
        <v>2024-Q4</v>
      </c>
      <c r="E299" s="5">
        <v>45636</v>
      </c>
      <c r="F299" s="9">
        <f t="shared" si="104"/>
        <v>10</v>
      </c>
      <c r="G299" s="9" t="str">
        <f t="shared" si="105"/>
        <v>NOT ACHIEVED</v>
      </c>
      <c r="H299" s="3" t="s">
        <v>641</v>
      </c>
      <c r="I299" s="3" t="s">
        <v>648</v>
      </c>
      <c r="J299" s="3" t="s">
        <v>690</v>
      </c>
      <c r="K299" s="13" t="str">
        <f t="shared" si="106"/>
        <v>Asia &gt; India &gt; Hyderabad</v>
      </c>
      <c r="L299" s="3" t="s">
        <v>699</v>
      </c>
      <c r="M299" s="3" t="s">
        <v>701</v>
      </c>
      <c r="N299" s="13" t="str">
        <f t="shared" si="93"/>
        <v>Retail</v>
      </c>
      <c r="O299" s="3" t="s">
        <v>715</v>
      </c>
      <c r="P299" s="3" t="s">
        <v>727</v>
      </c>
      <c r="Q299" s="13" t="str">
        <f t="shared" si="94"/>
        <v>Medium</v>
      </c>
      <c r="R299" s="3" t="s">
        <v>1142</v>
      </c>
      <c r="S299" s="7">
        <v>851.49</v>
      </c>
      <c r="T299" s="7">
        <f t="shared" si="107"/>
        <v>979.21349999999995</v>
      </c>
      <c r="U299" s="7">
        <v>901.79</v>
      </c>
      <c r="V299" s="7">
        <f t="shared" si="95"/>
        <v>901.79</v>
      </c>
      <c r="W299" s="7">
        <f t="shared" si="108"/>
        <v>1037.0584999999999</v>
      </c>
      <c r="X299" s="16">
        <v>0.245</v>
      </c>
      <c r="Y299" t="str">
        <f t="shared" si="96"/>
        <v>OK</v>
      </c>
      <c r="Z299" s="16">
        <f t="shared" si="97"/>
        <v>0.245</v>
      </c>
      <c r="AA299" s="16">
        <f t="shared" si="109"/>
        <v>0.245</v>
      </c>
      <c r="AB299" s="9">
        <v>16</v>
      </c>
      <c r="AC299" s="9">
        <f t="shared" si="110"/>
        <v>19.2</v>
      </c>
      <c r="AD299" s="9">
        <f t="shared" si="98"/>
        <v>10893.6232</v>
      </c>
      <c r="AE299" s="9">
        <f t="shared" si="111"/>
        <v>24789.846383999997</v>
      </c>
      <c r="AF299" s="9">
        <f t="shared" si="99"/>
        <v>13623.84</v>
      </c>
      <c r="AG299" s="9">
        <f t="shared" si="100"/>
        <v>-2730.2168000000001</v>
      </c>
      <c r="AH299" s="9">
        <f t="shared" si="112"/>
        <v>11166.006383999997</v>
      </c>
      <c r="AI299">
        <f t="shared" si="101"/>
        <v>-0.25062522816100341</v>
      </c>
      <c r="AJ299" s="5">
        <f t="shared" si="102"/>
        <v>44928</v>
      </c>
      <c r="AK299" t="str">
        <f t="shared" si="103"/>
        <v>Jan-2023</v>
      </c>
      <c r="AL299">
        <v>0</v>
      </c>
      <c r="AM299">
        <v>0</v>
      </c>
      <c r="AN299">
        <v>0</v>
      </c>
    </row>
    <row r="300" spans="1:40" x14ac:dyDescent="0.45">
      <c r="A300" s="3" t="s">
        <v>425</v>
      </c>
      <c r="B300" s="5">
        <v>45813</v>
      </c>
      <c r="C300" s="9" t="str">
        <f t="shared" si="91"/>
        <v>Jun-2025</v>
      </c>
      <c r="D300" s="5" t="str">
        <f t="shared" si="92"/>
        <v>2025-Q2</v>
      </c>
      <c r="E300" s="5">
        <v>45822</v>
      </c>
      <c r="F300" s="9">
        <f t="shared" si="104"/>
        <v>9</v>
      </c>
      <c r="G300" s="9" t="str">
        <f t="shared" si="105"/>
        <v>NOT ACHIEVED</v>
      </c>
      <c r="H300" s="3" t="s">
        <v>641</v>
      </c>
      <c r="I300" s="3" t="s">
        <v>648</v>
      </c>
      <c r="J300" s="3" t="s">
        <v>674</v>
      </c>
      <c r="K300" s="13" t="str">
        <f t="shared" si="106"/>
        <v>Asia &gt; India &gt; Delhi</v>
      </c>
      <c r="L300" s="3" t="s">
        <v>697</v>
      </c>
      <c r="M300" s="3" t="s">
        <v>701</v>
      </c>
      <c r="N300" s="13" t="str">
        <f t="shared" si="93"/>
        <v>Retail</v>
      </c>
      <c r="O300" s="3" t="s">
        <v>714</v>
      </c>
      <c r="P300" s="3" t="s">
        <v>727</v>
      </c>
      <c r="Q300" s="13" t="str">
        <f t="shared" si="94"/>
        <v>Low</v>
      </c>
      <c r="R300" s="3" t="s">
        <v>1143</v>
      </c>
      <c r="S300" s="7">
        <v>618.69000000000005</v>
      </c>
      <c r="T300" s="7">
        <f t="shared" si="107"/>
        <v>711.49350000000004</v>
      </c>
      <c r="U300" s="7">
        <v>796.15</v>
      </c>
      <c r="V300" s="7">
        <f t="shared" si="95"/>
        <v>796.15</v>
      </c>
      <c r="W300" s="7">
        <f t="shared" si="108"/>
        <v>915.57249999999988</v>
      </c>
      <c r="X300" s="16">
        <v>0.09</v>
      </c>
      <c r="Y300" t="str">
        <f t="shared" si="96"/>
        <v>OK</v>
      </c>
      <c r="Z300" s="16">
        <f t="shared" si="97"/>
        <v>0.09</v>
      </c>
      <c r="AA300" s="16">
        <f t="shared" si="109"/>
        <v>0.09</v>
      </c>
      <c r="AB300" s="9">
        <v>11</v>
      </c>
      <c r="AC300" s="9">
        <f t="shared" si="110"/>
        <v>13.2</v>
      </c>
      <c r="AD300" s="9">
        <f t="shared" si="98"/>
        <v>7969.4615000000003</v>
      </c>
      <c r="AE300" s="9">
        <f t="shared" si="111"/>
        <v>13173.257129999998</v>
      </c>
      <c r="AF300" s="9">
        <f t="shared" si="99"/>
        <v>6805.59</v>
      </c>
      <c r="AG300" s="9">
        <f t="shared" si="100"/>
        <v>1163.8715000000002</v>
      </c>
      <c r="AH300" s="9">
        <f t="shared" si="112"/>
        <v>6367.667129999998</v>
      </c>
      <c r="AI300">
        <f t="shared" si="101"/>
        <v>0.14604142325049191</v>
      </c>
      <c r="AJ300" s="5">
        <f t="shared" si="102"/>
        <v>44928</v>
      </c>
      <c r="AK300" t="str">
        <f t="shared" si="103"/>
        <v>Jan-2023</v>
      </c>
      <c r="AL300">
        <v>0</v>
      </c>
      <c r="AM300">
        <v>0</v>
      </c>
      <c r="AN300">
        <v>0</v>
      </c>
    </row>
    <row r="301" spans="1:40" x14ac:dyDescent="0.45">
      <c r="A301" s="3" t="s">
        <v>431</v>
      </c>
      <c r="B301" s="5">
        <v>45915</v>
      </c>
      <c r="C301" s="9" t="str">
        <f t="shared" si="91"/>
        <v>Sep-2025</v>
      </c>
      <c r="D301" s="5" t="str">
        <f t="shared" si="92"/>
        <v>2025-Q3</v>
      </c>
      <c r="E301" s="5">
        <v>45925</v>
      </c>
      <c r="F301" s="9">
        <f t="shared" si="104"/>
        <v>10</v>
      </c>
      <c r="G301" s="9" t="str">
        <f t="shared" si="105"/>
        <v>NOT ACHIEVED</v>
      </c>
      <c r="H301" s="3" t="s">
        <v>641</v>
      </c>
      <c r="I301" s="3" t="s">
        <v>648</v>
      </c>
      <c r="J301" s="3" t="s">
        <v>674</v>
      </c>
      <c r="K301" s="13" t="str">
        <f t="shared" si="106"/>
        <v>Asia &gt; India &gt; Delhi</v>
      </c>
      <c r="L301" s="3" t="s">
        <v>698</v>
      </c>
      <c r="M301" s="3" t="s">
        <v>701</v>
      </c>
      <c r="N301" s="13" t="str">
        <f t="shared" si="93"/>
        <v>Retail</v>
      </c>
      <c r="O301" s="3" t="s">
        <v>714</v>
      </c>
      <c r="P301" s="3" t="s">
        <v>724</v>
      </c>
      <c r="Q301" s="13" t="str">
        <f t="shared" si="94"/>
        <v>Medium</v>
      </c>
      <c r="R301" s="3" t="s">
        <v>1149</v>
      </c>
      <c r="S301" s="7">
        <v>1488.91</v>
      </c>
      <c r="T301" s="7">
        <f t="shared" si="107"/>
        <v>1712.2465</v>
      </c>
      <c r="U301" s="7">
        <v>1483.74</v>
      </c>
      <c r="V301" s="7">
        <f t="shared" si="95"/>
        <v>1483.74</v>
      </c>
      <c r="W301" s="7">
        <f t="shared" si="108"/>
        <v>1706.3009999999999</v>
      </c>
      <c r="X301" s="16">
        <v>0.16800000000000001</v>
      </c>
      <c r="Y301" t="str">
        <f t="shared" si="96"/>
        <v>OK</v>
      </c>
      <c r="Z301" s="16">
        <f t="shared" si="97"/>
        <v>0.16800000000000001</v>
      </c>
      <c r="AA301" s="16">
        <f t="shared" si="109"/>
        <v>0.16800000000000001</v>
      </c>
      <c r="AB301" s="9">
        <v>24</v>
      </c>
      <c r="AC301" s="9">
        <f t="shared" si="110"/>
        <v>28.799999999999997</v>
      </c>
      <c r="AD301" s="9">
        <f t="shared" si="98"/>
        <v>29627.320319999999</v>
      </c>
      <c r="AE301" s="9">
        <f t="shared" si="111"/>
        <v>57397.235558399989</v>
      </c>
      <c r="AF301" s="9">
        <f t="shared" si="99"/>
        <v>35733.840000000004</v>
      </c>
      <c r="AG301" s="9">
        <f t="shared" si="100"/>
        <v>-6106.5196800000049</v>
      </c>
      <c r="AH301" s="9">
        <f t="shared" si="112"/>
        <v>21663.395558399985</v>
      </c>
      <c r="AI301">
        <f t="shared" si="101"/>
        <v>-0.20611110333450519</v>
      </c>
      <c r="AJ301" s="5">
        <f t="shared" si="102"/>
        <v>44928</v>
      </c>
      <c r="AK301" t="str">
        <f t="shared" si="103"/>
        <v>Jan-2023</v>
      </c>
      <c r="AL301">
        <v>0</v>
      </c>
      <c r="AM301">
        <v>0</v>
      </c>
      <c r="AN301">
        <v>0</v>
      </c>
    </row>
    <row r="302" spans="1:40" x14ac:dyDescent="0.45">
      <c r="A302" s="3" t="s">
        <v>433</v>
      </c>
      <c r="B302" s="5">
        <v>45349</v>
      </c>
      <c r="C302" s="9" t="str">
        <f t="shared" si="91"/>
        <v>Feb-2024</v>
      </c>
      <c r="D302" s="5" t="str">
        <f t="shared" si="92"/>
        <v>2024-Q1</v>
      </c>
      <c r="E302" s="5">
        <v>45377</v>
      </c>
      <c r="F302" s="9">
        <f t="shared" si="104"/>
        <v>28</v>
      </c>
      <c r="G302" s="9" t="str">
        <f t="shared" si="105"/>
        <v>NOT ACHIEVED</v>
      </c>
      <c r="H302" s="3" t="s">
        <v>641</v>
      </c>
      <c r="I302" s="3" t="s">
        <v>648</v>
      </c>
      <c r="J302" s="3" t="s">
        <v>685</v>
      </c>
      <c r="K302" s="13" t="str">
        <f t="shared" si="106"/>
        <v>Asia &gt; India &gt; Mumbai</v>
      </c>
      <c r="L302" s="3" t="s">
        <v>696</v>
      </c>
      <c r="M302" s="3" t="s">
        <v>703</v>
      </c>
      <c r="N302" s="13" t="str">
        <f t="shared" si="93"/>
        <v>Marketplace</v>
      </c>
      <c r="O302" s="3" t="s">
        <v>709</v>
      </c>
      <c r="P302" s="3" t="s">
        <v>725</v>
      </c>
      <c r="Q302" s="13" t="str">
        <f t="shared" si="94"/>
        <v>High</v>
      </c>
      <c r="R302" s="3" t="s">
        <v>1151</v>
      </c>
      <c r="S302" s="7">
        <v>1035.19</v>
      </c>
      <c r="T302" s="7">
        <f t="shared" si="107"/>
        <v>1190.4684999999999</v>
      </c>
      <c r="U302" s="7">
        <v>2322.6999999999998</v>
      </c>
      <c r="V302" s="7">
        <f t="shared" si="95"/>
        <v>2322.6999999999998</v>
      </c>
      <c r="W302" s="7">
        <f t="shared" si="108"/>
        <v>2671.1049999999996</v>
      </c>
      <c r="X302" s="16">
        <v>0.17299999999999999</v>
      </c>
      <c r="Y302" t="str">
        <f t="shared" si="96"/>
        <v>OK</v>
      </c>
      <c r="Z302" s="16">
        <f t="shared" si="97"/>
        <v>0.17299999999999999</v>
      </c>
      <c r="AA302" s="16">
        <f t="shared" si="109"/>
        <v>0.17299999999999999</v>
      </c>
      <c r="AB302" s="9">
        <v>8</v>
      </c>
      <c r="AC302" s="9">
        <f t="shared" si="110"/>
        <v>9.6</v>
      </c>
      <c r="AD302" s="9">
        <f t="shared" si="98"/>
        <v>15366.983199999999</v>
      </c>
      <c r="AE302" s="9">
        <f t="shared" si="111"/>
        <v>30078.779183999995</v>
      </c>
      <c r="AF302" s="9">
        <f t="shared" si="99"/>
        <v>8281.52</v>
      </c>
      <c r="AG302" s="9">
        <f t="shared" si="100"/>
        <v>7085.4631999999983</v>
      </c>
      <c r="AH302" s="9">
        <f t="shared" si="112"/>
        <v>21797.259183999995</v>
      </c>
      <c r="AI302">
        <f t="shared" si="101"/>
        <v>0.46108355217047409</v>
      </c>
      <c r="AJ302" s="5">
        <f t="shared" si="102"/>
        <v>44928</v>
      </c>
      <c r="AK302" t="str">
        <f t="shared" si="103"/>
        <v>Jan-2023</v>
      </c>
      <c r="AL302">
        <v>0</v>
      </c>
      <c r="AM302">
        <v>0</v>
      </c>
      <c r="AN302">
        <v>0</v>
      </c>
    </row>
    <row r="303" spans="1:40" x14ac:dyDescent="0.45">
      <c r="A303" s="3" t="s">
        <v>435</v>
      </c>
      <c r="B303" s="5">
        <v>45522</v>
      </c>
      <c r="C303" s="9" t="str">
        <f t="shared" si="91"/>
        <v>Aug-2024</v>
      </c>
      <c r="D303" s="5" t="str">
        <f t="shared" si="92"/>
        <v>2024-Q3</v>
      </c>
      <c r="E303" s="5">
        <v>45547</v>
      </c>
      <c r="F303" s="9">
        <f t="shared" si="104"/>
        <v>25</v>
      </c>
      <c r="G303" s="9" t="str">
        <f t="shared" si="105"/>
        <v>NOT ACHIEVED</v>
      </c>
      <c r="H303" s="3" t="s">
        <v>641</v>
      </c>
      <c r="I303" s="3" t="s">
        <v>648</v>
      </c>
      <c r="J303" s="3" t="s">
        <v>685</v>
      </c>
      <c r="K303" s="13" t="str">
        <f t="shared" si="106"/>
        <v>Asia &gt; India &gt; Mumbai</v>
      </c>
      <c r="L303" s="3" t="s">
        <v>698</v>
      </c>
      <c r="M303" s="3" t="s">
        <v>703</v>
      </c>
      <c r="N303" s="13" t="str">
        <f t="shared" si="93"/>
        <v>Marketplace</v>
      </c>
      <c r="O303" s="3" t="s">
        <v>706</v>
      </c>
      <c r="P303" s="3" t="s">
        <v>724</v>
      </c>
      <c r="Q303" s="13" t="str">
        <f t="shared" si="94"/>
        <v>Medium</v>
      </c>
      <c r="R303" s="3" t="s">
        <v>1153</v>
      </c>
      <c r="S303" s="7">
        <v>1154.03</v>
      </c>
      <c r="T303" s="7">
        <f t="shared" si="107"/>
        <v>1327.1344999999999</v>
      </c>
      <c r="U303" s="7">
        <v>1590.36</v>
      </c>
      <c r="V303" s="7">
        <f t="shared" si="95"/>
        <v>1590.36</v>
      </c>
      <c r="W303" s="7">
        <f t="shared" si="108"/>
        <v>1828.9139999999998</v>
      </c>
      <c r="X303" s="16">
        <v>0.3</v>
      </c>
      <c r="Y303" t="str">
        <f t="shared" si="96"/>
        <v>OK</v>
      </c>
      <c r="Z303" s="16">
        <f t="shared" si="97"/>
        <v>0.3</v>
      </c>
      <c r="AA303" s="16">
        <f t="shared" si="109"/>
        <v>0.25</v>
      </c>
      <c r="AB303" s="9">
        <v>18</v>
      </c>
      <c r="AC303" s="9">
        <f t="shared" si="110"/>
        <v>21.599999999999998</v>
      </c>
      <c r="AD303" s="9">
        <f t="shared" si="98"/>
        <v>20038.536</v>
      </c>
      <c r="AE303" s="9">
        <f t="shared" si="111"/>
        <v>49380.677999999985</v>
      </c>
      <c r="AF303" s="9">
        <f t="shared" si="99"/>
        <v>20772.54</v>
      </c>
      <c r="AG303" s="9">
        <f t="shared" si="100"/>
        <v>-734.00400000000081</v>
      </c>
      <c r="AH303" s="9">
        <f t="shared" si="112"/>
        <v>28608.137999999984</v>
      </c>
      <c r="AI303">
        <f t="shared" si="101"/>
        <v>-3.6629622044245191E-2</v>
      </c>
      <c r="AJ303" s="5">
        <f t="shared" si="102"/>
        <v>44928</v>
      </c>
      <c r="AK303" t="str">
        <f t="shared" si="103"/>
        <v>Jan-2023</v>
      </c>
      <c r="AL303">
        <v>0</v>
      </c>
      <c r="AM303">
        <v>0</v>
      </c>
      <c r="AN303">
        <v>0</v>
      </c>
    </row>
    <row r="304" spans="1:40" x14ac:dyDescent="0.45">
      <c r="A304" s="3" t="s">
        <v>437</v>
      </c>
      <c r="B304" s="5">
        <v>45784</v>
      </c>
      <c r="C304" s="9" t="str">
        <f t="shared" si="91"/>
        <v>May-2025</v>
      </c>
      <c r="D304" s="5" t="str">
        <f t="shared" si="92"/>
        <v>2025-Q2</v>
      </c>
      <c r="E304" s="5">
        <v>45790</v>
      </c>
      <c r="F304" s="9">
        <f t="shared" si="104"/>
        <v>6</v>
      </c>
      <c r="G304" s="9" t="str">
        <f t="shared" si="105"/>
        <v>ACHIEVED</v>
      </c>
      <c r="H304" s="3" t="s">
        <v>641</v>
      </c>
      <c r="I304" s="3" t="s">
        <v>648</v>
      </c>
      <c r="J304" s="3" t="s">
        <v>662</v>
      </c>
      <c r="K304" s="13" t="str">
        <f t="shared" si="106"/>
        <v>Asia &gt; India &gt; Bengaluru</v>
      </c>
      <c r="L304" s="3" t="s">
        <v>700</v>
      </c>
      <c r="M304" s="3" t="s">
        <v>705</v>
      </c>
      <c r="N304" s="13" t="str">
        <f t="shared" si="93"/>
        <v>Direct</v>
      </c>
      <c r="O304" s="3" t="s">
        <v>707</v>
      </c>
      <c r="P304" s="3" t="s">
        <v>724</v>
      </c>
      <c r="Q304" s="13" t="str">
        <f t="shared" si="94"/>
        <v>High</v>
      </c>
      <c r="R304" s="3" t="s">
        <v>1155</v>
      </c>
      <c r="S304" s="7">
        <v>935.98</v>
      </c>
      <c r="T304" s="7">
        <f t="shared" si="107"/>
        <v>1076.377</v>
      </c>
      <c r="U304" s="7">
        <v>2077.69</v>
      </c>
      <c r="V304" s="7">
        <f t="shared" si="95"/>
        <v>2077.69</v>
      </c>
      <c r="W304" s="7">
        <f t="shared" si="108"/>
        <v>2389.3434999999999</v>
      </c>
      <c r="X304" s="16">
        <v>0.17499999999999999</v>
      </c>
      <c r="Y304" t="str">
        <f t="shared" si="96"/>
        <v>OK</v>
      </c>
      <c r="Z304" s="16">
        <f t="shared" si="97"/>
        <v>0.17499999999999999</v>
      </c>
      <c r="AA304" s="16">
        <f t="shared" si="109"/>
        <v>0.17499999999999999</v>
      </c>
      <c r="AB304" s="9">
        <v>24</v>
      </c>
      <c r="AC304" s="9">
        <f t="shared" si="110"/>
        <v>28.799999999999997</v>
      </c>
      <c r="AD304" s="9">
        <f t="shared" si="98"/>
        <v>41138.261999999995</v>
      </c>
      <c r="AE304" s="9">
        <f t="shared" si="111"/>
        <v>80855.384040000004</v>
      </c>
      <c r="AF304" s="9">
        <f t="shared" si="99"/>
        <v>22463.52</v>
      </c>
      <c r="AG304" s="9">
        <f t="shared" si="100"/>
        <v>18674.741999999995</v>
      </c>
      <c r="AH304" s="9">
        <f t="shared" si="112"/>
        <v>58391.86404</v>
      </c>
      <c r="AI304">
        <f t="shared" si="101"/>
        <v>0.45395067978321491</v>
      </c>
      <c r="AJ304" s="5">
        <f t="shared" si="102"/>
        <v>44928</v>
      </c>
      <c r="AK304" t="str">
        <f t="shared" si="103"/>
        <v>Jan-2023</v>
      </c>
      <c r="AL304">
        <v>0</v>
      </c>
      <c r="AM304">
        <v>0</v>
      </c>
      <c r="AN304">
        <v>0</v>
      </c>
    </row>
    <row r="305" spans="1:40" x14ac:dyDescent="0.45">
      <c r="A305" s="3" t="s">
        <v>444</v>
      </c>
      <c r="B305" s="5">
        <v>45650</v>
      </c>
      <c r="C305" s="9" t="str">
        <f t="shared" si="91"/>
        <v>Dec-2024</v>
      </c>
      <c r="D305" s="5" t="str">
        <f t="shared" si="92"/>
        <v>2024-Q4</v>
      </c>
      <c r="E305" s="5">
        <v>45670</v>
      </c>
      <c r="F305" s="9">
        <f t="shared" si="104"/>
        <v>20</v>
      </c>
      <c r="G305" s="9" t="str">
        <f t="shared" si="105"/>
        <v>NOT ACHIEVED</v>
      </c>
      <c r="H305" s="3" t="s">
        <v>641</v>
      </c>
      <c r="I305" s="3" t="s">
        <v>648</v>
      </c>
      <c r="J305" s="3" t="s">
        <v>662</v>
      </c>
      <c r="K305" s="13" t="str">
        <f t="shared" si="106"/>
        <v>Asia &gt; India &gt; Bengaluru</v>
      </c>
      <c r="L305" s="3" t="s">
        <v>695</v>
      </c>
      <c r="M305" s="3" t="s">
        <v>703</v>
      </c>
      <c r="N305" s="13" t="str">
        <f t="shared" si="93"/>
        <v>Marketplace</v>
      </c>
      <c r="O305" s="3" t="s">
        <v>720</v>
      </c>
      <c r="P305" s="3" t="s">
        <v>723</v>
      </c>
      <c r="Q305" s="13" t="str">
        <f t="shared" si="94"/>
        <v>Low</v>
      </c>
      <c r="R305" s="3" t="s">
        <v>1162</v>
      </c>
      <c r="S305" s="7">
        <v>126.15</v>
      </c>
      <c r="T305" s="7">
        <f t="shared" si="107"/>
        <v>145.07249999999999</v>
      </c>
      <c r="U305" s="7">
        <v>284.23</v>
      </c>
      <c r="V305" s="7">
        <f t="shared" si="95"/>
        <v>284.23</v>
      </c>
      <c r="W305" s="7">
        <f t="shared" si="108"/>
        <v>326.86450000000002</v>
      </c>
      <c r="X305" s="16">
        <v>0.113</v>
      </c>
      <c r="Y305" t="str">
        <f t="shared" si="96"/>
        <v>OK</v>
      </c>
      <c r="Z305" s="16">
        <f t="shared" si="97"/>
        <v>0.113</v>
      </c>
      <c r="AA305" s="16">
        <f t="shared" si="109"/>
        <v>0.113</v>
      </c>
      <c r="AB305" s="9">
        <v>22</v>
      </c>
      <c r="AC305" s="9">
        <f t="shared" si="110"/>
        <v>26.4</v>
      </c>
      <c r="AD305" s="9">
        <f t="shared" si="98"/>
        <v>5546.4642200000008</v>
      </c>
      <c r="AE305" s="9">
        <f t="shared" si="111"/>
        <v>9604.3249763999993</v>
      </c>
      <c r="AF305" s="9">
        <f t="shared" si="99"/>
        <v>2775.3</v>
      </c>
      <c r="AG305" s="9">
        <f t="shared" si="100"/>
        <v>2771.1642200000006</v>
      </c>
      <c r="AH305" s="9">
        <f t="shared" si="112"/>
        <v>6829.0249763999991</v>
      </c>
      <c r="AI305">
        <f t="shared" si="101"/>
        <v>0.49962716968541088</v>
      </c>
      <c r="AJ305" s="5">
        <f t="shared" si="102"/>
        <v>44928</v>
      </c>
      <c r="AK305" t="str">
        <f t="shared" si="103"/>
        <v>Jan-2023</v>
      </c>
      <c r="AL305">
        <v>0</v>
      </c>
      <c r="AM305">
        <v>0</v>
      </c>
      <c r="AN305">
        <v>0</v>
      </c>
    </row>
    <row r="306" spans="1:40" x14ac:dyDescent="0.45">
      <c r="A306" s="3" t="s">
        <v>449</v>
      </c>
      <c r="B306" s="5">
        <v>45374</v>
      </c>
      <c r="C306" s="9" t="str">
        <f t="shared" si="91"/>
        <v>Mar-2024</v>
      </c>
      <c r="D306" s="5" t="str">
        <f t="shared" si="92"/>
        <v>2024-Q1</v>
      </c>
      <c r="E306" s="5">
        <v>45377</v>
      </c>
      <c r="F306" s="9">
        <f t="shared" si="104"/>
        <v>3</v>
      </c>
      <c r="G306" s="9" t="str">
        <f t="shared" si="105"/>
        <v>ACHIEVED</v>
      </c>
      <c r="H306" s="3" t="s">
        <v>641</v>
      </c>
      <c r="I306" s="3" t="s">
        <v>648</v>
      </c>
      <c r="J306" s="3" t="s">
        <v>662</v>
      </c>
      <c r="K306" s="13" t="str">
        <f t="shared" si="106"/>
        <v>Asia &gt; India &gt; Bengaluru</v>
      </c>
      <c r="L306" s="3" t="s">
        <v>696</v>
      </c>
      <c r="M306" s="3" t="s">
        <v>705</v>
      </c>
      <c r="N306" s="13" t="str">
        <f t="shared" si="93"/>
        <v>Direct</v>
      </c>
      <c r="O306" s="3" t="s">
        <v>709</v>
      </c>
      <c r="P306" s="3" t="s">
        <v>724</v>
      </c>
      <c r="Q306" s="13" t="str">
        <f t="shared" si="94"/>
        <v>Low</v>
      </c>
      <c r="R306" s="3" t="s">
        <v>1167</v>
      </c>
      <c r="S306" s="7">
        <v>382.21</v>
      </c>
      <c r="T306" s="7">
        <f t="shared" si="107"/>
        <v>439.54149999999993</v>
      </c>
      <c r="U306" s="7">
        <v>571.89</v>
      </c>
      <c r="V306" s="7">
        <f t="shared" si="95"/>
        <v>571.89</v>
      </c>
      <c r="W306" s="7">
        <f t="shared" si="108"/>
        <v>657.67349999999999</v>
      </c>
      <c r="X306" s="16">
        <v>0.14799999999999999</v>
      </c>
      <c r="Y306" t="str">
        <f t="shared" si="96"/>
        <v>OK</v>
      </c>
      <c r="Z306" s="16">
        <f t="shared" si="97"/>
        <v>0.14799999999999999</v>
      </c>
      <c r="AA306" s="16">
        <f t="shared" si="109"/>
        <v>0.14799999999999999</v>
      </c>
      <c r="AB306" s="9">
        <v>26</v>
      </c>
      <c r="AC306" s="9">
        <f t="shared" si="110"/>
        <v>31.2</v>
      </c>
      <c r="AD306" s="9">
        <f t="shared" si="98"/>
        <v>12668.50728</v>
      </c>
      <c r="AE306" s="9">
        <f t="shared" si="111"/>
        <v>23556.286353599997</v>
      </c>
      <c r="AF306" s="9">
        <f t="shared" si="99"/>
        <v>9937.4599999999991</v>
      </c>
      <c r="AG306" s="9">
        <f t="shared" si="100"/>
        <v>2731.0472800000007</v>
      </c>
      <c r="AH306" s="9">
        <f t="shared" si="112"/>
        <v>13618.826353599998</v>
      </c>
      <c r="AI306">
        <f t="shared" si="101"/>
        <v>0.2155776698578809</v>
      </c>
      <c r="AJ306" s="5">
        <f t="shared" si="102"/>
        <v>44928</v>
      </c>
      <c r="AK306" t="str">
        <f t="shared" si="103"/>
        <v>Jan-2023</v>
      </c>
      <c r="AL306">
        <v>0</v>
      </c>
      <c r="AM306">
        <v>0</v>
      </c>
      <c r="AN306">
        <v>0</v>
      </c>
    </row>
    <row r="307" spans="1:40" x14ac:dyDescent="0.45">
      <c r="A307" s="3" t="s">
        <v>450</v>
      </c>
      <c r="B307" s="5">
        <v>45189</v>
      </c>
      <c r="C307" s="9" t="str">
        <f t="shared" si="91"/>
        <v>Sep-2023</v>
      </c>
      <c r="D307" s="5" t="str">
        <f t="shared" si="92"/>
        <v>2023-Q3</v>
      </c>
      <c r="E307" s="5">
        <v>45197</v>
      </c>
      <c r="F307" s="9">
        <f t="shared" si="104"/>
        <v>8</v>
      </c>
      <c r="G307" s="9" t="str">
        <f t="shared" si="105"/>
        <v>NOT ACHIEVED</v>
      </c>
      <c r="H307" s="3" t="s">
        <v>641</v>
      </c>
      <c r="I307" s="3" t="s">
        <v>648</v>
      </c>
      <c r="J307" s="3" t="s">
        <v>1444</v>
      </c>
      <c r="K307" s="13" t="str">
        <f t="shared" si="106"/>
        <v>Asia &gt; India &gt; Unkown</v>
      </c>
      <c r="L307" s="3" t="s">
        <v>695</v>
      </c>
      <c r="M307" s="3">
        <v>0</v>
      </c>
      <c r="N307" s="13">
        <f t="shared" si="93"/>
        <v>0</v>
      </c>
      <c r="O307" s="3" t="s">
        <v>711</v>
      </c>
      <c r="P307" s="3" t="s">
        <v>727</v>
      </c>
      <c r="Q307" s="13" t="str">
        <f t="shared" si="94"/>
        <v>High</v>
      </c>
      <c r="R307" s="3" t="s">
        <v>1168</v>
      </c>
      <c r="S307" s="7">
        <v>1362.06</v>
      </c>
      <c r="T307" s="7">
        <f t="shared" si="107"/>
        <v>1566.3689999999999</v>
      </c>
      <c r="U307" s="7">
        <v>3398.37</v>
      </c>
      <c r="V307" s="7">
        <f t="shared" si="95"/>
        <v>3398.37</v>
      </c>
      <c r="W307" s="7">
        <f t="shared" si="108"/>
        <v>3908.1254999999996</v>
      </c>
      <c r="X307" s="16">
        <v>0.157</v>
      </c>
      <c r="Y307" t="str">
        <f t="shared" si="96"/>
        <v>OK</v>
      </c>
      <c r="Z307" s="16">
        <f t="shared" si="97"/>
        <v>0.157</v>
      </c>
      <c r="AA307" s="16">
        <f t="shared" si="109"/>
        <v>0.157</v>
      </c>
      <c r="AB307" s="9">
        <v>11</v>
      </c>
      <c r="AC307" s="9">
        <f t="shared" si="110"/>
        <v>13.2</v>
      </c>
      <c r="AD307" s="9">
        <f t="shared" si="98"/>
        <v>31513.085009999999</v>
      </c>
      <c r="AE307" s="9">
        <f t="shared" si="111"/>
        <v>59686.45588619999</v>
      </c>
      <c r="AF307" s="9">
        <f t="shared" si="99"/>
        <v>14982.66</v>
      </c>
      <c r="AG307" s="9">
        <f t="shared" si="100"/>
        <v>16530.425009999999</v>
      </c>
      <c r="AH307" s="9">
        <f t="shared" si="112"/>
        <v>44703.795886199994</v>
      </c>
      <c r="AI307">
        <f t="shared" si="101"/>
        <v>0.52455749745714919</v>
      </c>
      <c r="AJ307" s="5">
        <f t="shared" si="102"/>
        <v>44928</v>
      </c>
      <c r="AK307" t="str">
        <f t="shared" si="103"/>
        <v>Jan-2023</v>
      </c>
      <c r="AL307">
        <v>0</v>
      </c>
      <c r="AM307">
        <v>0</v>
      </c>
      <c r="AN307">
        <v>0</v>
      </c>
    </row>
    <row r="308" spans="1:40" x14ac:dyDescent="0.45">
      <c r="A308" s="3" t="s">
        <v>458</v>
      </c>
      <c r="B308" s="5">
        <v>45129</v>
      </c>
      <c r="C308" s="9" t="str">
        <f t="shared" si="91"/>
        <v>Jul-2023</v>
      </c>
      <c r="D308" s="5" t="str">
        <f t="shared" si="92"/>
        <v>2023-Q3</v>
      </c>
      <c r="E308" s="5">
        <v>45134</v>
      </c>
      <c r="F308" s="9">
        <f t="shared" si="104"/>
        <v>5</v>
      </c>
      <c r="G308" s="9" t="str">
        <f t="shared" si="105"/>
        <v>ACHIEVED</v>
      </c>
      <c r="H308" s="3" t="s">
        <v>641</v>
      </c>
      <c r="I308" s="3" t="s">
        <v>648</v>
      </c>
      <c r="J308" s="3" t="s">
        <v>674</v>
      </c>
      <c r="K308" s="13" t="str">
        <f t="shared" si="106"/>
        <v>Asia &gt; India &gt; Delhi</v>
      </c>
      <c r="L308" s="3" t="s">
        <v>699</v>
      </c>
      <c r="M308" s="3" t="s">
        <v>704</v>
      </c>
      <c r="N308" s="13" t="str">
        <f t="shared" si="93"/>
        <v>Distributor</v>
      </c>
      <c r="O308" s="3" t="s">
        <v>712</v>
      </c>
      <c r="P308" s="3" t="s">
        <v>722</v>
      </c>
      <c r="Q308" s="13" t="str">
        <f t="shared" si="94"/>
        <v>High</v>
      </c>
      <c r="R308" s="3" t="s">
        <v>1176</v>
      </c>
      <c r="S308" s="7">
        <v>946.99</v>
      </c>
      <c r="T308" s="7">
        <f t="shared" si="107"/>
        <v>1089.0384999999999</v>
      </c>
      <c r="U308" s="7">
        <v>2132.19</v>
      </c>
      <c r="V308" s="7">
        <f t="shared" si="95"/>
        <v>2132.19</v>
      </c>
      <c r="W308" s="7">
        <f t="shared" si="108"/>
        <v>2452.0184999999997</v>
      </c>
      <c r="X308" s="16">
        <v>0.16500000000000001</v>
      </c>
      <c r="Y308" t="str">
        <f t="shared" si="96"/>
        <v>OK</v>
      </c>
      <c r="Z308" s="16">
        <f t="shared" si="97"/>
        <v>0.16500000000000001</v>
      </c>
      <c r="AA308" s="16">
        <f t="shared" si="109"/>
        <v>0.16500000000000001</v>
      </c>
      <c r="AB308" s="9">
        <v>7</v>
      </c>
      <c r="AC308" s="9">
        <f t="shared" si="110"/>
        <v>8.4</v>
      </c>
      <c r="AD308" s="9">
        <f t="shared" si="98"/>
        <v>12462.65055</v>
      </c>
      <c r="AE308" s="9">
        <f t="shared" si="111"/>
        <v>23995.453041000001</v>
      </c>
      <c r="AF308" s="9">
        <f t="shared" si="99"/>
        <v>6628.93</v>
      </c>
      <c r="AG308" s="9">
        <f t="shared" si="100"/>
        <v>5833.72055</v>
      </c>
      <c r="AH308" s="9">
        <f t="shared" si="112"/>
        <v>17366.523041</v>
      </c>
      <c r="AI308">
        <f t="shared" si="101"/>
        <v>0.46809629513362228</v>
      </c>
      <c r="AJ308" s="5">
        <f t="shared" si="102"/>
        <v>44928</v>
      </c>
      <c r="AK308" t="str">
        <f t="shared" si="103"/>
        <v>Jan-2023</v>
      </c>
      <c r="AL308">
        <v>0</v>
      </c>
      <c r="AM308">
        <v>0</v>
      </c>
      <c r="AN308">
        <v>0</v>
      </c>
    </row>
    <row r="309" spans="1:40" x14ac:dyDescent="0.45">
      <c r="A309" s="3" t="s">
        <v>460</v>
      </c>
      <c r="B309" s="5">
        <v>45413</v>
      </c>
      <c r="C309" s="9" t="str">
        <f t="shared" si="91"/>
        <v>May-2024</v>
      </c>
      <c r="D309" s="5" t="str">
        <f t="shared" si="92"/>
        <v>2024-Q2</v>
      </c>
      <c r="E309" s="5">
        <v>45428</v>
      </c>
      <c r="F309" s="9">
        <f t="shared" si="104"/>
        <v>15</v>
      </c>
      <c r="G309" s="9" t="str">
        <f t="shared" si="105"/>
        <v>NOT ACHIEVED</v>
      </c>
      <c r="H309" s="3" t="s">
        <v>641</v>
      </c>
      <c r="I309" s="3" t="s">
        <v>648</v>
      </c>
      <c r="J309" s="3" t="s">
        <v>662</v>
      </c>
      <c r="K309" s="13" t="str">
        <f t="shared" si="106"/>
        <v>Asia &gt; India &gt; Bengaluru</v>
      </c>
      <c r="L309" s="3" t="s">
        <v>699</v>
      </c>
      <c r="M309" s="3" t="s">
        <v>701</v>
      </c>
      <c r="N309" s="13" t="str">
        <f t="shared" si="93"/>
        <v>Retail</v>
      </c>
      <c r="O309" s="3" t="s">
        <v>710</v>
      </c>
      <c r="P309" s="3" t="s">
        <v>721</v>
      </c>
      <c r="Q309" s="13" t="str">
        <f t="shared" si="94"/>
        <v>High</v>
      </c>
      <c r="R309" s="3" t="s">
        <v>1178</v>
      </c>
      <c r="S309" s="7">
        <v>901.19</v>
      </c>
      <c r="T309" s="7">
        <f t="shared" si="107"/>
        <v>1036.3685</v>
      </c>
      <c r="U309" s="7">
        <v>2125.44</v>
      </c>
      <c r="V309" s="7">
        <f t="shared" si="95"/>
        <v>2125.44</v>
      </c>
      <c r="W309" s="7">
        <f t="shared" si="108"/>
        <v>2444.2559999999999</v>
      </c>
      <c r="X309" s="16">
        <v>7.0999999999999994E-2</v>
      </c>
      <c r="Y309" t="str">
        <f t="shared" si="96"/>
        <v>OK</v>
      </c>
      <c r="Z309" s="16">
        <f t="shared" si="97"/>
        <v>7.0999999999999994E-2</v>
      </c>
      <c r="AA309" s="16">
        <f t="shared" si="109"/>
        <v>7.0999999999999994E-2</v>
      </c>
      <c r="AB309" s="9">
        <v>12</v>
      </c>
      <c r="AC309" s="9">
        <f t="shared" si="110"/>
        <v>14.399999999999999</v>
      </c>
      <c r="AD309" s="9">
        <f t="shared" si="98"/>
        <v>23694.405119999999</v>
      </c>
      <c r="AE309" s="9">
        <f t="shared" si="111"/>
        <v>37696.293734399995</v>
      </c>
      <c r="AF309" s="9">
        <f t="shared" si="99"/>
        <v>10814.28</v>
      </c>
      <c r="AG309" s="9">
        <f t="shared" si="100"/>
        <v>12880.125119999999</v>
      </c>
      <c r="AH309" s="9">
        <f t="shared" si="112"/>
        <v>26882.013734399996</v>
      </c>
      <c r="AI309">
        <f t="shared" si="101"/>
        <v>0.54359352154100415</v>
      </c>
      <c r="AJ309" s="5">
        <f t="shared" si="102"/>
        <v>44928</v>
      </c>
      <c r="AK309" t="str">
        <f t="shared" si="103"/>
        <v>Jan-2023</v>
      </c>
      <c r="AL309">
        <v>0</v>
      </c>
      <c r="AM309">
        <v>0</v>
      </c>
      <c r="AN309">
        <v>0</v>
      </c>
    </row>
    <row r="310" spans="1:40" x14ac:dyDescent="0.45">
      <c r="A310" s="3" t="s">
        <v>475</v>
      </c>
      <c r="B310" s="5">
        <v>45278</v>
      </c>
      <c r="C310" s="9" t="str">
        <f t="shared" si="91"/>
        <v>Dec-2023</v>
      </c>
      <c r="D310" s="5" t="str">
        <f t="shared" si="92"/>
        <v>2023-Q4</v>
      </c>
      <c r="E310" s="5">
        <v>45305</v>
      </c>
      <c r="F310" s="9">
        <f t="shared" si="104"/>
        <v>27</v>
      </c>
      <c r="G310" s="9" t="str">
        <f t="shared" si="105"/>
        <v>NOT ACHIEVED</v>
      </c>
      <c r="H310" s="3" t="s">
        <v>641</v>
      </c>
      <c r="I310" s="3" t="s">
        <v>648</v>
      </c>
      <c r="J310" s="3" t="s">
        <v>685</v>
      </c>
      <c r="K310" s="13" t="str">
        <f t="shared" si="106"/>
        <v>Asia &gt; India &gt; Mumbai</v>
      </c>
      <c r="L310" s="3" t="s">
        <v>698</v>
      </c>
      <c r="M310" s="3" t="s">
        <v>704</v>
      </c>
      <c r="N310" s="13" t="str">
        <f t="shared" si="93"/>
        <v>Distributor</v>
      </c>
      <c r="O310" s="3" t="s">
        <v>720</v>
      </c>
      <c r="P310" s="3" t="s">
        <v>723</v>
      </c>
      <c r="Q310" s="13" t="str">
        <f t="shared" si="94"/>
        <v>High</v>
      </c>
      <c r="R310" s="3" t="s">
        <v>1193</v>
      </c>
      <c r="S310" s="7">
        <v>1408.3</v>
      </c>
      <c r="T310" s="7">
        <f t="shared" si="107"/>
        <v>1619.5449999999998</v>
      </c>
      <c r="U310" s="7">
        <v>2193.13</v>
      </c>
      <c r="V310" s="7">
        <f t="shared" si="95"/>
        <v>2193.13</v>
      </c>
      <c r="W310" s="7">
        <f t="shared" si="108"/>
        <v>2522.0994999999998</v>
      </c>
      <c r="X310" s="16">
        <v>7.0999999999999994E-2</v>
      </c>
      <c r="Y310" t="str">
        <f t="shared" si="96"/>
        <v>OK</v>
      </c>
      <c r="Z310" s="16">
        <f t="shared" si="97"/>
        <v>7.0999999999999994E-2</v>
      </c>
      <c r="AA310" s="16">
        <f t="shared" si="109"/>
        <v>7.0999999999999994E-2</v>
      </c>
      <c r="AB310" s="9">
        <v>7</v>
      </c>
      <c r="AC310" s="9">
        <f t="shared" si="110"/>
        <v>8.4</v>
      </c>
      <c r="AD310" s="9">
        <f t="shared" si="98"/>
        <v>14261.92439</v>
      </c>
      <c r="AE310" s="9">
        <f t="shared" si="111"/>
        <v>22689.8159418</v>
      </c>
      <c r="AF310" s="9">
        <f t="shared" si="99"/>
        <v>9858.1</v>
      </c>
      <c r="AG310" s="9">
        <f t="shared" si="100"/>
        <v>4403.8243899999998</v>
      </c>
      <c r="AH310" s="9">
        <f t="shared" si="112"/>
        <v>12831.715941799999</v>
      </c>
      <c r="AI310">
        <f t="shared" si="101"/>
        <v>0.30878191957656281</v>
      </c>
      <c r="AJ310" s="5">
        <f t="shared" si="102"/>
        <v>44928</v>
      </c>
      <c r="AK310" t="str">
        <f t="shared" si="103"/>
        <v>Jan-2023</v>
      </c>
      <c r="AL310">
        <v>0</v>
      </c>
      <c r="AM310">
        <v>0</v>
      </c>
      <c r="AN310">
        <v>0</v>
      </c>
    </row>
    <row r="311" spans="1:40" x14ac:dyDescent="0.45">
      <c r="A311" s="3" t="s">
        <v>502</v>
      </c>
      <c r="B311" s="5">
        <v>45439</v>
      </c>
      <c r="C311" s="9" t="str">
        <f t="shared" si="91"/>
        <v>May-2024</v>
      </c>
      <c r="D311" s="5" t="str">
        <f t="shared" si="92"/>
        <v>2024-Q2</v>
      </c>
      <c r="E311" s="5">
        <v>45460</v>
      </c>
      <c r="F311" s="9">
        <f t="shared" si="104"/>
        <v>21</v>
      </c>
      <c r="G311" s="9" t="str">
        <f t="shared" si="105"/>
        <v>NOT ACHIEVED</v>
      </c>
      <c r="H311" s="3" t="s">
        <v>641</v>
      </c>
      <c r="I311" s="3" t="s">
        <v>648</v>
      </c>
      <c r="J311" s="3" t="s">
        <v>674</v>
      </c>
      <c r="K311" s="13" t="str">
        <f t="shared" si="106"/>
        <v>Asia &gt; India &gt; Delhi</v>
      </c>
      <c r="L311" s="3" t="s">
        <v>699</v>
      </c>
      <c r="M311" s="3" t="s">
        <v>702</v>
      </c>
      <c r="N311" s="13" t="str">
        <f t="shared" si="93"/>
        <v>Online</v>
      </c>
      <c r="O311" s="3" t="s">
        <v>716</v>
      </c>
      <c r="P311" s="3" t="s">
        <v>727</v>
      </c>
      <c r="Q311" s="13" t="str">
        <f t="shared" si="94"/>
        <v>Low</v>
      </c>
      <c r="R311" s="3" t="s">
        <v>1220</v>
      </c>
      <c r="S311" s="7">
        <v>465.02</v>
      </c>
      <c r="T311" s="7">
        <f t="shared" si="107"/>
        <v>534.77299999999991</v>
      </c>
      <c r="U311" s="7">
        <v>651.55999999999995</v>
      </c>
      <c r="V311" s="7">
        <f t="shared" si="95"/>
        <v>651.55999999999995</v>
      </c>
      <c r="W311" s="7">
        <f t="shared" si="108"/>
        <v>749.29399999999987</v>
      </c>
      <c r="X311" s="16">
        <v>4.2000000000000003E-2</v>
      </c>
      <c r="Y311" t="str">
        <f t="shared" si="96"/>
        <v>OK</v>
      </c>
      <c r="Z311" s="16">
        <f t="shared" si="97"/>
        <v>4.2000000000000003E-2</v>
      </c>
      <c r="AA311" s="16">
        <f t="shared" si="109"/>
        <v>4.2000000000000003E-2</v>
      </c>
      <c r="AB311" s="9">
        <v>19</v>
      </c>
      <c r="AC311" s="9">
        <f t="shared" si="110"/>
        <v>22.8</v>
      </c>
      <c r="AD311" s="9">
        <f t="shared" si="98"/>
        <v>11859.695119999998</v>
      </c>
      <c r="AE311" s="9">
        <f t="shared" si="111"/>
        <v>17801.427134399997</v>
      </c>
      <c r="AF311" s="9">
        <f t="shared" si="99"/>
        <v>8835.3799999999992</v>
      </c>
      <c r="AG311" s="9">
        <f t="shared" si="100"/>
        <v>3024.3151199999993</v>
      </c>
      <c r="AH311" s="9">
        <f t="shared" si="112"/>
        <v>8966.047134399998</v>
      </c>
      <c r="AI311">
        <f t="shared" si="101"/>
        <v>0.25500783025187918</v>
      </c>
      <c r="AJ311" s="5">
        <f t="shared" si="102"/>
        <v>44928</v>
      </c>
      <c r="AK311" t="str">
        <f t="shared" si="103"/>
        <v>Jan-2023</v>
      </c>
      <c r="AL311">
        <v>0</v>
      </c>
      <c r="AM311">
        <v>0</v>
      </c>
      <c r="AN311">
        <v>0</v>
      </c>
    </row>
    <row r="312" spans="1:40" x14ac:dyDescent="0.45">
      <c r="A312" s="3" t="s">
        <v>508</v>
      </c>
      <c r="B312" s="5">
        <v>45048</v>
      </c>
      <c r="C312" s="9" t="str">
        <f t="shared" si="91"/>
        <v>May-2023</v>
      </c>
      <c r="D312" s="5" t="str">
        <f t="shared" si="92"/>
        <v>2023-Q2</v>
      </c>
      <c r="E312" s="5">
        <v>45062</v>
      </c>
      <c r="F312" s="9">
        <f t="shared" si="104"/>
        <v>14</v>
      </c>
      <c r="G312" s="9" t="str">
        <f t="shared" si="105"/>
        <v>NOT ACHIEVED</v>
      </c>
      <c r="H312" s="3" t="s">
        <v>641</v>
      </c>
      <c r="I312" s="3" t="s">
        <v>648</v>
      </c>
      <c r="J312" s="3" t="s">
        <v>662</v>
      </c>
      <c r="K312" s="13" t="str">
        <f t="shared" si="106"/>
        <v>Asia &gt; India &gt; Bengaluru</v>
      </c>
      <c r="L312" s="3" t="s">
        <v>697</v>
      </c>
      <c r="M312" s="3" t="s">
        <v>701</v>
      </c>
      <c r="N312" s="13" t="str">
        <f t="shared" si="93"/>
        <v>Retail</v>
      </c>
      <c r="O312" s="3" t="s">
        <v>710</v>
      </c>
      <c r="P312" s="3" t="s">
        <v>726</v>
      </c>
      <c r="Q312" s="13" t="str">
        <f t="shared" si="94"/>
        <v>Medium</v>
      </c>
      <c r="R312" s="3" t="s">
        <v>1226</v>
      </c>
      <c r="S312" s="7">
        <v>475.37</v>
      </c>
      <c r="T312" s="7">
        <f t="shared" si="107"/>
        <v>546.67549999999994</v>
      </c>
      <c r="U312" s="7">
        <v>963.73</v>
      </c>
      <c r="V312" s="7">
        <f t="shared" si="95"/>
        <v>963.73</v>
      </c>
      <c r="W312" s="7">
        <f t="shared" si="108"/>
        <v>1108.2894999999999</v>
      </c>
      <c r="X312" s="16">
        <v>4.1000000000000002E-2</v>
      </c>
      <c r="Y312" t="str">
        <f t="shared" si="96"/>
        <v>OK</v>
      </c>
      <c r="Z312" s="16">
        <f t="shared" si="97"/>
        <v>4.1000000000000002E-2</v>
      </c>
      <c r="AA312" s="16">
        <f t="shared" si="109"/>
        <v>4.1000000000000002E-2</v>
      </c>
      <c r="AB312" s="9">
        <v>22</v>
      </c>
      <c r="AC312" s="9">
        <f t="shared" si="110"/>
        <v>26.4</v>
      </c>
      <c r="AD312" s="9">
        <f t="shared" si="98"/>
        <v>20332.775539999999</v>
      </c>
      <c r="AE312" s="9">
        <f t="shared" si="111"/>
        <v>30458.455354799993</v>
      </c>
      <c r="AF312" s="9">
        <f t="shared" si="99"/>
        <v>10458.14</v>
      </c>
      <c r="AG312" s="9">
        <f t="shared" si="100"/>
        <v>9874.6355399999993</v>
      </c>
      <c r="AH312" s="9">
        <f t="shared" si="112"/>
        <v>20000.315354799994</v>
      </c>
      <c r="AI312">
        <f t="shared" si="101"/>
        <v>0.48565113604750881</v>
      </c>
      <c r="AJ312" s="5">
        <f t="shared" si="102"/>
        <v>44928</v>
      </c>
      <c r="AK312" t="str">
        <f t="shared" si="103"/>
        <v>Jan-2023</v>
      </c>
      <c r="AL312">
        <v>0</v>
      </c>
      <c r="AM312">
        <v>0</v>
      </c>
      <c r="AN312">
        <v>0</v>
      </c>
    </row>
    <row r="313" spans="1:40" x14ac:dyDescent="0.45">
      <c r="A313" s="3" t="s">
        <v>517</v>
      </c>
      <c r="B313" s="5">
        <v>45608</v>
      </c>
      <c r="C313" s="9" t="str">
        <f t="shared" si="91"/>
        <v>Nov-2024</v>
      </c>
      <c r="D313" s="5" t="str">
        <f t="shared" si="92"/>
        <v>2024-Q4</v>
      </c>
      <c r="E313" s="5">
        <v>45617</v>
      </c>
      <c r="F313" s="9">
        <f t="shared" si="104"/>
        <v>9</v>
      </c>
      <c r="G313" s="9" t="str">
        <f t="shared" si="105"/>
        <v>NOT ACHIEVED</v>
      </c>
      <c r="H313" s="3" t="s">
        <v>641</v>
      </c>
      <c r="I313" s="3" t="s">
        <v>648</v>
      </c>
      <c r="J313" s="3" t="s">
        <v>685</v>
      </c>
      <c r="K313" s="13" t="str">
        <f t="shared" si="106"/>
        <v>Asia &gt; India &gt; Mumbai</v>
      </c>
      <c r="L313" s="3" t="s">
        <v>695</v>
      </c>
      <c r="M313" s="3" t="s">
        <v>705</v>
      </c>
      <c r="N313" s="13" t="str">
        <f t="shared" si="93"/>
        <v>Direct</v>
      </c>
      <c r="O313" s="3" t="s">
        <v>716</v>
      </c>
      <c r="P313" s="3" t="s">
        <v>725</v>
      </c>
      <c r="Q313" s="13" t="str">
        <f t="shared" si="94"/>
        <v>High</v>
      </c>
      <c r="R313" s="3" t="s">
        <v>1235</v>
      </c>
      <c r="S313" s="7">
        <v>903.41</v>
      </c>
      <c r="T313" s="7">
        <f t="shared" si="107"/>
        <v>1038.9214999999999</v>
      </c>
      <c r="U313" s="7">
        <v>1860.41</v>
      </c>
      <c r="V313" s="7">
        <f t="shared" si="95"/>
        <v>1860.41</v>
      </c>
      <c r="W313" s="7">
        <f t="shared" si="108"/>
        <v>2139.4715000000001</v>
      </c>
      <c r="X313" s="16">
        <v>0.108</v>
      </c>
      <c r="Y313" t="str">
        <f t="shared" si="96"/>
        <v>OK</v>
      </c>
      <c r="Z313" s="16">
        <f t="shared" si="97"/>
        <v>0.108</v>
      </c>
      <c r="AA313" s="16">
        <f t="shared" si="109"/>
        <v>0.108</v>
      </c>
      <c r="AB313" s="9">
        <v>5</v>
      </c>
      <c r="AC313" s="9">
        <f t="shared" si="110"/>
        <v>6</v>
      </c>
      <c r="AD313" s="9">
        <f t="shared" si="98"/>
        <v>8297.4286000000011</v>
      </c>
      <c r="AE313" s="9">
        <f t="shared" si="111"/>
        <v>14223.206532000004</v>
      </c>
      <c r="AF313" s="9">
        <f t="shared" si="99"/>
        <v>4517.05</v>
      </c>
      <c r="AG313" s="9">
        <f t="shared" si="100"/>
        <v>3780.3786000000009</v>
      </c>
      <c r="AH313" s="9">
        <f t="shared" si="112"/>
        <v>9706.1565320000045</v>
      </c>
      <c r="AI313">
        <f t="shared" si="101"/>
        <v>0.455608451996803</v>
      </c>
      <c r="AJ313" s="5">
        <f t="shared" si="102"/>
        <v>44928</v>
      </c>
      <c r="AK313" t="str">
        <f t="shared" si="103"/>
        <v>Jan-2023</v>
      </c>
      <c r="AL313">
        <v>0</v>
      </c>
      <c r="AM313">
        <v>0</v>
      </c>
      <c r="AN313">
        <v>0</v>
      </c>
    </row>
    <row r="314" spans="1:40" x14ac:dyDescent="0.45">
      <c r="A314" s="3" t="s">
        <v>518</v>
      </c>
      <c r="B314" s="5">
        <v>45056</v>
      </c>
      <c r="C314" s="9" t="str">
        <f t="shared" si="91"/>
        <v>May-2023</v>
      </c>
      <c r="D314" s="5" t="str">
        <f t="shared" si="92"/>
        <v>2023-Q2</v>
      </c>
      <c r="E314" s="5">
        <v>45060</v>
      </c>
      <c r="F314" s="9">
        <f t="shared" si="104"/>
        <v>4</v>
      </c>
      <c r="G314" s="9" t="str">
        <f t="shared" si="105"/>
        <v>ACHIEVED</v>
      </c>
      <c r="H314" s="3" t="s">
        <v>641</v>
      </c>
      <c r="I314" s="3" t="s">
        <v>648</v>
      </c>
      <c r="J314" s="3" t="s">
        <v>674</v>
      </c>
      <c r="K314" s="13" t="str">
        <f t="shared" si="106"/>
        <v>Asia &gt; India &gt; Delhi</v>
      </c>
      <c r="L314" s="3" t="s">
        <v>697</v>
      </c>
      <c r="M314" s="3" t="s">
        <v>704</v>
      </c>
      <c r="N314" s="13" t="str">
        <f t="shared" si="93"/>
        <v>Distributor</v>
      </c>
      <c r="O314" s="3" t="s">
        <v>706</v>
      </c>
      <c r="P314" s="3" t="s">
        <v>726</v>
      </c>
      <c r="Q314" s="13" t="str">
        <f t="shared" si="94"/>
        <v>Medium</v>
      </c>
      <c r="R314" s="3" t="s">
        <v>1236</v>
      </c>
      <c r="S314" s="7">
        <v>622.6</v>
      </c>
      <c r="T314" s="7">
        <f t="shared" si="107"/>
        <v>715.99</v>
      </c>
      <c r="U314" s="7">
        <v>833.69</v>
      </c>
      <c r="V314" s="7">
        <f t="shared" si="95"/>
        <v>833.69</v>
      </c>
      <c r="W314" s="7">
        <f t="shared" si="108"/>
        <v>958.74350000000004</v>
      </c>
      <c r="X314" s="16">
        <v>0.20899999999999999</v>
      </c>
      <c r="Y314" t="str">
        <f t="shared" si="96"/>
        <v>OK</v>
      </c>
      <c r="Z314" s="16">
        <f t="shared" si="97"/>
        <v>0.20899999999999999</v>
      </c>
      <c r="AA314" s="16">
        <f t="shared" si="109"/>
        <v>0.20899999999999999</v>
      </c>
      <c r="AB314" s="9">
        <v>14</v>
      </c>
      <c r="AC314" s="9">
        <f t="shared" si="110"/>
        <v>16.8</v>
      </c>
      <c r="AD314" s="9">
        <f t="shared" si="98"/>
        <v>9232.2830599999998</v>
      </c>
      <c r="AE314" s="9">
        <f t="shared" si="111"/>
        <v>19473.230977200001</v>
      </c>
      <c r="AF314" s="9">
        <f t="shared" si="99"/>
        <v>8716.4</v>
      </c>
      <c r="AG314" s="9">
        <f t="shared" si="100"/>
        <v>515.88306000000011</v>
      </c>
      <c r="AH314" s="9">
        <f t="shared" si="112"/>
        <v>10756.830977200001</v>
      </c>
      <c r="AI314">
        <f t="shared" si="101"/>
        <v>5.5878167582959715E-2</v>
      </c>
      <c r="AJ314" s="5">
        <f t="shared" si="102"/>
        <v>44928</v>
      </c>
      <c r="AK314" t="str">
        <f t="shared" si="103"/>
        <v>Jan-2023</v>
      </c>
      <c r="AL314">
        <v>0</v>
      </c>
      <c r="AM314">
        <v>0</v>
      </c>
      <c r="AN314">
        <v>0</v>
      </c>
    </row>
    <row r="315" spans="1:40" x14ac:dyDescent="0.45">
      <c r="A315" s="3" t="s">
        <v>522</v>
      </c>
      <c r="B315" s="5">
        <v>45661</v>
      </c>
      <c r="C315" s="9" t="str">
        <f t="shared" si="91"/>
        <v>Jan-2025</v>
      </c>
      <c r="D315" s="5" t="str">
        <f t="shared" si="92"/>
        <v>2025-Q1</v>
      </c>
      <c r="E315" s="5">
        <v>45662</v>
      </c>
      <c r="F315" s="9">
        <f t="shared" si="104"/>
        <v>1</v>
      </c>
      <c r="G315" s="9" t="str">
        <f t="shared" si="105"/>
        <v>ACHIEVED</v>
      </c>
      <c r="H315" s="3" t="s">
        <v>641</v>
      </c>
      <c r="I315" s="3" t="s">
        <v>648</v>
      </c>
      <c r="J315" s="3" t="s">
        <v>674</v>
      </c>
      <c r="K315" s="13" t="str">
        <f t="shared" si="106"/>
        <v>Asia &gt; India &gt; Delhi</v>
      </c>
      <c r="L315" s="3" t="s">
        <v>696</v>
      </c>
      <c r="M315" s="3" t="s">
        <v>701</v>
      </c>
      <c r="N315" s="13" t="str">
        <f t="shared" si="93"/>
        <v>Retail</v>
      </c>
      <c r="O315" s="3" t="s">
        <v>708</v>
      </c>
      <c r="P315" s="3" t="s">
        <v>721</v>
      </c>
      <c r="Q315" s="13" t="str">
        <f t="shared" si="94"/>
        <v>High</v>
      </c>
      <c r="R315" s="3" t="s">
        <v>1240</v>
      </c>
      <c r="S315" s="7">
        <v>1428.33</v>
      </c>
      <c r="T315" s="7">
        <f t="shared" si="107"/>
        <v>1642.5794999999998</v>
      </c>
      <c r="U315" s="7">
        <v>3028.05</v>
      </c>
      <c r="V315" s="7">
        <f t="shared" si="95"/>
        <v>3028.05</v>
      </c>
      <c r="W315" s="7">
        <f t="shared" si="108"/>
        <v>3482.2575000000002</v>
      </c>
      <c r="X315" s="16">
        <v>0</v>
      </c>
      <c r="Y315" t="str">
        <f t="shared" si="96"/>
        <v>OK</v>
      </c>
      <c r="Z315" s="16">
        <f t="shared" si="97"/>
        <v>0</v>
      </c>
      <c r="AA315" s="16">
        <f t="shared" si="109"/>
        <v>0</v>
      </c>
      <c r="AB315" s="9">
        <v>11</v>
      </c>
      <c r="AC315" s="9">
        <f t="shared" si="110"/>
        <v>13.2</v>
      </c>
      <c r="AD315" s="9">
        <f t="shared" si="98"/>
        <v>33308.550000000003</v>
      </c>
      <c r="AE315" s="9">
        <f t="shared" si="111"/>
        <v>45965.798999999999</v>
      </c>
      <c r="AF315" s="9">
        <f t="shared" si="99"/>
        <v>15711.63</v>
      </c>
      <c r="AG315" s="9">
        <f t="shared" si="100"/>
        <v>17596.920000000006</v>
      </c>
      <c r="AH315" s="9">
        <f t="shared" si="112"/>
        <v>30254.169000000002</v>
      </c>
      <c r="AI315">
        <f t="shared" si="101"/>
        <v>0.52830039134096207</v>
      </c>
      <c r="AJ315" s="5">
        <f t="shared" si="102"/>
        <v>44928</v>
      </c>
      <c r="AK315" t="str">
        <f t="shared" si="103"/>
        <v>Jan-2023</v>
      </c>
      <c r="AL315">
        <v>0</v>
      </c>
      <c r="AM315">
        <v>0</v>
      </c>
      <c r="AN315">
        <v>0</v>
      </c>
    </row>
    <row r="316" spans="1:40" x14ac:dyDescent="0.45">
      <c r="A316" s="3" t="s">
        <v>523</v>
      </c>
      <c r="B316" s="5">
        <v>45874</v>
      </c>
      <c r="C316" s="9" t="str">
        <f t="shared" si="91"/>
        <v>Aug-2025</v>
      </c>
      <c r="D316" s="5" t="str">
        <f t="shared" si="92"/>
        <v>2025-Q3</v>
      </c>
      <c r="E316" s="5">
        <v>45897</v>
      </c>
      <c r="F316" s="9">
        <f t="shared" si="104"/>
        <v>23</v>
      </c>
      <c r="G316" s="9" t="str">
        <f t="shared" si="105"/>
        <v>NOT ACHIEVED</v>
      </c>
      <c r="H316" s="3" t="s">
        <v>641</v>
      </c>
      <c r="I316" s="3" t="s">
        <v>648</v>
      </c>
      <c r="J316" s="3" t="s">
        <v>685</v>
      </c>
      <c r="K316" s="13" t="str">
        <f t="shared" si="106"/>
        <v>Asia &gt; India &gt; Mumbai</v>
      </c>
      <c r="L316" s="3" t="s">
        <v>697</v>
      </c>
      <c r="M316" s="3" t="s">
        <v>704</v>
      </c>
      <c r="N316" s="13" t="str">
        <f t="shared" si="93"/>
        <v>Distributor</v>
      </c>
      <c r="O316" s="3" t="s">
        <v>719</v>
      </c>
      <c r="P316" s="3" t="s">
        <v>725</v>
      </c>
      <c r="Q316" s="13" t="str">
        <f t="shared" si="94"/>
        <v>Medium</v>
      </c>
      <c r="R316" s="3" t="s">
        <v>1241</v>
      </c>
      <c r="S316" s="7">
        <v>638.54</v>
      </c>
      <c r="T316" s="7">
        <f t="shared" si="107"/>
        <v>734.32099999999991</v>
      </c>
      <c r="U316" s="7">
        <v>987.24</v>
      </c>
      <c r="V316" s="7">
        <f t="shared" si="95"/>
        <v>987.24</v>
      </c>
      <c r="W316" s="7">
        <f t="shared" si="108"/>
        <v>1135.326</v>
      </c>
      <c r="X316" s="16">
        <v>0</v>
      </c>
      <c r="Y316" t="str">
        <f t="shared" si="96"/>
        <v>OK</v>
      </c>
      <c r="Z316" s="16">
        <f t="shared" si="97"/>
        <v>0</v>
      </c>
      <c r="AA316" s="16">
        <f t="shared" si="109"/>
        <v>0</v>
      </c>
      <c r="AB316" s="9">
        <v>11</v>
      </c>
      <c r="AC316" s="9">
        <f t="shared" si="110"/>
        <v>13.2</v>
      </c>
      <c r="AD316" s="9">
        <f t="shared" si="98"/>
        <v>10859.64</v>
      </c>
      <c r="AE316" s="9">
        <f t="shared" si="111"/>
        <v>14986.3032</v>
      </c>
      <c r="AF316" s="9">
        <f t="shared" si="99"/>
        <v>7023.94</v>
      </c>
      <c r="AG316" s="9">
        <f t="shared" si="100"/>
        <v>3835.7</v>
      </c>
      <c r="AH316" s="9">
        <f t="shared" si="112"/>
        <v>7962.3632000000007</v>
      </c>
      <c r="AI316">
        <f t="shared" si="101"/>
        <v>0.35320692030306716</v>
      </c>
      <c r="AJ316" s="5">
        <f t="shared" si="102"/>
        <v>44928</v>
      </c>
      <c r="AK316" t="str">
        <f t="shared" si="103"/>
        <v>Jan-2023</v>
      </c>
      <c r="AL316">
        <v>0</v>
      </c>
      <c r="AM316">
        <v>0</v>
      </c>
      <c r="AN316">
        <v>0</v>
      </c>
    </row>
    <row r="317" spans="1:40" x14ac:dyDescent="0.45">
      <c r="A317" s="3" t="s">
        <v>529</v>
      </c>
      <c r="B317" s="5">
        <v>45056</v>
      </c>
      <c r="C317" s="9" t="str">
        <f t="shared" si="91"/>
        <v>May-2023</v>
      </c>
      <c r="D317" s="5" t="str">
        <f t="shared" si="92"/>
        <v>2023-Q2</v>
      </c>
      <c r="E317" s="5">
        <v>45073</v>
      </c>
      <c r="F317" s="9">
        <f t="shared" si="104"/>
        <v>17</v>
      </c>
      <c r="G317" s="9" t="str">
        <f t="shared" si="105"/>
        <v>NOT ACHIEVED</v>
      </c>
      <c r="H317" s="3" t="s">
        <v>641</v>
      </c>
      <c r="I317" s="3" t="s">
        <v>648</v>
      </c>
      <c r="J317" s="3" t="s">
        <v>685</v>
      </c>
      <c r="K317" s="13" t="str">
        <f t="shared" si="106"/>
        <v>Asia &gt; India &gt; Mumbai</v>
      </c>
      <c r="L317" s="3" t="s">
        <v>698</v>
      </c>
      <c r="M317" s="3" t="s">
        <v>701</v>
      </c>
      <c r="N317" s="13" t="str">
        <f t="shared" si="93"/>
        <v>Retail</v>
      </c>
      <c r="O317" s="3" t="s">
        <v>718</v>
      </c>
      <c r="P317" s="3" t="s">
        <v>725</v>
      </c>
      <c r="Q317" s="13" t="str">
        <f t="shared" si="94"/>
        <v>High</v>
      </c>
      <c r="R317" s="3" t="s">
        <v>1247</v>
      </c>
      <c r="S317" s="7">
        <v>1286.1600000000001</v>
      </c>
      <c r="T317" s="7">
        <f t="shared" si="107"/>
        <v>1479.0840000000001</v>
      </c>
      <c r="U317" s="7">
        <v>3101.11</v>
      </c>
      <c r="V317" s="7">
        <f t="shared" si="95"/>
        <v>3101.11</v>
      </c>
      <c r="W317" s="7">
        <f t="shared" si="108"/>
        <v>3566.2764999999999</v>
      </c>
      <c r="X317" s="16">
        <v>0.1</v>
      </c>
      <c r="Y317" t="str">
        <f t="shared" si="96"/>
        <v>OK</v>
      </c>
      <c r="Z317" s="16">
        <f t="shared" si="97"/>
        <v>0.1</v>
      </c>
      <c r="AA317" s="16">
        <f t="shared" si="109"/>
        <v>0.1</v>
      </c>
      <c r="AB317" s="9">
        <v>23</v>
      </c>
      <c r="AC317" s="9">
        <f t="shared" si="110"/>
        <v>27.599999999999998</v>
      </c>
      <c r="AD317" s="9">
        <f t="shared" si="98"/>
        <v>64192.976999999999</v>
      </c>
      <c r="AE317" s="9">
        <f t="shared" si="111"/>
        <v>108272.15454</v>
      </c>
      <c r="AF317" s="9">
        <f t="shared" si="99"/>
        <v>29581.68</v>
      </c>
      <c r="AG317" s="9">
        <f t="shared" si="100"/>
        <v>34611.296999999999</v>
      </c>
      <c r="AH317" s="9">
        <f t="shared" si="112"/>
        <v>78690.474539999996</v>
      </c>
      <c r="AI317">
        <f t="shared" si="101"/>
        <v>0.53917575749758417</v>
      </c>
      <c r="AJ317" s="5">
        <f t="shared" si="102"/>
        <v>44928</v>
      </c>
      <c r="AK317" t="str">
        <f t="shared" si="103"/>
        <v>Jan-2023</v>
      </c>
      <c r="AL317">
        <v>0</v>
      </c>
      <c r="AM317">
        <v>0</v>
      </c>
      <c r="AN317">
        <v>0</v>
      </c>
    </row>
    <row r="318" spans="1:40" x14ac:dyDescent="0.45">
      <c r="A318" s="3" t="s">
        <v>564</v>
      </c>
      <c r="B318" s="5">
        <v>45053</v>
      </c>
      <c r="C318" s="9" t="str">
        <f t="shared" si="91"/>
        <v>May-2023</v>
      </c>
      <c r="D318" s="5" t="str">
        <f t="shared" si="92"/>
        <v>2023-Q2</v>
      </c>
      <c r="E318" s="5">
        <v>45066</v>
      </c>
      <c r="F318" s="9">
        <f t="shared" si="104"/>
        <v>13</v>
      </c>
      <c r="G318" s="9" t="str">
        <f t="shared" si="105"/>
        <v>NOT ACHIEVED</v>
      </c>
      <c r="H318" s="3" t="s">
        <v>641</v>
      </c>
      <c r="I318" s="3" t="s">
        <v>648</v>
      </c>
      <c r="J318" s="3" t="s">
        <v>685</v>
      </c>
      <c r="K318" s="13" t="str">
        <f t="shared" si="106"/>
        <v>Asia &gt; India &gt; Mumbai</v>
      </c>
      <c r="L318" s="3" t="s">
        <v>700</v>
      </c>
      <c r="M318" s="3" t="s">
        <v>701</v>
      </c>
      <c r="N318" s="13" t="str">
        <f t="shared" si="93"/>
        <v>Retail</v>
      </c>
      <c r="O318" s="3" t="s">
        <v>720</v>
      </c>
      <c r="P318" s="3" t="s">
        <v>727</v>
      </c>
      <c r="Q318" s="13" t="str">
        <f t="shared" si="94"/>
        <v>High</v>
      </c>
      <c r="R318" s="3" t="s">
        <v>1281</v>
      </c>
      <c r="S318" s="7">
        <v>1443.28</v>
      </c>
      <c r="T318" s="7">
        <f t="shared" si="107"/>
        <v>1659.7719999999999</v>
      </c>
      <c r="U318" s="7">
        <v>2580.5700000000002</v>
      </c>
      <c r="V318" s="7">
        <f t="shared" si="95"/>
        <v>2580.5700000000002</v>
      </c>
      <c r="W318" s="7">
        <f t="shared" si="108"/>
        <v>2967.6554999999998</v>
      </c>
      <c r="X318" s="16">
        <v>0</v>
      </c>
      <c r="Y318" t="str">
        <f t="shared" si="96"/>
        <v>OK</v>
      </c>
      <c r="Z318" s="16">
        <f t="shared" si="97"/>
        <v>0</v>
      </c>
      <c r="AA318" s="16">
        <f t="shared" si="109"/>
        <v>0</v>
      </c>
      <c r="AB318" s="9">
        <v>18</v>
      </c>
      <c r="AC318" s="9">
        <f t="shared" si="110"/>
        <v>21.599999999999998</v>
      </c>
      <c r="AD318" s="9">
        <f t="shared" si="98"/>
        <v>46450.26</v>
      </c>
      <c r="AE318" s="9">
        <f t="shared" si="111"/>
        <v>64101.358799999987</v>
      </c>
      <c r="AF318" s="9">
        <f t="shared" si="99"/>
        <v>25979.040000000001</v>
      </c>
      <c r="AG318" s="9">
        <f t="shared" si="100"/>
        <v>20471.22</v>
      </c>
      <c r="AH318" s="9">
        <f t="shared" si="112"/>
        <v>38122.318799999986</v>
      </c>
      <c r="AI318">
        <f t="shared" si="101"/>
        <v>0.4407127107577008</v>
      </c>
      <c r="AJ318" s="5">
        <f t="shared" si="102"/>
        <v>44928</v>
      </c>
      <c r="AK318" t="str">
        <f t="shared" si="103"/>
        <v>Jan-2023</v>
      </c>
      <c r="AL318">
        <v>0</v>
      </c>
      <c r="AM318">
        <v>0</v>
      </c>
      <c r="AN318">
        <v>0</v>
      </c>
    </row>
    <row r="319" spans="1:40" x14ac:dyDescent="0.45">
      <c r="A319" s="3" t="s">
        <v>568</v>
      </c>
      <c r="B319" s="5">
        <v>45299</v>
      </c>
      <c r="C319" s="9" t="str">
        <f t="shared" si="91"/>
        <v>Jan-2024</v>
      </c>
      <c r="D319" s="5" t="str">
        <f t="shared" si="92"/>
        <v>2024-Q1</v>
      </c>
      <c r="E319" s="5">
        <v>45303</v>
      </c>
      <c r="F319" s="9">
        <f t="shared" si="104"/>
        <v>4</v>
      </c>
      <c r="G319" s="9" t="str">
        <f t="shared" si="105"/>
        <v>ACHIEVED</v>
      </c>
      <c r="H319" s="3" t="s">
        <v>641</v>
      </c>
      <c r="I319" s="3" t="s">
        <v>648</v>
      </c>
      <c r="J319" s="3" t="s">
        <v>662</v>
      </c>
      <c r="K319" s="13" t="str">
        <f t="shared" si="106"/>
        <v>Asia &gt; India &gt; Bengaluru</v>
      </c>
      <c r="L319" s="3" t="s">
        <v>695</v>
      </c>
      <c r="M319" s="3" t="s">
        <v>705</v>
      </c>
      <c r="N319" s="13" t="str">
        <f t="shared" si="93"/>
        <v>Direct</v>
      </c>
      <c r="O319" s="3" t="s">
        <v>712</v>
      </c>
      <c r="P319" s="3" t="s">
        <v>722</v>
      </c>
      <c r="Q319" s="13" t="str">
        <f t="shared" si="94"/>
        <v>Low</v>
      </c>
      <c r="R319" s="3" t="s">
        <v>1285</v>
      </c>
      <c r="S319" s="7">
        <v>802.32</v>
      </c>
      <c r="T319" s="7">
        <f t="shared" si="107"/>
        <v>922.66800000000001</v>
      </c>
      <c r="U319" s="7">
        <v>602.34</v>
      </c>
      <c r="V319" s="7">
        <f t="shared" si="95"/>
        <v>602.34</v>
      </c>
      <c r="W319" s="7">
        <f t="shared" si="108"/>
        <v>692.69100000000003</v>
      </c>
      <c r="X319" s="16">
        <v>0.12</v>
      </c>
      <c r="Y319" t="str">
        <f t="shared" si="96"/>
        <v>OK</v>
      </c>
      <c r="Z319" s="16">
        <f t="shared" si="97"/>
        <v>0.12</v>
      </c>
      <c r="AA319" s="16">
        <f t="shared" si="109"/>
        <v>0.12</v>
      </c>
      <c r="AB319" s="9">
        <v>25</v>
      </c>
      <c r="AC319" s="9">
        <f t="shared" si="110"/>
        <v>30</v>
      </c>
      <c r="AD319" s="9">
        <f t="shared" si="98"/>
        <v>13251.48</v>
      </c>
      <c r="AE319" s="9">
        <f t="shared" si="111"/>
        <v>23274.417600000001</v>
      </c>
      <c r="AF319" s="9">
        <f t="shared" si="99"/>
        <v>20058</v>
      </c>
      <c r="AG319" s="9">
        <f t="shared" si="100"/>
        <v>-6806.52</v>
      </c>
      <c r="AH319" s="9">
        <f t="shared" si="112"/>
        <v>3216.4176000000007</v>
      </c>
      <c r="AI319">
        <f t="shared" si="101"/>
        <v>-0.51364224977134632</v>
      </c>
      <c r="AJ319" s="5">
        <f t="shared" si="102"/>
        <v>44928</v>
      </c>
      <c r="AK319" t="str">
        <f t="shared" si="103"/>
        <v>Jan-2023</v>
      </c>
      <c r="AL319">
        <v>0</v>
      </c>
      <c r="AM319">
        <v>0</v>
      </c>
      <c r="AN319">
        <v>0</v>
      </c>
    </row>
    <row r="320" spans="1:40" x14ac:dyDescent="0.45">
      <c r="A320" s="3" t="s">
        <v>579</v>
      </c>
      <c r="B320" s="5">
        <v>45078</v>
      </c>
      <c r="C320" s="9" t="str">
        <f t="shared" si="91"/>
        <v>Jun-2023</v>
      </c>
      <c r="D320" s="5" t="str">
        <f t="shared" si="92"/>
        <v>2023-Q2</v>
      </c>
      <c r="E320" s="5">
        <v>45078</v>
      </c>
      <c r="F320" s="9">
        <f t="shared" si="104"/>
        <v>0</v>
      </c>
      <c r="G320" s="9" t="str">
        <f t="shared" si="105"/>
        <v>ACHIEVED</v>
      </c>
      <c r="H320" s="3" t="s">
        <v>641</v>
      </c>
      <c r="I320" s="3" t="s">
        <v>648</v>
      </c>
      <c r="J320" s="3" t="s">
        <v>662</v>
      </c>
      <c r="K320" s="13" t="str">
        <f t="shared" si="106"/>
        <v>Asia &gt; India &gt; Bengaluru</v>
      </c>
      <c r="L320" s="3" t="s">
        <v>695</v>
      </c>
      <c r="M320" s="3" t="s">
        <v>701</v>
      </c>
      <c r="N320" s="13" t="str">
        <f t="shared" si="93"/>
        <v>Retail</v>
      </c>
      <c r="O320" s="3" t="s">
        <v>712</v>
      </c>
      <c r="P320" s="3" t="s">
        <v>727</v>
      </c>
      <c r="Q320" s="13" t="str">
        <f t="shared" si="94"/>
        <v>Medium</v>
      </c>
      <c r="R320" s="3" t="s">
        <v>1296</v>
      </c>
      <c r="S320" s="7">
        <v>669.37</v>
      </c>
      <c r="T320" s="7">
        <f t="shared" si="107"/>
        <v>769.77549999999997</v>
      </c>
      <c r="U320" s="7">
        <v>997.2</v>
      </c>
      <c r="V320" s="7">
        <f t="shared" si="95"/>
        <v>997.2</v>
      </c>
      <c r="W320" s="7">
        <f t="shared" si="108"/>
        <v>1146.78</v>
      </c>
      <c r="X320" s="16">
        <v>8.2000000000000003E-2</v>
      </c>
      <c r="Y320" t="str">
        <f t="shared" si="96"/>
        <v>OK</v>
      </c>
      <c r="Z320" s="16">
        <f t="shared" si="97"/>
        <v>8.2000000000000003E-2</v>
      </c>
      <c r="AA320" s="16">
        <f t="shared" si="109"/>
        <v>8.2000000000000003E-2</v>
      </c>
      <c r="AB320" s="9">
        <v>5</v>
      </c>
      <c r="AC320" s="9">
        <f t="shared" si="110"/>
        <v>6</v>
      </c>
      <c r="AD320" s="9">
        <f t="shared" si="98"/>
        <v>4577.1480000000001</v>
      </c>
      <c r="AE320" s="9">
        <f t="shared" si="111"/>
        <v>7444.8957600000012</v>
      </c>
      <c r="AF320" s="9">
        <f t="shared" si="99"/>
        <v>3346.85</v>
      </c>
      <c r="AG320" s="9">
        <f t="shared" si="100"/>
        <v>1230.2980000000002</v>
      </c>
      <c r="AH320" s="9">
        <f t="shared" si="112"/>
        <v>4098.0457600000009</v>
      </c>
      <c r="AI320">
        <f t="shared" si="101"/>
        <v>0.26879139586484863</v>
      </c>
      <c r="AJ320" s="5">
        <f t="shared" si="102"/>
        <v>44928</v>
      </c>
      <c r="AK320" t="str">
        <f t="shared" si="103"/>
        <v>Jan-2023</v>
      </c>
      <c r="AL320">
        <v>0</v>
      </c>
      <c r="AM320">
        <v>0</v>
      </c>
      <c r="AN320">
        <v>0</v>
      </c>
    </row>
    <row r="321" spans="1:40" x14ac:dyDescent="0.45">
      <c r="A321" s="3" t="s">
        <v>580</v>
      </c>
      <c r="B321" s="5">
        <v>45740</v>
      </c>
      <c r="C321" s="9" t="str">
        <f t="shared" si="91"/>
        <v>Mar-2025</v>
      </c>
      <c r="D321" s="5" t="str">
        <f t="shared" si="92"/>
        <v>2025-Q1</v>
      </c>
      <c r="E321" s="5">
        <v>45751</v>
      </c>
      <c r="F321" s="9">
        <f t="shared" si="104"/>
        <v>11</v>
      </c>
      <c r="G321" s="9" t="str">
        <f t="shared" si="105"/>
        <v>NOT ACHIEVED</v>
      </c>
      <c r="H321" s="3" t="s">
        <v>641</v>
      </c>
      <c r="I321" s="3" t="s">
        <v>648</v>
      </c>
      <c r="J321" s="3" t="s">
        <v>685</v>
      </c>
      <c r="K321" s="13" t="str">
        <f t="shared" si="106"/>
        <v>Asia &gt; India &gt; Mumbai</v>
      </c>
      <c r="L321" s="3" t="s">
        <v>696</v>
      </c>
      <c r="M321" s="3" t="s">
        <v>703</v>
      </c>
      <c r="N321" s="13" t="str">
        <f t="shared" si="93"/>
        <v>Marketplace</v>
      </c>
      <c r="O321" s="3" t="s">
        <v>707</v>
      </c>
      <c r="P321" s="3" t="s">
        <v>724</v>
      </c>
      <c r="Q321" s="13" t="str">
        <f t="shared" si="94"/>
        <v>Low</v>
      </c>
      <c r="R321" s="3" t="s">
        <v>1297</v>
      </c>
      <c r="S321" s="7">
        <v>23.83</v>
      </c>
      <c r="T321" s="7">
        <f t="shared" si="107"/>
        <v>27.404499999999995</v>
      </c>
      <c r="U321" s="7">
        <v>47.29</v>
      </c>
      <c r="V321" s="7">
        <f t="shared" si="95"/>
        <v>47.29</v>
      </c>
      <c r="W321" s="7">
        <f t="shared" si="108"/>
        <v>54.383499999999998</v>
      </c>
      <c r="X321" s="16">
        <v>6.4000000000000001E-2</v>
      </c>
      <c r="Y321" t="str">
        <f t="shared" si="96"/>
        <v>OK</v>
      </c>
      <c r="Z321" s="16">
        <f t="shared" si="97"/>
        <v>6.4000000000000001E-2</v>
      </c>
      <c r="AA321" s="16">
        <f t="shared" si="109"/>
        <v>6.4000000000000001E-2</v>
      </c>
      <c r="AB321" s="9">
        <v>19</v>
      </c>
      <c r="AC321" s="9">
        <f t="shared" si="110"/>
        <v>22.8</v>
      </c>
      <c r="AD321" s="9">
        <f t="shared" si="98"/>
        <v>841.00536</v>
      </c>
      <c r="AE321" s="9">
        <f t="shared" si="111"/>
        <v>1319.3002032000002</v>
      </c>
      <c r="AF321" s="9">
        <f t="shared" si="99"/>
        <v>452.77</v>
      </c>
      <c r="AG321" s="9">
        <f t="shared" si="100"/>
        <v>388.23536000000001</v>
      </c>
      <c r="AH321" s="9">
        <f t="shared" si="112"/>
        <v>866.53020320000019</v>
      </c>
      <c r="AI321">
        <f t="shared" si="101"/>
        <v>0.46163244429262618</v>
      </c>
      <c r="AJ321" s="5">
        <f t="shared" si="102"/>
        <v>44928</v>
      </c>
      <c r="AK321" t="str">
        <f t="shared" si="103"/>
        <v>Jan-2023</v>
      </c>
      <c r="AL321">
        <v>0</v>
      </c>
      <c r="AM321">
        <v>0</v>
      </c>
      <c r="AN321">
        <v>0</v>
      </c>
    </row>
    <row r="322" spans="1:40" x14ac:dyDescent="0.45">
      <c r="A322" s="3" t="s">
        <v>630</v>
      </c>
      <c r="B322" s="5">
        <v>45501</v>
      </c>
      <c r="C322" s="9" t="str">
        <f t="shared" ref="C322:C385" si="113">TEXT(B322,"MMM-YYYY")</f>
        <v>Jul-2024</v>
      </c>
      <c r="D322" s="5" t="str">
        <f t="shared" ref="D322:D385" si="114">YEAR(B322)&amp; "-Q"&amp;ROUNDUP(MONTH(B322)/3,0)</f>
        <v>2024-Q3</v>
      </c>
      <c r="E322" s="5">
        <v>45527</v>
      </c>
      <c r="F322" s="9">
        <f t="shared" si="104"/>
        <v>26</v>
      </c>
      <c r="G322" s="9" t="str">
        <f t="shared" si="105"/>
        <v>NOT ACHIEVED</v>
      </c>
      <c r="H322" s="3" t="s">
        <v>641</v>
      </c>
      <c r="I322" s="3" t="s">
        <v>648</v>
      </c>
      <c r="J322" s="3" t="s">
        <v>690</v>
      </c>
      <c r="K322" s="13" t="str">
        <f t="shared" si="106"/>
        <v>Asia &gt; India &gt; Hyderabad</v>
      </c>
      <c r="L322" s="3" t="s">
        <v>695</v>
      </c>
      <c r="M322" s="3" t="s">
        <v>701</v>
      </c>
      <c r="N322" s="13" t="str">
        <f t="shared" ref="N322:N385" si="115">IF(ISBLANK(M322),"Unknown",M322)</f>
        <v>Retail</v>
      </c>
      <c r="O322" s="3" t="s">
        <v>707</v>
      </c>
      <c r="P322" s="3" t="s">
        <v>723</v>
      </c>
      <c r="Q322" s="13" t="str">
        <f t="shared" ref="Q322:Q385" si="116">IF(U322&lt;=$AM$2,"Low",IF(U322&lt;=$AM$3,"Medium","High"))</f>
        <v>Medium</v>
      </c>
      <c r="R322" s="3" t="s">
        <v>1347</v>
      </c>
      <c r="S322" s="7">
        <v>1339.24</v>
      </c>
      <c r="T322" s="7">
        <f t="shared" si="107"/>
        <v>1540.126</v>
      </c>
      <c r="U322" s="7">
        <v>1558.89</v>
      </c>
      <c r="V322" s="7">
        <f t="shared" ref="V322:V385" si="117">IF(U322&lt;0,"",U322)</f>
        <v>1558.89</v>
      </c>
      <c r="W322" s="7">
        <f t="shared" si="108"/>
        <v>1792.7235000000001</v>
      </c>
      <c r="X322" s="16">
        <v>0.192</v>
      </c>
      <c r="Y322" t="str">
        <f t="shared" ref="Y322:Y385" si="118">IF(X322&gt;0.3,"Excess dis","OK")</f>
        <v>OK</v>
      </c>
      <c r="Z322" s="16">
        <f t="shared" ref="Z322:Z385" si="119">IF(X322&gt;0.3,0.3,X322)</f>
        <v>0.192</v>
      </c>
      <c r="AA322" s="16">
        <f t="shared" si="109"/>
        <v>0.192</v>
      </c>
      <c r="AB322" s="9">
        <v>24</v>
      </c>
      <c r="AC322" s="9">
        <f t="shared" si="110"/>
        <v>28.799999999999997</v>
      </c>
      <c r="AD322" s="9">
        <f t="shared" ref="AD322:AD385" si="120">V322*AB322*(1-Z322)</f>
        <v>30229.994880000002</v>
      </c>
      <c r="AE322" s="9">
        <f t="shared" si="111"/>
        <v>61543.480665599993</v>
      </c>
      <c r="AF322" s="9">
        <f t="shared" ref="AF322:AF385" si="121">S322*AB322</f>
        <v>32141.760000000002</v>
      </c>
      <c r="AG322" s="9">
        <f t="shared" ref="AG322:AG385" si="122">AD322-AF322</f>
        <v>-1911.76512</v>
      </c>
      <c r="AH322" s="9">
        <f t="shared" si="112"/>
        <v>29401.720665599991</v>
      </c>
      <c r="AI322">
        <f t="shared" ref="AI322:AI385" si="123">IF(AD322=0,0,AG322/AD322)</f>
        <v>-6.3240669659021781E-2</v>
      </c>
      <c r="AJ322" s="5">
        <f t="shared" ref="AJ322:AJ385" si="124">MIN(IF($I$2:$I$632=I322, $B$2:$B$632))</f>
        <v>44928</v>
      </c>
      <c r="AK322" t="str">
        <f t="shared" ref="AK322:AK385" si="125">TEXT(AJ322,"MMM-YYYY")</f>
        <v>Jan-2023</v>
      </c>
      <c r="AL322">
        <v>0</v>
      </c>
      <c r="AM322">
        <v>0</v>
      </c>
      <c r="AN322">
        <v>0</v>
      </c>
    </row>
    <row r="323" spans="1:40" x14ac:dyDescent="0.45">
      <c r="A323" s="3" t="s">
        <v>633</v>
      </c>
      <c r="B323" s="5">
        <v>45249</v>
      </c>
      <c r="C323" s="9" t="str">
        <f t="shared" si="113"/>
        <v>Nov-2023</v>
      </c>
      <c r="D323" s="5" t="str">
        <f t="shared" si="114"/>
        <v>2023-Q4</v>
      </c>
      <c r="E323" s="5">
        <v>45272</v>
      </c>
      <c r="F323" s="9">
        <f t="shared" ref="F323:F386" si="126">E323-B323</f>
        <v>23</v>
      </c>
      <c r="G323" s="9" t="str">
        <f t="shared" ref="G323:G386" si="127">IF(F323&lt;=7,"ACHIEVED","NOT ACHIEVED")</f>
        <v>NOT ACHIEVED</v>
      </c>
      <c r="H323" s="3" t="s">
        <v>641</v>
      </c>
      <c r="I323" s="3" t="s">
        <v>648</v>
      </c>
      <c r="J323" s="3" t="s">
        <v>674</v>
      </c>
      <c r="K323" s="13" t="str">
        <f t="shared" ref="K323:K386" si="128">H323&amp;" &gt; "&amp;I323&amp;" &gt; "&amp;J323</f>
        <v>Asia &gt; India &gt; Delhi</v>
      </c>
      <c r="L323" s="3" t="s">
        <v>699</v>
      </c>
      <c r="M323" s="3" t="s">
        <v>705</v>
      </c>
      <c r="N323" s="13" t="str">
        <f t="shared" si="115"/>
        <v>Direct</v>
      </c>
      <c r="O323" s="3" t="s">
        <v>706</v>
      </c>
      <c r="P323" s="3" t="s">
        <v>723</v>
      </c>
      <c r="Q323" s="13" t="str">
        <f t="shared" si="116"/>
        <v>High</v>
      </c>
      <c r="R323" s="3" t="s">
        <v>1350</v>
      </c>
      <c r="S323" s="7">
        <v>1349.04</v>
      </c>
      <c r="T323" s="7">
        <f t="shared" ref="T323:T386" si="129">S323*(1+$AM$6)</f>
        <v>1551.3959999999997</v>
      </c>
      <c r="U323" s="7">
        <v>2636.6</v>
      </c>
      <c r="V323" s="7">
        <f t="shared" si="117"/>
        <v>2636.6</v>
      </c>
      <c r="W323" s="7">
        <f t="shared" ref="W323:W386" si="130">V323*(1+$AM$6)</f>
        <v>3032.0899999999997</v>
      </c>
      <c r="X323" s="16">
        <v>0.114</v>
      </c>
      <c r="Y323" t="str">
        <f t="shared" si="118"/>
        <v>OK</v>
      </c>
      <c r="Z323" s="16">
        <f t="shared" si="119"/>
        <v>0.114</v>
      </c>
      <c r="AA323" s="16">
        <f t="shared" ref="AA323:AA386" si="131">MIN(Z323,$AM$5)</f>
        <v>0.114</v>
      </c>
      <c r="AB323" s="9">
        <v>14</v>
      </c>
      <c r="AC323" s="9">
        <f t="shared" ref="AC323:AC386" si="132">AB323*(1+$AM$7)</f>
        <v>16.8</v>
      </c>
      <c r="AD323" s="9">
        <f t="shared" si="120"/>
        <v>32704.386400000003</v>
      </c>
      <c r="AE323" s="9">
        <f t="shared" ref="AE323:AE386" si="133">W323*AC323*(1+AA323)</f>
        <v>56746.170767999996</v>
      </c>
      <c r="AF323" s="9">
        <f t="shared" si="121"/>
        <v>18886.559999999998</v>
      </c>
      <c r="AG323" s="9">
        <f t="shared" si="122"/>
        <v>13817.826400000005</v>
      </c>
      <c r="AH323" s="9">
        <f t="shared" ref="AH323:AH386" si="134">AE323-AF323</f>
        <v>37859.610767999999</v>
      </c>
      <c r="AI323">
        <f t="shared" si="123"/>
        <v>0.42250682312143928</v>
      </c>
      <c r="AJ323" s="5">
        <f t="shared" si="124"/>
        <v>44928</v>
      </c>
      <c r="AK323" t="str">
        <f t="shared" si="125"/>
        <v>Jan-2023</v>
      </c>
      <c r="AL323">
        <v>0</v>
      </c>
      <c r="AM323">
        <v>0</v>
      </c>
      <c r="AN323">
        <v>0</v>
      </c>
    </row>
    <row r="324" spans="1:40" x14ac:dyDescent="0.45">
      <c r="A324" s="3" t="s">
        <v>634</v>
      </c>
      <c r="B324" s="5">
        <v>45282</v>
      </c>
      <c r="C324" s="9" t="str">
        <f t="shared" si="113"/>
        <v>Dec-2023</v>
      </c>
      <c r="D324" s="5" t="str">
        <f t="shared" si="114"/>
        <v>2023-Q4</v>
      </c>
      <c r="E324" s="5">
        <v>45307</v>
      </c>
      <c r="F324" s="9">
        <f t="shared" si="126"/>
        <v>25</v>
      </c>
      <c r="G324" s="9" t="str">
        <f t="shared" si="127"/>
        <v>NOT ACHIEVED</v>
      </c>
      <c r="H324" s="3" t="s">
        <v>641</v>
      </c>
      <c r="I324" s="3" t="s">
        <v>648</v>
      </c>
      <c r="J324" s="3" t="s">
        <v>690</v>
      </c>
      <c r="K324" s="13" t="str">
        <f t="shared" si="128"/>
        <v>Asia &gt; India &gt; Hyderabad</v>
      </c>
      <c r="L324" s="3" t="s">
        <v>699</v>
      </c>
      <c r="M324" s="3" t="s">
        <v>701</v>
      </c>
      <c r="N324" s="13" t="str">
        <f t="shared" si="115"/>
        <v>Retail</v>
      </c>
      <c r="O324" s="3" t="s">
        <v>714</v>
      </c>
      <c r="P324" s="3" t="s">
        <v>721</v>
      </c>
      <c r="Q324" s="13" t="str">
        <f t="shared" si="116"/>
        <v>Medium</v>
      </c>
      <c r="R324" s="3" t="s">
        <v>1351</v>
      </c>
      <c r="S324" s="7">
        <v>1346.81</v>
      </c>
      <c r="T324" s="7">
        <f t="shared" si="129"/>
        <v>1548.8314999999998</v>
      </c>
      <c r="U324" s="7">
        <v>978.09</v>
      </c>
      <c r="V324" s="7">
        <f t="shared" si="117"/>
        <v>978.09</v>
      </c>
      <c r="W324" s="7">
        <f t="shared" si="130"/>
        <v>1124.8035</v>
      </c>
      <c r="X324" s="16">
        <v>0.159</v>
      </c>
      <c r="Y324" t="str">
        <f t="shared" si="118"/>
        <v>OK</v>
      </c>
      <c r="Z324" s="16">
        <f t="shared" si="119"/>
        <v>0.159</v>
      </c>
      <c r="AA324" s="16">
        <f t="shared" si="131"/>
        <v>0.159</v>
      </c>
      <c r="AB324" s="9">
        <v>17</v>
      </c>
      <c r="AC324" s="9">
        <f t="shared" si="132"/>
        <v>20.399999999999999</v>
      </c>
      <c r="AD324" s="9">
        <f t="shared" si="120"/>
        <v>13983.752729999998</v>
      </c>
      <c r="AE324" s="9">
        <f t="shared" si="133"/>
        <v>26594.404032599999</v>
      </c>
      <c r="AF324" s="9">
        <f t="shared" si="121"/>
        <v>22895.77</v>
      </c>
      <c r="AG324" s="9">
        <f t="shared" si="122"/>
        <v>-8912.0172700000021</v>
      </c>
      <c r="AH324" s="9">
        <f t="shared" si="134"/>
        <v>3698.634032599999</v>
      </c>
      <c r="AI324">
        <f t="shared" si="123"/>
        <v>-0.6373122753293996</v>
      </c>
      <c r="AJ324" s="5">
        <f t="shared" si="124"/>
        <v>44928</v>
      </c>
      <c r="AK324" t="str">
        <f t="shared" si="125"/>
        <v>Jan-2023</v>
      </c>
      <c r="AL324">
        <v>0</v>
      </c>
      <c r="AM324">
        <v>0</v>
      </c>
      <c r="AN324">
        <v>0</v>
      </c>
    </row>
    <row r="325" spans="1:40" x14ac:dyDescent="0.45">
      <c r="A325" s="3" t="s">
        <v>13</v>
      </c>
      <c r="B325" s="5">
        <v>45266</v>
      </c>
      <c r="C325" s="9" t="str">
        <f t="shared" si="113"/>
        <v>Dec-2023</v>
      </c>
      <c r="D325" s="5" t="str">
        <f t="shared" si="114"/>
        <v>2023-Q4</v>
      </c>
      <c r="E325" s="5">
        <v>45291</v>
      </c>
      <c r="F325" s="9">
        <f t="shared" si="126"/>
        <v>25</v>
      </c>
      <c r="G325" s="9" t="str">
        <f t="shared" si="127"/>
        <v>NOT ACHIEVED</v>
      </c>
      <c r="H325" s="3" t="s">
        <v>641</v>
      </c>
      <c r="I325" s="3" t="s">
        <v>646</v>
      </c>
      <c r="J325" s="3" t="s">
        <v>660</v>
      </c>
      <c r="K325" s="13" t="str">
        <f t="shared" si="128"/>
        <v>Asia &gt; Japan &gt; Osaka</v>
      </c>
      <c r="L325" s="3" t="s">
        <v>698</v>
      </c>
      <c r="M325" s="3" t="s">
        <v>701</v>
      </c>
      <c r="N325" s="13" t="str">
        <f t="shared" si="115"/>
        <v>Retail</v>
      </c>
      <c r="O325" s="3" t="s">
        <v>710</v>
      </c>
      <c r="P325" s="3" t="s">
        <v>722</v>
      </c>
      <c r="Q325" s="13" t="str">
        <f t="shared" si="116"/>
        <v>Low</v>
      </c>
      <c r="R325" s="3" t="s">
        <v>732</v>
      </c>
      <c r="S325" s="7">
        <v>663.03</v>
      </c>
      <c r="T325" s="7">
        <f t="shared" si="129"/>
        <v>762.48449999999991</v>
      </c>
      <c r="U325" s="7">
        <v>813.51</v>
      </c>
      <c r="V325" s="7">
        <f t="shared" si="117"/>
        <v>813.51</v>
      </c>
      <c r="W325" s="7">
        <f t="shared" si="130"/>
        <v>935.53649999999993</v>
      </c>
      <c r="X325" s="16">
        <v>0.10199999999999999</v>
      </c>
      <c r="Y325" t="str">
        <f t="shared" si="118"/>
        <v>OK</v>
      </c>
      <c r="Z325" s="16">
        <f t="shared" si="119"/>
        <v>0.10199999999999999</v>
      </c>
      <c r="AA325" s="16">
        <f t="shared" si="131"/>
        <v>0.10199999999999999</v>
      </c>
      <c r="AB325" s="9">
        <v>15</v>
      </c>
      <c r="AC325" s="9">
        <f t="shared" si="132"/>
        <v>18</v>
      </c>
      <c r="AD325" s="9">
        <f t="shared" si="120"/>
        <v>10957.9797</v>
      </c>
      <c r="AE325" s="9">
        <f t="shared" si="133"/>
        <v>18557.302014000001</v>
      </c>
      <c r="AF325" s="9">
        <f t="shared" si="121"/>
        <v>9945.4499999999989</v>
      </c>
      <c r="AG325" s="9">
        <f t="shared" si="122"/>
        <v>1012.529700000001</v>
      </c>
      <c r="AH325" s="9">
        <f t="shared" si="134"/>
        <v>8611.8520140000019</v>
      </c>
      <c r="AI325">
        <f t="shared" si="123"/>
        <v>9.2401129379715952E-2</v>
      </c>
      <c r="AJ325" s="5">
        <f t="shared" si="124"/>
        <v>44928</v>
      </c>
      <c r="AK325" t="str">
        <f t="shared" si="125"/>
        <v>Jan-2023</v>
      </c>
      <c r="AL325">
        <v>0</v>
      </c>
      <c r="AM325">
        <v>0</v>
      </c>
      <c r="AN325">
        <v>0</v>
      </c>
    </row>
    <row r="326" spans="1:40" x14ac:dyDescent="0.45">
      <c r="A326" s="3" t="s">
        <v>20</v>
      </c>
      <c r="B326" s="5">
        <v>45660</v>
      </c>
      <c r="C326" s="9" t="str">
        <f t="shared" si="113"/>
        <v>Jan-2025</v>
      </c>
      <c r="D326" s="5" t="str">
        <f t="shared" si="114"/>
        <v>2025-Q1</v>
      </c>
      <c r="E326" s="5">
        <v>45680</v>
      </c>
      <c r="F326" s="9">
        <f t="shared" si="126"/>
        <v>20</v>
      </c>
      <c r="G326" s="9" t="str">
        <f t="shared" si="127"/>
        <v>NOT ACHIEVED</v>
      </c>
      <c r="H326" s="3" t="s">
        <v>641</v>
      </c>
      <c r="I326" s="3" t="s">
        <v>646</v>
      </c>
      <c r="J326" s="3" t="s">
        <v>660</v>
      </c>
      <c r="K326" s="13" t="str">
        <f t="shared" si="128"/>
        <v>Asia &gt; Japan &gt; Osaka</v>
      </c>
      <c r="L326" s="3" t="s">
        <v>695</v>
      </c>
      <c r="M326" s="3" t="s">
        <v>704</v>
      </c>
      <c r="N326" s="13" t="str">
        <f t="shared" si="115"/>
        <v>Distributor</v>
      </c>
      <c r="O326" s="3" t="s">
        <v>715</v>
      </c>
      <c r="P326" s="3" t="s">
        <v>724</v>
      </c>
      <c r="Q326" s="13" t="str">
        <f t="shared" si="116"/>
        <v>Low</v>
      </c>
      <c r="R326" s="3" t="s">
        <v>739</v>
      </c>
      <c r="S326" s="7">
        <v>908.6</v>
      </c>
      <c r="T326" s="7">
        <f t="shared" si="129"/>
        <v>1044.8899999999999</v>
      </c>
      <c r="U326" s="7">
        <v>691.37</v>
      </c>
      <c r="V326" s="7">
        <f t="shared" si="117"/>
        <v>691.37</v>
      </c>
      <c r="W326" s="7">
        <f t="shared" si="130"/>
        <v>795.07549999999992</v>
      </c>
      <c r="X326" s="16">
        <v>0.25</v>
      </c>
      <c r="Y326" t="str">
        <f t="shared" si="118"/>
        <v>OK</v>
      </c>
      <c r="Z326" s="16">
        <f t="shared" si="119"/>
        <v>0.25</v>
      </c>
      <c r="AA326" s="16">
        <f t="shared" si="131"/>
        <v>0.25</v>
      </c>
      <c r="AB326" s="9">
        <v>20</v>
      </c>
      <c r="AC326" s="9">
        <f t="shared" si="132"/>
        <v>24</v>
      </c>
      <c r="AD326" s="9">
        <f t="shared" si="120"/>
        <v>10370.549999999999</v>
      </c>
      <c r="AE326" s="9">
        <f t="shared" si="133"/>
        <v>23852.264999999999</v>
      </c>
      <c r="AF326" s="9">
        <f t="shared" si="121"/>
        <v>18172</v>
      </c>
      <c r="AG326" s="9">
        <f t="shared" si="122"/>
        <v>-7801.4500000000007</v>
      </c>
      <c r="AH326" s="9">
        <f t="shared" si="134"/>
        <v>5680.2649999999994</v>
      </c>
      <c r="AI326">
        <f t="shared" si="123"/>
        <v>-0.75226964818645115</v>
      </c>
      <c r="AJ326" s="5">
        <f t="shared" si="124"/>
        <v>44928</v>
      </c>
      <c r="AK326" t="str">
        <f t="shared" si="125"/>
        <v>Jan-2023</v>
      </c>
      <c r="AL326">
        <v>0</v>
      </c>
      <c r="AM326">
        <v>0</v>
      </c>
      <c r="AN326">
        <v>0</v>
      </c>
    </row>
    <row r="327" spans="1:40" x14ac:dyDescent="0.45">
      <c r="A327" s="3" t="s">
        <v>26</v>
      </c>
      <c r="B327" s="5">
        <v>45908</v>
      </c>
      <c r="C327" s="9" t="str">
        <f t="shared" si="113"/>
        <v>Sep-2025</v>
      </c>
      <c r="D327" s="5" t="str">
        <f t="shared" si="114"/>
        <v>2025-Q3</v>
      </c>
      <c r="E327" s="5">
        <v>45916</v>
      </c>
      <c r="F327" s="9">
        <f t="shared" si="126"/>
        <v>8</v>
      </c>
      <c r="G327" s="9" t="str">
        <f t="shared" si="127"/>
        <v>NOT ACHIEVED</v>
      </c>
      <c r="H327" s="3" t="s">
        <v>641</v>
      </c>
      <c r="I327" s="3" t="s">
        <v>646</v>
      </c>
      <c r="J327" s="3" t="s">
        <v>660</v>
      </c>
      <c r="K327" s="13" t="str">
        <f t="shared" si="128"/>
        <v>Asia &gt; Japan &gt; Osaka</v>
      </c>
      <c r="L327" s="3" t="s">
        <v>695</v>
      </c>
      <c r="M327" s="3" t="s">
        <v>704</v>
      </c>
      <c r="N327" s="13" t="str">
        <f t="shared" si="115"/>
        <v>Distributor</v>
      </c>
      <c r="O327" s="3" t="s">
        <v>706</v>
      </c>
      <c r="P327" s="3" t="s">
        <v>724</v>
      </c>
      <c r="Q327" s="13" t="str">
        <f t="shared" si="116"/>
        <v>High</v>
      </c>
      <c r="R327" s="3" t="s">
        <v>745</v>
      </c>
      <c r="S327" s="7">
        <v>1225.57</v>
      </c>
      <c r="T327" s="7">
        <f t="shared" si="129"/>
        <v>1409.4054999999998</v>
      </c>
      <c r="U327" s="7">
        <v>2705.57</v>
      </c>
      <c r="V327" s="7">
        <f t="shared" si="117"/>
        <v>2705.57</v>
      </c>
      <c r="W327" s="7">
        <f t="shared" si="130"/>
        <v>3111.4054999999998</v>
      </c>
      <c r="X327" s="16">
        <v>0.183</v>
      </c>
      <c r="Y327" t="str">
        <f t="shared" si="118"/>
        <v>OK</v>
      </c>
      <c r="Z327" s="16">
        <f t="shared" si="119"/>
        <v>0.183</v>
      </c>
      <c r="AA327" s="16">
        <f t="shared" si="131"/>
        <v>0.183</v>
      </c>
      <c r="AB327" s="9">
        <v>16</v>
      </c>
      <c r="AC327" s="9">
        <f t="shared" si="132"/>
        <v>19.2</v>
      </c>
      <c r="AD327" s="9">
        <f t="shared" si="120"/>
        <v>35367.211040000002</v>
      </c>
      <c r="AE327" s="9">
        <f t="shared" si="133"/>
        <v>70671.219964799995</v>
      </c>
      <c r="AF327" s="9">
        <f t="shared" si="121"/>
        <v>19609.12</v>
      </c>
      <c r="AG327" s="9">
        <f t="shared" si="122"/>
        <v>15758.091040000003</v>
      </c>
      <c r="AH327" s="9">
        <f t="shared" si="134"/>
        <v>51062.0999648</v>
      </c>
      <c r="AI327">
        <f t="shared" si="123"/>
        <v>0.44555650775453404</v>
      </c>
      <c r="AJ327" s="5">
        <f t="shared" si="124"/>
        <v>44928</v>
      </c>
      <c r="AK327" t="str">
        <f t="shared" si="125"/>
        <v>Jan-2023</v>
      </c>
      <c r="AL327">
        <v>0</v>
      </c>
      <c r="AM327">
        <v>0</v>
      </c>
      <c r="AN327">
        <v>0</v>
      </c>
    </row>
    <row r="328" spans="1:40" x14ac:dyDescent="0.45">
      <c r="A328" s="3" t="s">
        <v>70</v>
      </c>
      <c r="B328" s="5">
        <v>45910</v>
      </c>
      <c r="C328" s="9" t="str">
        <f t="shared" si="113"/>
        <v>Sep-2025</v>
      </c>
      <c r="D328" s="5" t="str">
        <f t="shared" si="114"/>
        <v>2025-Q3</v>
      </c>
      <c r="E328" s="5">
        <v>45912</v>
      </c>
      <c r="F328" s="9">
        <f t="shared" si="126"/>
        <v>2</v>
      </c>
      <c r="G328" s="9" t="str">
        <f t="shared" si="127"/>
        <v>ACHIEVED</v>
      </c>
      <c r="H328" s="3" t="s">
        <v>641</v>
      </c>
      <c r="I328" s="3" t="s">
        <v>646</v>
      </c>
      <c r="J328" s="3" t="s">
        <v>683</v>
      </c>
      <c r="K328" s="13" t="str">
        <f t="shared" si="128"/>
        <v>Asia &gt; Japan &gt; Tokyo</v>
      </c>
      <c r="L328" s="3" t="s">
        <v>698</v>
      </c>
      <c r="M328" s="3" t="s">
        <v>702</v>
      </c>
      <c r="N328" s="13" t="str">
        <f t="shared" si="115"/>
        <v>Online</v>
      </c>
      <c r="O328" s="3" t="s">
        <v>713</v>
      </c>
      <c r="P328" s="3" t="s">
        <v>721</v>
      </c>
      <c r="Q328" s="13" t="str">
        <f t="shared" si="116"/>
        <v>High</v>
      </c>
      <c r="R328" s="3" t="s">
        <v>789</v>
      </c>
      <c r="S328" s="7">
        <v>1470.15</v>
      </c>
      <c r="T328" s="7">
        <f t="shared" si="129"/>
        <v>1690.6724999999999</v>
      </c>
      <c r="U328" s="7">
        <v>2593.7800000000002</v>
      </c>
      <c r="V328" s="7">
        <f t="shared" si="117"/>
        <v>2593.7800000000002</v>
      </c>
      <c r="W328" s="7">
        <f t="shared" si="130"/>
        <v>2982.8470000000002</v>
      </c>
      <c r="X328" s="16">
        <v>0.11</v>
      </c>
      <c r="Y328" t="str">
        <f t="shared" si="118"/>
        <v>OK</v>
      </c>
      <c r="Z328" s="16">
        <f t="shared" si="119"/>
        <v>0.11</v>
      </c>
      <c r="AA328" s="16">
        <f t="shared" si="131"/>
        <v>0.11</v>
      </c>
      <c r="AB328" s="9">
        <v>12</v>
      </c>
      <c r="AC328" s="9">
        <f t="shared" si="132"/>
        <v>14.399999999999999</v>
      </c>
      <c r="AD328" s="9">
        <f t="shared" si="120"/>
        <v>27701.570400000001</v>
      </c>
      <c r="AE328" s="9">
        <f t="shared" si="133"/>
        <v>47677.826448000007</v>
      </c>
      <c r="AF328" s="9">
        <f t="shared" si="121"/>
        <v>17641.800000000003</v>
      </c>
      <c r="AG328" s="9">
        <f t="shared" si="122"/>
        <v>10059.770399999998</v>
      </c>
      <c r="AH328" s="9">
        <f t="shared" si="134"/>
        <v>30036.026448000004</v>
      </c>
      <c r="AI328">
        <f t="shared" si="123"/>
        <v>0.36314801849645306</v>
      </c>
      <c r="AJ328" s="5">
        <f t="shared" si="124"/>
        <v>44928</v>
      </c>
      <c r="AK328" t="str">
        <f t="shared" si="125"/>
        <v>Jan-2023</v>
      </c>
      <c r="AL328">
        <v>0</v>
      </c>
      <c r="AM328">
        <v>0</v>
      </c>
      <c r="AN328">
        <v>0</v>
      </c>
    </row>
    <row r="329" spans="1:40" x14ac:dyDescent="0.45">
      <c r="A329" s="3" t="s">
        <v>76</v>
      </c>
      <c r="B329" s="5">
        <v>45434</v>
      </c>
      <c r="C329" s="9" t="str">
        <f t="shared" si="113"/>
        <v>May-2024</v>
      </c>
      <c r="D329" s="5" t="str">
        <f t="shared" si="114"/>
        <v>2024-Q2</v>
      </c>
      <c r="E329" s="5">
        <v>45449</v>
      </c>
      <c r="F329" s="9">
        <f t="shared" si="126"/>
        <v>15</v>
      </c>
      <c r="G329" s="9" t="str">
        <f t="shared" si="127"/>
        <v>NOT ACHIEVED</v>
      </c>
      <c r="H329" s="3" t="s">
        <v>641</v>
      </c>
      <c r="I329" s="3" t="s">
        <v>646</v>
      </c>
      <c r="J329" s="3" t="s">
        <v>688</v>
      </c>
      <c r="K329" s="13" t="str">
        <f t="shared" si="128"/>
        <v>Asia &gt; Japan &gt; Nagoya</v>
      </c>
      <c r="L329" s="3" t="s">
        <v>695</v>
      </c>
      <c r="M329" s="3" t="s">
        <v>704</v>
      </c>
      <c r="N329" s="13" t="str">
        <f t="shared" si="115"/>
        <v>Distributor</v>
      </c>
      <c r="O329" s="3" t="s">
        <v>706</v>
      </c>
      <c r="P329" s="3" t="s">
        <v>726</v>
      </c>
      <c r="Q329" s="13" t="str">
        <f t="shared" si="116"/>
        <v>Medium</v>
      </c>
      <c r="R329" s="3" t="s">
        <v>795</v>
      </c>
      <c r="S329" s="7">
        <v>673.88</v>
      </c>
      <c r="T329" s="7">
        <f t="shared" si="129"/>
        <v>774.96199999999999</v>
      </c>
      <c r="U329" s="7">
        <v>1228.01</v>
      </c>
      <c r="V329" s="7">
        <f t="shared" si="117"/>
        <v>1228.01</v>
      </c>
      <c r="W329" s="7">
        <f t="shared" si="130"/>
        <v>1412.2114999999999</v>
      </c>
      <c r="X329" s="16">
        <v>0.105</v>
      </c>
      <c r="Y329" t="str">
        <f t="shared" si="118"/>
        <v>OK</v>
      </c>
      <c r="Z329" s="16">
        <f t="shared" si="119"/>
        <v>0.105</v>
      </c>
      <c r="AA329" s="16">
        <f t="shared" si="131"/>
        <v>0.105</v>
      </c>
      <c r="AB329" s="9">
        <v>13</v>
      </c>
      <c r="AC329" s="9">
        <f t="shared" si="132"/>
        <v>15.6</v>
      </c>
      <c r="AD329" s="9">
        <f t="shared" si="120"/>
        <v>14287.896349999999</v>
      </c>
      <c r="AE329" s="9">
        <f t="shared" si="133"/>
        <v>24343.701836999997</v>
      </c>
      <c r="AF329" s="9">
        <f t="shared" si="121"/>
        <v>8760.44</v>
      </c>
      <c r="AG329" s="9">
        <f t="shared" si="122"/>
        <v>5527.4563499999986</v>
      </c>
      <c r="AH329" s="9">
        <f t="shared" si="134"/>
        <v>15583.261836999996</v>
      </c>
      <c r="AI329">
        <f t="shared" si="123"/>
        <v>0.38686285332689996</v>
      </c>
      <c r="AJ329" s="5">
        <f t="shared" si="124"/>
        <v>44928</v>
      </c>
      <c r="AK329" t="str">
        <f t="shared" si="125"/>
        <v>Jan-2023</v>
      </c>
      <c r="AL329">
        <v>0</v>
      </c>
      <c r="AM329">
        <v>0</v>
      </c>
      <c r="AN329">
        <v>0</v>
      </c>
    </row>
    <row r="330" spans="1:40" x14ac:dyDescent="0.45">
      <c r="A330" s="3" t="s">
        <v>98</v>
      </c>
      <c r="B330" s="5">
        <v>45106</v>
      </c>
      <c r="C330" s="9" t="str">
        <f t="shared" si="113"/>
        <v>Jun-2023</v>
      </c>
      <c r="D330" s="5" t="str">
        <f t="shared" si="114"/>
        <v>2023-Q2</v>
      </c>
      <c r="E330" s="5">
        <v>45109</v>
      </c>
      <c r="F330" s="9">
        <f t="shared" si="126"/>
        <v>3</v>
      </c>
      <c r="G330" s="9" t="str">
        <f t="shared" si="127"/>
        <v>ACHIEVED</v>
      </c>
      <c r="H330" s="3" t="s">
        <v>641</v>
      </c>
      <c r="I330" s="3" t="s">
        <v>646</v>
      </c>
      <c r="J330" s="3" t="s">
        <v>688</v>
      </c>
      <c r="K330" s="13" t="str">
        <f t="shared" si="128"/>
        <v>Asia &gt; Japan &gt; Nagoya</v>
      </c>
      <c r="L330" s="3" t="s">
        <v>696</v>
      </c>
      <c r="M330" s="3" t="s">
        <v>703</v>
      </c>
      <c r="N330" s="13" t="str">
        <f t="shared" si="115"/>
        <v>Marketplace</v>
      </c>
      <c r="O330" s="3" t="s">
        <v>715</v>
      </c>
      <c r="P330" s="3" t="s">
        <v>726</v>
      </c>
      <c r="Q330" s="13" t="str">
        <f t="shared" si="116"/>
        <v>Low</v>
      </c>
      <c r="R330" s="3" t="s">
        <v>817</v>
      </c>
      <c r="S330" s="7">
        <v>55.65</v>
      </c>
      <c r="T330" s="7">
        <f t="shared" si="129"/>
        <v>63.997499999999995</v>
      </c>
      <c r="U330" s="7">
        <v>83.57</v>
      </c>
      <c r="V330" s="7">
        <f t="shared" si="117"/>
        <v>83.57</v>
      </c>
      <c r="W330" s="7">
        <f t="shared" si="130"/>
        <v>96.105499999999978</v>
      </c>
      <c r="X330" s="16">
        <v>6.6000000000000003E-2</v>
      </c>
      <c r="Y330" t="str">
        <f t="shared" si="118"/>
        <v>OK</v>
      </c>
      <c r="Z330" s="16">
        <f t="shared" si="119"/>
        <v>6.6000000000000003E-2</v>
      </c>
      <c r="AA330" s="16">
        <f t="shared" si="131"/>
        <v>6.6000000000000003E-2</v>
      </c>
      <c r="AB330" s="9">
        <v>8</v>
      </c>
      <c r="AC330" s="9">
        <f t="shared" si="132"/>
        <v>9.6</v>
      </c>
      <c r="AD330" s="9">
        <f t="shared" si="120"/>
        <v>624.43503999999996</v>
      </c>
      <c r="AE330" s="9">
        <f t="shared" si="133"/>
        <v>983.50524479999979</v>
      </c>
      <c r="AF330" s="9">
        <f t="shared" si="121"/>
        <v>445.2</v>
      </c>
      <c r="AG330" s="9">
        <f t="shared" si="122"/>
        <v>179.23503999999997</v>
      </c>
      <c r="AH330" s="9">
        <f t="shared" si="134"/>
        <v>538.30524479999985</v>
      </c>
      <c r="AI330">
        <f t="shared" si="123"/>
        <v>0.2870355257449998</v>
      </c>
      <c r="AJ330" s="5">
        <f t="shared" si="124"/>
        <v>44928</v>
      </c>
      <c r="AK330" t="str">
        <f t="shared" si="125"/>
        <v>Jan-2023</v>
      </c>
      <c r="AL330">
        <v>0</v>
      </c>
      <c r="AM330">
        <v>0</v>
      </c>
      <c r="AN330">
        <v>0</v>
      </c>
    </row>
    <row r="331" spans="1:40" x14ac:dyDescent="0.45">
      <c r="A331" s="3" t="s">
        <v>99</v>
      </c>
      <c r="B331" s="5">
        <v>45775</v>
      </c>
      <c r="C331" s="9" t="str">
        <f t="shared" si="113"/>
        <v>Apr-2025</v>
      </c>
      <c r="D331" s="5" t="str">
        <f t="shared" si="114"/>
        <v>2025-Q2</v>
      </c>
      <c r="E331" s="5">
        <v>45792</v>
      </c>
      <c r="F331" s="9">
        <f t="shared" si="126"/>
        <v>17</v>
      </c>
      <c r="G331" s="9" t="str">
        <f t="shared" si="127"/>
        <v>NOT ACHIEVED</v>
      </c>
      <c r="H331" s="3" t="s">
        <v>641</v>
      </c>
      <c r="I331" s="3" t="s">
        <v>646</v>
      </c>
      <c r="J331" s="3" t="s">
        <v>688</v>
      </c>
      <c r="K331" s="13" t="str">
        <f t="shared" si="128"/>
        <v>Asia &gt; Japan &gt; Nagoya</v>
      </c>
      <c r="L331" s="3" t="s">
        <v>696</v>
      </c>
      <c r="M331" s="3" t="s">
        <v>705</v>
      </c>
      <c r="N331" s="13" t="str">
        <f t="shared" si="115"/>
        <v>Direct</v>
      </c>
      <c r="O331" s="3" t="s">
        <v>719</v>
      </c>
      <c r="P331" s="3" t="s">
        <v>723</v>
      </c>
      <c r="Q331" s="13" t="str">
        <f t="shared" si="116"/>
        <v>Medium</v>
      </c>
      <c r="R331" s="3" t="s">
        <v>818</v>
      </c>
      <c r="S331" s="7">
        <v>691.19</v>
      </c>
      <c r="T331" s="7">
        <f t="shared" si="129"/>
        <v>794.86850000000004</v>
      </c>
      <c r="U331" s="7">
        <v>1284.3</v>
      </c>
      <c r="V331" s="7">
        <f t="shared" si="117"/>
        <v>1284.3</v>
      </c>
      <c r="W331" s="7">
        <f t="shared" si="130"/>
        <v>1476.9449999999999</v>
      </c>
      <c r="X331" s="16">
        <v>7.3999999999999996E-2</v>
      </c>
      <c r="Y331" t="str">
        <f t="shared" si="118"/>
        <v>OK</v>
      </c>
      <c r="Z331" s="16">
        <f t="shared" si="119"/>
        <v>7.3999999999999996E-2</v>
      </c>
      <c r="AA331" s="16">
        <f t="shared" si="131"/>
        <v>7.3999999999999996E-2</v>
      </c>
      <c r="AB331" s="9">
        <v>7</v>
      </c>
      <c r="AC331" s="9">
        <f t="shared" si="132"/>
        <v>8.4</v>
      </c>
      <c r="AD331" s="9">
        <f t="shared" si="120"/>
        <v>8324.8326000000015</v>
      </c>
      <c r="AE331" s="9">
        <f t="shared" si="133"/>
        <v>13324.407012</v>
      </c>
      <c r="AF331" s="9">
        <f t="shared" si="121"/>
        <v>4838.33</v>
      </c>
      <c r="AG331" s="9">
        <f t="shared" si="122"/>
        <v>3486.5026000000016</v>
      </c>
      <c r="AH331" s="9">
        <f t="shared" si="134"/>
        <v>8486.0770119999997</v>
      </c>
      <c r="AI331">
        <f t="shared" si="123"/>
        <v>0.41880753253825198</v>
      </c>
      <c r="AJ331" s="5">
        <f t="shared" si="124"/>
        <v>44928</v>
      </c>
      <c r="AK331" t="str">
        <f t="shared" si="125"/>
        <v>Jan-2023</v>
      </c>
      <c r="AL331">
        <v>0</v>
      </c>
      <c r="AM331">
        <v>0</v>
      </c>
      <c r="AN331">
        <v>0</v>
      </c>
    </row>
    <row r="332" spans="1:40" x14ac:dyDescent="0.45">
      <c r="A332" s="3" t="s">
        <v>117</v>
      </c>
      <c r="B332" s="5">
        <v>45581</v>
      </c>
      <c r="C332" s="9" t="str">
        <f t="shared" si="113"/>
        <v>Oct-2024</v>
      </c>
      <c r="D332" s="5" t="str">
        <f t="shared" si="114"/>
        <v>2024-Q4</v>
      </c>
      <c r="E332" s="5">
        <v>45604</v>
      </c>
      <c r="F332" s="9">
        <f t="shared" si="126"/>
        <v>23</v>
      </c>
      <c r="G332" s="9" t="str">
        <f t="shared" si="127"/>
        <v>NOT ACHIEVED</v>
      </c>
      <c r="H332" s="3" t="s">
        <v>641</v>
      </c>
      <c r="I332" s="3" t="s">
        <v>646</v>
      </c>
      <c r="J332" s="3" t="s">
        <v>660</v>
      </c>
      <c r="K332" s="13" t="str">
        <f t="shared" si="128"/>
        <v>Asia &gt; Japan &gt; Osaka</v>
      </c>
      <c r="L332" s="3" t="s">
        <v>699</v>
      </c>
      <c r="M332" s="3" t="s">
        <v>701</v>
      </c>
      <c r="N332" s="13" t="str">
        <f t="shared" si="115"/>
        <v>Retail</v>
      </c>
      <c r="O332" s="3" t="s">
        <v>707</v>
      </c>
      <c r="P332" s="3" t="s">
        <v>723</v>
      </c>
      <c r="Q332" s="13" t="str">
        <f t="shared" si="116"/>
        <v>Low</v>
      </c>
      <c r="R332" s="3" t="s">
        <v>836</v>
      </c>
      <c r="S332" s="7">
        <v>82.14</v>
      </c>
      <c r="T332" s="7">
        <f t="shared" si="129"/>
        <v>94.460999999999999</v>
      </c>
      <c r="U332" s="7">
        <v>166.04</v>
      </c>
      <c r="V332" s="7">
        <f t="shared" si="117"/>
        <v>166.04</v>
      </c>
      <c r="W332" s="7">
        <f t="shared" si="130"/>
        <v>190.94599999999997</v>
      </c>
      <c r="X332" s="16">
        <v>0</v>
      </c>
      <c r="Y332" t="str">
        <f t="shared" si="118"/>
        <v>OK</v>
      </c>
      <c r="Z332" s="16">
        <f t="shared" si="119"/>
        <v>0</v>
      </c>
      <c r="AA332" s="16">
        <f t="shared" si="131"/>
        <v>0</v>
      </c>
      <c r="AB332" s="9">
        <v>10</v>
      </c>
      <c r="AC332" s="9">
        <f t="shared" si="132"/>
        <v>12</v>
      </c>
      <c r="AD332" s="9">
        <f t="shared" si="120"/>
        <v>1660.3999999999999</v>
      </c>
      <c r="AE332" s="9">
        <f t="shared" si="133"/>
        <v>2291.3519999999999</v>
      </c>
      <c r="AF332" s="9">
        <f t="shared" si="121"/>
        <v>821.4</v>
      </c>
      <c r="AG332" s="9">
        <f t="shared" si="122"/>
        <v>838.99999999999989</v>
      </c>
      <c r="AH332" s="9">
        <f t="shared" si="134"/>
        <v>1469.9519999999998</v>
      </c>
      <c r="AI332">
        <f t="shared" si="123"/>
        <v>0.50529992772825827</v>
      </c>
      <c r="AJ332" s="5">
        <f t="shared" si="124"/>
        <v>44928</v>
      </c>
      <c r="AK332" t="str">
        <f t="shared" si="125"/>
        <v>Jan-2023</v>
      </c>
      <c r="AL332">
        <v>0</v>
      </c>
      <c r="AM332">
        <v>0</v>
      </c>
      <c r="AN332">
        <v>0</v>
      </c>
    </row>
    <row r="333" spans="1:40" x14ac:dyDescent="0.45">
      <c r="A333" s="3" t="s">
        <v>123</v>
      </c>
      <c r="B333" s="5">
        <v>45250</v>
      </c>
      <c r="C333" s="9" t="str">
        <f t="shared" si="113"/>
        <v>Nov-2023</v>
      </c>
      <c r="D333" s="5" t="str">
        <f t="shared" si="114"/>
        <v>2023-Q4</v>
      </c>
      <c r="E333" s="5">
        <v>45265</v>
      </c>
      <c r="F333" s="9">
        <f t="shared" si="126"/>
        <v>15</v>
      </c>
      <c r="G333" s="9" t="str">
        <f t="shared" si="127"/>
        <v>NOT ACHIEVED</v>
      </c>
      <c r="H333" s="3" t="s">
        <v>641</v>
      </c>
      <c r="I333" s="3" t="s">
        <v>646</v>
      </c>
      <c r="J333" s="3" t="s">
        <v>683</v>
      </c>
      <c r="K333" s="13" t="str">
        <f t="shared" si="128"/>
        <v>Asia &gt; Japan &gt; Tokyo</v>
      </c>
      <c r="L333" s="3" t="s">
        <v>700</v>
      </c>
      <c r="M333" s="3" t="s">
        <v>701</v>
      </c>
      <c r="N333" s="13" t="str">
        <f t="shared" si="115"/>
        <v>Retail</v>
      </c>
      <c r="O333" s="3" t="s">
        <v>710</v>
      </c>
      <c r="P333" s="3" t="s">
        <v>723</v>
      </c>
      <c r="Q333" s="13" t="str">
        <f t="shared" si="116"/>
        <v>Low</v>
      </c>
      <c r="R333" s="3" t="s">
        <v>842</v>
      </c>
      <c r="S333" s="7">
        <v>354.24</v>
      </c>
      <c r="T333" s="7">
        <f t="shared" si="129"/>
        <v>407.37599999999998</v>
      </c>
      <c r="U333" s="7">
        <v>249.87</v>
      </c>
      <c r="V333" s="7">
        <f t="shared" si="117"/>
        <v>249.87</v>
      </c>
      <c r="W333" s="7">
        <f t="shared" si="130"/>
        <v>287.35050000000001</v>
      </c>
      <c r="X333" s="16">
        <v>0</v>
      </c>
      <c r="Y333" t="str">
        <f t="shared" si="118"/>
        <v>OK</v>
      </c>
      <c r="Z333" s="16">
        <f t="shared" si="119"/>
        <v>0</v>
      </c>
      <c r="AA333" s="16">
        <f t="shared" si="131"/>
        <v>0</v>
      </c>
      <c r="AB333" s="9">
        <v>6</v>
      </c>
      <c r="AC333" s="9">
        <f t="shared" si="132"/>
        <v>7.1999999999999993</v>
      </c>
      <c r="AD333" s="9">
        <f t="shared" si="120"/>
        <v>1499.22</v>
      </c>
      <c r="AE333" s="9">
        <f t="shared" si="133"/>
        <v>2068.9236000000001</v>
      </c>
      <c r="AF333" s="9">
        <f t="shared" si="121"/>
        <v>2125.44</v>
      </c>
      <c r="AG333" s="9">
        <f t="shared" si="122"/>
        <v>-626.22</v>
      </c>
      <c r="AH333" s="9">
        <f t="shared" si="134"/>
        <v>-56.516399999999976</v>
      </c>
      <c r="AI333">
        <f t="shared" si="123"/>
        <v>-0.41769720254532355</v>
      </c>
      <c r="AJ333" s="5">
        <f t="shared" si="124"/>
        <v>44928</v>
      </c>
      <c r="AK333" t="str">
        <f t="shared" si="125"/>
        <v>Jan-2023</v>
      </c>
      <c r="AL333">
        <v>0</v>
      </c>
      <c r="AM333">
        <v>0</v>
      </c>
      <c r="AN333">
        <v>0</v>
      </c>
    </row>
    <row r="334" spans="1:40" x14ac:dyDescent="0.45">
      <c r="A334" s="3" t="s">
        <v>161</v>
      </c>
      <c r="B334" s="5">
        <v>45267</v>
      </c>
      <c r="C334" s="9" t="str">
        <f t="shared" si="113"/>
        <v>Dec-2023</v>
      </c>
      <c r="D334" s="5" t="str">
        <f t="shared" si="114"/>
        <v>2023-Q4</v>
      </c>
      <c r="E334" s="5">
        <v>45272</v>
      </c>
      <c r="F334" s="9">
        <f t="shared" si="126"/>
        <v>5</v>
      </c>
      <c r="G334" s="9" t="str">
        <f t="shared" si="127"/>
        <v>ACHIEVED</v>
      </c>
      <c r="H334" s="3" t="s">
        <v>641</v>
      </c>
      <c r="I334" s="3" t="s">
        <v>646</v>
      </c>
      <c r="J334" s="3" t="s">
        <v>683</v>
      </c>
      <c r="K334" s="13" t="str">
        <f t="shared" si="128"/>
        <v>Asia &gt; Japan &gt; Tokyo</v>
      </c>
      <c r="L334" s="3" t="s">
        <v>697</v>
      </c>
      <c r="M334" s="3" t="s">
        <v>703</v>
      </c>
      <c r="N334" s="13" t="str">
        <f t="shared" si="115"/>
        <v>Marketplace</v>
      </c>
      <c r="O334" s="3" t="s">
        <v>716</v>
      </c>
      <c r="P334" s="3" t="s">
        <v>722</v>
      </c>
      <c r="Q334" s="13" t="str">
        <f t="shared" si="116"/>
        <v>Medium</v>
      </c>
      <c r="R334" s="3" t="s">
        <v>880</v>
      </c>
      <c r="S334" s="7">
        <v>1097.5899999999999</v>
      </c>
      <c r="T334" s="7">
        <f t="shared" si="129"/>
        <v>1262.2284999999997</v>
      </c>
      <c r="U334" s="7">
        <v>845.55</v>
      </c>
      <c r="V334" s="7">
        <f t="shared" si="117"/>
        <v>845.55</v>
      </c>
      <c r="W334" s="7">
        <f t="shared" si="130"/>
        <v>972.38249999999982</v>
      </c>
      <c r="X334" s="16">
        <v>0.184</v>
      </c>
      <c r="Y334" t="str">
        <f t="shared" si="118"/>
        <v>OK</v>
      </c>
      <c r="Z334" s="16">
        <f t="shared" si="119"/>
        <v>0.184</v>
      </c>
      <c r="AA334" s="16">
        <f t="shared" si="131"/>
        <v>0.184</v>
      </c>
      <c r="AB334" s="9">
        <v>6</v>
      </c>
      <c r="AC334" s="9">
        <f t="shared" si="132"/>
        <v>7.1999999999999993</v>
      </c>
      <c r="AD334" s="9">
        <f t="shared" si="120"/>
        <v>4139.8127999999997</v>
      </c>
      <c r="AE334" s="9">
        <f t="shared" si="133"/>
        <v>8289.3663359999973</v>
      </c>
      <c r="AF334" s="9">
        <f t="shared" si="121"/>
        <v>6585.5399999999991</v>
      </c>
      <c r="AG334" s="9">
        <f t="shared" si="122"/>
        <v>-2445.7271999999994</v>
      </c>
      <c r="AH334" s="9">
        <f t="shared" si="134"/>
        <v>1703.8263359999983</v>
      </c>
      <c r="AI334">
        <f t="shared" si="123"/>
        <v>-0.59078207594314402</v>
      </c>
      <c r="AJ334" s="5">
        <f t="shared" si="124"/>
        <v>44928</v>
      </c>
      <c r="AK334" t="str">
        <f t="shared" si="125"/>
        <v>Jan-2023</v>
      </c>
      <c r="AL334">
        <v>0</v>
      </c>
      <c r="AM334">
        <v>0</v>
      </c>
      <c r="AN334">
        <v>0</v>
      </c>
    </row>
    <row r="335" spans="1:40" x14ac:dyDescent="0.45">
      <c r="A335" s="3" t="s">
        <v>164</v>
      </c>
      <c r="B335" s="5">
        <v>45511</v>
      </c>
      <c r="C335" s="9" t="str">
        <f t="shared" si="113"/>
        <v>Aug-2024</v>
      </c>
      <c r="D335" s="5" t="str">
        <f t="shared" si="114"/>
        <v>2024-Q3</v>
      </c>
      <c r="E335" s="5">
        <v>45521</v>
      </c>
      <c r="F335" s="9">
        <f t="shared" si="126"/>
        <v>10</v>
      </c>
      <c r="G335" s="9" t="str">
        <f t="shared" si="127"/>
        <v>NOT ACHIEVED</v>
      </c>
      <c r="H335" s="3" t="s">
        <v>641</v>
      </c>
      <c r="I335" s="3" t="s">
        <v>646</v>
      </c>
      <c r="J335" s="3" t="s">
        <v>660</v>
      </c>
      <c r="K335" s="13" t="str">
        <f t="shared" si="128"/>
        <v>Asia &gt; Japan &gt; Osaka</v>
      </c>
      <c r="L335" s="3" t="s">
        <v>698</v>
      </c>
      <c r="M335" s="3" t="s">
        <v>702</v>
      </c>
      <c r="N335" s="13" t="str">
        <f t="shared" si="115"/>
        <v>Online</v>
      </c>
      <c r="O335" s="3" t="s">
        <v>717</v>
      </c>
      <c r="P335" s="3" t="s">
        <v>723</v>
      </c>
      <c r="Q335" s="13" t="str">
        <f t="shared" si="116"/>
        <v>Low</v>
      </c>
      <c r="R335" s="3" t="s">
        <v>883</v>
      </c>
      <c r="S335" s="7">
        <v>436.58</v>
      </c>
      <c r="T335" s="7">
        <f t="shared" si="129"/>
        <v>502.06699999999995</v>
      </c>
      <c r="U335" s="7">
        <v>527.48</v>
      </c>
      <c r="V335" s="7">
        <f t="shared" si="117"/>
        <v>527.48</v>
      </c>
      <c r="W335" s="7">
        <f t="shared" si="130"/>
        <v>606.60199999999998</v>
      </c>
      <c r="X335" s="16">
        <v>0.111</v>
      </c>
      <c r="Y335" t="str">
        <f t="shared" si="118"/>
        <v>OK</v>
      </c>
      <c r="Z335" s="16">
        <f t="shared" si="119"/>
        <v>0.111</v>
      </c>
      <c r="AA335" s="16">
        <f t="shared" si="131"/>
        <v>0.111</v>
      </c>
      <c r="AB335" s="9">
        <v>19</v>
      </c>
      <c r="AC335" s="9">
        <f t="shared" si="132"/>
        <v>22.8</v>
      </c>
      <c r="AD335" s="9">
        <f t="shared" si="120"/>
        <v>8909.6646800000017</v>
      </c>
      <c r="AE335" s="9">
        <f t="shared" si="133"/>
        <v>15365.713941599999</v>
      </c>
      <c r="AF335" s="9">
        <f t="shared" si="121"/>
        <v>8295.02</v>
      </c>
      <c r="AG335" s="9">
        <f t="shared" si="122"/>
        <v>614.64468000000124</v>
      </c>
      <c r="AH335" s="9">
        <f t="shared" si="134"/>
        <v>7070.6939415999987</v>
      </c>
      <c r="AI335">
        <f t="shared" si="123"/>
        <v>6.8986286473802644E-2</v>
      </c>
      <c r="AJ335" s="5">
        <f t="shared" si="124"/>
        <v>44928</v>
      </c>
      <c r="AK335" t="str">
        <f t="shared" si="125"/>
        <v>Jan-2023</v>
      </c>
      <c r="AL335">
        <v>0</v>
      </c>
      <c r="AM335">
        <v>0</v>
      </c>
      <c r="AN335">
        <v>0</v>
      </c>
    </row>
    <row r="336" spans="1:40" x14ac:dyDescent="0.45">
      <c r="A336" s="3" t="s">
        <v>172</v>
      </c>
      <c r="B336" s="5">
        <v>45010</v>
      </c>
      <c r="C336" s="9" t="str">
        <f t="shared" si="113"/>
        <v>Mar-2023</v>
      </c>
      <c r="D336" s="5" t="str">
        <f t="shared" si="114"/>
        <v>2023-Q1</v>
      </c>
      <c r="E336" s="5">
        <v>45011</v>
      </c>
      <c r="F336" s="9">
        <f t="shared" si="126"/>
        <v>1</v>
      </c>
      <c r="G336" s="9" t="str">
        <f t="shared" si="127"/>
        <v>ACHIEVED</v>
      </c>
      <c r="H336" s="3" t="s">
        <v>641</v>
      </c>
      <c r="I336" s="3" t="s">
        <v>646</v>
      </c>
      <c r="J336" s="3" t="s">
        <v>660</v>
      </c>
      <c r="K336" s="13" t="str">
        <f t="shared" si="128"/>
        <v>Asia &gt; Japan &gt; Osaka</v>
      </c>
      <c r="L336" s="3" t="s">
        <v>699</v>
      </c>
      <c r="M336" s="3" t="s">
        <v>704</v>
      </c>
      <c r="N336" s="13" t="str">
        <f t="shared" si="115"/>
        <v>Distributor</v>
      </c>
      <c r="O336" s="3" t="s">
        <v>708</v>
      </c>
      <c r="P336" s="3" t="s">
        <v>726</v>
      </c>
      <c r="Q336" s="13" t="str">
        <f t="shared" si="116"/>
        <v>Low</v>
      </c>
      <c r="R336" s="3" t="s">
        <v>891</v>
      </c>
      <c r="S336" s="7">
        <v>135.12</v>
      </c>
      <c r="T336" s="7">
        <f t="shared" si="129"/>
        <v>155.38800000000001</v>
      </c>
      <c r="U336" s="7">
        <v>301.7</v>
      </c>
      <c r="V336" s="7">
        <f t="shared" si="117"/>
        <v>301.7</v>
      </c>
      <c r="W336" s="7">
        <f t="shared" si="130"/>
        <v>346.95499999999998</v>
      </c>
      <c r="X336" s="16">
        <v>0.14000000000000001</v>
      </c>
      <c r="Y336" t="str">
        <f t="shared" si="118"/>
        <v>OK</v>
      </c>
      <c r="Z336" s="16">
        <f t="shared" si="119"/>
        <v>0.14000000000000001</v>
      </c>
      <c r="AA336" s="16">
        <f t="shared" si="131"/>
        <v>0.14000000000000001</v>
      </c>
      <c r="AB336" s="9">
        <v>47</v>
      </c>
      <c r="AC336" s="9">
        <f t="shared" si="132"/>
        <v>56.4</v>
      </c>
      <c r="AD336" s="9">
        <f t="shared" si="120"/>
        <v>12194.714</v>
      </c>
      <c r="AE336" s="9">
        <f t="shared" si="133"/>
        <v>22307.81868</v>
      </c>
      <c r="AF336" s="9">
        <f t="shared" si="121"/>
        <v>6350.64</v>
      </c>
      <c r="AG336" s="9">
        <f t="shared" si="122"/>
        <v>5844.0739999999996</v>
      </c>
      <c r="AH336" s="9">
        <f t="shared" si="134"/>
        <v>15957.178680000001</v>
      </c>
      <c r="AI336">
        <f t="shared" si="123"/>
        <v>0.47923009920527859</v>
      </c>
      <c r="AJ336" s="5">
        <f t="shared" si="124"/>
        <v>44928</v>
      </c>
      <c r="AK336" t="str">
        <f t="shared" si="125"/>
        <v>Jan-2023</v>
      </c>
      <c r="AL336">
        <v>0</v>
      </c>
      <c r="AM336">
        <v>0</v>
      </c>
      <c r="AN336">
        <v>0</v>
      </c>
    </row>
    <row r="337" spans="1:40" x14ac:dyDescent="0.45">
      <c r="A337" s="3" t="s">
        <v>179</v>
      </c>
      <c r="B337" s="5">
        <v>45488</v>
      </c>
      <c r="C337" s="9" t="str">
        <f t="shared" si="113"/>
        <v>Jul-2024</v>
      </c>
      <c r="D337" s="5" t="str">
        <f t="shared" si="114"/>
        <v>2024-Q3</v>
      </c>
      <c r="E337" s="5">
        <v>45488</v>
      </c>
      <c r="F337" s="9">
        <f t="shared" si="126"/>
        <v>0</v>
      </c>
      <c r="G337" s="9" t="str">
        <f t="shared" si="127"/>
        <v>ACHIEVED</v>
      </c>
      <c r="H337" s="3" t="s">
        <v>641</v>
      </c>
      <c r="I337" s="3" t="s">
        <v>646</v>
      </c>
      <c r="J337" s="3" t="s">
        <v>683</v>
      </c>
      <c r="K337" s="13" t="str">
        <f t="shared" si="128"/>
        <v>Asia &gt; Japan &gt; Tokyo</v>
      </c>
      <c r="L337" s="3" t="s">
        <v>699</v>
      </c>
      <c r="M337" s="3" t="s">
        <v>703</v>
      </c>
      <c r="N337" s="13" t="str">
        <f t="shared" si="115"/>
        <v>Marketplace</v>
      </c>
      <c r="O337" s="3" t="s">
        <v>709</v>
      </c>
      <c r="P337" s="3" t="s">
        <v>727</v>
      </c>
      <c r="Q337" s="13" t="str">
        <f t="shared" si="116"/>
        <v>Medium</v>
      </c>
      <c r="R337" s="3" t="s">
        <v>898</v>
      </c>
      <c r="S337" s="7">
        <v>801.77</v>
      </c>
      <c r="T337" s="7">
        <f t="shared" si="129"/>
        <v>922.03549999999996</v>
      </c>
      <c r="U337" s="7">
        <v>1218.92</v>
      </c>
      <c r="V337" s="7">
        <f t="shared" si="117"/>
        <v>1218.92</v>
      </c>
      <c r="W337" s="7">
        <f t="shared" si="130"/>
        <v>1401.758</v>
      </c>
      <c r="X337" s="16">
        <v>0.254</v>
      </c>
      <c r="Y337" t="str">
        <f t="shared" si="118"/>
        <v>OK</v>
      </c>
      <c r="Z337" s="16">
        <f t="shared" si="119"/>
        <v>0.254</v>
      </c>
      <c r="AA337" s="16">
        <f t="shared" si="131"/>
        <v>0.25</v>
      </c>
      <c r="AB337" s="9">
        <v>16</v>
      </c>
      <c r="AC337" s="9">
        <f t="shared" si="132"/>
        <v>19.2</v>
      </c>
      <c r="AD337" s="9">
        <f t="shared" si="120"/>
        <v>14549.029120000001</v>
      </c>
      <c r="AE337" s="9">
        <f t="shared" si="133"/>
        <v>33642.192000000003</v>
      </c>
      <c r="AF337" s="9">
        <f t="shared" si="121"/>
        <v>12828.32</v>
      </c>
      <c r="AG337" s="9">
        <f t="shared" si="122"/>
        <v>1720.7091200000013</v>
      </c>
      <c r="AH337" s="9">
        <f t="shared" si="134"/>
        <v>20813.872000000003</v>
      </c>
      <c r="AI337">
        <f t="shared" si="123"/>
        <v>0.11826968698788344</v>
      </c>
      <c r="AJ337" s="5">
        <f t="shared" si="124"/>
        <v>44928</v>
      </c>
      <c r="AK337" t="str">
        <f t="shared" si="125"/>
        <v>Jan-2023</v>
      </c>
      <c r="AL337">
        <v>0</v>
      </c>
      <c r="AM337">
        <v>0</v>
      </c>
      <c r="AN337">
        <v>0</v>
      </c>
    </row>
    <row r="338" spans="1:40" x14ac:dyDescent="0.45">
      <c r="A338" s="3" t="s">
        <v>180</v>
      </c>
      <c r="B338" s="5">
        <v>45190</v>
      </c>
      <c r="C338" s="9" t="str">
        <f t="shared" si="113"/>
        <v>Sep-2023</v>
      </c>
      <c r="D338" s="5" t="str">
        <f t="shared" si="114"/>
        <v>2023-Q3</v>
      </c>
      <c r="E338" s="5">
        <v>45209</v>
      </c>
      <c r="F338" s="9">
        <f t="shared" si="126"/>
        <v>19</v>
      </c>
      <c r="G338" s="9" t="str">
        <f t="shared" si="127"/>
        <v>NOT ACHIEVED</v>
      </c>
      <c r="H338" s="3" t="s">
        <v>641</v>
      </c>
      <c r="I338" s="3" t="s">
        <v>646</v>
      </c>
      <c r="J338" s="3" t="s">
        <v>683</v>
      </c>
      <c r="K338" s="13" t="str">
        <f t="shared" si="128"/>
        <v>Asia &gt; Japan &gt; Tokyo</v>
      </c>
      <c r="L338" s="3" t="s">
        <v>696</v>
      </c>
      <c r="M338" s="3" t="s">
        <v>702</v>
      </c>
      <c r="N338" s="13" t="str">
        <f t="shared" si="115"/>
        <v>Online</v>
      </c>
      <c r="O338" s="3" t="s">
        <v>720</v>
      </c>
      <c r="P338" s="3" t="s">
        <v>721</v>
      </c>
      <c r="Q338" s="13" t="str">
        <f t="shared" si="116"/>
        <v>High</v>
      </c>
      <c r="R338" s="3" t="s">
        <v>899</v>
      </c>
      <c r="S338" s="7">
        <v>845.63</v>
      </c>
      <c r="T338" s="7">
        <f t="shared" si="129"/>
        <v>972.47449999999992</v>
      </c>
      <c r="U338" s="7">
        <v>2062.12</v>
      </c>
      <c r="V338" s="7">
        <f t="shared" si="117"/>
        <v>2062.12</v>
      </c>
      <c r="W338" s="7">
        <f t="shared" si="130"/>
        <v>2371.4379999999996</v>
      </c>
      <c r="X338" s="16">
        <v>0.13400000000000001</v>
      </c>
      <c r="Y338" t="str">
        <f t="shared" si="118"/>
        <v>OK</v>
      </c>
      <c r="Z338" s="16">
        <f t="shared" si="119"/>
        <v>0.13400000000000001</v>
      </c>
      <c r="AA338" s="16">
        <f t="shared" si="131"/>
        <v>0.13400000000000001</v>
      </c>
      <c r="AB338" s="9">
        <v>5</v>
      </c>
      <c r="AC338" s="9">
        <f t="shared" si="132"/>
        <v>6</v>
      </c>
      <c r="AD338" s="9">
        <f t="shared" si="120"/>
        <v>8928.9795999999988</v>
      </c>
      <c r="AE338" s="9">
        <f t="shared" si="133"/>
        <v>16135.264151999994</v>
      </c>
      <c r="AF338" s="9">
        <f t="shared" si="121"/>
        <v>4228.1499999999996</v>
      </c>
      <c r="AG338" s="9">
        <f t="shared" si="122"/>
        <v>4700.8295999999991</v>
      </c>
      <c r="AH338" s="9">
        <f t="shared" si="134"/>
        <v>11907.114151999995</v>
      </c>
      <c r="AI338">
        <f t="shared" si="123"/>
        <v>0.52646884757133949</v>
      </c>
      <c r="AJ338" s="5">
        <f t="shared" si="124"/>
        <v>44928</v>
      </c>
      <c r="AK338" t="str">
        <f t="shared" si="125"/>
        <v>Jan-2023</v>
      </c>
      <c r="AL338">
        <v>0</v>
      </c>
      <c r="AM338">
        <v>0</v>
      </c>
      <c r="AN338">
        <v>0</v>
      </c>
    </row>
    <row r="339" spans="1:40" x14ac:dyDescent="0.45">
      <c r="A339" s="3" t="s">
        <v>191</v>
      </c>
      <c r="B339" s="5">
        <v>45690</v>
      </c>
      <c r="C339" s="9" t="str">
        <f t="shared" si="113"/>
        <v>Feb-2025</v>
      </c>
      <c r="D339" s="5" t="str">
        <f t="shared" si="114"/>
        <v>2025-Q1</v>
      </c>
      <c r="E339" s="5">
        <v>45720</v>
      </c>
      <c r="F339" s="9">
        <f t="shared" si="126"/>
        <v>30</v>
      </c>
      <c r="G339" s="9" t="str">
        <f t="shared" si="127"/>
        <v>NOT ACHIEVED</v>
      </c>
      <c r="H339" s="3" t="s">
        <v>641</v>
      </c>
      <c r="I339" s="3" t="s">
        <v>646</v>
      </c>
      <c r="J339" s="3" t="s">
        <v>660</v>
      </c>
      <c r="K339" s="13" t="str">
        <f t="shared" si="128"/>
        <v>Asia &gt; Japan &gt; Osaka</v>
      </c>
      <c r="L339" s="3" t="s">
        <v>696</v>
      </c>
      <c r="M339" s="3" t="s">
        <v>704</v>
      </c>
      <c r="N339" s="13" t="str">
        <f t="shared" si="115"/>
        <v>Distributor</v>
      </c>
      <c r="O339" s="3" t="s">
        <v>710</v>
      </c>
      <c r="P339" s="3" t="s">
        <v>727</v>
      </c>
      <c r="Q339" s="13" t="str">
        <f t="shared" si="116"/>
        <v>High</v>
      </c>
      <c r="R339" s="3" t="s">
        <v>910</v>
      </c>
      <c r="S339" s="7">
        <v>766.59</v>
      </c>
      <c r="T339" s="7">
        <f t="shared" si="129"/>
        <v>881.57849999999996</v>
      </c>
      <c r="U339" s="7">
        <v>1912.8</v>
      </c>
      <c r="V339" s="7">
        <f t="shared" si="117"/>
        <v>1912.8</v>
      </c>
      <c r="W339" s="7">
        <f t="shared" si="130"/>
        <v>2199.7199999999998</v>
      </c>
      <c r="X339" s="16">
        <v>0.19600000000000001</v>
      </c>
      <c r="Y339" t="str">
        <f t="shared" si="118"/>
        <v>OK</v>
      </c>
      <c r="Z339" s="16">
        <f t="shared" si="119"/>
        <v>0.19600000000000001</v>
      </c>
      <c r="AA339" s="16">
        <f t="shared" si="131"/>
        <v>0.19600000000000001</v>
      </c>
      <c r="AB339" s="9">
        <v>5</v>
      </c>
      <c r="AC339" s="9">
        <f t="shared" si="132"/>
        <v>6</v>
      </c>
      <c r="AD339" s="9">
        <f t="shared" si="120"/>
        <v>7689.4560000000001</v>
      </c>
      <c r="AE339" s="9">
        <f t="shared" si="133"/>
        <v>15785.190719999999</v>
      </c>
      <c r="AF339" s="9">
        <f t="shared" si="121"/>
        <v>3832.9500000000003</v>
      </c>
      <c r="AG339" s="9">
        <f t="shared" si="122"/>
        <v>3856.5059999999999</v>
      </c>
      <c r="AH339" s="9">
        <f t="shared" si="134"/>
        <v>11952.240719999998</v>
      </c>
      <c r="AI339">
        <f t="shared" si="123"/>
        <v>0.50153170783472845</v>
      </c>
      <c r="AJ339" s="5">
        <f t="shared" si="124"/>
        <v>44928</v>
      </c>
      <c r="AK339" t="str">
        <f t="shared" si="125"/>
        <v>Jan-2023</v>
      </c>
      <c r="AL339">
        <v>0</v>
      </c>
      <c r="AM339">
        <v>0</v>
      </c>
      <c r="AN339">
        <v>0</v>
      </c>
    </row>
    <row r="340" spans="1:40" x14ac:dyDescent="0.45">
      <c r="A340" s="3" t="s">
        <v>204</v>
      </c>
      <c r="B340" s="5">
        <v>45588</v>
      </c>
      <c r="C340" s="9" t="str">
        <f t="shared" si="113"/>
        <v>Oct-2024</v>
      </c>
      <c r="D340" s="5" t="str">
        <f t="shared" si="114"/>
        <v>2024-Q4</v>
      </c>
      <c r="E340" s="5">
        <v>45610</v>
      </c>
      <c r="F340" s="9">
        <f t="shared" si="126"/>
        <v>22</v>
      </c>
      <c r="G340" s="9" t="str">
        <f t="shared" si="127"/>
        <v>NOT ACHIEVED</v>
      </c>
      <c r="H340" s="3" t="s">
        <v>641</v>
      </c>
      <c r="I340" s="3" t="s">
        <v>646</v>
      </c>
      <c r="J340" s="3" t="s">
        <v>660</v>
      </c>
      <c r="K340" s="13" t="str">
        <f t="shared" si="128"/>
        <v>Asia &gt; Japan &gt; Osaka</v>
      </c>
      <c r="L340" s="3" t="s">
        <v>697</v>
      </c>
      <c r="M340" s="3" t="s">
        <v>705</v>
      </c>
      <c r="N340" s="13" t="str">
        <f t="shared" si="115"/>
        <v>Direct</v>
      </c>
      <c r="O340" s="3" t="s">
        <v>711</v>
      </c>
      <c r="P340" s="3" t="s">
        <v>724</v>
      </c>
      <c r="Q340" s="13" t="str">
        <f t="shared" si="116"/>
        <v>Medium</v>
      </c>
      <c r="R340" s="3" t="s">
        <v>923</v>
      </c>
      <c r="S340" s="7">
        <v>1406.4</v>
      </c>
      <c r="T340" s="7">
        <f t="shared" si="129"/>
        <v>1617.36</v>
      </c>
      <c r="U340" s="7">
        <v>1564.76</v>
      </c>
      <c r="V340" s="7">
        <f t="shared" si="117"/>
        <v>1564.76</v>
      </c>
      <c r="W340" s="7">
        <f t="shared" si="130"/>
        <v>1799.4739999999999</v>
      </c>
      <c r="X340" s="16">
        <v>0.185</v>
      </c>
      <c r="Y340" t="str">
        <f t="shared" si="118"/>
        <v>OK</v>
      </c>
      <c r="Z340" s="16">
        <f t="shared" si="119"/>
        <v>0.185</v>
      </c>
      <c r="AA340" s="16">
        <f t="shared" si="131"/>
        <v>0.185</v>
      </c>
      <c r="AB340" s="9">
        <v>17</v>
      </c>
      <c r="AC340" s="9">
        <f t="shared" si="132"/>
        <v>20.399999999999999</v>
      </c>
      <c r="AD340" s="9">
        <f t="shared" si="120"/>
        <v>21679.749799999998</v>
      </c>
      <c r="AE340" s="9">
        <f t="shared" si="133"/>
        <v>43500.484476000005</v>
      </c>
      <c r="AF340" s="9">
        <f t="shared" si="121"/>
        <v>23908.800000000003</v>
      </c>
      <c r="AG340" s="9">
        <f t="shared" si="122"/>
        <v>-2229.0502000000051</v>
      </c>
      <c r="AH340" s="9">
        <f t="shared" si="134"/>
        <v>19591.684476000002</v>
      </c>
      <c r="AI340">
        <f t="shared" si="123"/>
        <v>-0.10281715520536151</v>
      </c>
      <c r="AJ340" s="5">
        <f t="shared" si="124"/>
        <v>44928</v>
      </c>
      <c r="AK340" t="str">
        <f t="shared" si="125"/>
        <v>Jan-2023</v>
      </c>
      <c r="AL340">
        <v>0</v>
      </c>
      <c r="AM340">
        <v>0</v>
      </c>
      <c r="AN340">
        <v>0</v>
      </c>
    </row>
    <row r="341" spans="1:40" x14ac:dyDescent="0.45">
      <c r="A341" s="3" t="s">
        <v>223</v>
      </c>
      <c r="B341" s="5">
        <v>45351</v>
      </c>
      <c r="C341" s="9" t="str">
        <f t="shared" si="113"/>
        <v>Feb-2024</v>
      </c>
      <c r="D341" s="5" t="str">
        <f t="shared" si="114"/>
        <v>2024-Q1</v>
      </c>
      <c r="E341" s="5">
        <v>45381</v>
      </c>
      <c r="F341" s="9">
        <f t="shared" si="126"/>
        <v>30</v>
      </c>
      <c r="G341" s="9" t="str">
        <f t="shared" si="127"/>
        <v>NOT ACHIEVED</v>
      </c>
      <c r="H341" s="3" t="s">
        <v>641</v>
      </c>
      <c r="I341" s="3" t="s">
        <v>646</v>
      </c>
      <c r="J341" s="3" t="s">
        <v>688</v>
      </c>
      <c r="K341" s="13" t="str">
        <f t="shared" si="128"/>
        <v>Asia &gt; Japan &gt; Nagoya</v>
      </c>
      <c r="L341" s="3" t="s">
        <v>699</v>
      </c>
      <c r="M341" s="3" t="s">
        <v>705</v>
      </c>
      <c r="N341" s="13" t="str">
        <f t="shared" si="115"/>
        <v>Direct</v>
      </c>
      <c r="O341" s="3" t="s">
        <v>708</v>
      </c>
      <c r="P341" s="3" t="s">
        <v>723</v>
      </c>
      <c r="Q341" s="13" t="str">
        <f t="shared" si="116"/>
        <v>Low</v>
      </c>
      <c r="R341" s="3" t="s">
        <v>942</v>
      </c>
      <c r="S341" s="7">
        <v>231.11</v>
      </c>
      <c r="T341" s="7">
        <f t="shared" si="129"/>
        <v>265.7765</v>
      </c>
      <c r="U341" s="7">
        <v>318.17</v>
      </c>
      <c r="V341" s="7">
        <f t="shared" si="117"/>
        <v>318.17</v>
      </c>
      <c r="W341" s="7">
        <f t="shared" si="130"/>
        <v>365.89549999999997</v>
      </c>
      <c r="X341" s="16">
        <v>0.20100000000000001</v>
      </c>
      <c r="Y341" t="str">
        <f t="shared" si="118"/>
        <v>OK</v>
      </c>
      <c r="Z341" s="16">
        <f t="shared" si="119"/>
        <v>0.20100000000000001</v>
      </c>
      <c r="AA341" s="16">
        <f t="shared" si="131"/>
        <v>0.20100000000000001</v>
      </c>
      <c r="AB341" s="9">
        <v>60</v>
      </c>
      <c r="AC341" s="9">
        <f t="shared" si="132"/>
        <v>72</v>
      </c>
      <c r="AD341" s="9">
        <f t="shared" si="120"/>
        <v>15253.069799999999</v>
      </c>
      <c r="AE341" s="9">
        <f t="shared" si="133"/>
        <v>31639.715676</v>
      </c>
      <c r="AF341" s="9">
        <f t="shared" si="121"/>
        <v>13866.6</v>
      </c>
      <c r="AG341" s="9">
        <f t="shared" si="122"/>
        <v>1386.4697999999989</v>
      </c>
      <c r="AH341" s="9">
        <f t="shared" si="134"/>
        <v>17773.115676000001</v>
      </c>
      <c r="AI341">
        <f t="shared" si="123"/>
        <v>9.0897754889969692E-2</v>
      </c>
      <c r="AJ341" s="5">
        <f t="shared" si="124"/>
        <v>44928</v>
      </c>
      <c r="AK341" t="str">
        <f t="shared" si="125"/>
        <v>Jan-2023</v>
      </c>
      <c r="AL341">
        <v>0</v>
      </c>
      <c r="AM341">
        <v>0</v>
      </c>
      <c r="AN341">
        <v>0</v>
      </c>
    </row>
    <row r="342" spans="1:40" x14ac:dyDescent="0.45">
      <c r="A342" s="3" t="s">
        <v>234</v>
      </c>
      <c r="B342" s="5">
        <v>45137</v>
      </c>
      <c r="C342" s="9" t="str">
        <f t="shared" si="113"/>
        <v>Jul-2023</v>
      </c>
      <c r="D342" s="5" t="str">
        <f t="shared" si="114"/>
        <v>2023-Q3</v>
      </c>
      <c r="E342" s="5">
        <v>45145</v>
      </c>
      <c r="F342" s="9">
        <f t="shared" si="126"/>
        <v>8</v>
      </c>
      <c r="G342" s="9" t="str">
        <f t="shared" si="127"/>
        <v>NOT ACHIEVED</v>
      </c>
      <c r="H342" s="3" t="s">
        <v>641</v>
      </c>
      <c r="I342" s="3" t="s">
        <v>646</v>
      </c>
      <c r="J342" s="3" t="s">
        <v>688</v>
      </c>
      <c r="K342" s="13" t="str">
        <f t="shared" si="128"/>
        <v>Asia &gt; Japan &gt; Nagoya</v>
      </c>
      <c r="L342" s="3" t="s">
        <v>696</v>
      </c>
      <c r="M342" s="3" t="s">
        <v>703</v>
      </c>
      <c r="N342" s="13" t="str">
        <f t="shared" si="115"/>
        <v>Marketplace</v>
      </c>
      <c r="O342" s="3" t="s">
        <v>714</v>
      </c>
      <c r="P342" s="3" t="s">
        <v>723</v>
      </c>
      <c r="Q342" s="13" t="str">
        <f t="shared" si="116"/>
        <v>High</v>
      </c>
      <c r="R342" s="3" t="s">
        <v>953</v>
      </c>
      <c r="S342" s="7">
        <v>1352.44</v>
      </c>
      <c r="T342" s="7">
        <f t="shared" si="129"/>
        <v>1555.306</v>
      </c>
      <c r="U342" s="7">
        <v>2698.01</v>
      </c>
      <c r="V342" s="7">
        <f t="shared" si="117"/>
        <v>2698.01</v>
      </c>
      <c r="W342" s="7">
        <f t="shared" si="130"/>
        <v>3102.7114999999999</v>
      </c>
      <c r="X342" s="16">
        <v>0.13100000000000001</v>
      </c>
      <c r="Y342" t="str">
        <f t="shared" si="118"/>
        <v>OK</v>
      </c>
      <c r="Z342" s="16">
        <f t="shared" si="119"/>
        <v>0.13100000000000001</v>
      </c>
      <c r="AA342" s="16">
        <f t="shared" si="131"/>
        <v>0.13100000000000001</v>
      </c>
      <c r="AB342" s="9">
        <v>13</v>
      </c>
      <c r="AC342" s="9">
        <f t="shared" si="132"/>
        <v>15.6</v>
      </c>
      <c r="AD342" s="9">
        <f t="shared" si="120"/>
        <v>30479.418970000002</v>
      </c>
      <c r="AE342" s="9">
        <f t="shared" si="133"/>
        <v>54743.000621399995</v>
      </c>
      <c r="AF342" s="9">
        <f t="shared" si="121"/>
        <v>17581.72</v>
      </c>
      <c r="AG342" s="9">
        <f t="shared" si="122"/>
        <v>12897.698970000001</v>
      </c>
      <c r="AH342" s="9">
        <f t="shared" si="134"/>
        <v>37161.280621399994</v>
      </c>
      <c r="AI342">
        <f t="shared" si="123"/>
        <v>0.42316091992090887</v>
      </c>
      <c r="AJ342" s="5">
        <f t="shared" si="124"/>
        <v>44928</v>
      </c>
      <c r="AK342" t="str">
        <f t="shared" si="125"/>
        <v>Jan-2023</v>
      </c>
      <c r="AL342">
        <v>0</v>
      </c>
      <c r="AM342">
        <v>0</v>
      </c>
      <c r="AN342">
        <v>0</v>
      </c>
    </row>
    <row r="343" spans="1:40" x14ac:dyDescent="0.45">
      <c r="A343" s="3" t="s">
        <v>241</v>
      </c>
      <c r="B343" s="5">
        <v>45540</v>
      </c>
      <c r="C343" s="9" t="str">
        <f t="shared" si="113"/>
        <v>Sep-2024</v>
      </c>
      <c r="D343" s="5" t="str">
        <f t="shared" si="114"/>
        <v>2024-Q3</v>
      </c>
      <c r="E343" s="5">
        <v>45560</v>
      </c>
      <c r="F343" s="9">
        <f t="shared" si="126"/>
        <v>20</v>
      </c>
      <c r="G343" s="9" t="str">
        <f t="shared" si="127"/>
        <v>NOT ACHIEVED</v>
      </c>
      <c r="H343" s="3" t="s">
        <v>641</v>
      </c>
      <c r="I343" s="3" t="s">
        <v>646</v>
      </c>
      <c r="J343" s="3" t="s">
        <v>660</v>
      </c>
      <c r="K343" s="13" t="str">
        <f t="shared" si="128"/>
        <v>Asia &gt; Japan &gt; Osaka</v>
      </c>
      <c r="L343" s="3" t="s">
        <v>700</v>
      </c>
      <c r="M343" s="3" t="s">
        <v>704</v>
      </c>
      <c r="N343" s="13" t="str">
        <f t="shared" si="115"/>
        <v>Distributor</v>
      </c>
      <c r="O343" s="3" t="s">
        <v>720</v>
      </c>
      <c r="P343" s="3" t="s">
        <v>726</v>
      </c>
      <c r="Q343" s="13" t="str">
        <f t="shared" si="116"/>
        <v>Low</v>
      </c>
      <c r="R343" s="3" t="s">
        <v>960</v>
      </c>
      <c r="S343" s="7">
        <v>195.54</v>
      </c>
      <c r="T343" s="7">
        <f t="shared" si="129"/>
        <v>224.87099999999998</v>
      </c>
      <c r="U343" s="7">
        <v>405.97</v>
      </c>
      <c r="V343" s="7">
        <f t="shared" si="117"/>
        <v>405.97</v>
      </c>
      <c r="W343" s="7">
        <f t="shared" si="130"/>
        <v>466.8655</v>
      </c>
      <c r="X343" s="16">
        <v>0.187</v>
      </c>
      <c r="Y343" t="str">
        <f t="shared" si="118"/>
        <v>OK</v>
      </c>
      <c r="Z343" s="16">
        <f t="shared" si="119"/>
        <v>0.187</v>
      </c>
      <c r="AA343" s="16">
        <f t="shared" si="131"/>
        <v>0.187</v>
      </c>
      <c r="AB343" s="9">
        <v>16</v>
      </c>
      <c r="AC343" s="9">
        <f t="shared" si="132"/>
        <v>19.2</v>
      </c>
      <c r="AD343" s="9">
        <f t="shared" si="120"/>
        <v>5280.8577599999999</v>
      </c>
      <c r="AE343" s="9">
        <f t="shared" si="133"/>
        <v>10640.051491200002</v>
      </c>
      <c r="AF343" s="9">
        <f t="shared" si="121"/>
        <v>3128.64</v>
      </c>
      <c r="AG343" s="9">
        <f t="shared" si="122"/>
        <v>2152.21776</v>
      </c>
      <c r="AH343" s="9">
        <f t="shared" si="134"/>
        <v>7511.4114912000023</v>
      </c>
      <c r="AI343">
        <f t="shared" si="123"/>
        <v>0.40755079152141377</v>
      </c>
      <c r="AJ343" s="5">
        <f t="shared" si="124"/>
        <v>44928</v>
      </c>
      <c r="AK343" t="str">
        <f t="shared" si="125"/>
        <v>Jan-2023</v>
      </c>
      <c r="AL343">
        <v>0</v>
      </c>
      <c r="AM343">
        <v>0</v>
      </c>
      <c r="AN343">
        <v>0</v>
      </c>
    </row>
    <row r="344" spans="1:40" x14ac:dyDescent="0.45">
      <c r="A344" s="3" t="s">
        <v>243</v>
      </c>
      <c r="B344" s="5">
        <v>45302</v>
      </c>
      <c r="C344" s="9" t="str">
        <f t="shared" si="113"/>
        <v>Jan-2024</v>
      </c>
      <c r="D344" s="5" t="str">
        <f t="shared" si="114"/>
        <v>2024-Q1</v>
      </c>
      <c r="E344" s="5">
        <v>45324</v>
      </c>
      <c r="F344" s="9">
        <f t="shared" si="126"/>
        <v>22</v>
      </c>
      <c r="G344" s="9" t="str">
        <f t="shared" si="127"/>
        <v>NOT ACHIEVED</v>
      </c>
      <c r="H344" s="3" t="s">
        <v>641</v>
      </c>
      <c r="I344" s="3" t="s">
        <v>646</v>
      </c>
      <c r="J344" s="3" t="s">
        <v>688</v>
      </c>
      <c r="K344" s="13" t="str">
        <f t="shared" si="128"/>
        <v>Asia &gt; Japan &gt; Nagoya</v>
      </c>
      <c r="L344" s="3" t="s">
        <v>699</v>
      </c>
      <c r="M344" s="3" t="s">
        <v>702</v>
      </c>
      <c r="N344" s="13" t="str">
        <f t="shared" si="115"/>
        <v>Online</v>
      </c>
      <c r="O344" s="3" t="s">
        <v>1443</v>
      </c>
      <c r="P344" s="3" t="s">
        <v>722</v>
      </c>
      <c r="Q344" s="13" t="str">
        <f t="shared" si="116"/>
        <v>Medium</v>
      </c>
      <c r="R344" s="3" t="s">
        <v>962</v>
      </c>
      <c r="S344" s="7">
        <v>1237.68</v>
      </c>
      <c r="T344" s="7">
        <f t="shared" si="129"/>
        <v>1423.3319999999999</v>
      </c>
      <c r="U344" s="7">
        <v>1432.8</v>
      </c>
      <c r="V344" s="7">
        <f t="shared" si="117"/>
        <v>1432.8</v>
      </c>
      <c r="W344" s="7">
        <f t="shared" si="130"/>
        <v>1647.7199999999998</v>
      </c>
      <c r="X344" s="16">
        <v>6.8000000000000005E-2</v>
      </c>
      <c r="Y344" t="str">
        <f t="shared" si="118"/>
        <v>OK</v>
      </c>
      <c r="Z344" s="16">
        <f t="shared" si="119"/>
        <v>6.8000000000000005E-2</v>
      </c>
      <c r="AA344" s="16">
        <f t="shared" si="131"/>
        <v>6.8000000000000005E-2</v>
      </c>
      <c r="AB344" s="9">
        <v>13</v>
      </c>
      <c r="AC344" s="9">
        <f t="shared" si="132"/>
        <v>15.6</v>
      </c>
      <c r="AD344" s="9">
        <f t="shared" si="120"/>
        <v>17359.804799999998</v>
      </c>
      <c r="AE344" s="9">
        <f t="shared" si="133"/>
        <v>27452.333375999999</v>
      </c>
      <c r="AF344" s="9">
        <f t="shared" si="121"/>
        <v>16089.84</v>
      </c>
      <c r="AG344" s="9">
        <f t="shared" si="122"/>
        <v>1269.9647999999979</v>
      </c>
      <c r="AH344" s="9">
        <f t="shared" si="134"/>
        <v>11362.493375999999</v>
      </c>
      <c r="AI344">
        <f t="shared" si="123"/>
        <v>7.315547695559331E-2</v>
      </c>
      <c r="AJ344" s="5">
        <f t="shared" si="124"/>
        <v>44928</v>
      </c>
      <c r="AK344" t="str">
        <f t="shared" si="125"/>
        <v>Jan-2023</v>
      </c>
      <c r="AL344">
        <v>0</v>
      </c>
      <c r="AM344">
        <v>0</v>
      </c>
      <c r="AN344">
        <v>0</v>
      </c>
    </row>
    <row r="345" spans="1:40" x14ac:dyDescent="0.45">
      <c r="A345" s="3" t="s">
        <v>250</v>
      </c>
      <c r="B345" s="5">
        <v>45871</v>
      </c>
      <c r="C345" s="9" t="str">
        <f t="shared" si="113"/>
        <v>Aug-2025</v>
      </c>
      <c r="D345" s="5" t="str">
        <f t="shared" si="114"/>
        <v>2025-Q3</v>
      </c>
      <c r="E345" s="5">
        <v>45877</v>
      </c>
      <c r="F345" s="9">
        <f t="shared" si="126"/>
        <v>6</v>
      </c>
      <c r="G345" s="9" t="str">
        <f t="shared" si="127"/>
        <v>ACHIEVED</v>
      </c>
      <c r="H345" s="3" t="s">
        <v>641</v>
      </c>
      <c r="I345" s="3" t="s">
        <v>646</v>
      </c>
      <c r="J345" s="3" t="s">
        <v>660</v>
      </c>
      <c r="K345" s="13" t="str">
        <f t="shared" si="128"/>
        <v>Asia &gt; Japan &gt; Osaka</v>
      </c>
      <c r="L345" s="3" t="s">
        <v>698</v>
      </c>
      <c r="M345" s="3" t="s">
        <v>705</v>
      </c>
      <c r="N345" s="13" t="str">
        <f t="shared" si="115"/>
        <v>Direct</v>
      </c>
      <c r="O345" s="3" t="s">
        <v>719</v>
      </c>
      <c r="P345" s="3" t="s">
        <v>725</v>
      </c>
      <c r="Q345" s="13" t="str">
        <f t="shared" si="116"/>
        <v>High</v>
      </c>
      <c r="R345" s="3" t="s">
        <v>969</v>
      </c>
      <c r="S345" s="7">
        <v>1225.94</v>
      </c>
      <c r="T345" s="7">
        <f t="shared" si="129"/>
        <v>1409.8309999999999</v>
      </c>
      <c r="U345" s="7">
        <v>1793.08</v>
      </c>
      <c r="V345" s="7">
        <f t="shared" si="117"/>
        <v>1793.08</v>
      </c>
      <c r="W345" s="7">
        <f t="shared" si="130"/>
        <v>2062.0419999999999</v>
      </c>
      <c r="X345" s="16">
        <v>0.13600000000000001</v>
      </c>
      <c r="Y345" t="str">
        <f t="shared" si="118"/>
        <v>OK</v>
      </c>
      <c r="Z345" s="16">
        <f t="shared" si="119"/>
        <v>0.13600000000000001</v>
      </c>
      <c r="AA345" s="16">
        <f t="shared" si="131"/>
        <v>0.13600000000000001</v>
      </c>
      <c r="AB345" s="9">
        <v>22</v>
      </c>
      <c r="AC345" s="9">
        <f t="shared" si="132"/>
        <v>26.4</v>
      </c>
      <c r="AD345" s="9">
        <f t="shared" si="120"/>
        <v>34082.864639999993</v>
      </c>
      <c r="AE345" s="9">
        <f t="shared" si="133"/>
        <v>61841.464396800002</v>
      </c>
      <c r="AF345" s="9">
        <f t="shared" si="121"/>
        <v>26970.68</v>
      </c>
      <c r="AG345" s="9">
        <f t="shared" si="122"/>
        <v>7112.1846399999922</v>
      </c>
      <c r="AH345" s="9">
        <f t="shared" si="134"/>
        <v>34870.784396800002</v>
      </c>
      <c r="AI345">
        <f t="shared" si="123"/>
        <v>0.20867332353434462</v>
      </c>
      <c r="AJ345" s="5">
        <f t="shared" si="124"/>
        <v>44928</v>
      </c>
      <c r="AK345" t="str">
        <f t="shared" si="125"/>
        <v>Jan-2023</v>
      </c>
      <c r="AL345">
        <v>0</v>
      </c>
      <c r="AM345">
        <v>0</v>
      </c>
      <c r="AN345">
        <v>0</v>
      </c>
    </row>
    <row r="346" spans="1:40" x14ac:dyDescent="0.45">
      <c r="A346" s="3" t="s">
        <v>257</v>
      </c>
      <c r="B346" s="5">
        <v>45912</v>
      </c>
      <c r="C346" s="9" t="str">
        <f t="shared" si="113"/>
        <v>Sep-2025</v>
      </c>
      <c r="D346" s="5" t="str">
        <f t="shared" si="114"/>
        <v>2025-Q3</v>
      </c>
      <c r="E346" s="5">
        <v>45930</v>
      </c>
      <c r="F346" s="9">
        <f t="shared" si="126"/>
        <v>18</v>
      </c>
      <c r="G346" s="9" t="str">
        <f t="shared" si="127"/>
        <v>NOT ACHIEVED</v>
      </c>
      <c r="H346" s="3" t="s">
        <v>641</v>
      </c>
      <c r="I346" s="3" t="s">
        <v>646</v>
      </c>
      <c r="J346" s="3" t="s">
        <v>688</v>
      </c>
      <c r="K346" s="13" t="str">
        <f t="shared" si="128"/>
        <v>Asia &gt; Japan &gt; Nagoya</v>
      </c>
      <c r="L346" s="3" t="s">
        <v>697</v>
      </c>
      <c r="M346" s="3" t="s">
        <v>703</v>
      </c>
      <c r="N346" s="13" t="str">
        <f t="shared" si="115"/>
        <v>Marketplace</v>
      </c>
      <c r="O346" s="3" t="s">
        <v>715</v>
      </c>
      <c r="P346" s="3" t="s">
        <v>726</v>
      </c>
      <c r="Q346" s="13" t="str">
        <f t="shared" si="116"/>
        <v>High</v>
      </c>
      <c r="R346" s="3" t="s">
        <v>976</v>
      </c>
      <c r="S346" s="7">
        <v>1212.99</v>
      </c>
      <c r="T346" s="7">
        <f t="shared" si="129"/>
        <v>1394.9385</v>
      </c>
      <c r="U346" s="7">
        <v>1653.64</v>
      </c>
      <c r="V346" s="7">
        <f t="shared" si="117"/>
        <v>1653.64</v>
      </c>
      <c r="W346" s="7">
        <f t="shared" si="130"/>
        <v>1901.6859999999999</v>
      </c>
      <c r="X346" s="16">
        <v>0.107</v>
      </c>
      <c r="Y346" t="str">
        <f t="shared" si="118"/>
        <v>OK</v>
      </c>
      <c r="Z346" s="16">
        <f t="shared" si="119"/>
        <v>0.107</v>
      </c>
      <c r="AA346" s="16">
        <f t="shared" si="131"/>
        <v>0.107</v>
      </c>
      <c r="AB346" s="9">
        <v>8</v>
      </c>
      <c r="AC346" s="9">
        <f t="shared" si="132"/>
        <v>9.6</v>
      </c>
      <c r="AD346" s="9">
        <f t="shared" si="120"/>
        <v>11813.604160000001</v>
      </c>
      <c r="AE346" s="9">
        <f t="shared" si="133"/>
        <v>20209.597459199995</v>
      </c>
      <c r="AF346" s="9">
        <f t="shared" si="121"/>
        <v>9703.92</v>
      </c>
      <c r="AG346" s="9">
        <f t="shared" si="122"/>
        <v>2109.6841600000007</v>
      </c>
      <c r="AH346" s="9">
        <f t="shared" si="134"/>
        <v>10505.677459199995</v>
      </c>
      <c r="AI346">
        <f t="shared" si="123"/>
        <v>0.17858090819931455</v>
      </c>
      <c r="AJ346" s="5">
        <f t="shared" si="124"/>
        <v>44928</v>
      </c>
      <c r="AK346" t="str">
        <f t="shared" si="125"/>
        <v>Jan-2023</v>
      </c>
      <c r="AL346">
        <v>0</v>
      </c>
      <c r="AM346">
        <v>0</v>
      </c>
      <c r="AN346">
        <v>0</v>
      </c>
    </row>
    <row r="347" spans="1:40" x14ac:dyDescent="0.45">
      <c r="A347" s="3" t="s">
        <v>262</v>
      </c>
      <c r="B347" s="5">
        <v>45592</v>
      </c>
      <c r="C347" s="9" t="str">
        <f t="shared" si="113"/>
        <v>Oct-2024</v>
      </c>
      <c r="D347" s="5" t="str">
        <f t="shared" si="114"/>
        <v>2024-Q4</v>
      </c>
      <c r="E347" s="5">
        <v>45616</v>
      </c>
      <c r="F347" s="9">
        <f t="shared" si="126"/>
        <v>24</v>
      </c>
      <c r="G347" s="9" t="str">
        <f t="shared" si="127"/>
        <v>NOT ACHIEVED</v>
      </c>
      <c r="H347" s="3" t="s">
        <v>641</v>
      </c>
      <c r="I347" s="3" t="s">
        <v>646</v>
      </c>
      <c r="J347" s="3" t="s">
        <v>688</v>
      </c>
      <c r="K347" s="13" t="str">
        <f t="shared" si="128"/>
        <v>Asia &gt; Japan &gt; Nagoya</v>
      </c>
      <c r="L347" s="3" t="s">
        <v>697</v>
      </c>
      <c r="M347" s="3" t="s">
        <v>702</v>
      </c>
      <c r="N347" s="13" t="str">
        <f t="shared" si="115"/>
        <v>Online</v>
      </c>
      <c r="O347" s="3" t="s">
        <v>716</v>
      </c>
      <c r="P347" s="3" t="s">
        <v>726</v>
      </c>
      <c r="Q347" s="13" t="str">
        <f t="shared" si="116"/>
        <v>Low</v>
      </c>
      <c r="R347" s="3" t="s">
        <v>981</v>
      </c>
      <c r="S347" s="7">
        <v>317.25</v>
      </c>
      <c r="T347" s="7">
        <f t="shared" si="129"/>
        <v>364.83749999999998</v>
      </c>
      <c r="U347" s="7">
        <v>758.92</v>
      </c>
      <c r="V347" s="7">
        <f t="shared" si="117"/>
        <v>758.92</v>
      </c>
      <c r="W347" s="7">
        <f t="shared" si="130"/>
        <v>872.75799999999992</v>
      </c>
      <c r="X347" s="16">
        <v>5.2999999999999999E-2</v>
      </c>
      <c r="Y347" t="str">
        <f t="shared" si="118"/>
        <v>OK</v>
      </c>
      <c r="Z347" s="16">
        <f t="shared" si="119"/>
        <v>5.2999999999999999E-2</v>
      </c>
      <c r="AA347" s="16">
        <f t="shared" si="131"/>
        <v>5.2999999999999999E-2</v>
      </c>
      <c r="AB347" s="9">
        <v>9</v>
      </c>
      <c r="AC347" s="9">
        <f t="shared" si="132"/>
        <v>10.799999999999999</v>
      </c>
      <c r="AD347" s="9">
        <f t="shared" si="120"/>
        <v>6468.2751599999992</v>
      </c>
      <c r="AE347" s="9">
        <f t="shared" si="133"/>
        <v>9925.3530791999983</v>
      </c>
      <c r="AF347" s="9">
        <f t="shared" si="121"/>
        <v>2855.25</v>
      </c>
      <c r="AG347" s="9">
        <f t="shared" si="122"/>
        <v>3613.0251599999992</v>
      </c>
      <c r="AH347" s="9">
        <f t="shared" si="134"/>
        <v>7070.1030791999983</v>
      </c>
      <c r="AI347">
        <f t="shared" si="123"/>
        <v>0.5585762928489888</v>
      </c>
      <c r="AJ347" s="5">
        <f t="shared" si="124"/>
        <v>44928</v>
      </c>
      <c r="AK347" t="str">
        <f t="shared" si="125"/>
        <v>Jan-2023</v>
      </c>
      <c r="AL347">
        <v>0</v>
      </c>
      <c r="AM347">
        <v>0</v>
      </c>
      <c r="AN347">
        <v>0</v>
      </c>
    </row>
    <row r="348" spans="1:40" x14ac:dyDescent="0.45">
      <c r="A348" s="3" t="s">
        <v>289</v>
      </c>
      <c r="B348" s="5">
        <v>45730</v>
      </c>
      <c r="C348" s="9" t="str">
        <f t="shared" si="113"/>
        <v>Mar-2025</v>
      </c>
      <c r="D348" s="5" t="str">
        <f t="shared" si="114"/>
        <v>2025-Q1</v>
      </c>
      <c r="E348" s="5">
        <v>45745</v>
      </c>
      <c r="F348" s="9">
        <f t="shared" si="126"/>
        <v>15</v>
      </c>
      <c r="G348" s="9" t="str">
        <f t="shared" si="127"/>
        <v>NOT ACHIEVED</v>
      </c>
      <c r="H348" s="3" t="s">
        <v>641</v>
      </c>
      <c r="I348" s="3" t="s">
        <v>646</v>
      </c>
      <c r="J348" s="3" t="s">
        <v>683</v>
      </c>
      <c r="K348" s="13" t="str">
        <f t="shared" si="128"/>
        <v>Asia &gt; Japan &gt; Tokyo</v>
      </c>
      <c r="L348" s="3" t="s">
        <v>697</v>
      </c>
      <c r="M348" s="3" t="s">
        <v>705</v>
      </c>
      <c r="N348" s="13" t="str">
        <f t="shared" si="115"/>
        <v>Direct</v>
      </c>
      <c r="O348" s="3" t="s">
        <v>716</v>
      </c>
      <c r="P348" s="3" t="s">
        <v>723</v>
      </c>
      <c r="Q348" s="13" t="str">
        <f t="shared" si="116"/>
        <v>High</v>
      </c>
      <c r="R348" s="3" t="s">
        <v>1008</v>
      </c>
      <c r="S348" s="7">
        <v>1106.96</v>
      </c>
      <c r="T348" s="7">
        <f t="shared" si="129"/>
        <v>1273.0039999999999</v>
      </c>
      <c r="U348" s="7">
        <v>2726.62</v>
      </c>
      <c r="V348" s="7">
        <f t="shared" si="117"/>
        <v>2726.62</v>
      </c>
      <c r="W348" s="7">
        <f t="shared" si="130"/>
        <v>3135.6129999999998</v>
      </c>
      <c r="X348" s="16">
        <v>0.3</v>
      </c>
      <c r="Y348" t="str">
        <f t="shared" si="118"/>
        <v>OK</v>
      </c>
      <c r="Z348" s="16">
        <f t="shared" si="119"/>
        <v>0.3</v>
      </c>
      <c r="AA348" s="16">
        <f t="shared" si="131"/>
        <v>0.25</v>
      </c>
      <c r="AB348" s="9">
        <v>7</v>
      </c>
      <c r="AC348" s="9">
        <f t="shared" si="132"/>
        <v>8.4</v>
      </c>
      <c r="AD348" s="9">
        <f t="shared" si="120"/>
        <v>13360.438</v>
      </c>
      <c r="AE348" s="9">
        <f t="shared" si="133"/>
        <v>32923.936499999996</v>
      </c>
      <c r="AF348" s="9">
        <f t="shared" si="121"/>
        <v>7748.72</v>
      </c>
      <c r="AG348" s="9">
        <f t="shared" si="122"/>
        <v>5611.7179999999998</v>
      </c>
      <c r="AH348" s="9">
        <f t="shared" si="134"/>
        <v>25175.216499999995</v>
      </c>
      <c r="AI348">
        <f t="shared" si="123"/>
        <v>0.42002500217432992</v>
      </c>
      <c r="AJ348" s="5">
        <f t="shared" si="124"/>
        <v>44928</v>
      </c>
      <c r="AK348" t="str">
        <f t="shared" si="125"/>
        <v>Jan-2023</v>
      </c>
      <c r="AL348">
        <v>0</v>
      </c>
      <c r="AM348">
        <v>0</v>
      </c>
      <c r="AN348">
        <v>0</v>
      </c>
    </row>
    <row r="349" spans="1:40" x14ac:dyDescent="0.45">
      <c r="A349" s="3" t="s">
        <v>293</v>
      </c>
      <c r="B349" s="5">
        <v>45101</v>
      </c>
      <c r="C349" s="9" t="str">
        <f t="shared" si="113"/>
        <v>Jun-2023</v>
      </c>
      <c r="D349" s="5" t="str">
        <f t="shared" si="114"/>
        <v>2023-Q2</v>
      </c>
      <c r="E349" s="5">
        <v>45128</v>
      </c>
      <c r="F349" s="9">
        <f t="shared" si="126"/>
        <v>27</v>
      </c>
      <c r="G349" s="9" t="str">
        <f t="shared" si="127"/>
        <v>NOT ACHIEVED</v>
      </c>
      <c r="H349" s="3" t="s">
        <v>641</v>
      </c>
      <c r="I349" s="3" t="s">
        <v>646</v>
      </c>
      <c r="J349" s="3" t="s">
        <v>688</v>
      </c>
      <c r="K349" s="13" t="str">
        <f t="shared" si="128"/>
        <v>Asia &gt; Japan &gt; Nagoya</v>
      </c>
      <c r="L349" s="3" t="s">
        <v>698</v>
      </c>
      <c r="M349" s="3" t="s">
        <v>703</v>
      </c>
      <c r="N349" s="13" t="str">
        <f t="shared" si="115"/>
        <v>Marketplace</v>
      </c>
      <c r="O349" s="3" t="s">
        <v>707</v>
      </c>
      <c r="P349" s="3" t="s">
        <v>724</v>
      </c>
      <c r="Q349" s="13" t="str">
        <f t="shared" si="116"/>
        <v>Low</v>
      </c>
      <c r="R349" s="3" t="s">
        <v>1012</v>
      </c>
      <c r="S349" s="7">
        <v>554.76</v>
      </c>
      <c r="T349" s="7">
        <f t="shared" si="129"/>
        <v>637.97399999999993</v>
      </c>
      <c r="U349" s="7">
        <v>728.69</v>
      </c>
      <c r="V349" s="7">
        <f t="shared" si="117"/>
        <v>728.69</v>
      </c>
      <c r="W349" s="7">
        <f t="shared" si="130"/>
        <v>837.99350000000004</v>
      </c>
      <c r="X349" s="16">
        <v>0.22</v>
      </c>
      <c r="Y349" t="str">
        <f t="shared" si="118"/>
        <v>OK</v>
      </c>
      <c r="Z349" s="16">
        <f t="shared" si="119"/>
        <v>0.22</v>
      </c>
      <c r="AA349" s="16">
        <f t="shared" si="131"/>
        <v>0.22</v>
      </c>
      <c r="AB349" s="9">
        <v>7</v>
      </c>
      <c r="AC349" s="9">
        <f t="shared" si="132"/>
        <v>8.4</v>
      </c>
      <c r="AD349" s="9">
        <f t="shared" si="120"/>
        <v>3978.6474000000003</v>
      </c>
      <c r="AE349" s="9">
        <f t="shared" si="133"/>
        <v>8587.757388</v>
      </c>
      <c r="AF349" s="9">
        <f t="shared" si="121"/>
        <v>3883.3199999999997</v>
      </c>
      <c r="AG349" s="9">
        <f t="shared" si="122"/>
        <v>95.32740000000058</v>
      </c>
      <c r="AH349" s="9">
        <f t="shared" si="134"/>
        <v>4704.4373880000003</v>
      </c>
      <c r="AI349">
        <f t="shared" si="123"/>
        <v>2.395975074343119E-2</v>
      </c>
      <c r="AJ349" s="5">
        <f t="shared" si="124"/>
        <v>44928</v>
      </c>
      <c r="AK349" t="str">
        <f t="shared" si="125"/>
        <v>Jan-2023</v>
      </c>
      <c r="AL349">
        <v>0</v>
      </c>
      <c r="AM349">
        <v>0</v>
      </c>
      <c r="AN349">
        <v>0</v>
      </c>
    </row>
    <row r="350" spans="1:40" x14ac:dyDescent="0.45">
      <c r="A350" s="3" t="s">
        <v>302</v>
      </c>
      <c r="B350" s="5">
        <v>45758</v>
      </c>
      <c r="C350" s="9" t="str">
        <f t="shared" si="113"/>
        <v>Apr-2025</v>
      </c>
      <c r="D350" s="5" t="str">
        <f t="shared" si="114"/>
        <v>2025-Q2</v>
      </c>
      <c r="E350" s="5">
        <v>45781</v>
      </c>
      <c r="F350" s="9">
        <f t="shared" si="126"/>
        <v>23</v>
      </c>
      <c r="G350" s="9" t="str">
        <f t="shared" si="127"/>
        <v>NOT ACHIEVED</v>
      </c>
      <c r="H350" s="3" t="s">
        <v>641</v>
      </c>
      <c r="I350" s="3" t="s">
        <v>646</v>
      </c>
      <c r="J350" s="3" t="s">
        <v>660</v>
      </c>
      <c r="K350" s="13" t="str">
        <f t="shared" si="128"/>
        <v>Asia &gt; Japan &gt; Osaka</v>
      </c>
      <c r="L350" s="3" t="s">
        <v>699</v>
      </c>
      <c r="M350" s="3" t="s">
        <v>702</v>
      </c>
      <c r="N350" s="13" t="str">
        <f t="shared" si="115"/>
        <v>Online</v>
      </c>
      <c r="O350" s="3" t="s">
        <v>718</v>
      </c>
      <c r="P350" s="3" t="s">
        <v>721</v>
      </c>
      <c r="Q350" s="13" t="str">
        <f t="shared" si="116"/>
        <v>Medium</v>
      </c>
      <c r="R350" s="3" t="s">
        <v>1021</v>
      </c>
      <c r="S350" s="7">
        <v>786.2</v>
      </c>
      <c r="T350" s="7">
        <f t="shared" si="129"/>
        <v>904.13</v>
      </c>
      <c r="U350" s="7">
        <v>1075.3</v>
      </c>
      <c r="V350" s="7">
        <f t="shared" si="117"/>
        <v>1075.3</v>
      </c>
      <c r="W350" s="7">
        <f t="shared" si="130"/>
        <v>1236.5949999999998</v>
      </c>
      <c r="X350" s="16">
        <v>0.08</v>
      </c>
      <c r="Y350" t="str">
        <f t="shared" si="118"/>
        <v>OK</v>
      </c>
      <c r="Z350" s="16">
        <f t="shared" si="119"/>
        <v>0.08</v>
      </c>
      <c r="AA350" s="16">
        <f t="shared" si="131"/>
        <v>0.08</v>
      </c>
      <c r="AB350" s="9">
        <v>9</v>
      </c>
      <c r="AC350" s="9">
        <f t="shared" si="132"/>
        <v>10.799999999999999</v>
      </c>
      <c r="AD350" s="9">
        <f t="shared" si="120"/>
        <v>8903.4839999999986</v>
      </c>
      <c r="AE350" s="9">
        <f t="shared" si="133"/>
        <v>14423.644079999998</v>
      </c>
      <c r="AF350" s="9">
        <f t="shared" si="121"/>
        <v>7075.8</v>
      </c>
      <c r="AG350" s="9">
        <f t="shared" si="122"/>
        <v>1827.6839999999984</v>
      </c>
      <c r="AH350" s="9">
        <f t="shared" si="134"/>
        <v>7347.844079999998</v>
      </c>
      <c r="AI350">
        <f t="shared" si="123"/>
        <v>0.20527739478163815</v>
      </c>
      <c r="AJ350" s="5">
        <f t="shared" si="124"/>
        <v>44928</v>
      </c>
      <c r="AK350" t="str">
        <f t="shared" si="125"/>
        <v>Jan-2023</v>
      </c>
      <c r="AL350">
        <v>0</v>
      </c>
      <c r="AM350">
        <v>0</v>
      </c>
      <c r="AN350">
        <v>0</v>
      </c>
    </row>
    <row r="351" spans="1:40" x14ac:dyDescent="0.45">
      <c r="A351" s="3" t="s">
        <v>316</v>
      </c>
      <c r="B351" s="5">
        <v>45679</v>
      </c>
      <c r="C351" s="9" t="str">
        <f t="shared" si="113"/>
        <v>Jan-2025</v>
      </c>
      <c r="D351" s="5" t="str">
        <f t="shared" si="114"/>
        <v>2025-Q1</v>
      </c>
      <c r="E351" s="5">
        <v>45692</v>
      </c>
      <c r="F351" s="9">
        <f t="shared" si="126"/>
        <v>13</v>
      </c>
      <c r="G351" s="9" t="str">
        <f t="shared" si="127"/>
        <v>NOT ACHIEVED</v>
      </c>
      <c r="H351" s="3" t="s">
        <v>641</v>
      </c>
      <c r="I351" s="3" t="s">
        <v>646</v>
      </c>
      <c r="J351" s="3" t="s">
        <v>683</v>
      </c>
      <c r="K351" s="13" t="str">
        <f t="shared" si="128"/>
        <v>Asia &gt; Japan &gt; Tokyo</v>
      </c>
      <c r="L351" s="3" t="s">
        <v>699</v>
      </c>
      <c r="M351" s="3" t="s">
        <v>704</v>
      </c>
      <c r="N351" s="13" t="str">
        <f t="shared" si="115"/>
        <v>Distributor</v>
      </c>
      <c r="O351" s="3" t="s">
        <v>710</v>
      </c>
      <c r="P351" s="3" t="s">
        <v>722</v>
      </c>
      <c r="Q351" s="13" t="str">
        <f t="shared" si="116"/>
        <v>Low</v>
      </c>
      <c r="R351" s="3" t="s">
        <v>1035</v>
      </c>
      <c r="S351" s="7">
        <v>122.29</v>
      </c>
      <c r="T351" s="7">
        <f t="shared" si="129"/>
        <v>140.6335</v>
      </c>
      <c r="U351" s="7">
        <v>224.95</v>
      </c>
      <c r="V351" s="7">
        <f t="shared" si="117"/>
        <v>224.95</v>
      </c>
      <c r="W351" s="7">
        <f t="shared" si="130"/>
        <v>258.69249999999994</v>
      </c>
      <c r="X351" s="16">
        <v>0.153</v>
      </c>
      <c r="Y351" t="str">
        <f t="shared" si="118"/>
        <v>OK</v>
      </c>
      <c r="Z351" s="16">
        <f t="shared" si="119"/>
        <v>0.153</v>
      </c>
      <c r="AA351" s="16">
        <f t="shared" si="131"/>
        <v>0.153</v>
      </c>
      <c r="AB351" s="9">
        <v>28</v>
      </c>
      <c r="AC351" s="9">
        <f t="shared" si="132"/>
        <v>33.6</v>
      </c>
      <c r="AD351" s="9">
        <f t="shared" si="120"/>
        <v>5334.9141999999993</v>
      </c>
      <c r="AE351" s="9">
        <f t="shared" si="133"/>
        <v>10021.954403999996</v>
      </c>
      <c r="AF351" s="9">
        <f t="shared" si="121"/>
        <v>3424.1200000000003</v>
      </c>
      <c r="AG351" s="9">
        <f t="shared" si="122"/>
        <v>1910.7941999999989</v>
      </c>
      <c r="AH351" s="9">
        <f t="shared" si="134"/>
        <v>6597.8344039999956</v>
      </c>
      <c r="AI351">
        <f t="shared" si="123"/>
        <v>0.3581677471026618</v>
      </c>
      <c r="AJ351" s="5">
        <f t="shared" si="124"/>
        <v>44928</v>
      </c>
      <c r="AK351" t="str">
        <f t="shared" si="125"/>
        <v>Jan-2023</v>
      </c>
      <c r="AL351">
        <v>0</v>
      </c>
      <c r="AM351">
        <v>0</v>
      </c>
      <c r="AN351">
        <v>0</v>
      </c>
    </row>
    <row r="352" spans="1:40" x14ac:dyDescent="0.45">
      <c r="A352" s="3" t="s">
        <v>324</v>
      </c>
      <c r="B352" s="5">
        <v>45052</v>
      </c>
      <c r="C352" s="9" t="str">
        <f t="shared" si="113"/>
        <v>May-2023</v>
      </c>
      <c r="D352" s="5" t="str">
        <f t="shared" si="114"/>
        <v>2023-Q2</v>
      </c>
      <c r="E352" s="5">
        <v>45060</v>
      </c>
      <c r="F352" s="9">
        <f t="shared" si="126"/>
        <v>8</v>
      </c>
      <c r="G352" s="9" t="str">
        <f t="shared" si="127"/>
        <v>NOT ACHIEVED</v>
      </c>
      <c r="H352" s="3" t="s">
        <v>641</v>
      </c>
      <c r="I352" s="3" t="s">
        <v>646</v>
      </c>
      <c r="J352" s="3" t="s">
        <v>660</v>
      </c>
      <c r="K352" s="13" t="str">
        <f t="shared" si="128"/>
        <v>Asia &gt; Japan &gt; Osaka</v>
      </c>
      <c r="L352" s="3" t="s">
        <v>700</v>
      </c>
      <c r="M352" s="3" t="s">
        <v>703</v>
      </c>
      <c r="N352" s="13" t="str">
        <f t="shared" si="115"/>
        <v>Marketplace</v>
      </c>
      <c r="O352" s="3" t="s">
        <v>711</v>
      </c>
      <c r="P352" s="3" t="s">
        <v>724</v>
      </c>
      <c r="Q352" s="13" t="str">
        <f t="shared" si="116"/>
        <v>Low</v>
      </c>
      <c r="R352" s="3" t="s">
        <v>1043</v>
      </c>
      <c r="S352" s="7">
        <v>291.18</v>
      </c>
      <c r="T352" s="7">
        <f t="shared" si="129"/>
        <v>334.85699999999997</v>
      </c>
      <c r="U352" s="7">
        <v>479.54</v>
      </c>
      <c r="V352" s="7">
        <f t="shared" si="117"/>
        <v>479.54</v>
      </c>
      <c r="W352" s="7">
        <f t="shared" si="130"/>
        <v>551.471</v>
      </c>
      <c r="X352" s="16">
        <v>0.14099999999999999</v>
      </c>
      <c r="Y352" t="str">
        <f t="shared" si="118"/>
        <v>OK</v>
      </c>
      <c r="Z352" s="16">
        <f t="shared" si="119"/>
        <v>0.14099999999999999</v>
      </c>
      <c r="AA352" s="16">
        <f t="shared" si="131"/>
        <v>0.14099999999999999</v>
      </c>
      <c r="AB352" s="9">
        <v>22</v>
      </c>
      <c r="AC352" s="9">
        <f t="shared" si="132"/>
        <v>26.4</v>
      </c>
      <c r="AD352" s="9">
        <f t="shared" si="120"/>
        <v>9062.34692</v>
      </c>
      <c r="AE352" s="9">
        <f t="shared" si="133"/>
        <v>16611.630050399999</v>
      </c>
      <c r="AF352" s="9">
        <f t="shared" si="121"/>
        <v>6405.96</v>
      </c>
      <c r="AG352" s="9">
        <f t="shared" si="122"/>
        <v>2656.3869199999999</v>
      </c>
      <c r="AH352" s="9">
        <f t="shared" si="134"/>
        <v>10205.6700504</v>
      </c>
      <c r="AI352">
        <f t="shared" si="123"/>
        <v>0.29312350801066001</v>
      </c>
      <c r="AJ352" s="5">
        <f t="shared" si="124"/>
        <v>44928</v>
      </c>
      <c r="AK352" t="str">
        <f t="shared" si="125"/>
        <v>Jan-2023</v>
      </c>
      <c r="AL352">
        <v>0</v>
      </c>
      <c r="AM352">
        <v>0</v>
      </c>
      <c r="AN352">
        <v>0</v>
      </c>
    </row>
    <row r="353" spans="1:40" x14ac:dyDescent="0.45">
      <c r="A353" s="3" t="s">
        <v>352</v>
      </c>
      <c r="B353" s="5">
        <v>45486</v>
      </c>
      <c r="C353" s="9" t="str">
        <f t="shared" si="113"/>
        <v>Jul-2024</v>
      </c>
      <c r="D353" s="5" t="str">
        <f t="shared" si="114"/>
        <v>2024-Q3</v>
      </c>
      <c r="E353" s="5">
        <v>45491</v>
      </c>
      <c r="F353" s="9">
        <f t="shared" si="126"/>
        <v>5</v>
      </c>
      <c r="G353" s="9" t="str">
        <f t="shared" si="127"/>
        <v>ACHIEVED</v>
      </c>
      <c r="H353" s="3" t="s">
        <v>641</v>
      </c>
      <c r="I353" s="3" t="s">
        <v>646</v>
      </c>
      <c r="J353" s="3" t="s">
        <v>688</v>
      </c>
      <c r="K353" s="13" t="str">
        <f t="shared" si="128"/>
        <v>Asia &gt; Japan &gt; Nagoya</v>
      </c>
      <c r="L353" s="3" t="s">
        <v>699</v>
      </c>
      <c r="M353" s="3" t="s">
        <v>703</v>
      </c>
      <c r="N353" s="13" t="str">
        <f t="shared" si="115"/>
        <v>Marketplace</v>
      </c>
      <c r="O353" s="3" t="s">
        <v>715</v>
      </c>
      <c r="P353" s="3" t="s">
        <v>723</v>
      </c>
      <c r="Q353" s="13" t="str">
        <f t="shared" si="116"/>
        <v>Low</v>
      </c>
      <c r="R353" s="3" t="s">
        <v>1071</v>
      </c>
      <c r="S353" s="7">
        <v>105.13</v>
      </c>
      <c r="T353" s="7">
        <f t="shared" si="129"/>
        <v>120.89949999999999</v>
      </c>
      <c r="U353" s="7">
        <v>244.13</v>
      </c>
      <c r="V353" s="7">
        <f t="shared" si="117"/>
        <v>244.13</v>
      </c>
      <c r="W353" s="7">
        <f t="shared" si="130"/>
        <v>280.74949999999995</v>
      </c>
      <c r="X353" s="16">
        <v>7.0999999999999994E-2</v>
      </c>
      <c r="Y353" t="str">
        <f t="shared" si="118"/>
        <v>OK</v>
      </c>
      <c r="Z353" s="16">
        <f t="shared" si="119"/>
        <v>7.0999999999999994E-2</v>
      </c>
      <c r="AA353" s="16">
        <f t="shared" si="131"/>
        <v>7.0999999999999994E-2</v>
      </c>
      <c r="AB353" s="9">
        <v>14</v>
      </c>
      <c r="AC353" s="9">
        <f t="shared" si="132"/>
        <v>16.8</v>
      </c>
      <c r="AD353" s="9">
        <f t="shared" si="120"/>
        <v>3175.1547799999998</v>
      </c>
      <c r="AE353" s="9">
        <f t="shared" si="133"/>
        <v>5051.4696035999996</v>
      </c>
      <c r="AF353" s="9">
        <f t="shared" si="121"/>
        <v>1471.82</v>
      </c>
      <c r="AG353" s="9">
        <f t="shared" si="122"/>
        <v>1703.3347799999999</v>
      </c>
      <c r="AH353" s="9">
        <f t="shared" si="134"/>
        <v>3579.6496035999999</v>
      </c>
      <c r="AI353">
        <f t="shared" si="123"/>
        <v>0.53645724319618837</v>
      </c>
      <c r="AJ353" s="5">
        <f t="shared" si="124"/>
        <v>44928</v>
      </c>
      <c r="AK353" t="str">
        <f t="shared" si="125"/>
        <v>Jan-2023</v>
      </c>
      <c r="AL353">
        <v>0</v>
      </c>
      <c r="AM353">
        <v>0</v>
      </c>
      <c r="AN353">
        <v>0</v>
      </c>
    </row>
    <row r="354" spans="1:40" x14ac:dyDescent="0.45">
      <c r="A354" s="3" t="s">
        <v>353</v>
      </c>
      <c r="B354" s="5">
        <v>45261</v>
      </c>
      <c r="C354" s="9" t="str">
        <f t="shared" si="113"/>
        <v>Dec-2023</v>
      </c>
      <c r="D354" s="5" t="str">
        <f t="shared" si="114"/>
        <v>2023-Q4</v>
      </c>
      <c r="E354" s="5">
        <v>45278</v>
      </c>
      <c r="F354" s="9">
        <f t="shared" si="126"/>
        <v>17</v>
      </c>
      <c r="G354" s="9" t="str">
        <f t="shared" si="127"/>
        <v>NOT ACHIEVED</v>
      </c>
      <c r="H354" s="3" t="s">
        <v>641</v>
      </c>
      <c r="I354" s="3" t="s">
        <v>646</v>
      </c>
      <c r="J354" s="3" t="s">
        <v>688</v>
      </c>
      <c r="K354" s="13" t="str">
        <f t="shared" si="128"/>
        <v>Asia &gt; Japan &gt; Nagoya</v>
      </c>
      <c r="L354" s="3" t="s">
        <v>699</v>
      </c>
      <c r="M354" s="3" t="s">
        <v>705</v>
      </c>
      <c r="N354" s="13" t="str">
        <f t="shared" si="115"/>
        <v>Direct</v>
      </c>
      <c r="O354" s="3" t="s">
        <v>719</v>
      </c>
      <c r="P354" s="3" t="s">
        <v>725</v>
      </c>
      <c r="Q354" s="13" t="str">
        <f t="shared" si="116"/>
        <v>High</v>
      </c>
      <c r="R354" s="3" t="s">
        <v>1072</v>
      </c>
      <c r="S354" s="7">
        <v>1495.79</v>
      </c>
      <c r="T354" s="7">
        <f t="shared" si="129"/>
        <v>1720.1584999999998</v>
      </c>
      <c r="U354" s="7">
        <v>2783.12</v>
      </c>
      <c r="V354" s="7">
        <f t="shared" si="117"/>
        <v>2783.12</v>
      </c>
      <c r="W354" s="7">
        <f t="shared" si="130"/>
        <v>3200.5879999999997</v>
      </c>
      <c r="X354" s="16">
        <v>0.02</v>
      </c>
      <c r="Y354" t="str">
        <f t="shared" si="118"/>
        <v>OK</v>
      </c>
      <c r="Z354" s="16">
        <f t="shared" si="119"/>
        <v>0.02</v>
      </c>
      <c r="AA354" s="16">
        <f t="shared" si="131"/>
        <v>0.02</v>
      </c>
      <c r="AB354" s="9">
        <v>5</v>
      </c>
      <c r="AC354" s="9">
        <f t="shared" si="132"/>
        <v>6</v>
      </c>
      <c r="AD354" s="9">
        <f t="shared" si="120"/>
        <v>13637.287999999999</v>
      </c>
      <c r="AE354" s="9">
        <f t="shared" si="133"/>
        <v>19587.598559999999</v>
      </c>
      <c r="AF354" s="9">
        <f t="shared" si="121"/>
        <v>7478.95</v>
      </c>
      <c r="AG354" s="9">
        <f t="shared" si="122"/>
        <v>6158.3379999999988</v>
      </c>
      <c r="AH354" s="9">
        <f t="shared" si="134"/>
        <v>12108.648559999998</v>
      </c>
      <c r="AI354">
        <f t="shared" si="123"/>
        <v>0.45158084217331185</v>
      </c>
      <c r="AJ354" s="5">
        <f t="shared" si="124"/>
        <v>44928</v>
      </c>
      <c r="AK354" t="str">
        <f t="shared" si="125"/>
        <v>Jan-2023</v>
      </c>
      <c r="AL354">
        <v>0</v>
      </c>
      <c r="AM354">
        <v>0</v>
      </c>
      <c r="AN354">
        <v>0</v>
      </c>
    </row>
    <row r="355" spans="1:40" x14ac:dyDescent="0.45">
      <c r="A355" s="3" t="s">
        <v>361</v>
      </c>
      <c r="B355" s="5">
        <v>45512</v>
      </c>
      <c r="C355" s="9" t="str">
        <f t="shared" si="113"/>
        <v>Aug-2024</v>
      </c>
      <c r="D355" s="5" t="str">
        <f t="shared" si="114"/>
        <v>2024-Q3</v>
      </c>
      <c r="E355" s="5">
        <v>45524</v>
      </c>
      <c r="F355" s="9">
        <f t="shared" si="126"/>
        <v>12</v>
      </c>
      <c r="G355" s="9" t="str">
        <f t="shared" si="127"/>
        <v>NOT ACHIEVED</v>
      </c>
      <c r="H355" s="3" t="s">
        <v>641</v>
      </c>
      <c r="I355" s="3" t="s">
        <v>646</v>
      </c>
      <c r="J355" s="3" t="s">
        <v>660</v>
      </c>
      <c r="K355" s="13" t="str">
        <f t="shared" si="128"/>
        <v>Asia &gt; Japan &gt; Osaka</v>
      </c>
      <c r="L355" s="3" t="s">
        <v>699</v>
      </c>
      <c r="M355" s="3" t="s">
        <v>701</v>
      </c>
      <c r="N355" s="13" t="str">
        <f t="shared" si="115"/>
        <v>Retail</v>
      </c>
      <c r="O355" s="3" t="s">
        <v>716</v>
      </c>
      <c r="P355" s="3" t="s">
        <v>723</v>
      </c>
      <c r="Q355" s="13" t="str">
        <f t="shared" si="116"/>
        <v>High</v>
      </c>
      <c r="R355" s="3" t="s">
        <v>1080</v>
      </c>
      <c r="S355" s="7">
        <v>1233.3599999999999</v>
      </c>
      <c r="T355" s="7">
        <f t="shared" si="129"/>
        <v>1418.3639999999998</v>
      </c>
      <c r="U355" s="7">
        <v>2120.4</v>
      </c>
      <c r="V355" s="7">
        <f t="shared" si="117"/>
        <v>2120.4</v>
      </c>
      <c r="W355" s="7">
        <f t="shared" si="130"/>
        <v>2438.46</v>
      </c>
      <c r="X355" s="16">
        <v>0.17899999999999999</v>
      </c>
      <c r="Y355" t="str">
        <f t="shared" si="118"/>
        <v>OK</v>
      </c>
      <c r="Z355" s="16">
        <f t="shared" si="119"/>
        <v>0.17899999999999999</v>
      </c>
      <c r="AA355" s="16">
        <f t="shared" si="131"/>
        <v>0.17899999999999999</v>
      </c>
      <c r="AB355" s="9">
        <v>20</v>
      </c>
      <c r="AC355" s="9">
        <f t="shared" si="132"/>
        <v>24</v>
      </c>
      <c r="AD355" s="9">
        <f t="shared" si="120"/>
        <v>34816.968000000001</v>
      </c>
      <c r="AE355" s="9">
        <f t="shared" si="133"/>
        <v>68998.66416</v>
      </c>
      <c r="AF355" s="9">
        <f t="shared" si="121"/>
        <v>24667.199999999997</v>
      </c>
      <c r="AG355" s="9">
        <f t="shared" si="122"/>
        <v>10149.768000000004</v>
      </c>
      <c r="AH355" s="9">
        <f t="shared" si="134"/>
        <v>44331.464160000003</v>
      </c>
      <c r="AI355">
        <f t="shared" si="123"/>
        <v>0.29151785991244278</v>
      </c>
      <c r="AJ355" s="5">
        <f t="shared" si="124"/>
        <v>44928</v>
      </c>
      <c r="AK355" t="str">
        <f t="shared" si="125"/>
        <v>Jan-2023</v>
      </c>
      <c r="AL355">
        <v>0</v>
      </c>
      <c r="AM355">
        <v>0</v>
      </c>
      <c r="AN355">
        <v>0</v>
      </c>
    </row>
    <row r="356" spans="1:40" x14ac:dyDescent="0.45">
      <c r="A356" s="3" t="s">
        <v>373</v>
      </c>
      <c r="B356" s="5">
        <v>45737</v>
      </c>
      <c r="C356" s="9" t="str">
        <f t="shared" si="113"/>
        <v>Mar-2025</v>
      </c>
      <c r="D356" s="5" t="str">
        <f t="shared" si="114"/>
        <v>2025-Q1</v>
      </c>
      <c r="E356" s="5">
        <v>45756</v>
      </c>
      <c r="F356" s="9">
        <f t="shared" si="126"/>
        <v>19</v>
      </c>
      <c r="G356" s="9" t="str">
        <f t="shared" si="127"/>
        <v>NOT ACHIEVED</v>
      </c>
      <c r="H356" s="3" t="s">
        <v>641</v>
      </c>
      <c r="I356" s="3" t="s">
        <v>646</v>
      </c>
      <c r="J356" s="3" t="s">
        <v>683</v>
      </c>
      <c r="K356" s="13" t="str">
        <f t="shared" si="128"/>
        <v>Asia &gt; Japan &gt; Tokyo</v>
      </c>
      <c r="L356" s="3" t="s">
        <v>699</v>
      </c>
      <c r="M356" s="3" t="s">
        <v>704</v>
      </c>
      <c r="N356" s="13" t="str">
        <f t="shared" si="115"/>
        <v>Distributor</v>
      </c>
      <c r="O356" s="3" t="s">
        <v>712</v>
      </c>
      <c r="P356" s="3" t="s">
        <v>721</v>
      </c>
      <c r="Q356" s="13" t="str">
        <f t="shared" si="116"/>
        <v>Medium</v>
      </c>
      <c r="R356" s="3" t="s">
        <v>1092</v>
      </c>
      <c r="S356" s="7">
        <v>1055.45</v>
      </c>
      <c r="T356" s="7">
        <f t="shared" si="129"/>
        <v>1213.7674999999999</v>
      </c>
      <c r="U356" s="7">
        <v>1210.04</v>
      </c>
      <c r="V356" s="7">
        <f t="shared" si="117"/>
        <v>1210.04</v>
      </c>
      <c r="W356" s="7">
        <f t="shared" si="130"/>
        <v>1391.5459999999998</v>
      </c>
      <c r="X356" s="16">
        <v>8.9999999999999993E-3</v>
      </c>
      <c r="Y356" t="str">
        <f t="shared" si="118"/>
        <v>OK</v>
      </c>
      <c r="Z356" s="16">
        <f t="shared" si="119"/>
        <v>8.9999999999999993E-3</v>
      </c>
      <c r="AA356" s="16">
        <f t="shared" si="131"/>
        <v>8.9999999999999993E-3</v>
      </c>
      <c r="AB356" s="9">
        <v>18</v>
      </c>
      <c r="AC356" s="9">
        <f t="shared" si="132"/>
        <v>21.599999999999998</v>
      </c>
      <c r="AD356" s="9">
        <f t="shared" si="120"/>
        <v>21584.693520000001</v>
      </c>
      <c r="AE356" s="9">
        <f t="shared" si="133"/>
        <v>30327.910142399989</v>
      </c>
      <c r="AF356" s="9">
        <f t="shared" si="121"/>
        <v>18998.100000000002</v>
      </c>
      <c r="AG356" s="9">
        <f t="shared" si="122"/>
        <v>2586.5935199999985</v>
      </c>
      <c r="AH356" s="9">
        <f t="shared" si="134"/>
        <v>11329.810142399987</v>
      </c>
      <c r="AI356">
        <f t="shared" si="123"/>
        <v>0.1198346188053727</v>
      </c>
      <c r="AJ356" s="5">
        <f t="shared" si="124"/>
        <v>44928</v>
      </c>
      <c r="AK356" t="str">
        <f t="shared" si="125"/>
        <v>Jan-2023</v>
      </c>
      <c r="AL356">
        <v>0</v>
      </c>
      <c r="AM356">
        <v>0</v>
      </c>
      <c r="AN356">
        <v>0</v>
      </c>
    </row>
    <row r="357" spans="1:40" x14ac:dyDescent="0.45">
      <c r="A357" s="3" t="s">
        <v>403</v>
      </c>
      <c r="B357" s="5">
        <v>45804</v>
      </c>
      <c r="C357" s="9" t="str">
        <f t="shared" si="113"/>
        <v>May-2025</v>
      </c>
      <c r="D357" s="5" t="str">
        <f t="shared" si="114"/>
        <v>2025-Q2</v>
      </c>
      <c r="E357" s="5">
        <v>45816</v>
      </c>
      <c r="F357" s="9">
        <f t="shared" si="126"/>
        <v>12</v>
      </c>
      <c r="G357" s="9" t="str">
        <f t="shared" si="127"/>
        <v>NOT ACHIEVED</v>
      </c>
      <c r="H357" s="3" t="s">
        <v>641</v>
      </c>
      <c r="I357" s="3" t="s">
        <v>646</v>
      </c>
      <c r="J357" s="3" t="s">
        <v>660</v>
      </c>
      <c r="K357" s="13" t="str">
        <f t="shared" si="128"/>
        <v>Asia &gt; Japan &gt; Osaka</v>
      </c>
      <c r="L357" s="3" t="s">
        <v>695</v>
      </c>
      <c r="M357" s="3" t="s">
        <v>701</v>
      </c>
      <c r="N357" s="13" t="str">
        <f t="shared" si="115"/>
        <v>Retail</v>
      </c>
      <c r="O357" s="3" t="s">
        <v>716</v>
      </c>
      <c r="P357" s="3" t="s">
        <v>727</v>
      </c>
      <c r="Q357" s="13" t="str">
        <f t="shared" si="116"/>
        <v>Medium</v>
      </c>
      <c r="R357" s="3" t="s">
        <v>1121</v>
      </c>
      <c r="S357" s="7">
        <v>653.6</v>
      </c>
      <c r="T357" s="7">
        <f t="shared" si="129"/>
        <v>751.64</v>
      </c>
      <c r="U357" s="7">
        <v>842.09</v>
      </c>
      <c r="V357" s="7">
        <f t="shared" si="117"/>
        <v>842.09</v>
      </c>
      <c r="W357" s="7">
        <f t="shared" si="130"/>
        <v>968.40350000000001</v>
      </c>
      <c r="X357" s="16">
        <v>9.8000000000000004E-2</v>
      </c>
      <c r="Y357" t="str">
        <f t="shared" si="118"/>
        <v>OK</v>
      </c>
      <c r="Z357" s="16">
        <f t="shared" si="119"/>
        <v>9.8000000000000004E-2</v>
      </c>
      <c r="AA357" s="16">
        <f t="shared" si="131"/>
        <v>9.8000000000000004E-2</v>
      </c>
      <c r="AB357" s="9">
        <v>19</v>
      </c>
      <c r="AC357" s="9">
        <f t="shared" si="132"/>
        <v>22.8</v>
      </c>
      <c r="AD357" s="9">
        <f t="shared" si="120"/>
        <v>14431.738420000001</v>
      </c>
      <c r="AE357" s="9">
        <f t="shared" si="133"/>
        <v>24243.400580400001</v>
      </c>
      <c r="AF357" s="9">
        <f t="shared" si="121"/>
        <v>12418.4</v>
      </c>
      <c r="AG357" s="9">
        <f t="shared" si="122"/>
        <v>2013.3384200000019</v>
      </c>
      <c r="AH357" s="9">
        <f t="shared" si="134"/>
        <v>11825.000580400001</v>
      </c>
      <c r="AI357">
        <f t="shared" si="123"/>
        <v>0.13950768517324622</v>
      </c>
      <c r="AJ357" s="5">
        <f t="shared" si="124"/>
        <v>44928</v>
      </c>
      <c r="AK357" t="str">
        <f t="shared" si="125"/>
        <v>Jan-2023</v>
      </c>
      <c r="AL357">
        <v>0</v>
      </c>
      <c r="AM357">
        <v>0</v>
      </c>
      <c r="AN357">
        <v>0</v>
      </c>
    </row>
    <row r="358" spans="1:40" x14ac:dyDescent="0.45">
      <c r="A358" s="3" t="s">
        <v>405</v>
      </c>
      <c r="B358" s="5">
        <v>45638</v>
      </c>
      <c r="C358" s="9" t="str">
        <f t="shared" si="113"/>
        <v>Dec-2024</v>
      </c>
      <c r="D358" s="5" t="str">
        <f t="shared" si="114"/>
        <v>2024-Q4</v>
      </c>
      <c r="E358" s="5">
        <v>45646</v>
      </c>
      <c r="F358" s="9">
        <f t="shared" si="126"/>
        <v>8</v>
      </c>
      <c r="G358" s="9" t="str">
        <f t="shared" si="127"/>
        <v>NOT ACHIEVED</v>
      </c>
      <c r="H358" s="3" t="s">
        <v>641</v>
      </c>
      <c r="I358" s="3" t="s">
        <v>646</v>
      </c>
      <c r="J358" s="3" t="s">
        <v>683</v>
      </c>
      <c r="K358" s="13" t="str">
        <f t="shared" si="128"/>
        <v>Asia &gt; Japan &gt; Tokyo</v>
      </c>
      <c r="L358" s="3" t="s">
        <v>695</v>
      </c>
      <c r="M358" s="3" t="s">
        <v>701</v>
      </c>
      <c r="N358" s="13" t="str">
        <f t="shared" si="115"/>
        <v>Retail</v>
      </c>
      <c r="O358" s="3" t="s">
        <v>711</v>
      </c>
      <c r="P358" s="3" t="s">
        <v>725</v>
      </c>
      <c r="Q358" s="13" t="str">
        <f t="shared" si="116"/>
        <v>Medium</v>
      </c>
      <c r="R358" s="3" t="s">
        <v>1123</v>
      </c>
      <c r="S358" s="7">
        <v>1202.47</v>
      </c>
      <c r="T358" s="7">
        <f t="shared" si="129"/>
        <v>1382.8405</v>
      </c>
      <c r="U358" s="7">
        <v>1444.72</v>
      </c>
      <c r="V358" s="7">
        <f t="shared" si="117"/>
        <v>1444.72</v>
      </c>
      <c r="W358" s="7">
        <f t="shared" si="130"/>
        <v>1661.4279999999999</v>
      </c>
      <c r="X358" s="16">
        <v>0.24099999999999999</v>
      </c>
      <c r="Y358" t="str">
        <f t="shared" si="118"/>
        <v>OK</v>
      </c>
      <c r="Z358" s="16">
        <f t="shared" si="119"/>
        <v>0.24099999999999999</v>
      </c>
      <c r="AA358" s="16">
        <f t="shared" si="131"/>
        <v>0.24099999999999999</v>
      </c>
      <c r="AB358" s="9">
        <v>17</v>
      </c>
      <c r="AC358" s="9">
        <f t="shared" si="132"/>
        <v>20.399999999999999</v>
      </c>
      <c r="AD358" s="9">
        <f t="shared" si="120"/>
        <v>18641.222160000001</v>
      </c>
      <c r="AE358" s="9">
        <f t="shared" si="133"/>
        <v>42061.375819200002</v>
      </c>
      <c r="AF358" s="9">
        <f t="shared" si="121"/>
        <v>20441.990000000002</v>
      </c>
      <c r="AG358" s="9">
        <f t="shared" si="122"/>
        <v>-1800.7678400000004</v>
      </c>
      <c r="AH358" s="9">
        <f t="shared" si="134"/>
        <v>21619.385819200001</v>
      </c>
      <c r="AI358">
        <f t="shared" si="123"/>
        <v>-9.6601382921343834E-2</v>
      </c>
      <c r="AJ358" s="5">
        <f t="shared" si="124"/>
        <v>44928</v>
      </c>
      <c r="AK358" t="str">
        <f t="shared" si="125"/>
        <v>Jan-2023</v>
      </c>
      <c r="AL358">
        <v>0</v>
      </c>
      <c r="AM358">
        <v>0</v>
      </c>
      <c r="AN358">
        <v>0</v>
      </c>
    </row>
    <row r="359" spans="1:40" x14ac:dyDescent="0.45">
      <c r="A359" s="3" t="s">
        <v>418</v>
      </c>
      <c r="B359" s="5">
        <v>45534</v>
      </c>
      <c r="C359" s="9" t="str">
        <f t="shared" si="113"/>
        <v>Aug-2024</v>
      </c>
      <c r="D359" s="5" t="str">
        <f t="shared" si="114"/>
        <v>2024-Q3</v>
      </c>
      <c r="E359" s="5">
        <v>45540</v>
      </c>
      <c r="F359" s="9">
        <f t="shared" si="126"/>
        <v>6</v>
      </c>
      <c r="G359" s="9" t="str">
        <f t="shared" si="127"/>
        <v>ACHIEVED</v>
      </c>
      <c r="H359" s="3" t="s">
        <v>641</v>
      </c>
      <c r="I359" s="3" t="s">
        <v>646</v>
      </c>
      <c r="J359" s="3" t="s">
        <v>688</v>
      </c>
      <c r="K359" s="13" t="str">
        <f t="shared" si="128"/>
        <v>Asia &gt; Japan &gt; Nagoya</v>
      </c>
      <c r="L359" s="3" t="s">
        <v>696</v>
      </c>
      <c r="M359" s="3" t="s">
        <v>702</v>
      </c>
      <c r="N359" s="13" t="str">
        <f t="shared" si="115"/>
        <v>Online</v>
      </c>
      <c r="O359" s="3" t="s">
        <v>719</v>
      </c>
      <c r="P359" s="3" t="s">
        <v>725</v>
      </c>
      <c r="Q359" s="13" t="str">
        <f t="shared" si="116"/>
        <v>Medium</v>
      </c>
      <c r="R359" s="3" t="s">
        <v>1136</v>
      </c>
      <c r="S359" s="7">
        <v>466.16</v>
      </c>
      <c r="T359" s="7">
        <f t="shared" si="129"/>
        <v>536.08399999999995</v>
      </c>
      <c r="U359" s="7">
        <v>876.81</v>
      </c>
      <c r="V359" s="7">
        <f t="shared" si="117"/>
        <v>876.81</v>
      </c>
      <c r="W359" s="7">
        <f t="shared" si="130"/>
        <v>1008.3314999999999</v>
      </c>
      <c r="X359" s="16">
        <v>0.24099999999999999</v>
      </c>
      <c r="Y359" t="str">
        <f t="shared" si="118"/>
        <v>OK</v>
      </c>
      <c r="Z359" s="16">
        <f t="shared" si="119"/>
        <v>0.24099999999999999</v>
      </c>
      <c r="AA359" s="16">
        <f t="shared" si="131"/>
        <v>0.24099999999999999</v>
      </c>
      <c r="AB359" s="9">
        <v>8</v>
      </c>
      <c r="AC359" s="9">
        <f t="shared" si="132"/>
        <v>9.6</v>
      </c>
      <c r="AD359" s="9">
        <f t="shared" si="120"/>
        <v>5323.9903199999999</v>
      </c>
      <c r="AE359" s="9">
        <f t="shared" si="133"/>
        <v>12012.8581584</v>
      </c>
      <c r="AF359" s="9">
        <f t="shared" si="121"/>
        <v>3729.28</v>
      </c>
      <c r="AG359" s="9">
        <f t="shared" si="122"/>
        <v>1594.7103199999997</v>
      </c>
      <c r="AH359" s="9">
        <f t="shared" si="134"/>
        <v>8283.5781583999997</v>
      </c>
      <c r="AI359">
        <f t="shared" si="123"/>
        <v>0.29953291124691594</v>
      </c>
      <c r="AJ359" s="5">
        <f t="shared" si="124"/>
        <v>44928</v>
      </c>
      <c r="AK359" t="str">
        <f t="shared" si="125"/>
        <v>Jan-2023</v>
      </c>
      <c r="AL359">
        <v>0</v>
      </c>
      <c r="AM359">
        <v>0</v>
      </c>
      <c r="AN359">
        <v>0</v>
      </c>
    </row>
    <row r="360" spans="1:40" x14ac:dyDescent="0.45">
      <c r="A360" s="3" t="s">
        <v>428</v>
      </c>
      <c r="B360" s="5">
        <v>45211</v>
      </c>
      <c r="C360" s="9" t="str">
        <f t="shared" si="113"/>
        <v>Oct-2023</v>
      </c>
      <c r="D360" s="5" t="str">
        <f t="shared" si="114"/>
        <v>2023-Q4</v>
      </c>
      <c r="E360" s="5">
        <v>45228</v>
      </c>
      <c r="F360" s="9">
        <f t="shared" si="126"/>
        <v>17</v>
      </c>
      <c r="G360" s="9" t="str">
        <f t="shared" si="127"/>
        <v>NOT ACHIEVED</v>
      </c>
      <c r="H360" s="3" t="s">
        <v>641</v>
      </c>
      <c r="I360" s="3" t="s">
        <v>646</v>
      </c>
      <c r="J360" s="3" t="s">
        <v>688</v>
      </c>
      <c r="K360" s="13" t="str">
        <f t="shared" si="128"/>
        <v>Asia &gt; Japan &gt; Nagoya</v>
      </c>
      <c r="L360" s="3" t="s">
        <v>697</v>
      </c>
      <c r="M360" s="3" t="s">
        <v>705</v>
      </c>
      <c r="N360" s="13" t="str">
        <f t="shared" si="115"/>
        <v>Direct</v>
      </c>
      <c r="O360" s="3" t="s">
        <v>716</v>
      </c>
      <c r="P360" s="3" t="s">
        <v>724</v>
      </c>
      <c r="Q360" s="13" t="str">
        <f t="shared" si="116"/>
        <v>High</v>
      </c>
      <c r="R360" s="3" t="s">
        <v>1146</v>
      </c>
      <c r="S360" s="7">
        <v>1102.19</v>
      </c>
      <c r="T360" s="7">
        <f t="shared" si="129"/>
        <v>1267.5184999999999</v>
      </c>
      <c r="U360" s="7">
        <v>1711.16</v>
      </c>
      <c r="V360" s="7">
        <f t="shared" si="117"/>
        <v>1711.16</v>
      </c>
      <c r="W360" s="7">
        <f t="shared" si="130"/>
        <v>1967.8339999999998</v>
      </c>
      <c r="X360" s="16">
        <v>0.151</v>
      </c>
      <c r="Y360" t="str">
        <f t="shared" si="118"/>
        <v>OK</v>
      </c>
      <c r="Z360" s="16">
        <f t="shared" si="119"/>
        <v>0.151</v>
      </c>
      <c r="AA360" s="16">
        <f t="shared" si="131"/>
        <v>0.151</v>
      </c>
      <c r="AB360" s="9">
        <v>10</v>
      </c>
      <c r="AC360" s="9">
        <f t="shared" si="132"/>
        <v>12</v>
      </c>
      <c r="AD360" s="9">
        <f t="shared" si="120"/>
        <v>14527.748400000002</v>
      </c>
      <c r="AE360" s="9">
        <f t="shared" si="133"/>
        <v>27179.723207999999</v>
      </c>
      <c r="AF360" s="9">
        <f t="shared" si="121"/>
        <v>11021.900000000001</v>
      </c>
      <c r="AG360" s="9">
        <f t="shared" si="122"/>
        <v>3505.8484000000008</v>
      </c>
      <c r="AH360" s="9">
        <f t="shared" si="134"/>
        <v>16157.823207999998</v>
      </c>
      <c r="AI360">
        <f t="shared" si="123"/>
        <v>0.24132083675127525</v>
      </c>
      <c r="AJ360" s="5">
        <f t="shared" si="124"/>
        <v>44928</v>
      </c>
      <c r="AK360" t="str">
        <f t="shared" si="125"/>
        <v>Jan-2023</v>
      </c>
      <c r="AL360">
        <v>0</v>
      </c>
      <c r="AM360">
        <v>0</v>
      </c>
      <c r="AN360">
        <v>0</v>
      </c>
    </row>
    <row r="361" spans="1:40" x14ac:dyDescent="0.45">
      <c r="A361" s="3" t="s">
        <v>445</v>
      </c>
      <c r="B361" s="5">
        <v>45037</v>
      </c>
      <c r="C361" s="9" t="str">
        <f t="shared" si="113"/>
        <v>Apr-2023</v>
      </c>
      <c r="D361" s="5" t="str">
        <f t="shared" si="114"/>
        <v>2023-Q2</v>
      </c>
      <c r="E361" s="5">
        <v>45042</v>
      </c>
      <c r="F361" s="9">
        <f t="shared" si="126"/>
        <v>5</v>
      </c>
      <c r="G361" s="9" t="str">
        <f t="shared" si="127"/>
        <v>ACHIEVED</v>
      </c>
      <c r="H361" s="3" t="s">
        <v>641</v>
      </c>
      <c r="I361" s="3" t="s">
        <v>646</v>
      </c>
      <c r="J361" s="3" t="s">
        <v>688</v>
      </c>
      <c r="K361" s="13" t="str">
        <f t="shared" si="128"/>
        <v>Asia &gt; Japan &gt; Nagoya</v>
      </c>
      <c r="L361" s="3" t="s">
        <v>699</v>
      </c>
      <c r="M361" s="3" t="s">
        <v>705</v>
      </c>
      <c r="N361" s="13" t="str">
        <f t="shared" si="115"/>
        <v>Direct</v>
      </c>
      <c r="O361" s="3" t="s">
        <v>718</v>
      </c>
      <c r="P361" s="3" t="s">
        <v>721</v>
      </c>
      <c r="Q361" s="13" t="str">
        <f t="shared" si="116"/>
        <v>Medium</v>
      </c>
      <c r="R361" s="3" t="s">
        <v>1163</v>
      </c>
      <c r="S361" s="7">
        <v>607.04</v>
      </c>
      <c r="T361" s="7">
        <f t="shared" si="129"/>
        <v>698.09599999999989</v>
      </c>
      <c r="U361" s="7">
        <v>1229.3399999999999</v>
      </c>
      <c r="V361" s="7">
        <f t="shared" si="117"/>
        <v>1229.3399999999999</v>
      </c>
      <c r="W361" s="7">
        <f t="shared" si="130"/>
        <v>1413.7409999999998</v>
      </c>
      <c r="X361" s="16">
        <v>0.14699999999999999</v>
      </c>
      <c r="Y361" t="str">
        <f t="shared" si="118"/>
        <v>OK</v>
      </c>
      <c r="Z361" s="16">
        <f t="shared" si="119"/>
        <v>0.14699999999999999</v>
      </c>
      <c r="AA361" s="16">
        <f t="shared" si="131"/>
        <v>0.14699999999999999</v>
      </c>
      <c r="AB361" s="9">
        <v>7</v>
      </c>
      <c r="AC361" s="9">
        <f t="shared" si="132"/>
        <v>8.4</v>
      </c>
      <c r="AD361" s="9">
        <f t="shared" si="120"/>
        <v>7340.3891399999993</v>
      </c>
      <c r="AE361" s="9">
        <f t="shared" si="133"/>
        <v>13621.111786799998</v>
      </c>
      <c r="AF361" s="9">
        <f t="shared" si="121"/>
        <v>4249.28</v>
      </c>
      <c r="AG361" s="9">
        <f t="shared" si="122"/>
        <v>3091.1091399999996</v>
      </c>
      <c r="AH361" s="9">
        <f t="shared" si="134"/>
        <v>9371.8317867999976</v>
      </c>
      <c r="AI361">
        <f t="shared" si="123"/>
        <v>0.42110970972310058</v>
      </c>
      <c r="AJ361" s="5">
        <f t="shared" si="124"/>
        <v>44928</v>
      </c>
      <c r="AK361" t="str">
        <f t="shared" si="125"/>
        <v>Jan-2023</v>
      </c>
      <c r="AL361">
        <v>0</v>
      </c>
      <c r="AM361">
        <v>0</v>
      </c>
      <c r="AN361">
        <v>0</v>
      </c>
    </row>
    <row r="362" spans="1:40" x14ac:dyDescent="0.45">
      <c r="A362" s="3" t="s">
        <v>454</v>
      </c>
      <c r="B362" s="5">
        <v>45284</v>
      </c>
      <c r="C362" s="9" t="str">
        <f t="shared" si="113"/>
        <v>Dec-2023</v>
      </c>
      <c r="D362" s="5" t="str">
        <f t="shared" si="114"/>
        <v>2023-Q4</v>
      </c>
      <c r="E362" s="5">
        <v>45304</v>
      </c>
      <c r="F362" s="9">
        <f t="shared" si="126"/>
        <v>20</v>
      </c>
      <c r="G362" s="9" t="str">
        <f t="shared" si="127"/>
        <v>NOT ACHIEVED</v>
      </c>
      <c r="H362" s="3" t="s">
        <v>641</v>
      </c>
      <c r="I362" s="3" t="s">
        <v>646</v>
      </c>
      <c r="J362" s="3" t="s">
        <v>688</v>
      </c>
      <c r="K362" s="13" t="str">
        <f t="shared" si="128"/>
        <v>Asia &gt; Japan &gt; Nagoya</v>
      </c>
      <c r="L362" s="3" t="s">
        <v>696</v>
      </c>
      <c r="M362" s="3" t="s">
        <v>705</v>
      </c>
      <c r="N362" s="13" t="str">
        <f t="shared" si="115"/>
        <v>Direct</v>
      </c>
      <c r="O362" s="3" t="s">
        <v>711</v>
      </c>
      <c r="P362" s="3" t="s">
        <v>725</v>
      </c>
      <c r="Q362" s="13" t="str">
        <f t="shared" si="116"/>
        <v>Medium</v>
      </c>
      <c r="R362" s="3" t="s">
        <v>1172</v>
      </c>
      <c r="S362" s="7">
        <v>625.37</v>
      </c>
      <c r="T362" s="7">
        <f t="shared" si="129"/>
        <v>719.17549999999994</v>
      </c>
      <c r="U362" s="7">
        <v>1319.04</v>
      </c>
      <c r="V362" s="7">
        <f t="shared" si="117"/>
        <v>1319.04</v>
      </c>
      <c r="W362" s="7">
        <f t="shared" si="130"/>
        <v>1516.8959999999997</v>
      </c>
      <c r="X362" s="16">
        <v>7.3999999999999996E-2</v>
      </c>
      <c r="Y362" t="str">
        <f t="shared" si="118"/>
        <v>OK</v>
      </c>
      <c r="Z362" s="16">
        <f t="shared" si="119"/>
        <v>7.3999999999999996E-2</v>
      </c>
      <c r="AA362" s="16">
        <f t="shared" si="131"/>
        <v>7.3999999999999996E-2</v>
      </c>
      <c r="AB362" s="9">
        <v>8</v>
      </c>
      <c r="AC362" s="9">
        <f t="shared" si="132"/>
        <v>9.6</v>
      </c>
      <c r="AD362" s="9">
        <f t="shared" si="120"/>
        <v>9771.4483199999995</v>
      </c>
      <c r="AE362" s="9">
        <f t="shared" si="133"/>
        <v>15639.804518399997</v>
      </c>
      <c r="AF362" s="9">
        <f t="shared" si="121"/>
        <v>5002.96</v>
      </c>
      <c r="AG362" s="9">
        <f t="shared" si="122"/>
        <v>4768.4883199999995</v>
      </c>
      <c r="AH362" s="9">
        <f t="shared" si="134"/>
        <v>10636.844518399997</v>
      </c>
      <c r="AI362">
        <f t="shared" si="123"/>
        <v>0.48800220436513547</v>
      </c>
      <c r="AJ362" s="5">
        <f t="shared" si="124"/>
        <v>44928</v>
      </c>
      <c r="AK362" t="str">
        <f t="shared" si="125"/>
        <v>Jan-2023</v>
      </c>
      <c r="AL362">
        <v>0</v>
      </c>
      <c r="AM362">
        <v>0</v>
      </c>
      <c r="AN362">
        <v>0</v>
      </c>
    </row>
    <row r="363" spans="1:40" x14ac:dyDescent="0.45">
      <c r="A363" s="3" t="s">
        <v>461</v>
      </c>
      <c r="B363" s="5">
        <v>45817</v>
      </c>
      <c r="C363" s="9" t="str">
        <f t="shared" si="113"/>
        <v>Jun-2025</v>
      </c>
      <c r="D363" s="5" t="str">
        <f t="shared" si="114"/>
        <v>2025-Q2</v>
      </c>
      <c r="E363" s="5">
        <v>45832</v>
      </c>
      <c r="F363" s="9">
        <f t="shared" si="126"/>
        <v>15</v>
      </c>
      <c r="G363" s="9" t="str">
        <f t="shared" si="127"/>
        <v>NOT ACHIEVED</v>
      </c>
      <c r="H363" s="3" t="s">
        <v>641</v>
      </c>
      <c r="I363" s="3" t="s">
        <v>646</v>
      </c>
      <c r="J363" s="3" t="s">
        <v>688</v>
      </c>
      <c r="K363" s="13" t="str">
        <f t="shared" si="128"/>
        <v>Asia &gt; Japan &gt; Nagoya</v>
      </c>
      <c r="L363" s="3" t="s">
        <v>695</v>
      </c>
      <c r="M363" s="3" t="s">
        <v>705</v>
      </c>
      <c r="N363" s="13" t="str">
        <f t="shared" si="115"/>
        <v>Direct</v>
      </c>
      <c r="O363" s="3" t="s">
        <v>711</v>
      </c>
      <c r="P363" s="3" t="s">
        <v>724</v>
      </c>
      <c r="Q363" s="13" t="str">
        <f t="shared" si="116"/>
        <v>Low</v>
      </c>
      <c r="R363" s="3" t="s">
        <v>1179</v>
      </c>
      <c r="S363" s="7">
        <v>400.39</v>
      </c>
      <c r="T363" s="7">
        <f t="shared" si="129"/>
        <v>460.44849999999997</v>
      </c>
      <c r="U363" s="7">
        <v>712.75</v>
      </c>
      <c r="V363" s="7">
        <f t="shared" si="117"/>
        <v>712.75</v>
      </c>
      <c r="W363" s="7">
        <f t="shared" si="130"/>
        <v>819.66249999999991</v>
      </c>
      <c r="X363" s="16">
        <v>0.115</v>
      </c>
      <c r="Y363" t="str">
        <f t="shared" si="118"/>
        <v>OK</v>
      </c>
      <c r="Z363" s="16">
        <f t="shared" si="119"/>
        <v>0.115</v>
      </c>
      <c r="AA363" s="16">
        <f t="shared" si="131"/>
        <v>0.115</v>
      </c>
      <c r="AB363" s="9">
        <v>19</v>
      </c>
      <c r="AC363" s="9">
        <f t="shared" si="132"/>
        <v>22.8</v>
      </c>
      <c r="AD363" s="9">
        <f t="shared" si="120"/>
        <v>11984.891250000001</v>
      </c>
      <c r="AE363" s="9">
        <f t="shared" si="133"/>
        <v>20837.460074999999</v>
      </c>
      <c r="AF363" s="9">
        <f t="shared" si="121"/>
        <v>7607.41</v>
      </c>
      <c r="AG363" s="9">
        <f t="shared" si="122"/>
        <v>4377.4812500000007</v>
      </c>
      <c r="AH363" s="9">
        <f t="shared" si="134"/>
        <v>13230.050074999999</v>
      </c>
      <c r="AI363">
        <f t="shared" si="123"/>
        <v>0.36524997671547504</v>
      </c>
      <c r="AJ363" s="5">
        <f t="shared" si="124"/>
        <v>44928</v>
      </c>
      <c r="AK363" t="str">
        <f t="shared" si="125"/>
        <v>Jan-2023</v>
      </c>
      <c r="AL363">
        <v>0</v>
      </c>
      <c r="AM363">
        <v>0</v>
      </c>
      <c r="AN363">
        <v>0</v>
      </c>
    </row>
    <row r="364" spans="1:40" x14ac:dyDescent="0.45">
      <c r="A364" s="3" t="s">
        <v>468</v>
      </c>
      <c r="B364" s="5">
        <v>45116</v>
      </c>
      <c r="C364" s="9" t="str">
        <f t="shared" si="113"/>
        <v>Jul-2023</v>
      </c>
      <c r="D364" s="5" t="str">
        <f t="shared" si="114"/>
        <v>2023-Q3</v>
      </c>
      <c r="E364" s="5">
        <v>45126</v>
      </c>
      <c r="F364" s="9">
        <f t="shared" si="126"/>
        <v>10</v>
      </c>
      <c r="G364" s="9" t="str">
        <f t="shared" si="127"/>
        <v>NOT ACHIEVED</v>
      </c>
      <c r="H364" s="3" t="s">
        <v>641</v>
      </c>
      <c r="I364" s="3" t="s">
        <v>646</v>
      </c>
      <c r="J364" s="3" t="s">
        <v>683</v>
      </c>
      <c r="K364" s="13" t="str">
        <f t="shared" si="128"/>
        <v>Asia &gt; Japan &gt; Tokyo</v>
      </c>
      <c r="L364" s="3" t="s">
        <v>700</v>
      </c>
      <c r="M364" s="3" t="s">
        <v>704</v>
      </c>
      <c r="N364" s="13" t="str">
        <f t="shared" si="115"/>
        <v>Distributor</v>
      </c>
      <c r="O364" s="3" t="s">
        <v>719</v>
      </c>
      <c r="P364" s="3" t="s">
        <v>721</v>
      </c>
      <c r="Q364" s="13" t="str">
        <f t="shared" si="116"/>
        <v>Low</v>
      </c>
      <c r="R364" s="3" t="s">
        <v>1186</v>
      </c>
      <c r="S364" s="7">
        <v>141.26</v>
      </c>
      <c r="T364" s="7">
        <f t="shared" si="129"/>
        <v>162.44899999999998</v>
      </c>
      <c r="U364" s="7">
        <v>206.88</v>
      </c>
      <c r="V364" s="7">
        <f t="shared" si="117"/>
        <v>206.88</v>
      </c>
      <c r="W364" s="7">
        <f t="shared" si="130"/>
        <v>237.91199999999998</v>
      </c>
      <c r="X364" s="16">
        <v>0.107</v>
      </c>
      <c r="Y364" t="str">
        <f t="shared" si="118"/>
        <v>OK</v>
      </c>
      <c r="Z364" s="16">
        <f t="shared" si="119"/>
        <v>0.107</v>
      </c>
      <c r="AA364" s="16">
        <f t="shared" si="131"/>
        <v>0.107</v>
      </c>
      <c r="AB364" s="9">
        <v>9</v>
      </c>
      <c r="AC364" s="9">
        <f t="shared" si="132"/>
        <v>10.799999999999999</v>
      </c>
      <c r="AD364" s="9">
        <f t="shared" si="120"/>
        <v>1662.6945600000001</v>
      </c>
      <c r="AE364" s="9">
        <f t="shared" si="133"/>
        <v>2844.3807071999995</v>
      </c>
      <c r="AF364" s="9">
        <f t="shared" si="121"/>
        <v>1271.3399999999999</v>
      </c>
      <c r="AG364" s="9">
        <f t="shared" si="122"/>
        <v>391.35456000000022</v>
      </c>
      <c r="AH364" s="9">
        <f t="shared" si="134"/>
        <v>1573.0407071999996</v>
      </c>
      <c r="AI364">
        <f t="shared" si="123"/>
        <v>0.23537369365062469</v>
      </c>
      <c r="AJ364" s="5">
        <f t="shared" si="124"/>
        <v>44928</v>
      </c>
      <c r="AK364" t="str">
        <f t="shared" si="125"/>
        <v>Jan-2023</v>
      </c>
      <c r="AL364">
        <v>0</v>
      </c>
      <c r="AM364">
        <v>0</v>
      </c>
      <c r="AN364">
        <v>0</v>
      </c>
    </row>
    <row r="365" spans="1:40" x14ac:dyDescent="0.45">
      <c r="A365" s="3" t="s">
        <v>472</v>
      </c>
      <c r="B365" s="5">
        <v>45865</v>
      </c>
      <c r="C365" s="9" t="str">
        <f t="shared" si="113"/>
        <v>Jul-2025</v>
      </c>
      <c r="D365" s="5" t="str">
        <f t="shared" si="114"/>
        <v>2025-Q3</v>
      </c>
      <c r="E365" s="5">
        <v>45884</v>
      </c>
      <c r="F365" s="9">
        <f t="shared" si="126"/>
        <v>19</v>
      </c>
      <c r="G365" s="9" t="str">
        <f t="shared" si="127"/>
        <v>NOT ACHIEVED</v>
      </c>
      <c r="H365" s="3" t="s">
        <v>641</v>
      </c>
      <c r="I365" s="3" t="s">
        <v>646</v>
      </c>
      <c r="J365" s="3" t="s">
        <v>683</v>
      </c>
      <c r="K365" s="13" t="str">
        <f t="shared" si="128"/>
        <v>Asia &gt; Japan &gt; Tokyo</v>
      </c>
      <c r="L365" s="3" t="s">
        <v>699</v>
      </c>
      <c r="M365" s="3" t="s">
        <v>703</v>
      </c>
      <c r="N365" s="13" t="str">
        <f t="shared" si="115"/>
        <v>Marketplace</v>
      </c>
      <c r="O365" s="3" t="s">
        <v>707</v>
      </c>
      <c r="P365" s="3" t="s">
        <v>721</v>
      </c>
      <c r="Q365" s="13" t="str">
        <f t="shared" si="116"/>
        <v>Low</v>
      </c>
      <c r="R365" s="3" t="s">
        <v>1190</v>
      </c>
      <c r="S365" s="7">
        <v>275.43</v>
      </c>
      <c r="T365" s="7">
        <f t="shared" si="129"/>
        <v>316.74449999999996</v>
      </c>
      <c r="U365" s="7">
        <v>608.36</v>
      </c>
      <c r="V365" s="7">
        <f t="shared" si="117"/>
        <v>608.36</v>
      </c>
      <c r="W365" s="7">
        <f t="shared" si="130"/>
        <v>699.61399999999992</v>
      </c>
      <c r="X365" s="16">
        <v>0.25700000000000001</v>
      </c>
      <c r="Y365" t="str">
        <f t="shared" si="118"/>
        <v>OK</v>
      </c>
      <c r="Z365" s="16">
        <f t="shared" si="119"/>
        <v>0.25700000000000001</v>
      </c>
      <c r="AA365" s="16">
        <f t="shared" si="131"/>
        <v>0.25</v>
      </c>
      <c r="AB365" s="9">
        <v>4</v>
      </c>
      <c r="AC365" s="9">
        <f t="shared" si="132"/>
        <v>4.8</v>
      </c>
      <c r="AD365" s="9">
        <f t="shared" si="120"/>
        <v>1808.04592</v>
      </c>
      <c r="AE365" s="9">
        <f t="shared" si="133"/>
        <v>4197.6839999999993</v>
      </c>
      <c r="AF365" s="9">
        <f t="shared" si="121"/>
        <v>1101.72</v>
      </c>
      <c r="AG365" s="9">
        <f t="shared" si="122"/>
        <v>706.32592</v>
      </c>
      <c r="AH365" s="9">
        <f t="shared" si="134"/>
        <v>3095.963999999999</v>
      </c>
      <c r="AI365">
        <f t="shared" si="123"/>
        <v>0.39065706915231446</v>
      </c>
      <c r="AJ365" s="5">
        <f t="shared" si="124"/>
        <v>44928</v>
      </c>
      <c r="AK365" t="str">
        <f t="shared" si="125"/>
        <v>Jan-2023</v>
      </c>
      <c r="AL365">
        <v>0</v>
      </c>
      <c r="AM365">
        <v>0</v>
      </c>
      <c r="AN365">
        <v>0</v>
      </c>
    </row>
    <row r="366" spans="1:40" x14ac:dyDescent="0.45">
      <c r="A366" s="3" t="s">
        <v>488</v>
      </c>
      <c r="B366" s="5">
        <v>45293</v>
      </c>
      <c r="C366" s="9" t="str">
        <f t="shared" si="113"/>
        <v>Jan-2024</v>
      </c>
      <c r="D366" s="5" t="str">
        <f t="shared" si="114"/>
        <v>2024-Q1</v>
      </c>
      <c r="E366" s="5">
        <v>45306</v>
      </c>
      <c r="F366" s="9">
        <f t="shared" si="126"/>
        <v>13</v>
      </c>
      <c r="G366" s="9" t="str">
        <f t="shared" si="127"/>
        <v>NOT ACHIEVED</v>
      </c>
      <c r="H366" s="3" t="s">
        <v>641</v>
      </c>
      <c r="I366" s="3" t="s">
        <v>646</v>
      </c>
      <c r="J366" s="3" t="s">
        <v>688</v>
      </c>
      <c r="K366" s="13" t="str">
        <f t="shared" si="128"/>
        <v>Asia &gt; Japan &gt; Nagoya</v>
      </c>
      <c r="L366" s="3" t="s">
        <v>699</v>
      </c>
      <c r="M366" s="3" t="s">
        <v>703</v>
      </c>
      <c r="N366" s="13" t="str">
        <f t="shared" si="115"/>
        <v>Marketplace</v>
      </c>
      <c r="O366" s="3" t="s">
        <v>709</v>
      </c>
      <c r="P366" s="3" t="s">
        <v>723</v>
      </c>
      <c r="Q366" s="13" t="str">
        <f t="shared" si="116"/>
        <v>High</v>
      </c>
      <c r="R366" s="3" t="s">
        <v>1206</v>
      </c>
      <c r="S366" s="7">
        <v>1219.06</v>
      </c>
      <c r="T366" s="7">
        <f t="shared" si="129"/>
        <v>1401.9189999999999</v>
      </c>
      <c r="U366" s="7">
        <v>2738.69</v>
      </c>
      <c r="V366" s="7">
        <f t="shared" si="117"/>
        <v>2738.69</v>
      </c>
      <c r="W366" s="7">
        <f t="shared" si="130"/>
        <v>3149.4935</v>
      </c>
      <c r="X366" s="16">
        <v>7.5999999999999998E-2</v>
      </c>
      <c r="Y366" t="str">
        <f t="shared" si="118"/>
        <v>OK</v>
      </c>
      <c r="Z366" s="16">
        <f t="shared" si="119"/>
        <v>7.5999999999999998E-2</v>
      </c>
      <c r="AA366" s="16">
        <f t="shared" si="131"/>
        <v>7.5999999999999998E-2</v>
      </c>
      <c r="AB366" s="9">
        <v>16</v>
      </c>
      <c r="AC366" s="9">
        <f t="shared" si="132"/>
        <v>19.2</v>
      </c>
      <c r="AD366" s="9">
        <f t="shared" si="120"/>
        <v>40488.792960000006</v>
      </c>
      <c r="AE366" s="9">
        <f t="shared" si="133"/>
        <v>65066.0161152</v>
      </c>
      <c r="AF366" s="9">
        <f t="shared" si="121"/>
        <v>19504.96</v>
      </c>
      <c r="AG366" s="9">
        <f t="shared" si="122"/>
        <v>20983.832960000007</v>
      </c>
      <c r="AH366" s="9">
        <f t="shared" si="134"/>
        <v>45561.056115200001</v>
      </c>
      <c r="AI366">
        <f t="shared" si="123"/>
        <v>0.51826274447673737</v>
      </c>
      <c r="AJ366" s="5">
        <f t="shared" si="124"/>
        <v>44928</v>
      </c>
      <c r="AK366" t="str">
        <f t="shared" si="125"/>
        <v>Jan-2023</v>
      </c>
      <c r="AL366">
        <v>0</v>
      </c>
      <c r="AM366">
        <v>0</v>
      </c>
      <c r="AN366">
        <v>0</v>
      </c>
    </row>
    <row r="367" spans="1:40" x14ac:dyDescent="0.45">
      <c r="A367" s="3" t="s">
        <v>489</v>
      </c>
      <c r="B367" s="5">
        <v>45538</v>
      </c>
      <c r="C367" s="9" t="str">
        <f t="shared" si="113"/>
        <v>Sep-2024</v>
      </c>
      <c r="D367" s="5" t="str">
        <f t="shared" si="114"/>
        <v>2024-Q3</v>
      </c>
      <c r="E367" s="5">
        <v>45542</v>
      </c>
      <c r="F367" s="9">
        <f t="shared" si="126"/>
        <v>4</v>
      </c>
      <c r="G367" s="9" t="str">
        <f t="shared" si="127"/>
        <v>ACHIEVED</v>
      </c>
      <c r="H367" s="3" t="s">
        <v>641</v>
      </c>
      <c r="I367" s="3" t="s">
        <v>646</v>
      </c>
      <c r="J367" s="3" t="s">
        <v>683</v>
      </c>
      <c r="K367" s="13" t="str">
        <f t="shared" si="128"/>
        <v>Asia &gt; Japan &gt; Tokyo</v>
      </c>
      <c r="L367" s="3" t="s">
        <v>699</v>
      </c>
      <c r="M367" s="3" t="s">
        <v>704</v>
      </c>
      <c r="N367" s="13" t="str">
        <f t="shared" si="115"/>
        <v>Distributor</v>
      </c>
      <c r="O367" s="3" t="s">
        <v>719</v>
      </c>
      <c r="P367" s="3" t="s">
        <v>722</v>
      </c>
      <c r="Q367" s="13" t="str">
        <f t="shared" si="116"/>
        <v>Low</v>
      </c>
      <c r="R367" s="3" t="s">
        <v>1207</v>
      </c>
      <c r="S367" s="7">
        <v>43.23</v>
      </c>
      <c r="T367" s="7">
        <f t="shared" si="129"/>
        <v>49.714499999999994</v>
      </c>
      <c r="U367" s="7">
        <v>94.78</v>
      </c>
      <c r="V367" s="7">
        <f t="shared" si="117"/>
        <v>94.78</v>
      </c>
      <c r="W367" s="7">
        <f t="shared" si="130"/>
        <v>108.997</v>
      </c>
      <c r="X367" s="16">
        <v>9.0999999999999998E-2</v>
      </c>
      <c r="Y367" t="str">
        <f t="shared" si="118"/>
        <v>OK</v>
      </c>
      <c r="Z367" s="16">
        <f t="shared" si="119"/>
        <v>9.0999999999999998E-2</v>
      </c>
      <c r="AA367" s="16">
        <f t="shared" si="131"/>
        <v>9.0999999999999998E-2</v>
      </c>
      <c r="AB367" s="9">
        <v>55</v>
      </c>
      <c r="AC367" s="9">
        <f t="shared" si="132"/>
        <v>66</v>
      </c>
      <c r="AD367" s="9">
        <f t="shared" si="120"/>
        <v>4738.5261</v>
      </c>
      <c r="AE367" s="9">
        <f t="shared" si="133"/>
        <v>7848.4379819999995</v>
      </c>
      <c r="AF367" s="9">
        <f t="shared" si="121"/>
        <v>2377.6499999999996</v>
      </c>
      <c r="AG367" s="9">
        <f t="shared" si="122"/>
        <v>2360.8761000000004</v>
      </c>
      <c r="AH367" s="9">
        <f t="shared" si="134"/>
        <v>5470.7879819999998</v>
      </c>
      <c r="AI367">
        <f t="shared" si="123"/>
        <v>0.49823005090127082</v>
      </c>
      <c r="AJ367" s="5">
        <f t="shared" si="124"/>
        <v>44928</v>
      </c>
      <c r="AK367" t="str">
        <f t="shared" si="125"/>
        <v>Jan-2023</v>
      </c>
      <c r="AL367">
        <v>0</v>
      </c>
      <c r="AM367">
        <v>0</v>
      </c>
      <c r="AN367">
        <v>0</v>
      </c>
    </row>
    <row r="368" spans="1:40" x14ac:dyDescent="0.45">
      <c r="A368" s="3" t="s">
        <v>497</v>
      </c>
      <c r="B368" s="5">
        <v>45792</v>
      </c>
      <c r="C368" s="9" t="str">
        <f t="shared" si="113"/>
        <v>May-2025</v>
      </c>
      <c r="D368" s="5" t="str">
        <f t="shared" si="114"/>
        <v>2025-Q2</v>
      </c>
      <c r="E368" s="5">
        <v>45813</v>
      </c>
      <c r="F368" s="9">
        <f t="shared" si="126"/>
        <v>21</v>
      </c>
      <c r="G368" s="9" t="str">
        <f t="shared" si="127"/>
        <v>NOT ACHIEVED</v>
      </c>
      <c r="H368" s="3" t="s">
        <v>641</v>
      </c>
      <c r="I368" s="3" t="s">
        <v>646</v>
      </c>
      <c r="J368" s="3" t="s">
        <v>660</v>
      </c>
      <c r="K368" s="13" t="str">
        <f t="shared" si="128"/>
        <v>Asia &gt; Japan &gt; Osaka</v>
      </c>
      <c r="L368" s="3" t="s">
        <v>700</v>
      </c>
      <c r="M368" s="3" t="s">
        <v>705</v>
      </c>
      <c r="N368" s="13" t="str">
        <f t="shared" si="115"/>
        <v>Direct</v>
      </c>
      <c r="O368" s="3" t="s">
        <v>716</v>
      </c>
      <c r="P368" s="3" t="s">
        <v>724</v>
      </c>
      <c r="Q368" s="13" t="str">
        <f t="shared" si="116"/>
        <v>High</v>
      </c>
      <c r="R368" s="3" t="s">
        <v>1215</v>
      </c>
      <c r="S368" s="7">
        <v>1466.5</v>
      </c>
      <c r="T368" s="7">
        <f t="shared" si="129"/>
        <v>1686.4749999999999</v>
      </c>
      <c r="U368" s="7">
        <v>2778.74</v>
      </c>
      <c r="V368" s="7">
        <f t="shared" si="117"/>
        <v>2778.74</v>
      </c>
      <c r="W368" s="7">
        <f t="shared" si="130"/>
        <v>3195.5509999999995</v>
      </c>
      <c r="X368" s="16">
        <v>0.13500000000000001</v>
      </c>
      <c r="Y368" t="str">
        <f t="shared" si="118"/>
        <v>OK</v>
      </c>
      <c r="Z368" s="16">
        <f t="shared" si="119"/>
        <v>0.13500000000000001</v>
      </c>
      <c r="AA368" s="16">
        <f t="shared" si="131"/>
        <v>0.13500000000000001</v>
      </c>
      <c r="AB368" s="9">
        <v>4</v>
      </c>
      <c r="AC368" s="9">
        <f t="shared" si="132"/>
        <v>4.8</v>
      </c>
      <c r="AD368" s="9">
        <f t="shared" si="120"/>
        <v>9614.4403999999995</v>
      </c>
      <c r="AE368" s="9">
        <f t="shared" si="133"/>
        <v>17409.361847999997</v>
      </c>
      <c r="AF368" s="9">
        <f t="shared" si="121"/>
        <v>5866</v>
      </c>
      <c r="AG368" s="9">
        <f t="shared" si="122"/>
        <v>3748.4403999999995</v>
      </c>
      <c r="AH368" s="9">
        <f t="shared" si="134"/>
        <v>11543.361847999997</v>
      </c>
      <c r="AI368">
        <f t="shared" si="123"/>
        <v>0.38987608680792279</v>
      </c>
      <c r="AJ368" s="5">
        <f t="shared" si="124"/>
        <v>44928</v>
      </c>
      <c r="AK368" t="str">
        <f t="shared" si="125"/>
        <v>Jan-2023</v>
      </c>
      <c r="AL368">
        <v>0</v>
      </c>
      <c r="AM368">
        <v>0</v>
      </c>
      <c r="AN368">
        <v>0</v>
      </c>
    </row>
    <row r="369" spans="1:40" x14ac:dyDescent="0.45">
      <c r="A369" s="3" t="s">
        <v>500</v>
      </c>
      <c r="B369" s="5">
        <v>45861</v>
      </c>
      <c r="C369" s="9" t="str">
        <f t="shared" si="113"/>
        <v>Jul-2025</v>
      </c>
      <c r="D369" s="5" t="str">
        <f t="shared" si="114"/>
        <v>2025-Q3</v>
      </c>
      <c r="E369" s="5">
        <v>45888</v>
      </c>
      <c r="F369" s="9">
        <f t="shared" si="126"/>
        <v>27</v>
      </c>
      <c r="G369" s="9" t="str">
        <f t="shared" si="127"/>
        <v>NOT ACHIEVED</v>
      </c>
      <c r="H369" s="3" t="s">
        <v>641</v>
      </c>
      <c r="I369" s="3" t="s">
        <v>646</v>
      </c>
      <c r="J369" s="3" t="s">
        <v>688</v>
      </c>
      <c r="K369" s="13" t="str">
        <f t="shared" si="128"/>
        <v>Asia &gt; Japan &gt; Nagoya</v>
      </c>
      <c r="L369" s="3" t="s">
        <v>698</v>
      </c>
      <c r="M369" s="3" t="s">
        <v>703</v>
      </c>
      <c r="N369" s="13" t="str">
        <f t="shared" si="115"/>
        <v>Marketplace</v>
      </c>
      <c r="O369" s="3" t="s">
        <v>711</v>
      </c>
      <c r="P369" s="3" t="s">
        <v>727</v>
      </c>
      <c r="Q369" s="13" t="str">
        <f t="shared" si="116"/>
        <v>Low</v>
      </c>
      <c r="R369" s="3" t="s">
        <v>1218</v>
      </c>
      <c r="S369" s="7">
        <v>896.09</v>
      </c>
      <c r="T369" s="7">
        <f t="shared" si="129"/>
        <v>1030.5035</v>
      </c>
      <c r="U369" s="7">
        <v>744.27</v>
      </c>
      <c r="V369" s="7">
        <f t="shared" si="117"/>
        <v>744.27</v>
      </c>
      <c r="W369" s="7">
        <f t="shared" si="130"/>
        <v>855.91049999999996</v>
      </c>
      <c r="X369" s="16">
        <v>8.3000000000000004E-2</v>
      </c>
      <c r="Y369" t="str">
        <f t="shared" si="118"/>
        <v>OK</v>
      </c>
      <c r="Z369" s="16">
        <f t="shared" si="119"/>
        <v>8.3000000000000004E-2</v>
      </c>
      <c r="AA369" s="16">
        <f t="shared" si="131"/>
        <v>8.3000000000000004E-2</v>
      </c>
      <c r="AB369" s="9">
        <v>11</v>
      </c>
      <c r="AC369" s="9">
        <f t="shared" si="132"/>
        <v>13.2</v>
      </c>
      <c r="AD369" s="9">
        <f t="shared" si="120"/>
        <v>7507.4514899999995</v>
      </c>
      <c r="AE369" s="9">
        <f t="shared" si="133"/>
        <v>12235.754143799999</v>
      </c>
      <c r="AF369" s="9">
        <f t="shared" si="121"/>
        <v>9856.99</v>
      </c>
      <c r="AG369" s="9">
        <f t="shared" si="122"/>
        <v>-2349.5385100000003</v>
      </c>
      <c r="AH369" s="9">
        <f t="shared" si="134"/>
        <v>2378.7641437999991</v>
      </c>
      <c r="AI369">
        <f t="shared" si="123"/>
        <v>-0.31296086469950679</v>
      </c>
      <c r="AJ369" s="5">
        <f t="shared" si="124"/>
        <v>44928</v>
      </c>
      <c r="AK369" t="str">
        <f t="shared" si="125"/>
        <v>Jan-2023</v>
      </c>
      <c r="AL369">
        <v>0</v>
      </c>
      <c r="AM369">
        <v>0</v>
      </c>
      <c r="AN369">
        <v>0</v>
      </c>
    </row>
    <row r="370" spans="1:40" x14ac:dyDescent="0.45">
      <c r="A370" s="3" t="s">
        <v>524</v>
      </c>
      <c r="B370" s="5">
        <v>45199</v>
      </c>
      <c r="C370" s="9" t="str">
        <f t="shared" si="113"/>
        <v>Sep-2023</v>
      </c>
      <c r="D370" s="5" t="str">
        <f t="shared" si="114"/>
        <v>2023-Q3</v>
      </c>
      <c r="E370" s="5">
        <v>45229</v>
      </c>
      <c r="F370" s="9">
        <f t="shared" si="126"/>
        <v>30</v>
      </c>
      <c r="G370" s="9" t="str">
        <f t="shared" si="127"/>
        <v>NOT ACHIEVED</v>
      </c>
      <c r="H370" s="3" t="s">
        <v>641</v>
      </c>
      <c r="I370" s="3" t="s">
        <v>646</v>
      </c>
      <c r="J370" s="3" t="s">
        <v>683</v>
      </c>
      <c r="K370" s="13" t="str">
        <f t="shared" si="128"/>
        <v>Asia &gt; Japan &gt; Tokyo</v>
      </c>
      <c r="L370" s="3" t="s">
        <v>700</v>
      </c>
      <c r="M370" s="3" t="s">
        <v>702</v>
      </c>
      <c r="N370" s="13" t="str">
        <f t="shared" si="115"/>
        <v>Online</v>
      </c>
      <c r="O370" s="3" t="s">
        <v>720</v>
      </c>
      <c r="P370" s="3" t="s">
        <v>722</v>
      </c>
      <c r="Q370" s="13" t="str">
        <f t="shared" si="116"/>
        <v>Medium</v>
      </c>
      <c r="R370" s="3" t="s">
        <v>1242</v>
      </c>
      <c r="S370" s="7">
        <v>649.13</v>
      </c>
      <c r="T370" s="7">
        <f t="shared" si="129"/>
        <v>746.4994999999999</v>
      </c>
      <c r="U370" s="7">
        <v>975.43</v>
      </c>
      <c r="V370" s="7">
        <f t="shared" si="117"/>
        <v>975.43</v>
      </c>
      <c r="W370" s="7">
        <f t="shared" si="130"/>
        <v>1121.7444999999998</v>
      </c>
      <c r="X370" s="16">
        <v>0.157</v>
      </c>
      <c r="Y370" t="str">
        <f t="shared" si="118"/>
        <v>OK</v>
      </c>
      <c r="Z370" s="16">
        <f t="shared" si="119"/>
        <v>0.157</v>
      </c>
      <c r="AA370" s="16">
        <f t="shared" si="131"/>
        <v>0.157</v>
      </c>
      <c r="AB370" s="9">
        <v>27</v>
      </c>
      <c r="AC370" s="9">
        <f t="shared" si="132"/>
        <v>32.4</v>
      </c>
      <c r="AD370" s="9">
        <f t="shared" si="120"/>
        <v>22201.762229999997</v>
      </c>
      <c r="AE370" s="9">
        <f t="shared" si="133"/>
        <v>42050.611722599999</v>
      </c>
      <c r="AF370" s="9">
        <f t="shared" si="121"/>
        <v>17526.509999999998</v>
      </c>
      <c r="AG370" s="9">
        <f t="shared" si="122"/>
        <v>4675.2522299999982</v>
      </c>
      <c r="AH370" s="9">
        <f t="shared" si="134"/>
        <v>24524.1017226</v>
      </c>
      <c r="AI370">
        <f t="shared" si="123"/>
        <v>0.21058023149543473</v>
      </c>
      <c r="AJ370" s="5">
        <f t="shared" si="124"/>
        <v>44928</v>
      </c>
      <c r="AK370" t="str">
        <f t="shared" si="125"/>
        <v>Jan-2023</v>
      </c>
      <c r="AL370">
        <v>0</v>
      </c>
      <c r="AM370">
        <v>0</v>
      </c>
      <c r="AN370">
        <v>0</v>
      </c>
    </row>
    <row r="371" spans="1:40" x14ac:dyDescent="0.45">
      <c r="A371" s="3" t="s">
        <v>538</v>
      </c>
      <c r="B371" s="5">
        <v>45316</v>
      </c>
      <c r="C371" s="9" t="str">
        <f t="shared" si="113"/>
        <v>Jan-2024</v>
      </c>
      <c r="D371" s="5" t="str">
        <f t="shared" si="114"/>
        <v>2024-Q1</v>
      </c>
      <c r="E371" s="5">
        <v>45330</v>
      </c>
      <c r="F371" s="9">
        <f t="shared" si="126"/>
        <v>14</v>
      </c>
      <c r="G371" s="9" t="str">
        <f t="shared" si="127"/>
        <v>NOT ACHIEVED</v>
      </c>
      <c r="H371" s="3" t="s">
        <v>641</v>
      </c>
      <c r="I371" s="3" t="s">
        <v>646</v>
      </c>
      <c r="J371" s="3" t="s">
        <v>660</v>
      </c>
      <c r="K371" s="13" t="str">
        <f t="shared" si="128"/>
        <v>Asia &gt; Japan &gt; Osaka</v>
      </c>
      <c r="L371" s="3" t="s">
        <v>698</v>
      </c>
      <c r="M371" s="3" t="s">
        <v>703</v>
      </c>
      <c r="N371" s="13" t="str">
        <f t="shared" si="115"/>
        <v>Marketplace</v>
      </c>
      <c r="O371" s="3" t="s">
        <v>708</v>
      </c>
      <c r="P371" s="3" t="s">
        <v>723</v>
      </c>
      <c r="Q371" s="13" t="str">
        <f t="shared" si="116"/>
        <v>Medium</v>
      </c>
      <c r="R371" s="3" t="s">
        <v>1256</v>
      </c>
      <c r="S371" s="7">
        <v>937.16</v>
      </c>
      <c r="T371" s="7">
        <f t="shared" si="129"/>
        <v>1077.7339999999999</v>
      </c>
      <c r="U371" s="7">
        <v>1069.77</v>
      </c>
      <c r="V371" s="7">
        <f t="shared" si="117"/>
        <v>1069.77</v>
      </c>
      <c r="W371" s="7">
        <f t="shared" si="130"/>
        <v>1230.2354999999998</v>
      </c>
      <c r="X371" s="16">
        <v>3.7999999999999999E-2</v>
      </c>
      <c r="Y371" t="str">
        <f t="shared" si="118"/>
        <v>OK</v>
      </c>
      <c r="Z371" s="16">
        <f t="shared" si="119"/>
        <v>3.7999999999999999E-2</v>
      </c>
      <c r="AA371" s="16">
        <f t="shared" si="131"/>
        <v>3.7999999999999999E-2</v>
      </c>
      <c r="AB371" s="9">
        <v>9</v>
      </c>
      <c r="AC371" s="9">
        <f t="shared" si="132"/>
        <v>10.799999999999999</v>
      </c>
      <c r="AD371" s="9">
        <f t="shared" si="120"/>
        <v>9262.0686600000008</v>
      </c>
      <c r="AE371" s="9">
        <f t="shared" si="133"/>
        <v>13791.432049199997</v>
      </c>
      <c r="AF371" s="9">
        <f t="shared" si="121"/>
        <v>8434.44</v>
      </c>
      <c r="AG371" s="9">
        <f t="shared" si="122"/>
        <v>827.62866000000031</v>
      </c>
      <c r="AH371" s="9">
        <f t="shared" si="134"/>
        <v>5356.9920491999965</v>
      </c>
      <c r="AI371">
        <f t="shared" si="123"/>
        <v>8.9356783066645962E-2</v>
      </c>
      <c r="AJ371" s="5">
        <f t="shared" si="124"/>
        <v>44928</v>
      </c>
      <c r="AK371" t="str">
        <f t="shared" si="125"/>
        <v>Jan-2023</v>
      </c>
      <c r="AL371">
        <v>0</v>
      </c>
      <c r="AM371">
        <v>0</v>
      </c>
      <c r="AN371">
        <v>0</v>
      </c>
    </row>
    <row r="372" spans="1:40" x14ac:dyDescent="0.45">
      <c r="A372" s="3" t="s">
        <v>560</v>
      </c>
      <c r="B372" s="5">
        <v>44988</v>
      </c>
      <c r="C372" s="9" t="str">
        <f t="shared" si="113"/>
        <v>Mar-2023</v>
      </c>
      <c r="D372" s="5" t="str">
        <f t="shared" si="114"/>
        <v>2023-Q1</v>
      </c>
      <c r="E372" s="5">
        <v>45005</v>
      </c>
      <c r="F372" s="9">
        <f t="shared" si="126"/>
        <v>17</v>
      </c>
      <c r="G372" s="9" t="str">
        <f t="shared" si="127"/>
        <v>NOT ACHIEVED</v>
      </c>
      <c r="H372" s="3" t="s">
        <v>641</v>
      </c>
      <c r="I372" s="3" t="s">
        <v>646</v>
      </c>
      <c r="J372" s="3" t="s">
        <v>688</v>
      </c>
      <c r="K372" s="13" t="str">
        <f t="shared" si="128"/>
        <v>Asia &gt; Japan &gt; Nagoya</v>
      </c>
      <c r="L372" s="3" t="s">
        <v>699</v>
      </c>
      <c r="M372" s="3" t="s">
        <v>702</v>
      </c>
      <c r="N372" s="13" t="str">
        <f t="shared" si="115"/>
        <v>Online</v>
      </c>
      <c r="O372" s="3" t="s">
        <v>720</v>
      </c>
      <c r="P372" s="3" t="s">
        <v>723</v>
      </c>
      <c r="Q372" s="13" t="str">
        <f t="shared" si="116"/>
        <v>High</v>
      </c>
      <c r="R372" s="3" t="s">
        <v>1277</v>
      </c>
      <c r="S372" s="7">
        <v>1171.17</v>
      </c>
      <c r="T372" s="7">
        <f t="shared" si="129"/>
        <v>1346.8454999999999</v>
      </c>
      <c r="U372" s="7">
        <v>2030.64</v>
      </c>
      <c r="V372" s="7">
        <f t="shared" si="117"/>
        <v>2030.64</v>
      </c>
      <c r="W372" s="7">
        <f t="shared" si="130"/>
        <v>2335.2359999999999</v>
      </c>
      <c r="X372" s="16">
        <v>0.157</v>
      </c>
      <c r="Y372" t="str">
        <f t="shared" si="118"/>
        <v>OK</v>
      </c>
      <c r="Z372" s="16">
        <f t="shared" si="119"/>
        <v>0.157</v>
      </c>
      <c r="AA372" s="16">
        <f t="shared" si="131"/>
        <v>0.157</v>
      </c>
      <c r="AB372" s="9">
        <v>11</v>
      </c>
      <c r="AC372" s="9">
        <f t="shared" si="132"/>
        <v>13.2</v>
      </c>
      <c r="AD372" s="9">
        <f t="shared" si="120"/>
        <v>18830.12472</v>
      </c>
      <c r="AE372" s="9">
        <f t="shared" si="133"/>
        <v>35664.658286399994</v>
      </c>
      <c r="AF372" s="9">
        <f t="shared" si="121"/>
        <v>12882.87</v>
      </c>
      <c r="AG372" s="9">
        <f t="shared" si="122"/>
        <v>5947.254719999999</v>
      </c>
      <c r="AH372" s="9">
        <f t="shared" si="134"/>
        <v>22781.788286399991</v>
      </c>
      <c r="AI372">
        <f t="shared" si="123"/>
        <v>0.31583724528830415</v>
      </c>
      <c r="AJ372" s="5">
        <f t="shared" si="124"/>
        <v>44928</v>
      </c>
      <c r="AK372" t="str">
        <f t="shared" si="125"/>
        <v>Jan-2023</v>
      </c>
      <c r="AL372">
        <v>0</v>
      </c>
      <c r="AM372">
        <v>0</v>
      </c>
      <c r="AN372">
        <v>0</v>
      </c>
    </row>
    <row r="373" spans="1:40" x14ac:dyDescent="0.45">
      <c r="A373" s="3" t="s">
        <v>563</v>
      </c>
      <c r="B373" s="5">
        <v>45535</v>
      </c>
      <c r="C373" s="9" t="str">
        <f t="shared" si="113"/>
        <v>Aug-2024</v>
      </c>
      <c r="D373" s="5" t="str">
        <f t="shared" si="114"/>
        <v>2024-Q3</v>
      </c>
      <c r="E373" s="5">
        <v>45561</v>
      </c>
      <c r="F373" s="9">
        <f t="shared" si="126"/>
        <v>26</v>
      </c>
      <c r="G373" s="9" t="str">
        <f t="shared" si="127"/>
        <v>NOT ACHIEVED</v>
      </c>
      <c r="H373" s="3" t="s">
        <v>641</v>
      </c>
      <c r="I373" s="3" t="s">
        <v>646</v>
      </c>
      <c r="J373" s="3" t="s">
        <v>683</v>
      </c>
      <c r="K373" s="13" t="str">
        <f t="shared" si="128"/>
        <v>Asia &gt; Japan &gt; Tokyo</v>
      </c>
      <c r="L373" s="3" t="s">
        <v>696</v>
      </c>
      <c r="M373" s="3" t="s">
        <v>702</v>
      </c>
      <c r="N373" s="13" t="str">
        <f t="shared" si="115"/>
        <v>Online</v>
      </c>
      <c r="O373" s="3" t="s">
        <v>708</v>
      </c>
      <c r="P373" s="3" t="s">
        <v>724</v>
      </c>
      <c r="Q373" s="13" t="str">
        <f t="shared" si="116"/>
        <v>High</v>
      </c>
      <c r="R373" s="3" t="s">
        <v>1280</v>
      </c>
      <c r="S373" s="7">
        <v>1189.03</v>
      </c>
      <c r="T373" s="7">
        <f t="shared" si="129"/>
        <v>1367.3844999999999</v>
      </c>
      <c r="U373" s="7">
        <v>2949.62</v>
      </c>
      <c r="V373" s="7">
        <f t="shared" si="117"/>
        <v>2949.62</v>
      </c>
      <c r="W373" s="7">
        <f t="shared" si="130"/>
        <v>3392.0629999999996</v>
      </c>
      <c r="X373" s="16">
        <v>0.125</v>
      </c>
      <c r="Y373" t="str">
        <f t="shared" si="118"/>
        <v>OK</v>
      </c>
      <c r="Z373" s="16">
        <f t="shared" si="119"/>
        <v>0.125</v>
      </c>
      <c r="AA373" s="16">
        <f t="shared" si="131"/>
        <v>0.125</v>
      </c>
      <c r="AB373" s="9">
        <v>13</v>
      </c>
      <c r="AC373" s="9">
        <f t="shared" si="132"/>
        <v>15.6</v>
      </c>
      <c r="AD373" s="9">
        <f t="shared" si="120"/>
        <v>33551.927499999998</v>
      </c>
      <c r="AE373" s="9">
        <f t="shared" si="133"/>
        <v>59530.705649999996</v>
      </c>
      <c r="AF373" s="9">
        <f t="shared" si="121"/>
        <v>15457.39</v>
      </c>
      <c r="AG373" s="9">
        <f t="shared" si="122"/>
        <v>18094.537499999999</v>
      </c>
      <c r="AH373" s="9">
        <f t="shared" si="134"/>
        <v>44073.315649999997</v>
      </c>
      <c r="AI373">
        <f t="shared" si="123"/>
        <v>0.53929949330034765</v>
      </c>
      <c r="AJ373" s="5">
        <f t="shared" si="124"/>
        <v>44928</v>
      </c>
      <c r="AK373" t="str">
        <f t="shared" si="125"/>
        <v>Jan-2023</v>
      </c>
      <c r="AL373">
        <v>0</v>
      </c>
      <c r="AM373">
        <v>0</v>
      </c>
      <c r="AN373">
        <v>0</v>
      </c>
    </row>
    <row r="374" spans="1:40" x14ac:dyDescent="0.45">
      <c r="A374" s="3" t="s">
        <v>578</v>
      </c>
      <c r="B374" s="5">
        <v>45760</v>
      </c>
      <c r="C374" s="9" t="str">
        <f t="shared" si="113"/>
        <v>Apr-2025</v>
      </c>
      <c r="D374" s="5" t="str">
        <f t="shared" si="114"/>
        <v>2025-Q2</v>
      </c>
      <c r="E374" s="5">
        <v>45761</v>
      </c>
      <c r="F374" s="9">
        <f t="shared" si="126"/>
        <v>1</v>
      </c>
      <c r="G374" s="9" t="str">
        <f t="shared" si="127"/>
        <v>ACHIEVED</v>
      </c>
      <c r="H374" s="3" t="s">
        <v>641</v>
      </c>
      <c r="I374" s="3" t="s">
        <v>646</v>
      </c>
      <c r="J374" s="3" t="s">
        <v>660</v>
      </c>
      <c r="K374" s="13" t="str">
        <f t="shared" si="128"/>
        <v>Asia &gt; Japan &gt; Osaka</v>
      </c>
      <c r="L374" s="3" t="s">
        <v>700</v>
      </c>
      <c r="M374" s="3" t="s">
        <v>702</v>
      </c>
      <c r="N374" s="13" t="str">
        <f t="shared" si="115"/>
        <v>Online</v>
      </c>
      <c r="O374" s="3" t="s">
        <v>709</v>
      </c>
      <c r="P374" s="3" t="s">
        <v>721</v>
      </c>
      <c r="Q374" s="13" t="str">
        <f t="shared" si="116"/>
        <v>Low</v>
      </c>
      <c r="R374" s="3" t="s">
        <v>1295</v>
      </c>
      <c r="S374" s="7">
        <v>138.9</v>
      </c>
      <c r="T374" s="7">
        <f t="shared" si="129"/>
        <v>159.73499999999999</v>
      </c>
      <c r="U374" s="7">
        <v>289.92</v>
      </c>
      <c r="V374" s="7">
        <f t="shared" si="117"/>
        <v>289.92</v>
      </c>
      <c r="W374" s="7">
        <f t="shared" si="130"/>
        <v>333.40800000000002</v>
      </c>
      <c r="X374" s="16">
        <v>2.9000000000000001E-2</v>
      </c>
      <c r="Y374" t="str">
        <f t="shared" si="118"/>
        <v>OK</v>
      </c>
      <c r="Z374" s="16">
        <f t="shared" si="119"/>
        <v>2.9000000000000001E-2</v>
      </c>
      <c r="AA374" s="16">
        <f t="shared" si="131"/>
        <v>2.9000000000000001E-2</v>
      </c>
      <c r="AB374" s="9">
        <v>12</v>
      </c>
      <c r="AC374" s="9">
        <f t="shared" si="132"/>
        <v>14.399999999999999</v>
      </c>
      <c r="AD374" s="9">
        <f t="shared" si="120"/>
        <v>3378.1478400000001</v>
      </c>
      <c r="AE374" s="9">
        <f t="shared" si="133"/>
        <v>4940.3063807999988</v>
      </c>
      <c r="AF374" s="9">
        <f t="shared" si="121"/>
        <v>1666.8000000000002</v>
      </c>
      <c r="AG374" s="9">
        <f t="shared" si="122"/>
        <v>1711.3478399999999</v>
      </c>
      <c r="AH374" s="9">
        <f t="shared" si="134"/>
        <v>3273.5063807999986</v>
      </c>
      <c r="AI374">
        <f t="shared" si="123"/>
        <v>0.50659353025828491</v>
      </c>
      <c r="AJ374" s="5">
        <f t="shared" si="124"/>
        <v>44928</v>
      </c>
      <c r="AK374" t="str">
        <f t="shared" si="125"/>
        <v>Jan-2023</v>
      </c>
      <c r="AL374">
        <v>0</v>
      </c>
      <c r="AM374">
        <v>0</v>
      </c>
      <c r="AN374">
        <v>0</v>
      </c>
    </row>
    <row r="375" spans="1:40" x14ac:dyDescent="0.45">
      <c r="A375" s="3" t="s">
        <v>591</v>
      </c>
      <c r="B375" s="5">
        <v>45541</v>
      </c>
      <c r="C375" s="9" t="str">
        <f t="shared" si="113"/>
        <v>Sep-2024</v>
      </c>
      <c r="D375" s="5" t="str">
        <f t="shared" si="114"/>
        <v>2024-Q3</v>
      </c>
      <c r="E375" s="5">
        <v>45546</v>
      </c>
      <c r="F375" s="9">
        <f t="shared" si="126"/>
        <v>5</v>
      </c>
      <c r="G375" s="9" t="str">
        <f t="shared" si="127"/>
        <v>ACHIEVED</v>
      </c>
      <c r="H375" s="3" t="s">
        <v>641</v>
      </c>
      <c r="I375" s="3" t="s">
        <v>646</v>
      </c>
      <c r="J375" s="3" t="s">
        <v>660</v>
      </c>
      <c r="K375" s="13" t="str">
        <f t="shared" si="128"/>
        <v>Asia &gt; Japan &gt; Osaka</v>
      </c>
      <c r="L375" s="3" t="s">
        <v>695</v>
      </c>
      <c r="M375" s="3" t="s">
        <v>705</v>
      </c>
      <c r="N375" s="13" t="str">
        <f t="shared" si="115"/>
        <v>Direct</v>
      </c>
      <c r="O375" s="3" t="s">
        <v>714</v>
      </c>
      <c r="P375" s="3" t="s">
        <v>725</v>
      </c>
      <c r="Q375" s="13" t="str">
        <f t="shared" si="116"/>
        <v>High</v>
      </c>
      <c r="R375" s="3" t="s">
        <v>1308</v>
      </c>
      <c r="S375" s="7">
        <v>1368.17</v>
      </c>
      <c r="T375" s="7">
        <f t="shared" si="129"/>
        <v>1573.3954999999999</v>
      </c>
      <c r="U375" s="7">
        <v>2307.75</v>
      </c>
      <c r="V375" s="7">
        <f t="shared" si="117"/>
        <v>2307.75</v>
      </c>
      <c r="W375" s="7">
        <f t="shared" si="130"/>
        <v>2653.9124999999999</v>
      </c>
      <c r="X375" s="16">
        <v>0.16300000000000001</v>
      </c>
      <c r="Y375" t="str">
        <f t="shared" si="118"/>
        <v>OK</v>
      </c>
      <c r="Z375" s="16">
        <f t="shared" si="119"/>
        <v>0.16300000000000001</v>
      </c>
      <c r="AA375" s="16">
        <f t="shared" si="131"/>
        <v>0.16300000000000001</v>
      </c>
      <c r="AB375" s="9">
        <v>21</v>
      </c>
      <c r="AC375" s="9">
        <f t="shared" si="132"/>
        <v>25.2</v>
      </c>
      <c r="AD375" s="9">
        <f t="shared" si="120"/>
        <v>40563.321749999996</v>
      </c>
      <c r="AE375" s="9">
        <f t="shared" si="133"/>
        <v>77779.805984999999</v>
      </c>
      <c r="AF375" s="9">
        <f t="shared" si="121"/>
        <v>28731.57</v>
      </c>
      <c r="AG375" s="9">
        <f t="shared" si="122"/>
        <v>11831.751749999996</v>
      </c>
      <c r="AH375" s="9">
        <f t="shared" si="134"/>
        <v>49048.235984999999</v>
      </c>
      <c r="AI375">
        <f t="shared" si="123"/>
        <v>0.29168596750831921</v>
      </c>
      <c r="AJ375" s="5">
        <f t="shared" si="124"/>
        <v>44928</v>
      </c>
      <c r="AK375" t="str">
        <f t="shared" si="125"/>
        <v>Jan-2023</v>
      </c>
      <c r="AL375">
        <v>0</v>
      </c>
      <c r="AM375">
        <v>0</v>
      </c>
      <c r="AN375">
        <v>0</v>
      </c>
    </row>
    <row r="376" spans="1:40" x14ac:dyDescent="0.45">
      <c r="A376" s="3" t="s">
        <v>596</v>
      </c>
      <c r="B376" s="5">
        <v>45459</v>
      </c>
      <c r="C376" s="9" t="str">
        <f t="shared" si="113"/>
        <v>Jun-2024</v>
      </c>
      <c r="D376" s="5" t="str">
        <f t="shared" si="114"/>
        <v>2024-Q2</v>
      </c>
      <c r="E376" s="5">
        <v>45464</v>
      </c>
      <c r="F376" s="9">
        <f t="shared" si="126"/>
        <v>5</v>
      </c>
      <c r="G376" s="9" t="str">
        <f t="shared" si="127"/>
        <v>ACHIEVED</v>
      </c>
      <c r="H376" s="3" t="s">
        <v>641</v>
      </c>
      <c r="I376" s="3" t="s">
        <v>646</v>
      </c>
      <c r="J376" s="3" t="s">
        <v>683</v>
      </c>
      <c r="K376" s="13" t="str">
        <f t="shared" si="128"/>
        <v>Asia &gt; Japan &gt; Tokyo</v>
      </c>
      <c r="L376" s="3" t="s">
        <v>699</v>
      </c>
      <c r="M376" s="3" t="s">
        <v>704</v>
      </c>
      <c r="N376" s="13" t="str">
        <f t="shared" si="115"/>
        <v>Distributor</v>
      </c>
      <c r="O376" s="3" t="s">
        <v>715</v>
      </c>
      <c r="P376" s="3" t="s">
        <v>724</v>
      </c>
      <c r="Q376" s="13" t="str">
        <f t="shared" si="116"/>
        <v>High</v>
      </c>
      <c r="R376" s="3" t="s">
        <v>1313</v>
      </c>
      <c r="S376" s="7">
        <v>1367.13</v>
      </c>
      <c r="T376" s="7">
        <f t="shared" si="129"/>
        <v>1572.1994999999999</v>
      </c>
      <c r="U376" s="7">
        <v>3062.01</v>
      </c>
      <c r="V376" s="7">
        <f t="shared" si="117"/>
        <v>3062.01</v>
      </c>
      <c r="W376" s="7">
        <f t="shared" si="130"/>
        <v>3521.3114999999998</v>
      </c>
      <c r="X376" s="16">
        <v>0.10299999999999999</v>
      </c>
      <c r="Y376" t="str">
        <f t="shared" si="118"/>
        <v>OK</v>
      </c>
      <c r="Z376" s="16">
        <f t="shared" si="119"/>
        <v>0.10299999999999999</v>
      </c>
      <c r="AA376" s="16">
        <f t="shared" si="131"/>
        <v>0.10299999999999999</v>
      </c>
      <c r="AB376" s="9">
        <v>25</v>
      </c>
      <c r="AC376" s="9">
        <f t="shared" si="132"/>
        <v>30</v>
      </c>
      <c r="AD376" s="9">
        <f t="shared" si="120"/>
        <v>68665.574250000005</v>
      </c>
      <c r="AE376" s="9">
        <f t="shared" si="133"/>
        <v>116520.197535</v>
      </c>
      <c r="AF376" s="9">
        <f t="shared" si="121"/>
        <v>34178.25</v>
      </c>
      <c r="AG376" s="9">
        <f t="shared" si="122"/>
        <v>34487.324250000005</v>
      </c>
      <c r="AH376" s="9">
        <f t="shared" si="134"/>
        <v>82341.947534999999</v>
      </c>
      <c r="AI376">
        <f t="shared" si="123"/>
        <v>0.50225057645971705</v>
      </c>
      <c r="AJ376" s="5">
        <f t="shared" si="124"/>
        <v>44928</v>
      </c>
      <c r="AK376" t="str">
        <f t="shared" si="125"/>
        <v>Jan-2023</v>
      </c>
      <c r="AL376">
        <v>0</v>
      </c>
      <c r="AM376">
        <v>0</v>
      </c>
      <c r="AN376">
        <v>0</v>
      </c>
    </row>
    <row r="377" spans="1:40" x14ac:dyDescent="0.45">
      <c r="A377" s="3" t="s">
        <v>601</v>
      </c>
      <c r="B377" s="5">
        <v>45504</v>
      </c>
      <c r="C377" s="9" t="str">
        <f t="shared" si="113"/>
        <v>Jul-2024</v>
      </c>
      <c r="D377" s="5" t="str">
        <f t="shared" si="114"/>
        <v>2024-Q3</v>
      </c>
      <c r="E377" s="5">
        <v>45519</v>
      </c>
      <c r="F377" s="9">
        <f t="shared" si="126"/>
        <v>15</v>
      </c>
      <c r="G377" s="9" t="str">
        <f t="shared" si="127"/>
        <v>NOT ACHIEVED</v>
      </c>
      <c r="H377" s="3" t="s">
        <v>641</v>
      </c>
      <c r="I377" s="3" t="s">
        <v>646</v>
      </c>
      <c r="J377" s="3" t="s">
        <v>683</v>
      </c>
      <c r="K377" s="13" t="str">
        <f t="shared" si="128"/>
        <v>Asia &gt; Japan &gt; Tokyo</v>
      </c>
      <c r="L377" s="3" t="s">
        <v>695</v>
      </c>
      <c r="M377" s="3" t="s">
        <v>703</v>
      </c>
      <c r="N377" s="13" t="str">
        <f t="shared" si="115"/>
        <v>Marketplace</v>
      </c>
      <c r="O377" s="3" t="s">
        <v>715</v>
      </c>
      <c r="P377" s="3" t="s">
        <v>726</v>
      </c>
      <c r="Q377" s="13" t="str">
        <f t="shared" si="116"/>
        <v>Medium</v>
      </c>
      <c r="R377" s="3" t="s">
        <v>1318</v>
      </c>
      <c r="S377" s="7">
        <v>1252.52</v>
      </c>
      <c r="T377" s="7">
        <f t="shared" si="129"/>
        <v>1440.3979999999999</v>
      </c>
      <c r="U377" s="7">
        <v>1417.24</v>
      </c>
      <c r="V377" s="7">
        <f t="shared" si="117"/>
        <v>1417.24</v>
      </c>
      <c r="W377" s="7">
        <f t="shared" si="130"/>
        <v>1629.8259999999998</v>
      </c>
      <c r="X377" s="16">
        <v>0.192</v>
      </c>
      <c r="Y377" t="str">
        <f t="shared" si="118"/>
        <v>OK</v>
      </c>
      <c r="Z377" s="16">
        <f t="shared" si="119"/>
        <v>0.192</v>
      </c>
      <c r="AA377" s="16">
        <f t="shared" si="131"/>
        <v>0.192</v>
      </c>
      <c r="AB377" s="9">
        <v>5</v>
      </c>
      <c r="AC377" s="9">
        <f t="shared" si="132"/>
        <v>6</v>
      </c>
      <c r="AD377" s="9">
        <f t="shared" si="120"/>
        <v>5725.6496000000006</v>
      </c>
      <c r="AE377" s="9">
        <f t="shared" si="133"/>
        <v>11656.515551999997</v>
      </c>
      <c r="AF377" s="9">
        <f t="shared" si="121"/>
        <v>6262.6</v>
      </c>
      <c r="AG377" s="9">
        <f t="shared" si="122"/>
        <v>-536.95039999999972</v>
      </c>
      <c r="AH377" s="9">
        <f t="shared" si="134"/>
        <v>5393.9155519999968</v>
      </c>
      <c r="AI377">
        <f t="shared" si="123"/>
        <v>-9.3779821943696953E-2</v>
      </c>
      <c r="AJ377" s="5">
        <f t="shared" si="124"/>
        <v>44928</v>
      </c>
      <c r="AK377" t="str">
        <f t="shared" si="125"/>
        <v>Jan-2023</v>
      </c>
      <c r="AL377">
        <v>0</v>
      </c>
      <c r="AM377">
        <v>0</v>
      </c>
      <c r="AN377">
        <v>0</v>
      </c>
    </row>
    <row r="378" spans="1:40" x14ac:dyDescent="0.45">
      <c r="A378" s="3" t="s">
        <v>606</v>
      </c>
      <c r="B378" s="5">
        <v>45726</v>
      </c>
      <c r="C378" s="9" t="str">
        <f t="shared" si="113"/>
        <v>Mar-2025</v>
      </c>
      <c r="D378" s="5" t="str">
        <f t="shared" si="114"/>
        <v>2025-Q1</v>
      </c>
      <c r="E378" s="5">
        <v>45751</v>
      </c>
      <c r="F378" s="9">
        <f t="shared" si="126"/>
        <v>25</v>
      </c>
      <c r="G378" s="9" t="str">
        <f t="shared" si="127"/>
        <v>NOT ACHIEVED</v>
      </c>
      <c r="H378" s="3" t="s">
        <v>641</v>
      </c>
      <c r="I378" s="3" t="s">
        <v>646</v>
      </c>
      <c r="J378" s="3" t="s">
        <v>660</v>
      </c>
      <c r="K378" s="13" t="str">
        <f t="shared" si="128"/>
        <v>Asia &gt; Japan &gt; Osaka</v>
      </c>
      <c r="L378" s="3" t="s">
        <v>695</v>
      </c>
      <c r="M378" s="3" t="s">
        <v>705</v>
      </c>
      <c r="N378" s="13" t="str">
        <f t="shared" si="115"/>
        <v>Direct</v>
      </c>
      <c r="O378" s="3" t="s">
        <v>716</v>
      </c>
      <c r="P378" s="3" t="s">
        <v>722</v>
      </c>
      <c r="Q378" s="13" t="str">
        <f t="shared" si="116"/>
        <v>Medium</v>
      </c>
      <c r="R378" s="3" t="s">
        <v>1323</v>
      </c>
      <c r="S378" s="7">
        <v>783.72</v>
      </c>
      <c r="T378" s="7">
        <f t="shared" si="129"/>
        <v>901.27799999999991</v>
      </c>
      <c r="U378" s="7">
        <v>1355.94</v>
      </c>
      <c r="V378" s="7">
        <f t="shared" si="117"/>
        <v>1355.94</v>
      </c>
      <c r="W378" s="7">
        <f t="shared" si="130"/>
        <v>1559.3309999999999</v>
      </c>
      <c r="X378" s="16">
        <v>0.187</v>
      </c>
      <c r="Y378" t="str">
        <f t="shared" si="118"/>
        <v>OK</v>
      </c>
      <c r="Z378" s="16">
        <f t="shared" si="119"/>
        <v>0.187</v>
      </c>
      <c r="AA378" s="16">
        <f t="shared" si="131"/>
        <v>0.187</v>
      </c>
      <c r="AB378" s="9">
        <v>4</v>
      </c>
      <c r="AC378" s="9">
        <f t="shared" si="132"/>
        <v>4.8</v>
      </c>
      <c r="AD378" s="9">
        <f t="shared" si="120"/>
        <v>4409.5168800000001</v>
      </c>
      <c r="AE378" s="9">
        <f t="shared" si="133"/>
        <v>8884.4443056</v>
      </c>
      <c r="AF378" s="9">
        <f t="shared" si="121"/>
        <v>3134.88</v>
      </c>
      <c r="AG378" s="9">
        <f t="shared" si="122"/>
        <v>1274.63688</v>
      </c>
      <c r="AH378" s="9">
        <f t="shared" si="134"/>
        <v>5749.5643055999999</v>
      </c>
      <c r="AI378">
        <f t="shared" si="123"/>
        <v>0.28906497348525856</v>
      </c>
      <c r="AJ378" s="5">
        <f t="shared" si="124"/>
        <v>44928</v>
      </c>
      <c r="AK378" t="str">
        <f t="shared" si="125"/>
        <v>Jan-2023</v>
      </c>
      <c r="AL378">
        <v>0</v>
      </c>
      <c r="AM378">
        <v>0</v>
      </c>
      <c r="AN378">
        <v>0</v>
      </c>
    </row>
    <row r="379" spans="1:40" x14ac:dyDescent="0.45">
      <c r="A379" s="3" t="s">
        <v>611</v>
      </c>
      <c r="B379" s="5">
        <v>45793</v>
      </c>
      <c r="C379" s="9" t="str">
        <f t="shared" si="113"/>
        <v>May-2025</v>
      </c>
      <c r="D379" s="5" t="str">
        <f t="shared" si="114"/>
        <v>2025-Q2</v>
      </c>
      <c r="E379" s="5">
        <v>45795</v>
      </c>
      <c r="F379" s="9">
        <f t="shared" si="126"/>
        <v>2</v>
      </c>
      <c r="G379" s="9" t="str">
        <f t="shared" si="127"/>
        <v>ACHIEVED</v>
      </c>
      <c r="H379" s="3" t="s">
        <v>641</v>
      </c>
      <c r="I379" s="3" t="s">
        <v>646</v>
      </c>
      <c r="J379" s="3" t="s">
        <v>683</v>
      </c>
      <c r="K379" s="13" t="str">
        <f t="shared" si="128"/>
        <v>Asia &gt; Japan &gt; Tokyo</v>
      </c>
      <c r="L379" s="3" t="s">
        <v>700</v>
      </c>
      <c r="M379" s="3" t="s">
        <v>701</v>
      </c>
      <c r="N379" s="13" t="str">
        <f t="shared" si="115"/>
        <v>Retail</v>
      </c>
      <c r="O379" s="3" t="s">
        <v>707</v>
      </c>
      <c r="P379" s="3" t="s">
        <v>722</v>
      </c>
      <c r="Q379" s="13" t="str">
        <f t="shared" si="116"/>
        <v>High</v>
      </c>
      <c r="R379" s="3" t="s">
        <v>1328</v>
      </c>
      <c r="S379" s="7">
        <v>1144.3800000000001</v>
      </c>
      <c r="T379" s="7">
        <f t="shared" si="129"/>
        <v>1316.037</v>
      </c>
      <c r="U379" s="7">
        <v>2755.04</v>
      </c>
      <c r="V379" s="7">
        <f t="shared" si="117"/>
        <v>2755.04</v>
      </c>
      <c r="W379" s="7">
        <f t="shared" si="130"/>
        <v>3168.2959999999998</v>
      </c>
      <c r="X379" s="16">
        <v>0.15</v>
      </c>
      <c r="Y379" t="str">
        <f t="shared" si="118"/>
        <v>OK</v>
      </c>
      <c r="Z379" s="16">
        <f t="shared" si="119"/>
        <v>0.15</v>
      </c>
      <c r="AA379" s="16">
        <f t="shared" si="131"/>
        <v>0.15</v>
      </c>
      <c r="AB379" s="9">
        <v>17</v>
      </c>
      <c r="AC379" s="9">
        <f t="shared" si="132"/>
        <v>20.399999999999999</v>
      </c>
      <c r="AD379" s="9">
        <f t="shared" si="120"/>
        <v>39810.328000000001</v>
      </c>
      <c r="AE379" s="9">
        <f t="shared" si="133"/>
        <v>74328.224159999983</v>
      </c>
      <c r="AF379" s="9">
        <f t="shared" si="121"/>
        <v>19454.460000000003</v>
      </c>
      <c r="AG379" s="9">
        <f t="shared" si="122"/>
        <v>20355.867999999999</v>
      </c>
      <c r="AH379" s="9">
        <f t="shared" si="134"/>
        <v>54873.764159999977</v>
      </c>
      <c r="AI379">
        <f t="shared" si="123"/>
        <v>0.51132128326096682</v>
      </c>
      <c r="AJ379" s="5">
        <f t="shared" si="124"/>
        <v>44928</v>
      </c>
      <c r="AK379" t="str">
        <f t="shared" si="125"/>
        <v>Jan-2023</v>
      </c>
      <c r="AL379">
        <v>0</v>
      </c>
      <c r="AM379">
        <v>0</v>
      </c>
      <c r="AN379">
        <v>0</v>
      </c>
    </row>
    <row r="380" spans="1:40" x14ac:dyDescent="0.45">
      <c r="A380" s="3" t="s">
        <v>614</v>
      </c>
      <c r="B380" s="5">
        <v>45038</v>
      </c>
      <c r="C380" s="9" t="str">
        <f t="shared" si="113"/>
        <v>Apr-2023</v>
      </c>
      <c r="D380" s="5" t="str">
        <f t="shared" si="114"/>
        <v>2023-Q2</v>
      </c>
      <c r="E380" s="5">
        <v>45060</v>
      </c>
      <c r="F380" s="9">
        <f t="shared" si="126"/>
        <v>22</v>
      </c>
      <c r="G380" s="9" t="str">
        <f t="shared" si="127"/>
        <v>NOT ACHIEVED</v>
      </c>
      <c r="H380" s="3" t="s">
        <v>641</v>
      </c>
      <c r="I380" s="3" t="s">
        <v>646</v>
      </c>
      <c r="J380" s="3" t="s">
        <v>688</v>
      </c>
      <c r="K380" s="13" t="str">
        <f t="shared" si="128"/>
        <v>Asia &gt; Japan &gt; Nagoya</v>
      </c>
      <c r="L380" s="3" t="s">
        <v>700</v>
      </c>
      <c r="M380" s="3" t="s">
        <v>701</v>
      </c>
      <c r="N380" s="13" t="str">
        <f t="shared" si="115"/>
        <v>Retail</v>
      </c>
      <c r="O380" s="3" t="s">
        <v>714</v>
      </c>
      <c r="P380" s="3" t="s">
        <v>727</v>
      </c>
      <c r="Q380" s="13" t="str">
        <f t="shared" si="116"/>
        <v>Medium</v>
      </c>
      <c r="R380" s="3" t="s">
        <v>1331</v>
      </c>
      <c r="S380" s="7">
        <v>1209.22</v>
      </c>
      <c r="T380" s="7">
        <f t="shared" si="129"/>
        <v>1390.6029999999998</v>
      </c>
      <c r="U380" s="7">
        <v>1404.33</v>
      </c>
      <c r="V380" s="7">
        <f t="shared" si="117"/>
        <v>1404.33</v>
      </c>
      <c r="W380" s="7">
        <f t="shared" si="130"/>
        <v>1614.9794999999997</v>
      </c>
      <c r="X380" s="16">
        <v>0.10299999999999999</v>
      </c>
      <c r="Y380" t="str">
        <f t="shared" si="118"/>
        <v>OK</v>
      </c>
      <c r="Z380" s="16">
        <f t="shared" si="119"/>
        <v>0.10299999999999999</v>
      </c>
      <c r="AA380" s="16">
        <f t="shared" si="131"/>
        <v>0.10299999999999999</v>
      </c>
      <c r="AB380" s="9">
        <v>11</v>
      </c>
      <c r="AC380" s="9">
        <f t="shared" si="132"/>
        <v>13.2</v>
      </c>
      <c r="AD380" s="9">
        <f t="shared" si="120"/>
        <v>13856.52411</v>
      </c>
      <c r="AE380" s="9">
        <f t="shared" si="133"/>
        <v>23513.455528199996</v>
      </c>
      <c r="AF380" s="9">
        <f t="shared" si="121"/>
        <v>13301.42</v>
      </c>
      <c r="AG380" s="9">
        <f t="shared" si="122"/>
        <v>555.10411000000022</v>
      </c>
      <c r="AH380" s="9">
        <f t="shared" si="134"/>
        <v>10212.035528199996</v>
      </c>
      <c r="AI380">
        <f t="shared" si="123"/>
        <v>4.0060848275751328E-2</v>
      </c>
      <c r="AJ380" s="5">
        <f t="shared" si="124"/>
        <v>44928</v>
      </c>
      <c r="AK380" t="str">
        <f t="shared" si="125"/>
        <v>Jan-2023</v>
      </c>
      <c r="AL380">
        <v>0</v>
      </c>
      <c r="AM380">
        <v>0</v>
      </c>
      <c r="AN380">
        <v>0</v>
      </c>
    </row>
    <row r="381" spans="1:40" x14ac:dyDescent="0.45">
      <c r="A381" s="3" t="s">
        <v>623</v>
      </c>
      <c r="B381" s="5">
        <v>45727</v>
      </c>
      <c r="C381" s="9" t="str">
        <f t="shared" si="113"/>
        <v>Mar-2025</v>
      </c>
      <c r="D381" s="5" t="str">
        <f t="shared" si="114"/>
        <v>2025-Q1</v>
      </c>
      <c r="E381" s="5">
        <v>45743</v>
      </c>
      <c r="F381" s="9">
        <f t="shared" si="126"/>
        <v>16</v>
      </c>
      <c r="G381" s="9" t="str">
        <f t="shared" si="127"/>
        <v>NOT ACHIEVED</v>
      </c>
      <c r="H381" s="3" t="s">
        <v>641</v>
      </c>
      <c r="I381" s="3" t="s">
        <v>646</v>
      </c>
      <c r="J381" s="3" t="s">
        <v>683</v>
      </c>
      <c r="K381" s="13" t="str">
        <f t="shared" si="128"/>
        <v>Asia &gt; Japan &gt; Tokyo</v>
      </c>
      <c r="L381" s="3" t="s">
        <v>700</v>
      </c>
      <c r="M381" s="3" t="s">
        <v>704</v>
      </c>
      <c r="N381" s="13" t="str">
        <f t="shared" si="115"/>
        <v>Distributor</v>
      </c>
      <c r="O381" s="3" t="s">
        <v>711</v>
      </c>
      <c r="P381" s="3" t="s">
        <v>722</v>
      </c>
      <c r="Q381" s="13" t="str">
        <f t="shared" si="116"/>
        <v>High</v>
      </c>
      <c r="R381" s="3" t="s">
        <v>1340</v>
      </c>
      <c r="S381" s="7">
        <v>1317.58</v>
      </c>
      <c r="T381" s="7">
        <f t="shared" si="129"/>
        <v>1515.2169999999999</v>
      </c>
      <c r="U381" s="7">
        <v>1897.74</v>
      </c>
      <c r="V381" s="7">
        <f t="shared" si="117"/>
        <v>1897.74</v>
      </c>
      <c r="W381" s="7">
        <f t="shared" si="130"/>
        <v>2182.4009999999998</v>
      </c>
      <c r="X381" s="16">
        <v>8.1000000000000003E-2</v>
      </c>
      <c r="Y381" t="str">
        <f t="shared" si="118"/>
        <v>OK</v>
      </c>
      <c r="Z381" s="16">
        <f t="shared" si="119"/>
        <v>8.1000000000000003E-2</v>
      </c>
      <c r="AA381" s="16">
        <f t="shared" si="131"/>
        <v>8.1000000000000003E-2</v>
      </c>
      <c r="AB381" s="9">
        <v>6</v>
      </c>
      <c r="AC381" s="9">
        <f t="shared" si="132"/>
        <v>7.1999999999999993</v>
      </c>
      <c r="AD381" s="9">
        <f t="shared" si="120"/>
        <v>10464.138360000001</v>
      </c>
      <c r="AE381" s="9">
        <f t="shared" si="133"/>
        <v>16986.063463199996</v>
      </c>
      <c r="AF381" s="9">
        <f t="shared" si="121"/>
        <v>7905.48</v>
      </c>
      <c r="AG381" s="9">
        <f t="shared" si="122"/>
        <v>2558.6583600000013</v>
      </c>
      <c r="AH381" s="9">
        <f t="shared" si="134"/>
        <v>9080.5834631999969</v>
      </c>
      <c r="AI381">
        <f t="shared" si="123"/>
        <v>0.24451687009230266</v>
      </c>
      <c r="AJ381" s="5">
        <f t="shared" si="124"/>
        <v>44928</v>
      </c>
      <c r="AK381" t="str">
        <f t="shared" si="125"/>
        <v>Jan-2023</v>
      </c>
      <c r="AL381">
        <v>0</v>
      </c>
      <c r="AM381">
        <v>0</v>
      </c>
      <c r="AN381">
        <v>0</v>
      </c>
    </row>
    <row r="382" spans="1:40" x14ac:dyDescent="0.45">
      <c r="A382" s="3" t="s">
        <v>638</v>
      </c>
      <c r="B382" s="5">
        <v>45249</v>
      </c>
      <c r="C382" s="9" t="str">
        <f t="shared" si="113"/>
        <v>Nov-2023</v>
      </c>
      <c r="D382" s="5" t="str">
        <f t="shared" si="114"/>
        <v>2023-Q4</v>
      </c>
      <c r="E382" s="5">
        <v>45279</v>
      </c>
      <c r="F382" s="9">
        <f t="shared" si="126"/>
        <v>30</v>
      </c>
      <c r="G382" s="9" t="str">
        <f t="shared" si="127"/>
        <v>NOT ACHIEVED</v>
      </c>
      <c r="H382" s="3" t="s">
        <v>641</v>
      </c>
      <c r="I382" s="3" t="s">
        <v>646</v>
      </c>
      <c r="J382" s="3" t="s">
        <v>688</v>
      </c>
      <c r="K382" s="13" t="str">
        <f t="shared" si="128"/>
        <v>Asia &gt; Japan &gt; Nagoya</v>
      </c>
      <c r="L382" s="3" t="s">
        <v>698</v>
      </c>
      <c r="M382" s="3" t="s">
        <v>701</v>
      </c>
      <c r="N382" s="13" t="str">
        <f t="shared" si="115"/>
        <v>Retail</v>
      </c>
      <c r="O382" s="3" t="s">
        <v>1443</v>
      </c>
      <c r="P382" s="3" t="s">
        <v>724</v>
      </c>
      <c r="Q382" s="13" t="str">
        <f t="shared" si="116"/>
        <v>High</v>
      </c>
      <c r="R382" s="3" t="s">
        <v>1355</v>
      </c>
      <c r="S382" s="7">
        <v>807.11</v>
      </c>
      <c r="T382" s="7">
        <f t="shared" si="129"/>
        <v>928.17649999999992</v>
      </c>
      <c r="U382" s="7">
        <v>1853.86</v>
      </c>
      <c r="V382" s="7">
        <f t="shared" si="117"/>
        <v>1853.86</v>
      </c>
      <c r="W382" s="7">
        <f t="shared" si="130"/>
        <v>2131.9389999999999</v>
      </c>
      <c r="X382" s="16">
        <v>0.13900000000000001</v>
      </c>
      <c r="Y382" t="str">
        <f t="shared" si="118"/>
        <v>OK</v>
      </c>
      <c r="Z382" s="16">
        <f t="shared" si="119"/>
        <v>0.13900000000000001</v>
      </c>
      <c r="AA382" s="16">
        <f t="shared" si="131"/>
        <v>0.13900000000000001</v>
      </c>
      <c r="AB382" s="9">
        <v>8</v>
      </c>
      <c r="AC382" s="9">
        <f t="shared" si="132"/>
        <v>9.6</v>
      </c>
      <c r="AD382" s="9">
        <f t="shared" si="120"/>
        <v>12769.38768</v>
      </c>
      <c r="AE382" s="9">
        <f t="shared" si="133"/>
        <v>23311.473801599997</v>
      </c>
      <c r="AF382" s="9">
        <f t="shared" si="121"/>
        <v>6456.88</v>
      </c>
      <c r="AG382" s="9">
        <f t="shared" si="122"/>
        <v>6312.5076799999997</v>
      </c>
      <c r="AH382" s="9">
        <f t="shared" si="134"/>
        <v>16854.593801599996</v>
      </c>
      <c r="AI382">
        <f t="shared" si="123"/>
        <v>0.49434693645388639</v>
      </c>
      <c r="AJ382" s="5">
        <f t="shared" si="124"/>
        <v>44928</v>
      </c>
      <c r="AK382" t="str">
        <f t="shared" si="125"/>
        <v>Jan-2023</v>
      </c>
      <c r="AL382">
        <v>0</v>
      </c>
      <c r="AM382">
        <v>0</v>
      </c>
      <c r="AN382">
        <v>0</v>
      </c>
    </row>
    <row r="383" spans="1:40" x14ac:dyDescent="0.45">
      <c r="A383" s="3" t="s">
        <v>639</v>
      </c>
      <c r="B383" s="5">
        <v>45716</v>
      </c>
      <c r="C383" s="9" t="str">
        <f t="shared" si="113"/>
        <v>Feb-2025</v>
      </c>
      <c r="D383" s="5" t="str">
        <f t="shared" si="114"/>
        <v>2025-Q1</v>
      </c>
      <c r="E383" s="5">
        <v>45726</v>
      </c>
      <c r="F383" s="9">
        <f t="shared" si="126"/>
        <v>10</v>
      </c>
      <c r="G383" s="9" t="str">
        <f t="shared" si="127"/>
        <v>NOT ACHIEVED</v>
      </c>
      <c r="H383" s="3" t="s">
        <v>641</v>
      </c>
      <c r="I383" s="3" t="s">
        <v>646</v>
      </c>
      <c r="J383" s="3" t="s">
        <v>660</v>
      </c>
      <c r="K383" s="13" t="str">
        <f t="shared" si="128"/>
        <v>Asia &gt; Japan &gt; Osaka</v>
      </c>
      <c r="L383" s="3" t="s">
        <v>696</v>
      </c>
      <c r="M383" s="3" t="s">
        <v>704</v>
      </c>
      <c r="N383" s="13" t="str">
        <f t="shared" si="115"/>
        <v>Distributor</v>
      </c>
      <c r="O383" s="3" t="s">
        <v>719</v>
      </c>
      <c r="P383" s="3" t="s">
        <v>725</v>
      </c>
      <c r="Q383" s="13" t="str">
        <f t="shared" si="116"/>
        <v>Low</v>
      </c>
      <c r="R383" s="3" t="s">
        <v>1356</v>
      </c>
      <c r="S383" s="7">
        <v>51.86</v>
      </c>
      <c r="T383" s="7">
        <f t="shared" si="129"/>
        <v>59.638999999999996</v>
      </c>
      <c r="U383" s="7">
        <v>45.98</v>
      </c>
      <c r="V383" s="7">
        <f t="shared" si="117"/>
        <v>45.98</v>
      </c>
      <c r="W383" s="7">
        <f t="shared" si="130"/>
        <v>52.876999999999995</v>
      </c>
      <c r="X383" s="16">
        <v>0.17299999999999999</v>
      </c>
      <c r="Y383" t="str">
        <f t="shared" si="118"/>
        <v>OK</v>
      </c>
      <c r="Z383" s="16">
        <f t="shared" si="119"/>
        <v>0.17299999999999999</v>
      </c>
      <c r="AA383" s="16">
        <f t="shared" si="131"/>
        <v>0.17299999999999999</v>
      </c>
      <c r="AB383" s="9">
        <v>7</v>
      </c>
      <c r="AC383" s="9">
        <f t="shared" si="132"/>
        <v>8.4</v>
      </c>
      <c r="AD383" s="9">
        <f t="shared" si="120"/>
        <v>266.17821999999995</v>
      </c>
      <c r="AE383" s="9">
        <f t="shared" si="133"/>
        <v>521.00765639999997</v>
      </c>
      <c r="AF383" s="9">
        <f t="shared" si="121"/>
        <v>363.02</v>
      </c>
      <c r="AG383" s="9">
        <f t="shared" si="122"/>
        <v>-96.841780000000028</v>
      </c>
      <c r="AH383" s="9">
        <f t="shared" si="134"/>
        <v>157.98765639999999</v>
      </c>
      <c r="AI383">
        <f t="shared" si="123"/>
        <v>-0.3638230806412337</v>
      </c>
      <c r="AJ383" s="5">
        <f t="shared" si="124"/>
        <v>44928</v>
      </c>
      <c r="AK383" t="str">
        <f t="shared" si="125"/>
        <v>Jan-2023</v>
      </c>
      <c r="AL383">
        <v>0</v>
      </c>
      <c r="AM383">
        <v>0</v>
      </c>
      <c r="AN383">
        <v>0</v>
      </c>
    </row>
    <row r="384" spans="1:40" x14ac:dyDescent="0.45">
      <c r="A384" s="3" t="s">
        <v>11</v>
      </c>
      <c r="B384" s="5">
        <v>44985</v>
      </c>
      <c r="C384" s="9" t="str">
        <f t="shared" si="113"/>
        <v>Feb-2023</v>
      </c>
      <c r="D384" s="5" t="str">
        <f t="shared" si="114"/>
        <v>2023-Q1</v>
      </c>
      <c r="E384" s="5">
        <v>45010</v>
      </c>
      <c r="F384" s="9">
        <f t="shared" si="126"/>
        <v>25</v>
      </c>
      <c r="G384" s="9" t="str">
        <f t="shared" si="127"/>
        <v>NOT ACHIEVED</v>
      </c>
      <c r="H384" s="3" t="s">
        <v>640</v>
      </c>
      <c r="I384" s="3" t="s">
        <v>644</v>
      </c>
      <c r="J384" s="3" t="s">
        <v>658</v>
      </c>
      <c r="K384" s="13" t="str">
        <f t="shared" si="128"/>
        <v>Africa &gt; Kenya &gt; Nairobi</v>
      </c>
      <c r="L384" s="3" t="s">
        <v>695</v>
      </c>
      <c r="M384" s="3" t="s">
        <v>701</v>
      </c>
      <c r="N384" s="13" t="str">
        <f t="shared" si="115"/>
        <v>Retail</v>
      </c>
      <c r="O384" s="3" t="s">
        <v>708</v>
      </c>
      <c r="P384" s="3" t="s">
        <v>723</v>
      </c>
      <c r="Q384" s="13" t="str">
        <f t="shared" si="116"/>
        <v>Low</v>
      </c>
      <c r="R384" s="3" t="s">
        <v>730</v>
      </c>
      <c r="S384" s="7">
        <v>1460.76</v>
      </c>
      <c r="T384" s="7">
        <f t="shared" si="129"/>
        <v>1679.8739999999998</v>
      </c>
      <c r="U384" s="7">
        <v>0</v>
      </c>
      <c r="V384" s="7">
        <f t="shared" si="117"/>
        <v>0</v>
      </c>
      <c r="W384" s="7">
        <f t="shared" si="130"/>
        <v>0</v>
      </c>
      <c r="X384" s="16">
        <v>0.13100000000000001</v>
      </c>
      <c r="Y384" t="str">
        <f t="shared" si="118"/>
        <v>OK</v>
      </c>
      <c r="Z384" s="16">
        <f t="shared" si="119"/>
        <v>0.13100000000000001</v>
      </c>
      <c r="AA384" s="16">
        <f t="shared" si="131"/>
        <v>0.13100000000000001</v>
      </c>
      <c r="AB384" s="9">
        <v>12</v>
      </c>
      <c r="AC384" s="9">
        <f t="shared" si="132"/>
        <v>14.399999999999999</v>
      </c>
      <c r="AD384" s="9">
        <f t="shared" si="120"/>
        <v>0</v>
      </c>
      <c r="AE384" s="9">
        <f t="shared" si="133"/>
        <v>0</v>
      </c>
      <c r="AF384" s="9">
        <f t="shared" si="121"/>
        <v>17529.12</v>
      </c>
      <c r="AG384" s="9">
        <f t="shared" si="122"/>
        <v>-17529.12</v>
      </c>
      <c r="AH384" s="9">
        <f t="shared" si="134"/>
        <v>-17529.12</v>
      </c>
      <c r="AI384">
        <f t="shared" si="123"/>
        <v>0</v>
      </c>
      <c r="AJ384" s="5">
        <f t="shared" si="124"/>
        <v>44928</v>
      </c>
      <c r="AK384" t="str">
        <f t="shared" si="125"/>
        <v>Jan-2023</v>
      </c>
      <c r="AL384">
        <v>0</v>
      </c>
      <c r="AM384">
        <v>0</v>
      </c>
      <c r="AN384">
        <v>0</v>
      </c>
    </row>
    <row r="385" spans="1:40" x14ac:dyDescent="0.45">
      <c r="A385" s="3" t="s">
        <v>24</v>
      </c>
      <c r="B385" s="5">
        <v>45039</v>
      </c>
      <c r="C385" s="9" t="str">
        <f t="shared" si="113"/>
        <v>Apr-2023</v>
      </c>
      <c r="D385" s="5" t="str">
        <f t="shared" si="114"/>
        <v>2023-Q2</v>
      </c>
      <c r="E385" s="5">
        <v>45044</v>
      </c>
      <c r="F385" s="9">
        <f t="shared" si="126"/>
        <v>5</v>
      </c>
      <c r="G385" s="9" t="str">
        <f t="shared" si="127"/>
        <v>ACHIEVED</v>
      </c>
      <c r="H385" s="3" t="s">
        <v>640</v>
      </c>
      <c r="I385" s="3" t="s">
        <v>644</v>
      </c>
      <c r="J385" s="3" t="s">
        <v>658</v>
      </c>
      <c r="K385" s="13" t="str">
        <f t="shared" si="128"/>
        <v>Africa &gt; Kenya &gt; Nairobi</v>
      </c>
      <c r="L385" s="3" t="s">
        <v>699</v>
      </c>
      <c r="M385" s="3" t="s">
        <v>705</v>
      </c>
      <c r="N385" s="13" t="str">
        <f t="shared" si="115"/>
        <v>Direct</v>
      </c>
      <c r="O385" s="3" t="s">
        <v>712</v>
      </c>
      <c r="P385" s="3" t="s">
        <v>725</v>
      </c>
      <c r="Q385" s="13" t="str">
        <f t="shared" si="116"/>
        <v>Medium</v>
      </c>
      <c r="R385" s="3" t="s">
        <v>743</v>
      </c>
      <c r="S385" s="7">
        <v>756.51</v>
      </c>
      <c r="T385" s="7">
        <f t="shared" si="129"/>
        <v>869.98649999999998</v>
      </c>
      <c r="U385" s="7">
        <v>850.8</v>
      </c>
      <c r="V385" s="7">
        <f t="shared" si="117"/>
        <v>850.8</v>
      </c>
      <c r="W385" s="7">
        <f t="shared" si="130"/>
        <v>978.41999999999985</v>
      </c>
      <c r="X385" s="16">
        <v>7.3999999999999996E-2</v>
      </c>
      <c r="Y385" t="str">
        <f t="shared" si="118"/>
        <v>OK</v>
      </c>
      <c r="Z385" s="16">
        <f t="shared" si="119"/>
        <v>7.3999999999999996E-2</v>
      </c>
      <c r="AA385" s="16">
        <f t="shared" si="131"/>
        <v>7.3999999999999996E-2</v>
      </c>
      <c r="AB385" s="9">
        <v>9</v>
      </c>
      <c r="AC385" s="9">
        <f t="shared" si="132"/>
        <v>10.799999999999999</v>
      </c>
      <c r="AD385" s="9">
        <f t="shared" si="120"/>
        <v>7090.5672000000004</v>
      </c>
      <c r="AE385" s="9">
        <f t="shared" si="133"/>
        <v>11348.889263999998</v>
      </c>
      <c r="AF385" s="9">
        <f t="shared" si="121"/>
        <v>6808.59</v>
      </c>
      <c r="AG385" s="9">
        <f t="shared" si="122"/>
        <v>281.97720000000027</v>
      </c>
      <c r="AH385" s="9">
        <f t="shared" si="134"/>
        <v>4540.2992639999975</v>
      </c>
      <c r="AI385">
        <f t="shared" si="123"/>
        <v>3.9767932810791252E-2</v>
      </c>
      <c r="AJ385" s="5">
        <f t="shared" si="124"/>
        <v>44928</v>
      </c>
      <c r="AK385" t="str">
        <f t="shared" si="125"/>
        <v>Jan-2023</v>
      </c>
      <c r="AL385">
        <v>0</v>
      </c>
      <c r="AM385">
        <v>0</v>
      </c>
      <c r="AN385">
        <v>0</v>
      </c>
    </row>
    <row r="386" spans="1:40" x14ac:dyDescent="0.45">
      <c r="A386" s="3" t="s">
        <v>29</v>
      </c>
      <c r="B386" s="5">
        <v>45498</v>
      </c>
      <c r="C386" s="9" t="str">
        <f t="shared" ref="C386:C449" si="135">TEXT(B386,"MMM-YYYY")</f>
        <v>Jul-2024</v>
      </c>
      <c r="D386" s="5" t="str">
        <f t="shared" ref="D386:D449" si="136">YEAR(B386)&amp; "-Q"&amp;ROUNDUP(MONTH(B386)/3,0)</f>
        <v>2024-Q3</v>
      </c>
      <c r="E386" s="5">
        <v>45503</v>
      </c>
      <c r="F386" s="9">
        <f t="shared" si="126"/>
        <v>5</v>
      </c>
      <c r="G386" s="9" t="str">
        <f t="shared" si="127"/>
        <v>ACHIEVED</v>
      </c>
      <c r="H386" s="3" t="s">
        <v>640</v>
      </c>
      <c r="I386" s="3" t="s">
        <v>644</v>
      </c>
      <c r="J386" s="3" t="s">
        <v>669</v>
      </c>
      <c r="K386" s="13" t="str">
        <f t="shared" si="128"/>
        <v>Africa &gt; Kenya &gt; Mombasa</v>
      </c>
      <c r="L386" s="3" t="s">
        <v>697</v>
      </c>
      <c r="M386" s="3" t="s">
        <v>705</v>
      </c>
      <c r="N386" s="13" t="str">
        <f t="shared" ref="N386:N449" si="137">IF(ISBLANK(M386),"Unknown",M386)</f>
        <v>Direct</v>
      </c>
      <c r="O386" s="3" t="s">
        <v>707</v>
      </c>
      <c r="P386" s="3" t="s">
        <v>725</v>
      </c>
      <c r="Q386" s="13" t="str">
        <f t="shared" ref="Q386:Q449" si="138">IF(U386&lt;=$AM$2,"Low",IF(U386&lt;=$AM$3,"Medium","High"))</f>
        <v>High</v>
      </c>
      <c r="R386" s="3" t="s">
        <v>748</v>
      </c>
      <c r="S386" s="7">
        <v>1494.4</v>
      </c>
      <c r="T386" s="7">
        <f t="shared" si="129"/>
        <v>1718.56</v>
      </c>
      <c r="U386" s="7">
        <v>3661.07</v>
      </c>
      <c r="V386" s="7">
        <f t="shared" ref="V386:V449" si="139">IF(U386&lt;0,"",U386)</f>
        <v>3661.07</v>
      </c>
      <c r="W386" s="7">
        <f t="shared" si="130"/>
        <v>4210.2304999999997</v>
      </c>
      <c r="X386" s="16">
        <v>7.1999999999999995E-2</v>
      </c>
      <c r="Y386" t="str">
        <f t="shared" ref="Y386:Y449" si="140">IF(X386&gt;0.3,"Excess dis","OK")</f>
        <v>OK</v>
      </c>
      <c r="Z386" s="16">
        <f t="shared" ref="Z386:Z449" si="141">IF(X386&gt;0.3,0.3,X386)</f>
        <v>7.1999999999999995E-2</v>
      </c>
      <c r="AA386" s="16">
        <f t="shared" si="131"/>
        <v>7.1999999999999995E-2</v>
      </c>
      <c r="AB386" s="9">
        <v>7</v>
      </c>
      <c r="AC386" s="9">
        <f t="shared" si="132"/>
        <v>8.4</v>
      </c>
      <c r="AD386" s="9">
        <f t="shared" ref="AD386:AD449" si="142">V386*AB386*(1-Z386)</f>
        <v>23782.310720000001</v>
      </c>
      <c r="AE386" s="9">
        <f t="shared" si="133"/>
        <v>37912.2836064</v>
      </c>
      <c r="AF386" s="9">
        <f t="shared" ref="AF386:AF449" si="143">S386*AB386</f>
        <v>10460.800000000001</v>
      </c>
      <c r="AG386" s="9">
        <f t="shared" ref="AG386:AG449" si="144">AD386-AF386</f>
        <v>13321.51072</v>
      </c>
      <c r="AH386" s="9">
        <f t="shared" si="134"/>
        <v>27451.483606399997</v>
      </c>
      <c r="AI386">
        <f t="shared" ref="AI386:AI449" si="145">IF(AD386=0,0,AG386/AD386)</f>
        <v>0.56014366630897339</v>
      </c>
      <c r="AJ386" s="5">
        <f t="shared" ref="AJ386:AJ449" si="146">MIN(IF($I$2:$I$632=I386, $B$2:$B$632))</f>
        <v>44928</v>
      </c>
      <c r="AK386" t="str">
        <f t="shared" ref="AK386:AK449" si="147">TEXT(AJ386,"MMM-YYYY")</f>
        <v>Jan-2023</v>
      </c>
      <c r="AL386">
        <v>0</v>
      </c>
      <c r="AM386">
        <v>0</v>
      </c>
      <c r="AN386">
        <v>0</v>
      </c>
    </row>
    <row r="387" spans="1:40" x14ac:dyDescent="0.45">
      <c r="A387" s="3" t="s">
        <v>36</v>
      </c>
      <c r="B387" s="5">
        <v>45492</v>
      </c>
      <c r="C387" s="9" t="str">
        <f t="shared" si="135"/>
        <v>Jul-2024</v>
      </c>
      <c r="D387" s="5" t="str">
        <f t="shared" si="136"/>
        <v>2024-Q3</v>
      </c>
      <c r="E387" s="5">
        <v>45492</v>
      </c>
      <c r="F387" s="9">
        <f t="shared" ref="F387:F450" si="148">E387-B387</f>
        <v>0</v>
      </c>
      <c r="G387" s="9" t="str">
        <f t="shared" ref="G387:G450" si="149">IF(F387&lt;=7,"ACHIEVED","NOT ACHIEVED")</f>
        <v>ACHIEVED</v>
      </c>
      <c r="H387" s="3" t="s">
        <v>640</v>
      </c>
      <c r="I387" s="3" t="s">
        <v>644</v>
      </c>
      <c r="J387" s="3" t="s">
        <v>656</v>
      </c>
      <c r="K387" s="13" t="str">
        <f t="shared" ref="K387:K450" si="150">H387&amp;" &gt; "&amp;I387&amp;" &gt; "&amp;J387</f>
        <v>Africa &gt; Kenya &gt; Kisumu</v>
      </c>
      <c r="L387" s="3" t="s">
        <v>699</v>
      </c>
      <c r="M387" s="3" t="s">
        <v>701</v>
      </c>
      <c r="N387" s="13" t="str">
        <f t="shared" si="137"/>
        <v>Retail</v>
      </c>
      <c r="O387" s="3" t="s">
        <v>714</v>
      </c>
      <c r="P387" s="3" t="s">
        <v>724</v>
      </c>
      <c r="Q387" s="13" t="str">
        <f t="shared" si="138"/>
        <v>Low</v>
      </c>
      <c r="R387" s="3" t="s">
        <v>755</v>
      </c>
      <c r="S387" s="7">
        <v>857.24</v>
      </c>
      <c r="T387" s="7">
        <f t="shared" ref="T387:T450" si="151">S387*(1+$AM$6)</f>
        <v>985.82599999999991</v>
      </c>
      <c r="U387" s="7">
        <v>758.23</v>
      </c>
      <c r="V387" s="7">
        <f t="shared" si="139"/>
        <v>758.23</v>
      </c>
      <c r="W387" s="7">
        <f t="shared" ref="W387:W450" si="152">V387*(1+$AM$6)</f>
        <v>871.96449999999993</v>
      </c>
      <c r="X387" s="16">
        <v>0.125</v>
      </c>
      <c r="Y387" t="str">
        <f t="shared" si="140"/>
        <v>OK</v>
      </c>
      <c r="Z387" s="16">
        <f t="shared" si="141"/>
        <v>0.125</v>
      </c>
      <c r="AA387" s="16">
        <f t="shared" ref="AA387:AA450" si="153">MIN(Z387,$AM$5)</f>
        <v>0.125</v>
      </c>
      <c r="AB387" s="9">
        <v>6</v>
      </c>
      <c r="AC387" s="9">
        <f t="shared" ref="AC387:AC450" si="154">AB387*(1+$AM$7)</f>
        <v>7.1999999999999993</v>
      </c>
      <c r="AD387" s="9">
        <f t="shared" si="142"/>
        <v>3980.7075</v>
      </c>
      <c r="AE387" s="9">
        <f t="shared" ref="AE387:AE450" si="155">W387*AC387*(1+AA387)</f>
        <v>7062.9124499999989</v>
      </c>
      <c r="AF387" s="9">
        <f t="shared" si="143"/>
        <v>5143.4400000000005</v>
      </c>
      <c r="AG387" s="9">
        <f t="shared" si="144"/>
        <v>-1162.7325000000005</v>
      </c>
      <c r="AH387" s="9">
        <f t="shared" ref="AH387:AH450" si="156">AE387-AF387</f>
        <v>1919.4724499999984</v>
      </c>
      <c r="AI387">
        <f t="shared" si="145"/>
        <v>-0.29209192084572921</v>
      </c>
      <c r="AJ387" s="5">
        <f t="shared" si="146"/>
        <v>44928</v>
      </c>
      <c r="AK387" t="str">
        <f t="shared" si="147"/>
        <v>Jan-2023</v>
      </c>
      <c r="AL387">
        <v>0</v>
      </c>
      <c r="AM387">
        <v>0</v>
      </c>
      <c r="AN387">
        <v>0</v>
      </c>
    </row>
    <row r="388" spans="1:40" x14ac:dyDescent="0.45">
      <c r="A388" s="3" t="s">
        <v>37</v>
      </c>
      <c r="B388" s="5">
        <v>45030</v>
      </c>
      <c r="C388" s="9" t="str">
        <f t="shared" si="135"/>
        <v>Apr-2023</v>
      </c>
      <c r="D388" s="5" t="str">
        <f t="shared" si="136"/>
        <v>2023-Q2</v>
      </c>
      <c r="E388" s="5">
        <v>45060</v>
      </c>
      <c r="F388" s="9">
        <f t="shared" si="148"/>
        <v>30</v>
      </c>
      <c r="G388" s="9" t="str">
        <f t="shared" si="149"/>
        <v>NOT ACHIEVED</v>
      </c>
      <c r="H388" s="3" t="s">
        <v>640</v>
      </c>
      <c r="I388" s="3" t="s">
        <v>644</v>
      </c>
      <c r="J388" s="3" t="s">
        <v>672</v>
      </c>
      <c r="K388" s="13" t="str">
        <f t="shared" si="150"/>
        <v>Africa &gt; Kenya &gt; Nakuru</v>
      </c>
      <c r="L388" s="3" t="s">
        <v>698</v>
      </c>
      <c r="M388" s="3" t="s">
        <v>703</v>
      </c>
      <c r="N388" s="13" t="str">
        <f t="shared" si="137"/>
        <v>Marketplace</v>
      </c>
      <c r="O388" s="3" t="s">
        <v>718</v>
      </c>
      <c r="P388" s="3" t="s">
        <v>724</v>
      </c>
      <c r="Q388" s="13" t="str">
        <f t="shared" si="138"/>
        <v>Low</v>
      </c>
      <c r="R388" s="3" t="s">
        <v>756</v>
      </c>
      <c r="S388" s="7">
        <v>209.25</v>
      </c>
      <c r="T388" s="7">
        <f t="shared" si="151"/>
        <v>240.63749999999999</v>
      </c>
      <c r="U388" s="7">
        <v>434.8</v>
      </c>
      <c r="V388" s="7">
        <f t="shared" si="139"/>
        <v>434.8</v>
      </c>
      <c r="W388" s="7">
        <f t="shared" si="152"/>
        <v>500.02</v>
      </c>
      <c r="X388" s="16">
        <v>0</v>
      </c>
      <c r="Y388" t="str">
        <f t="shared" si="140"/>
        <v>OK</v>
      </c>
      <c r="Z388" s="16">
        <f t="shared" si="141"/>
        <v>0</v>
      </c>
      <c r="AA388" s="16">
        <f t="shared" si="153"/>
        <v>0</v>
      </c>
      <c r="AB388" s="9">
        <v>9</v>
      </c>
      <c r="AC388" s="9">
        <f t="shared" si="154"/>
        <v>10.799999999999999</v>
      </c>
      <c r="AD388" s="9">
        <f t="shared" si="142"/>
        <v>3913.2000000000003</v>
      </c>
      <c r="AE388" s="9">
        <f t="shared" si="155"/>
        <v>5400.2159999999994</v>
      </c>
      <c r="AF388" s="9">
        <f t="shared" si="143"/>
        <v>1883.25</v>
      </c>
      <c r="AG388" s="9">
        <f t="shared" si="144"/>
        <v>2029.9500000000003</v>
      </c>
      <c r="AH388" s="9">
        <f t="shared" si="156"/>
        <v>3516.9659999999994</v>
      </c>
      <c r="AI388">
        <f t="shared" si="145"/>
        <v>0.51874425022999082</v>
      </c>
      <c r="AJ388" s="5">
        <f t="shared" si="146"/>
        <v>44928</v>
      </c>
      <c r="AK388" t="str">
        <f t="shared" si="147"/>
        <v>Jan-2023</v>
      </c>
      <c r="AL388">
        <v>0</v>
      </c>
      <c r="AM388">
        <v>0</v>
      </c>
      <c r="AN388">
        <v>0</v>
      </c>
    </row>
    <row r="389" spans="1:40" x14ac:dyDescent="0.45">
      <c r="A389" s="3" t="s">
        <v>51</v>
      </c>
      <c r="B389" s="5">
        <v>45590</v>
      </c>
      <c r="C389" s="9" t="str">
        <f t="shared" si="135"/>
        <v>Oct-2024</v>
      </c>
      <c r="D389" s="5" t="str">
        <f t="shared" si="136"/>
        <v>2024-Q4</v>
      </c>
      <c r="E389" s="5">
        <v>45610</v>
      </c>
      <c r="F389" s="9">
        <f t="shared" si="148"/>
        <v>20</v>
      </c>
      <c r="G389" s="9" t="str">
        <f t="shared" si="149"/>
        <v>NOT ACHIEVED</v>
      </c>
      <c r="H389" s="3" t="s">
        <v>640</v>
      </c>
      <c r="I389" s="3" t="s">
        <v>644</v>
      </c>
      <c r="J389" s="3" t="s">
        <v>669</v>
      </c>
      <c r="K389" s="13" t="str">
        <f t="shared" si="150"/>
        <v>Africa &gt; Kenya &gt; Mombasa</v>
      </c>
      <c r="L389" s="3" t="s">
        <v>695</v>
      </c>
      <c r="M389" s="3" t="s">
        <v>705</v>
      </c>
      <c r="N389" s="13" t="str">
        <f t="shared" si="137"/>
        <v>Direct</v>
      </c>
      <c r="O389" s="3" t="s">
        <v>716</v>
      </c>
      <c r="P389" s="3" t="s">
        <v>722</v>
      </c>
      <c r="Q389" s="13" t="str">
        <f t="shared" si="138"/>
        <v>High</v>
      </c>
      <c r="R389" s="3" t="s">
        <v>770</v>
      </c>
      <c r="S389" s="7">
        <v>1396.48</v>
      </c>
      <c r="T389" s="7">
        <f t="shared" si="151"/>
        <v>1605.952</v>
      </c>
      <c r="U389" s="7">
        <v>3204.5</v>
      </c>
      <c r="V389" s="7">
        <f t="shared" si="139"/>
        <v>3204.5</v>
      </c>
      <c r="W389" s="7">
        <f t="shared" si="152"/>
        <v>3685.1749999999997</v>
      </c>
      <c r="X389" s="16">
        <v>0.3</v>
      </c>
      <c r="Y389" t="str">
        <f t="shared" si="140"/>
        <v>OK</v>
      </c>
      <c r="Z389" s="16">
        <f t="shared" si="141"/>
        <v>0.3</v>
      </c>
      <c r="AA389" s="16">
        <f t="shared" si="153"/>
        <v>0.25</v>
      </c>
      <c r="AB389" s="9">
        <v>14</v>
      </c>
      <c r="AC389" s="9">
        <f t="shared" si="154"/>
        <v>16.8</v>
      </c>
      <c r="AD389" s="9">
        <f t="shared" si="142"/>
        <v>31404.1</v>
      </c>
      <c r="AE389" s="9">
        <f t="shared" si="155"/>
        <v>77388.674999999988</v>
      </c>
      <c r="AF389" s="9">
        <f t="shared" si="143"/>
        <v>19550.72</v>
      </c>
      <c r="AG389" s="9">
        <f t="shared" si="144"/>
        <v>11853.379999999997</v>
      </c>
      <c r="AH389" s="9">
        <f t="shared" si="156"/>
        <v>57837.954999999987</v>
      </c>
      <c r="AI389">
        <f t="shared" si="145"/>
        <v>0.3774468938769141</v>
      </c>
      <c r="AJ389" s="5">
        <f t="shared" si="146"/>
        <v>44928</v>
      </c>
      <c r="AK389" t="str">
        <f t="shared" si="147"/>
        <v>Jan-2023</v>
      </c>
      <c r="AL389">
        <v>0</v>
      </c>
      <c r="AM389">
        <v>0</v>
      </c>
      <c r="AN389">
        <v>0</v>
      </c>
    </row>
    <row r="390" spans="1:40" x14ac:dyDescent="0.45">
      <c r="A390" s="3" t="s">
        <v>61</v>
      </c>
      <c r="B390" s="5">
        <v>45016</v>
      </c>
      <c r="C390" s="9" t="str">
        <f t="shared" si="135"/>
        <v>Mar-2023</v>
      </c>
      <c r="D390" s="5" t="str">
        <f t="shared" si="136"/>
        <v>2023-Q1</v>
      </c>
      <c r="E390" s="5">
        <v>45021</v>
      </c>
      <c r="F390" s="9">
        <f t="shared" si="148"/>
        <v>5</v>
      </c>
      <c r="G390" s="9" t="str">
        <f t="shared" si="149"/>
        <v>ACHIEVED</v>
      </c>
      <c r="H390" s="3" t="s">
        <v>640</v>
      </c>
      <c r="I390" s="3" t="s">
        <v>644</v>
      </c>
      <c r="J390" s="3" t="s">
        <v>672</v>
      </c>
      <c r="K390" s="13" t="str">
        <f t="shared" si="150"/>
        <v>Africa &gt; Kenya &gt; Nakuru</v>
      </c>
      <c r="L390" s="3" t="s">
        <v>696</v>
      </c>
      <c r="M390" s="3" t="s">
        <v>703</v>
      </c>
      <c r="N390" s="13" t="str">
        <f t="shared" si="137"/>
        <v>Marketplace</v>
      </c>
      <c r="O390" s="3" t="s">
        <v>711</v>
      </c>
      <c r="P390" s="3" t="s">
        <v>725</v>
      </c>
      <c r="Q390" s="13" t="str">
        <f t="shared" si="138"/>
        <v>Low</v>
      </c>
      <c r="R390" s="3" t="s">
        <v>780</v>
      </c>
      <c r="S390" s="7">
        <v>533.26</v>
      </c>
      <c r="T390" s="7">
        <f t="shared" si="151"/>
        <v>613.24899999999991</v>
      </c>
      <c r="U390" s="7">
        <v>385.72</v>
      </c>
      <c r="V390" s="7">
        <f t="shared" si="139"/>
        <v>385.72</v>
      </c>
      <c r="W390" s="7">
        <f t="shared" si="152"/>
        <v>443.57799999999997</v>
      </c>
      <c r="X390" s="16">
        <v>0</v>
      </c>
      <c r="Y390" t="str">
        <f t="shared" si="140"/>
        <v>OK</v>
      </c>
      <c r="Z390" s="16">
        <f t="shared" si="141"/>
        <v>0</v>
      </c>
      <c r="AA390" s="16">
        <f t="shared" si="153"/>
        <v>0</v>
      </c>
      <c r="AB390" s="9">
        <v>15</v>
      </c>
      <c r="AC390" s="9">
        <f t="shared" si="154"/>
        <v>18</v>
      </c>
      <c r="AD390" s="9">
        <f t="shared" si="142"/>
        <v>5785.8</v>
      </c>
      <c r="AE390" s="9">
        <f t="shared" si="155"/>
        <v>7984.4039999999995</v>
      </c>
      <c r="AF390" s="9">
        <f t="shared" si="143"/>
        <v>7998.9</v>
      </c>
      <c r="AG390" s="9">
        <f t="shared" si="144"/>
        <v>-2213.0999999999995</v>
      </c>
      <c r="AH390" s="9">
        <f t="shared" si="156"/>
        <v>-14.496000000000095</v>
      </c>
      <c r="AI390">
        <f t="shared" si="145"/>
        <v>-0.38250544436378708</v>
      </c>
      <c r="AJ390" s="5">
        <f t="shared" si="146"/>
        <v>44928</v>
      </c>
      <c r="AK390" t="str">
        <f t="shared" si="147"/>
        <v>Jan-2023</v>
      </c>
      <c r="AL390">
        <v>0</v>
      </c>
      <c r="AM390">
        <v>0</v>
      </c>
      <c r="AN390">
        <v>0</v>
      </c>
    </row>
    <row r="391" spans="1:40" x14ac:dyDescent="0.45">
      <c r="A391" s="3" t="s">
        <v>68</v>
      </c>
      <c r="B391" s="5">
        <v>45779</v>
      </c>
      <c r="C391" s="9" t="str">
        <f t="shared" si="135"/>
        <v>May-2025</v>
      </c>
      <c r="D391" s="5" t="str">
        <f t="shared" si="136"/>
        <v>2025-Q2</v>
      </c>
      <c r="E391" s="5">
        <v>45790</v>
      </c>
      <c r="F391" s="9">
        <f t="shared" si="148"/>
        <v>11</v>
      </c>
      <c r="G391" s="9" t="str">
        <f t="shared" si="149"/>
        <v>NOT ACHIEVED</v>
      </c>
      <c r="H391" s="3" t="s">
        <v>640</v>
      </c>
      <c r="I391" s="3" t="s">
        <v>644</v>
      </c>
      <c r="J391" s="3" t="s">
        <v>672</v>
      </c>
      <c r="K391" s="13" t="str">
        <f t="shared" si="150"/>
        <v>Africa &gt; Kenya &gt; Nakuru</v>
      </c>
      <c r="L391" s="3" t="s">
        <v>699</v>
      </c>
      <c r="M391" s="3" t="s">
        <v>702</v>
      </c>
      <c r="N391" s="13" t="str">
        <f t="shared" si="137"/>
        <v>Online</v>
      </c>
      <c r="O391" s="3" t="s">
        <v>714</v>
      </c>
      <c r="P391" s="3" t="s">
        <v>727</v>
      </c>
      <c r="Q391" s="13" t="str">
        <f t="shared" si="138"/>
        <v>Medium</v>
      </c>
      <c r="R391" s="3" t="s">
        <v>787</v>
      </c>
      <c r="S391" s="7">
        <v>1057.5999999999999</v>
      </c>
      <c r="T391" s="7">
        <f t="shared" si="151"/>
        <v>1216.2399999999998</v>
      </c>
      <c r="U391" s="7">
        <v>1437.06</v>
      </c>
      <c r="V391" s="7">
        <f t="shared" si="139"/>
        <v>1437.06</v>
      </c>
      <c r="W391" s="7">
        <f t="shared" si="152"/>
        <v>1652.6189999999999</v>
      </c>
      <c r="X391" s="16">
        <v>0.20499999999999999</v>
      </c>
      <c r="Y391" t="str">
        <f t="shared" si="140"/>
        <v>OK</v>
      </c>
      <c r="Z391" s="16">
        <f t="shared" si="141"/>
        <v>0.20499999999999999</v>
      </c>
      <c r="AA391" s="16">
        <f t="shared" si="153"/>
        <v>0.20499999999999999</v>
      </c>
      <c r="AB391" s="9">
        <v>4</v>
      </c>
      <c r="AC391" s="9">
        <f t="shared" si="154"/>
        <v>4.8</v>
      </c>
      <c r="AD391" s="9">
        <f t="shared" si="142"/>
        <v>4569.8508000000002</v>
      </c>
      <c r="AE391" s="9">
        <f t="shared" si="155"/>
        <v>9558.7482959999998</v>
      </c>
      <c r="AF391" s="9">
        <f t="shared" si="143"/>
        <v>4230.3999999999996</v>
      </c>
      <c r="AG391" s="9">
        <f t="shared" si="144"/>
        <v>339.45080000000053</v>
      </c>
      <c r="AH391" s="9">
        <f t="shared" si="156"/>
        <v>5328.3482960000001</v>
      </c>
      <c r="AI391">
        <f t="shared" si="145"/>
        <v>7.4280499485891424E-2</v>
      </c>
      <c r="AJ391" s="5">
        <f t="shared" si="146"/>
        <v>44928</v>
      </c>
      <c r="AK391" t="str">
        <f t="shared" si="147"/>
        <v>Jan-2023</v>
      </c>
      <c r="AL391">
        <v>0</v>
      </c>
      <c r="AM391">
        <v>0</v>
      </c>
      <c r="AN391">
        <v>0</v>
      </c>
    </row>
    <row r="392" spans="1:40" x14ac:dyDescent="0.45">
      <c r="A392" s="3" t="s">
        <v>96</v>
      </c>
      <c r="B392" s="5">
        <v>45876</v>
      </c>
      <c r="C392" s="9" t="str">
        <f t="shared" si="135"/>
        <v>Aug-2025</v>
      </c>
      <c r="D392" s="5" t="str">
        <f t="shared" si="136"/>
        <v>2025-Q3</v>
      </c>
      <c r="E392" s="5">
        <v>45888</v>
      </c>
      <c r="F392" s="9">
        <f t="shared" si="148"/>
        <v>12</v>
      </c>
      <c r="G392" s="9" t="str">
        <f t="shared" si="149"/>
        <v>NOT ACHIEVED</v>
      </c>
      <c r="H392" s="3" t="s">
        <v>640</v>
      </c>
      <c r="I392" s="3" t="s">
        <v>644</v>
      </c>
      <c r="J392" s="3" t="s">
        <v>672</v>
      </c>
      <c r="K392" s="13" t="str">
        <f t="shared" si="150"/>
        <v>Africa &gt; Kenya &gt; Nakuru</v>
      </c>
      <c r="L392" s="3" t="s">
        <v>695</v>
      </c>
      <c r="M392" s="3">
        <v>0</v>
      </c>
      <c r="N392" s="13">
        <f t="shared" si="137"/>
        <v>0</v>
      </c>
      <c r="O392" s="3" t="s">
        <v>718</v>
      </c>
      <c r="P392" s="3" t="s">
        <v>721</v>
      </c>
      <c r="Q392" s="13" t="str">
        <f t="shared" si="138"/>
        <v>Low</v>
      </c>
      <c r="R392" s="3" t="s">
        <v>815</v>
      </c>
      <c r="S392" s="7">
        <v>601.51</v>
      </c>
      <c r="T392" s="7">
        <f t="shared" si="151"/>
        <v>691.73649999999998</v>
      </c>
      <c r="U392" s="7">
        <v>679.35</v>
      </c>
      <c r="V392" s="7">
        <f t="shared" si="139"/>
        <v>679.35</v>
      </c>
      <c r="W392" s="7">
        <f t="shared" si="152"/>
        <v>781.25249999999994</v>
      </c>
      <c r="X392" s="16">
        <v>0.188</v>
      </c>
      <c r="Y392" t="str">
        <f t="shared" si="140"/>
        <v>OK</v>
      </c>
      <c r="Z392" s="16">
        <f t="shared" si="141"/>
        <v>0.188</v>
      </c>
      <c r="AA392" s="16">
        <f t="shared" si="153"/>
        <v>0.188</v>
      </c>
      <c r="AB392" s="9">
        <v>3</v>
      </c>
      <c r="AC392" s="9">
        <f t="shared" si="154"/>
        <v>3.5999999999999996</v>
      </c>
      <c r="AD392" s="9">
        <f t="shared" si="142"/>
        <v>1654.8966000000003</v>
      </c>
      <c r="AE392" s="9">
        <f t="shared" si="155"/>
        <v>3341.2606919999994</v>
      </c>
      <c r="AF392" s="9">
        <f t="shared" si="143"/>
        <v>1804.53</v>
      </c>
      <c r="AG392" s="9">
        <f t="shared" si="144"/>
        <v>-149.63339999999971</v>
      </c>
      <c r="AH392" s="9">
        <f t="shared" si="156"/>
        <v>1536.7306919999994</v>
      </c>
      <c r="AI392">
        <f t="shared" si="145"/>
        <v>-9.0418579626062243E-2</v>
      </c>
      <c r="AJ392" s="5">
        <f t="shared" si="146"/>
        <v>44928</v>
      </c>
      <c r="AK392" t="str">
        <f t="shared" si="147"/>
        <v>Jan-2023</v>
      </c>
      <c r="AL392">
        <v>0</v>
      </c>
      <c r="AM392">
        <v>0</v>
      </c>
      <c r="AN392">
        <v>0</v>
      </c>
    </row>
    <row r="393" spans="1:40" x14ac:dyDescent="0.45">
      <c r="A393" s="3" t="s">
        <v>103</v>
      </c>
      <c r="B393" s="5">
        <v>45910</v>
      </c>
      <c r="C393" s="9" t="str">
        <f t="shared" si="135"/>
        <v>Sep-2025</v>
      </c>
      <c r="D393" s="5" t="str">
        <f t="shared" si="136"/>
        <v>2025-Q3</v>
      </c>
      <c r="E393" s="5">
        <v>45930</v>
      </c>
      <c r="F393" s="9">
        <f t="shared" si="148"/>
        <v>20</v>
      </c>
      <c r="G393" s="9" t="str">
        <f t="shared" si="149"/>
        <v>NOT ACHIEVED</v>
      </c>
      <c r="H393" s="3" t="s">
        <v>640</v>
      </c>
      <c r="I393" s="3" t="s">
        <v>644</v>
      </c>
      <c r="J393" s="3" t="s">
        <v>669</v>
      </c>
      <c r="K393" s="13" t="str">
        <f t="shared" si="150"/>
        <v>Africa &gt; Kenya &gt; Mombasa</v>
      </c>
      <c r="L393" s="3" t="s">
        <v>695</v>
      </c>
      <c r="M393" s="3" t="s">
        <v>705</v>
      </c>
      <c r="N393" s="13" t="str">
        <f t="shared" si="137"/>
        <v>Direct</v>
      </c>
      <c r="O393" s="3" t="s">
        <v>710</v>
      </c>
      <c r="P393" s="3" t="s">
        <v>724</v>
      </c>
      <c r="Q393" s="13" t="str">
        <f t="shared" si="138"/>
        <v>Medium</v>
      </c>
      <c r="R393" s="3" t="s">
        <v>822</v>
      </c>
      <c r="S393" s="7">
        <v>1009.48</v>
      </c>
      <c r="T393" s="7">
        <f t="shared" si="151"/>
        <v>1160.902</v>
      </c>
      <c r="U393" s="7">
        <v>1088.81</v>
      </c>
      <c r="V393" s="7">
        <f t="shared" si="139"/>
        <v>1088.81</v>
      </c>
      <c r="W393" s="7">
        <f t="shared" si="152"/>
        <v>1252.1314999999997</v>
      </c>
      <c r="X393" s="16">
        <v>0.16</v>
      </c>
      <c r="Y393" t="str">
        <f t="shared" si="140"/>
        <v>OK</v>
      </c>
      <c r="Z393" s="16">
        <f t="shared" si="141"/>
        <v>0.16</v>
      </c>
      <c r="AA393" s="16">
        <f t="shared" si="153"/>
        <v>0.16</v>
      </c>
      <c r="AB393" s="9">
        <v>6</v>
      </c>
      <c r="AC393" s="9">
        <f t="shared" si="154"/>
        <v>7.1999999999999993</v>
      </c>
      <c r="AD393" s="9">
        <f t="shared" si="142"/>
        <v>5487.6023999999998</v>
      </c>
      <c r="AE393" s="9">
        <f t="shared" si="155"/>
        <v>10457.802287999997</v>
      </c>
      <c r="AF393" s="9">
        <f t="shared" si="143"/>
        <v>6056.88</v>
      </c>
      <c r="AG393" s="9">
        <f t="shared" si="144"/>
        <v>-569.27760000000035</v>
      </c>
      <c r="AH393" s="9">
        <f t="shared" si="156"/>
        <v>4400.922287999997</v>
      </c>
      <c r="AI393">
        <f t="shared" si="145"/>
        <v>-0.10373885688219693</v>
      </c>
      <c r="AJ393" s="5">
        <f t="shared" si="146"/>
        <v>44928</v>
      </c>
      <c r="AK393" t="str">
        <f t="shared" si="147"/>
        <v>Jan-2023</v>
      </c>
      <c r="AL393">
        <v>0</v>
      </c>
      <c r="AM393">
        <v>0</v>
      </c>
      <c r="AN393">
        <v>0</v>
      </c>
    </row>
    <row r="394" spans="1:40" x14ac:dyDescent="0.45">
      <c r="A394" s="3" t="s">
        <v>111</v>
      </c>
      <c r="B394" s="5">
        <v>45747</v>
      </c>
      <c r="C394" s="9" t="str">
        <f t="shared" si="135"/>
        <v>Mar-2025</v>
      </c>
      <c r="D394" s="5" t="str">
        <f t="shared" si="136"/>
        <v>2025-Q1</v>
      </c>
      <c r="E394" s="5">
        <v>45751</v>
      </c>
      <c r="F394" s="9">
        <f t="shared" si="148"/>
        <v>4</v>
      </c>
      <c r="G394" s="9" t="str">
        <f t="shared" si="149"/>
        <v>ACHIEVED</v>
      </c>
      <c r="H394" s="3" t="s">
        <v>640</v>
      </c>
      <c r="I394" s="3" t="s">
        <v>644</v>
      </c>
      <c r="J394" s="3" t="s">
        <v>672</v>
      </c>
      <c r="K394" s="13" t="str">
        <f t="shared" si="150"/>
        <v>Africa &gt; Kenya &gt; Nakuru</v>
      </c>
      <c r="L394" s="3" t="s">
        <v>695</v>
      </c>
      <c r="M394" s="3" t="s">
        <v>705</v>
      </c>
      <c r="N394" s="13" t="str">
        <f t="shared" si="137"/>
        <v>Direct</v>
      </c>
      <c r="O394" s="3" t="s">
        <v>706</v>
      </c>
      <c r="P394" s="3" t="s">
        <v>725</v>
      </c>
      <c r="Q394" s="13" t="str">
        <f t="shared" si="138"/>
        <v>High</v>
      </c>
      <c r="R394" s="3" t="s">
        <v>830</v>
      </c>
      <c r="S394" s="7">
        <v>862.08</v>
      </c>
      <c r="T394" s="7">
        <f t="shared" si="151"/>
        <v>991.39199999999994</v>
      </c>
      <c r="U394" s="7">
        <v>1952.83</v>
      </c>
      <c r="V394" s="7">
        <f t="shared" si="139"/>
        <v>1952.83</v>
      </c>
      <c r="W394" s="7">
        <f t="shared" si="152"/>
        <v>2245.7544999999996</v>
      </c>
      <c r="X394" s="16">
        <v>0</v>
      </c>
      <c r="Y394" t="str">
        <f t="shared" si="140"/>
        <v>OK</v>
      </c>
      <c r="Z394" s="16">
        <f t="shared" si="141"/>
        <v>0</v>
      </c>
      <c r="AA394" s="16">
        <f t="shared" si="153"/>
        <v>0</v>
      </c>
      <c r="AB394" s="9">
        <v>7</v>
      </c>
      <c r="AC394" s="9">
        <f t="shared" si="154"/>
        <v>8.4</v>
      </c>
      <c r="AD394" s="9">
        <f t="shared" si="142"/>
        <v>13669.81</v>
      </c>
      <c r="AE394" s="9">
        <f t="shared" si="155"/>
        <v>18864.337799999998</v>
      </c>
      <c r="AF394" s="9">
        <f t="shared" si="143"/>
        <v>6034.56</v>
      </c>
      <c r="AG394" s="9">
        <f t="shared" si="144"/>
        <v>7635.2499999999991</v>
      </c>
      <c r="AH394" s="9">
        <f t="shared" si="156"/>
        <v>12829.777799999996</v>
      </c>
      <c r="AI394">
        <f t="shared" si="145"/>
        <v>0.5585483631447693</v>
      </c>
      <c r="AJ394" s="5">
        <f t="shared" si="146"/>
        <v>44928</v>
      </c>
      <c r="AK394" t="str">
        <f t="shared" si="147"/>
        <v>Jan-2023</v>
      </c>
      <c r="AL394">
        <v>0</v>
      </c>
      <c r="AM394">
        <v>0</v>
      </c>
      <c r="AN394">
        <v>0</v>
      </c>
    </row>
    <row r="395" spans="1:40" x14ac:dyDescent="0.45">
      <c r="A395" s="3" t="s">
        <v>115</v>
      </c>
      <c r="B395" s="5">
        <v>45057</v>
      </c>
      <c r="C395" s="9" t="str">
        <f t="shared" si="135"/>
        <v>May-2023</v>
      </c>
      <c r="D395" s="5" t="str">
        <f t="shared" si="136"/>
        <v>2023-Q2</v>
      </c>
      <c r="E395" s="5">
        <v>45084</v>
      </c>
      <c r="F395" s="9">
        <f t="shared" si="148"/>
        <v>27</v>
      </c>
      <c r="G395" s="9" t="str">
        <f t="shared" si="149"/>
        <v>NOT ACHIEVED</v>
      </c>
      <c r="H395" s="3" t="s">
        <v>640</v>
      </c>
      <c r="I395" s="3" t="s">
        <v>644</v>
      </c>
      <c r="J395" s="3" t="s">
        <v>669</v>
      </c>
      <c r="K395" s="13" t="str">
        <f t="shared" si="150"/>
        <v>Africa &gt; Kenya &gt; Mombasa</v>
      </c>
      <c r="L395" s="3" t="s">
        <v>695</v>
      </c>
      <c r="M395" s="3" t="s">
        <v>702</v>
      </c>
      <c r="N395" s="13" t="str">
        <f t="shared" si="137"/>
        <v>Online</v>
      </c>
      <c r="O395" s="3" t="s">
        <v>707</v>
      </c>
      <c r="P395" s="3" t="s">
        <v>724</v>
      </c>
      <c r="Q395" s="13" t="str">
        <f t="shared" si="138"/>
        <v>Low</v>
      </c>
      <c r="R395" s="3" t="s">
        <v>834</v>
      </c>
      <c r="S395" s="7">
        <v>12.85</v>
      </c>
      <c r="T395" s="7">
        <f t="shared" si="151"/>
        <v>14.777499999999998</v>
      </c>
      <c r="U395" s="7">
        <v>15.41</v>
      </c>
      <c r="V395" s="7">
        <f t="shared" si="139"/>
        <v>15.41</v>
      </c>
      <c r="W395" s="7">
        <f t="shared" si="152"/>
        <v>17.721499999999999</v>
      </c>
      <c r="X395" s="16">
        <v>0.13700000000000001</v>
      </c>
      <c r="Y395" t="str">
        <f t="shared" si="140"/>
        <v>OK</v>
      </c>
      <c r="Z395" s="16">
        <f t="shared" si="141"/>
        <v>0.13700000000000001</v>
      </c>
      <c r="AA395" s="16">
        <f t="shared" si="153"/>
        <v>0.13700000000000001</v>
      </c>
      <c r="AB395" s="9">
        <v>39</v>
      </c>
      <c r="AC395" s="9">
        <f t="shared" si="154"/>
        <v>46.8</v>
      </c>
      <c r="AD395" s="9">
        <f t="shared" si="142"/>
        <v>518.65436999999997</v>
      </c>
      <c r="AE395" s="9">
        <f t="shared" si="155"/>
        <v>942.98936939999999</v>
      </c>
      <c r="AF395" s="9">
        <f t="shared" si="143"/>
        <v>501.15</v>
      </c>
      <c r="AG395" s="9">
        <f t="shared" si="144"/>
        <v>17.504369999999994</v>
      </c>
      <c r="AH395" s="9">
        <f t="shared" si="156"/>
        <v>441.83936940000001</v>
      </c>
      <c r="AI395">
        <f t="shared" si="145"/>
        <v>3.3749585489851353E-2</v>
      </c>
      <c r="AJ395" s="5">
        <f t="shared" si="146"/>
        <v>44928</v>
      </c>
      <c r="AK395" t="str">
        <f t="shared" si="147"/>
        <v>Jan-2023</v>
      </c>
      <c r="AL395">
        <v>0</v>
      </c>
      <c r="AM395">
        <v>0</v>
      </c>
      <c r="AN395">
        <v>0</v>
      </c>
    </row>
    <row r="396" spans="1:40" x14ac:dyDescent="0.45">
      <c r="A396" s="3" t="s">
        <v>118</v>
      </c>
      <c r="B396" s="5">
        <v>45445</v>
      </c>
      <c r="C396" s="9" t="str">
        <f t="shared" si="135"/>
        <v>Jun-2024</v>
      </c>
      <c r="D396" s="5" t="str">
        <f t="shared" si="136"/>
        <v>2024-Q2</v>
      </c>
      <c r="E396" s="5">
        <v>45451</v>
      </c>
      <c r="F396" s="9">
        <f t="shared" si="148"/>
        <v>6</v>
      </c>
      <c r="G396" s="9" t="str">
        <f t="shared" si="149"/>
        <v>ACHIEVED</v>
      </c>
      <c r="H396" s="3" t="s">
        <v>640</v>
      </c>
      <c r="I396" s="3" t="s">
        <v>644</v>
      </c>
      <c r="J396" s="3" t="s">
        <v>656</v>
      </c>
      <c r="K396" s="13" t="str">
        <f t="shared" si="150"/>
        <v>Africa &gt; Kenya &gt; Kisumu</v>
      </c>
      <c r="L396" s="3" t="s">
        <v>698</v>
      </c>
      <c r="M396" s="3" t="s">
        <v>703</v>
      </c>
      <c r="N396" s="13" t="str">
        <f t="shared" si="137"/>
        <v>Marketplace</v>
      </c>
      <c r="O396" s="3" t="s">
        <v>714</v>
      </c>
      <c r="P396" s="3" t="s">
        <v>727</v>
      </c>
      <c r="Q396" s="13" t="str">
        <f t="shared" si="138"/>
        <v>Low</v>
      </c>
      <c r="R396" s="3" t="s">
        <v>837</v>
      </c>
      <c r="S396" s="7">
        <v>292.94</v>
      </c>
      <c r="T396" s="7">
        <f t="shared" si="151"/>
        <v>336.88099999999997</v>
      </c>
      <c r="U396" s="7">
        <v>356.55</v>
      </c>
      <c r="V396" s="7">
        <f t="shared" si="139"/>
        <v>356.55</v>
      </c>
      <c r="W396" s="7">
        <f t="shared" si="152"/>
        <v>410.03249999999997</v>
      </c>
      <c r="X396" s="16">
        <v>0.22900000000000001</v>
      </c>
      <c r="Y396" t="str">
        <f t="shared" si="140"/>
        <v>OK</v>
      </c>
      <c r="Z396" s="16">
        <f t="shared" si="141"/>
        <v>0.22900000000000001</v>
      </c>
      <c r="AA396" s="16">
        <f t="shared" si="153"/>
        <v>0.22900000000000001</v>
      </c>
      <c r="AB396" s="9">
        <v>2</v>
      </c>
      <c r="AC396" s="9">
        <f t="shared" si="154"/>
        <v>2.4</v>
      </c>
      <c r="AD396" s="9">
        <f t="shared" si="142"/>
        <v>549.80010000000004</v>
      </c>
      <c r="AE396" s="9">
        <f t="shared" si="155"/>
        <v>1209.4318619999999</v>
      </c>
      <c r="AF396" s="9">
        <f t="shared" si="143"/>
        <v>585.88</v>
      </c>
      <c r="AG396" s="9">
        <f t="shared" si="144"/>
        <v>-36.079899999999952</v>
      </c>
      <c r="AH396" s="9">
        <f t="shared" si="156"/>
        <v>623.55186199999991</v>
      </c>
      <c r="AI396">
        <f t="shared" si="145"/>
        <v>-6.5623669402751925E-2</v>
      </c>
      <c r="AJ396" s="5">
        <f t="shared" si="146"/>
        <v>44928</v>
      </c>
      <c r="AK396" t="str">
        <f t="shared" si="147"/>
        <v>Jan-2023</v>
      </c>
      <c r="AL396">
        <v>0</v>
      </c>
      <c r="AM396">
        <v>0</v>
      </c>
      <c r="AN396">
        <v>0</v>
      </c>
    </row>
    <row r="397" spans="1:40" x14ac:dyDescent="0.45">
      <c r="A397" s="3" t="s">
        <v>131</v>
      </c>
      <c r="B397" s="5">
        <v>45289</v>
      </c>
      <c r="C397" s="9" t="str">
        <f t="shared" si="135"/>
        <v>Dec-2023</v>
      </c>
      <c r="D397" s="5" t="str">
        <f t="shared" si="136"/>
        <v>2023-Q4</v>
      </c>
      <c r="E397" s="5">
        <v>45311</v>
      </c>
      <c r="F397" s="9">
        <f t="shared" si="148"/>
        <v>22</v>
      </c>
      <c r="G397" s="9" t="str">
        <f t="shared" si="149"/>
        <v>NOT ACHIEVED</v>
      </c>
      <c r="H397" s="3" t="s">
        <v>640</v>
      </c>
      <c r="I397" s="3" t="s">
        <v>644</v>
      </c>
      <c r="J397" s="3" t="s">
        <v>656</v>
      </c>
      <c r="K397" s="13" t="str">
        <f t="shared" si="150"/>
        <v>Africa &gt; Kenya &gt; Kisumu</v>
      </c>
      <c r="L397" s="3" t="s">
        <v>695</v>
      </c>
      <c r="M397" s="3" t="s">
        <v>705</v>
      </c>
      <c r="N397" s="13" t="str">
        <f t="shared" si="137"/>
        <v>Direct</v>
      </c>
      <c r="O397" s="3" t="s">
        <v>710</v>
      </c>
      <c r="P397" s="3" t="s">
        <v>724</v>
      </c>
      <c r="Q397" s="13" t="str">
        <f t="shared" si="138"/>
        <v>High</v>
      </c>
      <c r="R397" s="3" t="s">
        <v>850</v>
      </c>
      <c r="S397" s="7">
        <v>1395.49</v>
      </c>
      <c r="T397" s="7">
        <f t="shared" si="151"/>
        <v>1604.8135</v>
      </c>
      <c r="U397" s="7">
        <v>1679.42</v>
      </c>
      <c r="V397" s="7">
        <f t="shared" si="139"/>
        <v>1679.42</v>
      </c>
      <c r="W397" s="7">
        <f t="shared" si="152"/>
        <v>1931.3329999999999</v>
      </c>
      <c r="X397" s="16">
        <v>0.20300000000000001</v>
      </c>
      <c r="Y397" t="str">
        <f t="shared" si="140"/>
        <v>OK</v>
      </c>
      <c r="Z397" s="16">
        <f t="shared" si="141"/>
        <v>0.20300000000000001</v>
      </c>
      <c r="AA397" s="16">
        <f t="shared" si="153"/>
        <v>0.20300000000000001</v>
      </c>
      <c r="AB397" s="9">
        <v>12</v>
      </c>
      <c r="AC397" s="9">
        <f t="shared" si="154"/>
        <v>14.399999999999999</v>
      </c>
      <c r="AD397" s="9">
        <f t="shared" si="142"/>
        <v>16061.972879999999</v>
      </c>
      <c r="AE397" s="9">
        <f t="shared" si="155"/>
        <v>33456.867825599998</v>
      </c>
      <c r="AF397" s="9">
        <f t="shared" si="143"/>
        <v>16745.88</v>
      </c>
      <c r="AG397" s="9">
        <f t="shared" si="144"/>
        <v>-683.90712000000167</v>
      </c>
      <c r="AH397" s="9">
        <f t="shared" si="156"/>
        <v>16710.987825599997</v>
      </c>
      <c r="AI397">
        <f t="shared" si="145"/>
        <v>-4.2579272490964493E-2</v>
      </c>
      <c r="AJ397" s="5">
        <f t="shared" si="146"/>
        <v>44928</v>
      </c>
      <c r="AK397" t="str">
        <f t="shared" si="147"/>
        <v>Jan-2023</v>
      </c>
      <c r="AL397">
        <v>0</v>
      </c>
      <c r="AM397">
        <v>0</v>
      </c>
      <c r="AN397">
        <v>0</v>
      </c>
    </row>
    <row r="398" spans="1:40" x14ac:dyDescent="0.45">
      <c r="A398" s="3" t="s">
        <v>146</v>
      </c>
      <c r="B398" s="5">
        <v>45016</v>
      </c>
      <c r="C398" s="9" t="str">
        <f t="shared" si="135"/>
        <v>Mar-2023</v>
      </c>
      <c r="D398" s="5" t="str">
        <f t="shared" si="136"/>
        <v>2023-Q1</v>
      </c>
      <c r="E398" s="5">
        <v>45028</v>
      </c>
      <c r="F398" s="9">
        <f t="shared" si="148"/>
        <v>12</v>
      </c>
      <c r="G398" s="9" t="str">
        <f t="shared" si="149"/>
        <v>NOT ACHIEVED</v>
      </c>
      <c r="H398" s="3" t="s">
        <v>640</v>
      </c>
      <c r="I398" s="3" t="s">
        <v>644</v>
      </c>
      <c r="J398" s="3" t="s">
        <v>669</v>
      </c>
      <c r="K398" s="13" t="str">
        <f t="shared" si="150"/>
        <v>Africa &gt; Kenya &gt; Mombasa</v>
      </c>
      <c r="L398" s="3" t="s">
        <v>699</v>
      </c>
      <c r="M398" s="3" t="s">
        <v>702</v>
      </c>
      <c r="N398" s="13" t="str">
        <f t="shared" si="137"/>
        <v>Online</v>
      </c>
      <c r="O398" s="3" t="s">
        <v>706</v>
      </c>
      <c r="P398" s="3" t="s">
        <v>724</v>
      </c>
      <c r="Q398" s="13" t="str">
        <f t="shared" si="138"/>
        <v>Low</v>
      </c>
      <c r="R398" s="3" t="s">
        <v>865</v>
      </c>
      <c r="S398" s="7">
        <v>304.22000000000003</v>
      </c>
      <c r="T398" s="7">
        <f t="shared" si="151"/>
        <v>349.85300000000001</v>
      </c>
      <c r="U398" s="7">
        <v>393.31</v>
      </c>
      <c r="V398" s="7">
        <f t="shared" si="139"/>
        <v>393.31</v>
      </c>
      <c r="W398" s="7">
        <f t="shared" si="152"/>
        <v>452.30649999999997</v>
      </c>
      <c r="X398" s="16">
        <v>0.26500000000000001</v>
      </c>
      <c r="Y398" t="str">
        <f t="shared" si="140"/>
        <v>OK</v>
      </c>
      <c r="Z398" s="16">
        <f t="shared" si="141"/>
        <v>0.26500000000000001</v>
      </c>
      <c r="AA398" s="16">
        <f t="shared" si="153"/>
        <v>0.25</v>
      </c>
      <c r="AB398" s="9">
        <v>15</v>
      </c>
      <c r="AC398" s="9">
        <f t="shared" si="154"/>
        <v>18</v>
      </c>
      <c r="AD398" s="9">
        <f t="shared" si="142"/>
        <v>4336.2427499999994</v>
      </c>
      <c r="AE398" s="9">
        <f t="shared" si="155"/>
        <v>10176.89625</v>
      </c>
      <c r="AF398" s="9">
        <f t="shared" si="143"/>
        <v>4563.3</v>
      </c>
      <c r="AG398" s="9">
        <f t="shared" si="144"/>
        <v>-227.05725000000075</v>
      </c>
      <c r="AH398" s="9">
        <f t="shared" si="156"/>
        <v>5613.5962499999996</v>
      </c>
      <c r="AI398">
        <f t="shared" si="145"/>
        <v>-5.2362670424759034E-2</v>
      </c>
      <c r="AJ398" s="5">
        <f t="shared" si="146"/>
        <v>44928</v>
      </c>
      <c r="AK398" t="str">
        <f t="shared" si="147"/>
        <v>Jan-2023</v>
      </c>
      <c r="AL398">
        <v>0</v>
      </c>
      <c r="AM398">
        <v>0</v>
      </c>
      <c r="AN398">
        <v>0</v>
      </c>
    </row>
    <row r="399" spans="1:40" x14ac:dyDescent="0.45">
      <c r="A399" s="3" t="s">
        <v>155</v>
      </c>
      <c r="B399" s="5">
        <v>45911</v>
      </c>
      <c r="C399" s="9" t="str">
        <f t="shared" si="135"/>
        <v>Sep-2025</v>
      </c>
      <c r="D399" s="5" t="str">
        <f t="shared" si="136"/>
        <v>2025-Q3</v>
      </c>
      <c r="E399" s="5">
        <v>45928</v>
      </c>
      <c r="F399" s="9">
        <f t="shared" si="148"/>
        <v>17</v>
      </c>
      <c r="G399" s="9" t="str">
        <f t="shared" si="149"/>
        <v>NOT ACHIEVED</v>
      </c>
      <c r="H399" s="3" t="s">
        <v>640</v>
      </c>
      <c r="I399" s="3" t="s">
        <v>644</v>
      </c>
      <c r="J399" s="3" t="s">
        <v>658</v>
      </c>
      <c r="K399" s="13" t="str">
        <f t="shared" si="150"/>
        <v>Africa &gt; Kenya &gt; Nairobi</v>
      </c>
      <c r="L399" s="3" t="s">
        <v>697</v>
      </c>
      <c r="M399" s="3" t="s">
        <v>704</v>
      </c>
      <c r="N399" s="13" t="str">
        <f t="shared" si="137"/>
        <v>Distributor</v>
      </c>
      <c r="O399" s="3" t="s">
        <v>707</v>
      </c>
      <c r="P399" s="3" t="s">
        <v>725</v>
      </c>
      <c r="Q399" s="13" t="str">
        <f t="shared" si="138"/>
        <v>Low</v>
      </c>
      <c r="R399" s="3" t="s">
        <v>874</v>
      </c>
      <c r="S399" s="7">
        <v>891.46</v>
      </c>
      <c r="T399" s="7">
        <f t="shared" si="151"/>
        <v>1025.1789999999999</v>
      </c>
      <c r="U399" s="7">
        <v>728.61</v>
      </c>
      <c r="V399" s="7">
        <f t="shared" si="139"/>
        <v>728.61</v>
      </c>
      <c r="W399" s="7">
        <f t="shared" si="152"/>
        <v>837.90149999999994</v>
      </c>
      <c r="X399" s="16">
        <v>0.185</v>
      </c>
      <c r="Y399" t="str">
        <f t="shared" si="140"/>
        <v>OK</v>
      </c>
      <c r="Z399" s="16">
        <f t="shared" si="141"/>
        <v>0.185</v>
      </c>
      <c r="AA399" s="16">
        <f t="shared" si="153"/>
        <v>0.185</v>
      </c>
      <c r="AB399" s="9">
        <v>6</v>
      </c>
      <c r="AC399" s="9">
        <f t="shared" si="154"/>
        <v>7.1999999999999993</v>
      </c>
      <c r="AD399" s="9">
        <f t="shared" si="142"/>
        <v>3562.9028999999996</v>
      </c>
      <c r="AE399" s="9">
        <f t="shared" si="155"/>
        <v>7148.9755979999991</v>
      </c>
      <c r="AF399" s="9">
        <f t="shared" si="143"/>
        <v>5348.76</v>
      </c>
      <c r="AG399" s="9">
        <f t="shared" si="144"/>
        <v>-1785.8571000000006</v>
      </c>
      <c r="AH399" s="9">
        <f t="shared" si="156"/>
        <v>1800.2155979999989</v>
      </c>
      <c r="AI399">
        <f t="shared" si="145"/>
        <v>-0.50123653383874167</v>
      </c>
      <c r="AJ399" s="5">
        <f t="shared" si="146"/>
        <v>44928</v>
      </c>
      <c r="AK399" t="str">
        <f t="shared" si="147"/>
        <v>Jan-2023</v>
      </c>
      <c r="AL399">
        <v>0</v>
      </c>
      <c r="AM399">
        <v>0</v>
      </c>
      <c r="AN399">
        <v>0</v>
      </c>
    </row>
    <row r="400" spans="1:40" x14ac:dyDescent="0.45">
      <c r="A400" s="3" t="s">
        <v>162</v>
      </c>
      <c r="B400" s="5">
        <v>45340</v>
      </c>
      <c r="C400" s="9" t="str">
        <f t="shared" si="135"/>
        <v>Feb-2024</v>
      </c>
      <c r="D400" s="5" t="str">
        <f t="shared" si="136"/>
        <v>2024-Q1</v>
      </c>
      <c r="E400" s="5">
        <v>45355</v>
      </c>
      <c r="F400" s="9">
        <f t="shared" si="148"/>
        <v>15</v>
      </c>
      <c r="G400" s="9" t="str">
        <f t="shared" si="149"/>
        <v>NOT ACHIEVED</v>
      </c>
      <c r="H400" s="3" t="s">
        <v>640</v>
      </c>
      <c r="I400" s="3" t="s">
        <v>644</v>
      </c>
      <c r="J400" s="3" t="s">
        <v>656</v>
      </c>
      <c r="K400" s="13" t="str">
        <f t="shared" si="150"/>
        <v>Africa &gt; Kenya &gt; Kisumu</v>
      </c>
      <c r="L400" s="3" t="s">
        <v>696</v>
      </c>
      <c r="M400" s="3" t="s">
        <v>705</v>
      </c>
      <c r="N400" s="13" t="str">
        <f t="shared" si="137"/>
        <v>Direct</v>
      </c>
      <c r="O400" s="3" t="s">
        <v>717</v>
      </c>
      <c r="P400" s="3" t="s">
        <v>722</v>
      </c>
      <c r="Q400" s="13" t="str">
        <f t="shared" si="138"/>
        <v>High</v>
      </c>
      <c r="R400" s="3" t="s">
        <v>881</v>
      </c>
      <c r="S400" s="7">
        <v>928.68</v>
      </c>
      <c r="T400" s="7">
        <f t="shared" si="151"/>
        <v>1067.982</v>
      </c>
      <c r="U400" s="7">
        <v>2145.17</v>
      </c>
      <c r="V400" s="7">
        <f t="shared" si="139"/>
        <v>2145.17</v>
      </c>
      <c r="W400" s="7">
        <f t="shared" si="152"/>
        <v>2466.9454999999998</v>
      </c>
      <c r="X400" s="16">
        <v>0.13600000000000001</v>
      </c>
      <c r="Y400" t="str">
        <f t="shared" si="140"/>
        <v>OK</v>
      </c>
      <c r="Z400" s="16">
        <f t="shared" si="141"/>
        <v>0.13600000000000001</v>
      </c>
      <c r="AA400" s="16">
        <f t="shared" si="153"/>
        <v>0.13600000000000001</v>
      </c>
      <c r="AB400" s="9">
        <v>16</v>
      </c>
      <c r="AC400" s="9">
        <f t="shared" si="154"/>
        <v>19.2</v>
      </c>
      <c r="AD400" s="9">
        <f t="shared" si="142"/>
        <v>29654.83008</v>
      </c>
      <c r="AE400" s="9">
        <f t="shared" si="155"/>
        <v>53807.041689600002</v>
      </c>
      <c r="AF400" s="9">
        <f t="shared" si="143"/>
        <v>14858.88</v>
      </c>
      <c r="AG400" s="9">
        <f t="shared" si="144"/>
        <v>14795.950080000001</v>
      </c>
      <c r="AH400" s="9">
        <f t="shared" si="156"/>
        <v>38948.161689600005</v>
      </c>
      <c r="AI400">
        <f t="shared" si="145"/>
        <v>0.49893896003062177</v>
      </c>
      <c r="AJ400" s="5">
        <f t="shared" si="146"/>
        <v>44928</v>
      </c>
      <c r="AK400" t="str">
        <f t="shared" si="147"/>
        <v>Jan-2023</v>
      </c>
      <c r="AL400">
        <v>0</v>
      </c>
      <c r="AM400">
        <v>0</v>
      </c>
      <c r="AN400">
        <v>0</v>
      </c>
    </row>
    <row r="401" spans="1:40" x14ac:dyDescent="0.45">
      <c r="A401" s="3" t="s">
        <v>163</v>
      </c>
      <c r="B401" s="5">
        <v>45230</v>
      </c>
      <c r="C401" s="9" t="str">
        <f t="shared" si="135"/>
        <v>Oct-2023</v>
      </c>
      <c r="D401" s="5" t="str">
        <f t="shared" si="136"/>
        <v>2023-Q4</v>
      </c>
      <c r="E401" s="5">
        <v>45232</v>
      </c>
      <c r="F401" s="9">
        <f t="shared" si="148"/>
        <v>2</v>
      </c>
      <c r="G401" s="9" t="str">
        <f t="shared" si="149"/>
        <v>ACHIEVED</v>
      </c>
      <c r="H401" s="3" t="s">
        <v>640</v>
      </c>
      <c r="I401" s="3" t="s">
        <v>644</v>
      </c>
      <c r="J401" s="3" t="s">
        <v>656</v>
      </c>
      <c r="K401" s="13" t="str">
        <f t="shared" si="150"/>
        <v>Africa &gt; Kenya &gt; Kisumu</v>
      </c>
      <c r="L401" s="3" t="s">
        <v>696</v>
      </c>
      <c r="M401" s="3" t="s">
        <v>701</v>
      </c>
      <c r="N401" s="13" t="str">
        <f t="shared" si="137"/>
        <v>Retail</v>
      </c>
      <c r="O401" s="3" t="s">
        <v>713</v>
      </c>
      <c r="P401" s="3" t="s">
        <v>727</v>
      </c>
      <c r="Q401" s="13" t="str">
        <f t="shared" si="138"/>
        <v>Medium</v>
      </c>
      <c r="R401" s="3" t="s">
        <v>882</v>
      </c>
      <c r="S401" s="7">
        <v>867.89</v>
      </c>
      <c r="T401" s="7">
        <f t="shared" si="151"/>
        <v>998.07349999999985</v>
      </c>
      <c r="U401" s="7">
        <v>1349.94</v>
      </c>
      <c r="V401" s="7">
        <f t="shared" si="139"/>
        <v>1349.94</v>
      </c>
      <c r="W401" s="7">
        <f t="shared" si="152"/>
        <v>1552.431</v>
      </c>
      <c r="X401" s="16">
        <v>0.184</v>
      </c>
      <c r="Y401" t="str">
        <f t="shared" si="140"/>
        <v>OK</v>
      </c>
      <c r="Z401" s="16">
        <f t="shared" si="141"/>
        <v>0.184</v>
      </c>
      <c r="AA401" s="16">
        <f t="shared" si="153"/>
        <v>0.184</v>
      </c>
      <c r="AB401" s="9">
        <v>10</v>
      </c>
      <c r="AC401" s="9">
        <f t="shared" si="154"/>
        <v>12</v>
      </c>
      <c r="AD401" s="9">
        <f t="shared" si="142"/>
        <v>11015.510400000003</v>
      </c>
      <c r="AE401" s="9">
        <f t="shared" si="155"/>
        <v>22056.939647999996</v>
      </c>
      <c r="AF401" s="9">
        <f t="shared" si="143"/>
        <v>8678.9</v>
      </c>
      <c r="AG401" s="9">
        <f t="shared" si="144"/>
        <v>2336.6104000000032</v>
      </c>
      <c r="AH401" s="9">
        <f t="shared" si="156"/>
        <v>13378.039647999996</v>
      </c>
      <c r="AI401">
        <f t="shared" si="145"/>
        <v>0.21212003031652557</v>
      </c>
      <c r="AJ401" s="5">
        <f t="shared" si="146"/>
        <v>44928</v>
      </c>
      <c r="AK401" t="str">
        <f t="shared" si="147"/>
        <v>Jan-2023</v>
      </c>
      <c r="AL401">
        <v>0</v>
      </c>
      <c r="AM401">
        <v>0</v>
      </c>
      <c r="AN401">
        <v>0</v>
      </c>
    </row>
    <row r="402" spans="1:40" x14ac:dyDescent="0.45">
      <c r="A402" s="3" t="s">
        <v>205</v>
      </c>
      <c r="B402" s="5">
        <v>45333</v>
      </c>
      <c r="C402" s="9" t="str">
        <f t="shared" si="135"/>
        <v>Feb-2024</v>
      </c>
      <c r="D402" s="5" t="str">
        <f t="shared" si="136"/>
        <v>2024-Q1</v>
      </c>
      <c r="E402" s="5">
        <v>45354</v>
      </c>
      <c r="F402" s="9">
        <f t="shared" si="148"/>
        <v>21</v>
      </c>
      <c r="G402" s="9" t="str">
        <f t="shared" si="149"/>
        <v>NOT ACHIEVED</v>
      </c>
      <c r="H402" s="3" t="s">
        <v>640</v>
      </c>
      <c r="I402" s="3" t="s">
        <v>644</v>
      </c>
      <c r="J402" s="3" t="s">
        <v>656</v>
      </c>
      <c r="K402" s="13" t="str">
        <f t="shared" si="150"/>
        <v>Africa &gt; Kenya &gt; Kisumu</v>
      </c>
      <c r="L402" s="3" t="s">
        <v>700</v>
      </c>
      <c r="M402" s="3" t="s">
        <v>702</v>
      </c>
      <c r="N402" s="13" t="str">
        <f t="shared" si="137"/>
        <v>Online</v>
      </c>
      <c r="O402" s="3" t="s">
        <v>711</v>
      </c>
      <c r="P402" s="3" t="s">
        <v>724</v>
      </c>
      <c r="Q402" s="13" t="str">
        <f t="shared" si="138"/>
        <v>Medium</v>
      </c>
      <c r="R402" s="3" t="s">
        <v>924</v>
      </c>
      <c r="S402" s="7">
        <v>516.86</v>
      </c>
      <c r="T402" s="7">
        <f t="shared" si="151"/>
        <v>594.38900000000001</v>
      </c>
      <c r="U402" s="7">
        <v>852.54</v>
      </c>
      <c r="V402" s="7">
        <f t="shared" si="139"/>
        <v>852.54</v>
      </c>
      <c r="W402" s="7">
        <f t="shared" si="152"/>
        <v>980.42099999999994</v>
      </c>
      <c r="X402" s="16">
        <v>5.0999999999999997E-2</v>
      </c>
      <c r="Y402" t="str">
        <f t="shared" si="140"/>
        <v>OK</v>
      </c>
      <c r="Z402" s="16">
        <f t="shared" si="141"/>
        <v>5.0999999999999997E-2</v>
      </c>
      <c r="AA402" s="16">
        <f t="shared" si="153"/>
        <v>5.0999999999999997E-2</v>
      </c>
      <c r="AB402" s="9">
        <v>14</v>
      </c>
      <c r="AC402" s="9">
        <f t="shared" si="154"/>
        <v>16.8</v>
      </c>
      <c r="AD402" s="9">
        <f t="shared" si="142"/>
        <v>11326.846439999999</v>
      </c>
      <c r="AE402" s="9">
        <f t="shared" si="155"/>
        <v>17311.097512799995</v>
      </c>
      <c r="AF402" s="9">
        <f t="shared" si="143"/>
        <v>7236.04</v>
      </c>
      <c r="AG402" s="9">
        <f t="shared" si="144"/>
        <v>4090.8064399999994</v>
      </c>
      <c r="AH402" s="9">
        <f t="shared" si="156"/>
        <v>10075.057512799995</v>
      </c>
      <c r="AI402">
        <f t="shared" si="145"/>
        <v>0.36116022775355994</v>
      </c>
      <c r="AJ402" s="5">
        <f t="shared" si="146"/>
        <v>44928</v>
      </c>
      <c r="AK402" t="str">
        <f t="shared" si="147"/>
        <v>Jan-2023</v>
      </c>
      <c r="AL402">
        <v>0</v>
      </c>
      <c r="AM402">
        <v>0</v>
      </c>
      <c r="AN402">
        <v>0</v>
      </c>
    </row>
    <row r="403" spans="1:40" x14ac:dyDescent="0.45">
      <c r="A403" s="3" t="s">
        <v>211</v>
      </c>
      <c r="B403" s="5">
        <v>44946</v>
      </c>
      <c r="C403" s="9" t="str">
        <f t="shared" si="135"/>
        <v>Jan-2023</v>
      </c>
      <c r="D403" s="5" t="str">
        <f t="shared" si="136"/>
        <v>2023-Q1</v>
      </c>
      <c r="E403" s="5">
        <v>44960</v>
      </c>
      <c r="F403" s="9">
        <f t="shared" si="148"/>
        <v>14</v>
      </c>
      <c r="G403" s="9" t="str">
        <f t="shared" si="149"/>
        <v>NOT ACHIEVED</v>
      </c>
      <c r="H403" s="3" t="s">
        <v>640</v>
      </c>
      <c r="I403" s="3" t="s">
        <v>644</v>
      </c>
      <c r="J403" s="3" t="s">
        <v>656</v>
      </c>
      <c r="K403" s="13" t="str">
        <f t="shared" si="150"/>
        <v>Africa &gt; Kenya &gt; Kisumu</v>
      </c>
      <c r="L403" s="3" t="s">
        <v>695</v>
      </c>
      <c r="M403" s="3" t="s">
        <v>701</v>
      </c>
      <c r="N403" s="13" t="str">
        <f t="shared" si="137"/>
        <v>Retail</v>
      </c>
      <c r="O403" s="3" t="s">
        <v>718</v>
      </c>
      <c r="P403" s="3" t="s">
        <v>723</v>
      </c>
      <c r="Q403" s="13" t="str">
        <f t="shared" si="138"/>
        <v>Medium</v>
      </c>
      <c r="R403" s="3" t="s">
        <v>930</v>
      </c>
      <c r="S403" s="7">
        <v>884.36</v>
      </c>
      <c r="T403" s="7">
        <f t="shared" si="151"/>
        <v>1017.0139999999999</v>
      </c>
      <c r="U403" s="7">
        <v>1545.34</v>
      </c>
      <c r="V403" s="7">
        <f t="shared" si="139"/>
        <v>1545.34</v>
      </c>
      <c r="W403" s="7">
        <f t="shared" si="152"/>
        <v>1777.1409999999998</v>
      </c>
      <c r="X403" s="16">
        <v>0.24299999999999999</v>
      </c>
      <c r="Y403" t="str">
        <f t="shared" si="140"/>
        <v>OK</v>
      </c>
      <c r="Z403" s="16">
        <f t="shared" si="141"/>
        <v>0.24299999999999999</v>
      </c>
      <c r="AA403" s="16">
        <f t="shared" si="153"/>
        <v>0.24299999999999999</v>
      </c>
      <c r="AB403" s="9">
        <v>41</v>
      </c>
      <c r="AC403" s="9">
        <f t="shared" si="154"/>
        <v>49.199999999999996</v>
      </c>
      <c r="AD403" s="9">
        <f t="shared" si="142"/>
        <v>47962.717579999997</v>
      </c>
      <c r="AE403" s="9">
        <f t="shared" si="155"/>
        <v>108682.12413959997</v>
      </c>
      <c r="AF403" s="9">
        <f t="shared" si="143"/>
        <v>36258.76</v>
      </c>
      <c r="AG403" s="9">
        <f t="shared" si="144"/>
        <v>11703.957579999995</v>
      </c>
      <c r="AH403" s="9">
        <f t="shared" si="156"/>
        <v>72423.364139599958</v>
      </c>
      <c r="AI403">
        <f t="shared" si="145"/>
        <v>0.24402198562827965</v>
      </c>
      <c r="AJ403" s="5">
        <f t="shared" si="146"/>
        <v>44928</v>
      </c>
      <c r="AK403" t="str">
        <f t="shared" si="147"/>
        <v>Jan-2023</v>
      </c>
      <c r="AL403">
        <v>0</v>
      </c>
      <c r="AM403">
        <v>0</v>
      </c>
      <c r="AN403">
        <v>0</v>
      </c>
    </row>
    <row r="404" spans="1:40" x14ac:dyDescent="0.45">
      <c r="A404" s="3" t="s">
        <v>215</v>
      </c>
      <c r="B404" s="5">
        <v>45678</v>
      </c>
      <c r="C404" s="9" t="str">
        <f t="shared" si="135"/>
        <v>Jan-2025</v>
      </c>
      <c r="D404" s="5" t="str">
        <f t="shared" si="136"/>
        <v>2025-Q1</v>
      </c>
      <c r="E404" s="5">
        <v>45702</v>
      </c>
      <c r="F404" s="9">
        <f t="shared" si="148"/>
        <v>24</v>
      </c>
      <c r="G404" s="9" t="str">
        <f t="shared" si="149"/>
        <v>NOT ACHIEVED</v>
      </c>
      <c r="H404" s="3" t="s">
        <v>640</v>
      </c>
      <c r="I404" s="3" t="s">
        <v>644</v>
      </c>
      <c r="J404" s="3" t="s">
        <v>658</v>
      </c>
      <c r="K404" s="13" t="str">
        <f t="shared" si="150"/>
        <v>Africa &gt; Kenya &gt; Nairobi</v>
      </c>
      <c r="L404" s="3" t="s">
        <v>699</v>
      </c>
      <c r="M404" s="3" t="s">
        <v>701</v>
      </c>
      <c r="N404" s="13" t="str">
        <f t="shared" si="137"/>
        <v>Retail</v>
      </c>
      <c r="O404" s="3" t="s">
        <v>707</v>
      </c>
      <c r="P404" s="3" t="s">
        <v>727</v>
      </c>
      <c r="Q404" s="13" t="str">
        <f t="shared" si="138"/>
        <v>High</v>
      </c>
      <c r="R404" s="3" t="s">
        <v>934</v>
      </c>
      <c r="S404" s="7">
        <v>1030.44</v>
      </c>
      <c r="T404" s="7">
        <f t="shared" si="151"/>
        <v>1185.0059999999999</v>
      </c>
      <c r="U404" s="7">
        <v>2562.84</v>
      </c>
      <c r="V404" s="7">
        <f t="shared" si="139"/>
        <v>2562.84</v>
      </c>
      <c r="W404" s="7">
        <f t="shared" si="152"/>
        <v>2947.2660000000001</v>
      </c>
      <c r="X404" s="16">
        <v>0.14799999999999999</v>
      </c>
      <c r="Y404" t="str">
        <f t="shared" si="140"/>
        <v>OK</v>
      </c>
      <c r="Z404" s="16">
        <f t="shared" si="141"/>
        <v>0.14799999999999999</v>
      </c>
      <c r="AA404" s="16">
        <f t="shared" si="153"/>
        <v>0.14799999999999999</v>
      </c>
      <c r="AB404" s="9">
        <v>13</v>
      </c>
      <c r="AC404" s="9">
        <f t="shared" si="154"/>
        <v>15.6</v>
      </c>
      <c r="AD404" s="9">
        <f t="shared" si="142"/>
        <v>28386.015839999996</v>
      </c>
      <c r="AE404" s="9">
        <f t="shared" si="155"/>
        <v>52781.997340800001</v>
      </c>
      <c r="AF404" s="9">
        <f t="shared" si="143"/>
        <v>13395.720000000001</v>
      </c>
      <c r="AG404" s="9">
        <f t="shared" si="144"/>
        <v>14990.295839999995</v>
      </c>
      <c r="AH404" s="9">
        <f t="shared" si="156"/>
        <v>39386.277340799999</v>
      </c>
      <c r="AI404">
        <f t="shared" si="145"/>
        <v>0.52808734852027039</v>
      </c>
      <c r="AJ404" s="5">
        <f t="shared" si="146"/>
        <v>44928</v>
      </c>
      <c r="AK404" t="str">
        <f t="shared" si="147"/>
        <v>Jan-2023</v>
      </c>
      <c r="AL404">
        <v>0</v>
      </c>
      <c r="AM404">
        <v>0</v>
      </c>
      <c r="AN404">
        <v>0</v>
      </c>
    </row>
    <row r="405" spans="1:40" x14ac:dyDescent="0.45">
      <c r="A405" s="3" t="s">
        <v>216</v>
      </c>
      <c r="B405" s="5">
        <v>45545</v>
      </c>
      <c r="C405" s="9" t="str">
        <f t="shared" si="135"/>
        <v>Sep-2024</v>
      </c>
      <c r="D405" s="5" t="str">
        <f t="shared" si="136"/>
        <v>2024-Q3</v>
      </c>
      <c r="E405" s="5">
        <v>45572</v>
      </c>
      <c r="F405" s="9">
        <f t="shared" si="148"/>
        <v>27</v>
      </c>
      <c r="G405" s="9" t="str">
        <f t="shared" si="149"/>
        <v>NOT ACHIEVED</v>
      </c>
      <c r="H405" s="3" t="s">
        <v>640</v>
      </c>
      <c r="I405" s="3" t="s">
        <v>644</v>
      </c>
      <c r="J405" s="3" t="s">
        <v>656</v>
      </c>
      <c r="K405" s="13" t="str">
        <f t="shared" si="150"/>
        <v>Africa &gt; Kenya &gt; Kisumu</v>
      </c>
      <c r="L405" s="3" t="s">
        <v>698</v>
      </c>
      <c r="M405" s="3" t="s">
        <v>701</v>
      </c>
      <c r="N405" s="13" t="str">
        <f t="shared" si="137"/>
        <v>Retail</v>
      </c>
      <c r="O405" s="3" t="s">
        <v>710</v>
      </c>
      <c r="P405" s="3" t="s">
        <v>722</v>
      </c>
      <c r="Q405" s="13" t="str">
        <f t="shared" si="138"/>
        <v>High</v>
      </c>
      <c r="R405" s="3" t="s">
        <v>935</v>
      </c>
      <c r="S405" s="7">
        <v>1248.3900000000001</v>
      </c>
      <c r="T405" s="7">
        <f t="shared" si="151"/>
        <v>1435.6485</v>
      </c>
      <c r="U405" s="7">
        <v>1805.11</v>
      </c>
      <c r="V405" s="7">
        <f t="shared" si="139"/>
        <v>1805.11</v>
      </c>
      <c r="W405" s="7">
        <f t="shared" si="152"/>
        <v>2075.8764999999999</v>
      </c>
      <c r="X405" s="16">
        <v>0.20300000000000001</v>
      </c>
      <c r="Y405" t="str">
        <f t="shared" si="140"/>
        <v>OK</v>
      </c>
      <c r="Z405" s="16">
        <f t="shared" si="141"/>
        <v>0.20300000000000001</v>
      </c>
      <c r="AA405" s="16">
        <f t="shared" si="153"/>
        <v>0.20300000000000001</v>
      </c>
      <c r="AB405" s="9">
        <v>11</v>
      </c>
      <c r="AC405" s="9">
        <f t="shared" si="154"/>
        <v>13.2</v>
      </c>
      <c r="AD405" s="9">
        <f t="shared" si="142"/>
        <v>15825.399369999997</v>
      </c>
      <c r="AE405" s="9">
        <f t="shared" si="155"/>
        <v>32964.088469399998</v>
      </c>
      <c r="AF405" s="9">
        <f t="shared" si="143"/>
        <v>13732.29</v>
      </c>
      <c r="AG405" s="9">
        <f t="shared" si="144"/>
        <v>2093.1093699999965</v>
      </c>
      <c r="AH405" s="9">
        <f t="shared" si="156"/>
        <v>19231.798469399997</v>
      </c>
      <c r="AI405">
        <f t="shared" si="145"/>
        <v>0.13226265707820786</v>
      </c>
      <c r="AJ405" s="5">
        <f t="shared" si="146"/>
        <v>44928</v>
      </c>
      <c r="AK405" t="str">
        <f t="shared" si="147"/>
        <v>Jan-2023</v>
      </c>
      <c r="AL405">
        <v>0</v>
      </c>
      <c r="AM405">
        <v>0</v>
      </c>
      <c r="AN405">
        <v>0</v>
      </c>
    </row>
    <row r="406" spans="1:40" x14ac:dyDescent="0.45">
      <c r="A406" s="3" t="s">
        <v>221</v>
      </c>
      <c r="B406" s="5">
        <v>45686</v>
      </c>
      <c r="C406" s="9" t="str">
        <f t="shared" si="135"/>
        <v>Jan-2025</v>
      </c>
      <c r="D406" s="5" t="str">
        <f t="shared" si="136"/>
        <v>2025-Q1</v>
      </c>
      <c r="E406" s="5">
        <v>45694</v>
      </c>
      <c r="F406" s="9">
        <f t="shared" si="148"/>
        <v>8</v>
      </c>
      <c r="G406" s="9" t="str">
        <f t="shared" si="149"/>
        <v>NOT ACHIEVED</v>
      </c>
      <c r="H406" s="3" t="s">
        <v>640</v>
      </c>
      <c r="I406" s="3" t="s">
        <v>644</v>
      </c>
      <c r="J406" s="3" t="s">
        <v>656</v>
      </c>
      <c r="K406" s="13" t="str">
        <f t="shared" si="150"/>
        <v>Africa &gt; Kenya &gt; Kisumu</v>
      </c>
      <c r="L406" s="3" t="s">
        <v>696</v>
      </c>
      <c r="M406" s="3" t="s">
        <v>701</v>
      </c>
      <c r="N406" s="13" t="str">
        <f t="shared" si="137"/>
        <v>Retail</v>
      </c>
      <c r="O406" s="3" t="s">
        <v>711</v>
      </c>
      <c r="P406" s="3" t="s">
        <v>724</v>
      </c>
      <c r="Q406" s="13" t="str">
        <f t="shared" si="138"/>
        <v>High</v>
      </c>
      <c r="R406" s="3" t="s">
        <v>940</v>
      </c>
      <c r="S406" s="7">
        <v>1445.27</v>
      </c>
      <c r="T406" s="7">
        <f t="shared" si="151"/>
        <v>1662.0604999999998</v>
      </c>
      <c r="U406" s="7">
        <v>2691.45</v>
      </c>
      <c r="V406" s="7">
        <f t="shared" si="139"/>
        <v>2691.45</v>
      </c>
      <c r="W406" s="7">
        <f t="shared" si="152"/>
        <v>3095.1674999999996</v>
      </c>
      <c r="X406" s="16">
        <v>0</v>
      </c>
      <c r="Y406" t="str">
        <f t="shared" si="140"/>
        <v>OK</v>
      </c>
      <c r="Z406" s="16">
        <f t="shared" si="141"/>
        <v>0</v>
      </c>
      <c r="AA406" s="16">
        <f t="shared" si="153"/>
        <v>0</v>
      </c>
      <c r="AB406" s="9">
        <v>9</v>
      </c>
      <c r="AC406" s="9">
        <f t="shared" si="154"/>
        <v>10.799999999999999</v>
      </c>
      <c r="AD406" s="9">
        <f t="shared" si="142"/>
        <v>24223.05</v>
      </c>
      <c r="AE406" s="9">
        <f t="shared" si="155"/>
        <v>33427.808999999994</v>
      </c>
      <c r="AF406" s="9">
        <f t="shared" si="143"/>
        <v>13007.43</v>
      </c>
      <c r="AG406" s="9">
        <f t="shared" si="144"/>
        <v>11215.619999999999</v>
      </c>
      <c r="AH406" s="9">
        <f t="shared" si="156"/>
        <v>20420.378999999994</v>
      </c>
      <c r="AI406">
        <f t="shared" si="145"/>
        <v>0.46301436028906351</v>
      </c>
      <c r="AJ406" s="5">
        <f t="shared" si="146"/>
        <v>44928</v>
      </c>
      <c r="AK406" t="str">
        <f t="shared" si="147"/>
        <v>Jan-2023</v>
      </c>
      <c r="AL406">
        <v>0</v>
      </c>
      <c r="AM406">
        <v>0</v>
      </c>
      <c r="AN406">
        <v>0</v>
      </c>
    </row>
    <row r="407" spans="1:40" x14ac:dyDescent="0.45">
      <c r="A407" s="3" t="s">
        <v>228</v>
      </c>
      <c r="B407" s="5">
        <v>45894</v>
      </c>
      <c r="C407" s="9" t="str">
        <f t="shared" si="135"/>
        <v>Aug-2025</v>
      </c>
      <c r="D407" s="5" t="str">
        <f t="shared" si="136"/>
        <v>2025-Q3</v>
      </c>
      <c r="E407" s="5">
        <v>45924</v>
      </c>
      <c r="F407" s="9">
        <f t="shared" si="148"/>
        <v>30</v>
      </c>
      <c r="G407" s="9" t="str">
        <f t="shared" si="149"/>
        <v>NOT ACHIEVED</v>
      </c>
      <c r="H407" s="3" t="s">
        <v>640</v>
      </c>
      <c r="I407" s="3" t="s">
        <v>644</v>
      </c>
      <c r="J407" s="3" t="s">
        <v>658</v>
      </c>
      <c r="K407" s="13" t="str">
        <f t="shared" si="150"/>
        <v>Africa &gt; Kenya &gt; Nairobi</v>
      </c>
      <c r="L407" s="3" t="s">
        <v>698</v>
      </c>
      <c r="M407" s="3" t="s">
        <v>705</v>
      </c>
      <c r="N407" s="13" t="str">
        <f t="shared" si="137"/>
        <v>Direct</v>
      </c>
      <c r="O407" s="3" t="s">
        <v>711</v>
      </c>
      <c r="P407" s="3" t="s">
        <v>721</v>
      </c>
      <c r="Q407" s="13" t="str">
        <f t="shared" si="138"/>
        <v>Medium</v>
      </c>
      <c r="R407" s="3" t="s">
        <v>947</v>
      </c>
      <c r="S407" s="7">
        <v>589.14</v>
      </c>
      <c r="T407" s="7">
        <f t="shared" si="151"/>
        <v>677.51099999999997</v>
      </c>
      <c r="U407" s="7">
        <v>1300.58</v>
      </c>
      <c r="V407" s="7">
        <f t="shared" si="139"/>
        <v>1300.58</v>
      </c>
      <c r="W407" s="7">
        <f t="shared" si="152"/>
        <v>1495.6669999999997</v>
      </c>
      <c r="X407" s="16">
        <v>5.5E-2</v>
      </c>
      <c r="Y407" t="str">
        <f t="shared" si="140"/>
        <v>OK</v>
      </c>
      <c r="Z407" s="16">
        <f t="shared" si="141"/>
        <v>5.5E-2</v>
      </c>
      <c r="AA407" s="16">
        <f t="shared" si="153"/>
        <v>5.5E-2</v>
      </c>
      <c r="AB407" s="9">
        <v>11</v>
      </c>
      <c r="AC407" s="9">
        <f t="shared" si="154"/>
        <v>13.2</v>
      </c>
      <c r="AD407" s="9">
        <f t="shared" si="142"/>
        <v>13519.529099999998</v>
      </c>
      <c r="AE407" s="9">
        <f t="shared" si="155"/>
        <v>20828.658641999991</v>
      </c>
      <c r="AF407" s="9">
        <f t="shared" si="143"/>
        <v>6480.54</v>
      </c>
      <c r="AG407" s="9">
        <f t="shared" si="144"/>
        <v>7038.989099999998</v>
      </c>
      <c r="AH407" s="9">
        <f t="shared" si="156"/>
        <v>14348.11864199999</v>
      </c>
      <c r="AI407">
        <f t="shared" si="145"/>
        <v>0.52065342275863724</v>
      </c>
      <c r="AJ407" s="5">
        <f t="shared" si="146"/>
        <v>44928</v>
      </c>
      <c r="AK407" t="str">
        <f t="shared" si="147"/>
        <v>Jan-2023</v>
      </c>
      <c r="AL407">
        <v>0</v>
      </c>
      <c r="AM407">
        <v>0</v>
      </c>
      <c r="AN407">
        <v>0</v>
      </c>
    </row>
    <row r="408" spans="1:40" x14ac:dyDescent="0.45">
      <c r="A408" s="3" t="s">
        <v>237</v>
      </c>
      <c r="B408" s="5">
        <v>44992</v>
      </c>
      <c r="C408" s="9" t="str">
        <f t="shared" si="135"/>
        <v>Mar-2023</v>
      </c>
      <c r="D408" s="5" t="str">
        <f t="shared" si="136"/>
        <v>2023-Q1</v>
      </c>
      <c r="E408" s="5">
        <v>45017</v>
      </c>
      <c r="F408" s="9">
        <f t="shared" si="148"/>
        <v>25</v>
      </c>
      <c r="G408" s="9" t="str">
        <f t="shared" si="149"/>
        <v>NOT ACHIEVED</v>
      </c>
      <c r="H408" s="3" t="s">
        <v>640</v>
      </c>
      <c r="I408" s="3" t="s">
        <v>644</v>
      </c>
      <c r="J408" s="3" t="s">
        <v>658</v>
      </c>
      <c r="K408" s="13" t="str">
        <f t="shared" si="150"/>
        <v>Africa &gt; Kenya &gt; Nairobi</v>
      </c>
      <c r="L408" s="3" t="s">
        <v>698</v>
      </c>
      <c r="M408" s="3" t="s">
        <v>703</v>
      </c>
      <c r="N408" s="13" t="str">
        <f t="shared" si="137"/>
        <v>Marketplace</v>
      </c>
      <c r="O408" s="3" t="s">
        <v>720</v>
      </c>
      <c r="P408" s="3" t="s">
        <v>722</v>
      </c>
      <c r="Q408" s="13" t="str">
        <f t="shared" si="138"/>
        <v>Medium</v>
      </c>
      <c r="R408" s="3" t="s">
        <v>956</v>
      </c>
      <c r="S408" s="7">
        <v>1024.0999999999999</v>
      </c>
      <c r="T408" s="7">
        <f t="shared" si="151"/>
        <v>1177.7149999999997</v>
      </c>
      <c r="U408" s="7">
        <v>918.19</v>
      </c>
      <c r="V408" s="7">
        <f t="shared" si="139"/>
        <v>918.19</v>
      </c>
      <c r="W408" s="7">
        <f t="shared" si="152"/>
        <v>1055.9185</v>
      </c>
      <c r="X408" s="16">
        <v>0.189</v>
      </c>
      <c r="Y408" t="str">
        <f t="shared" si="140"/>
        <v>OK</v>
      </c>
      <c r="Z408" s="16">
        <f t="shared" si="141"/>
        <v>0.189</v>
      </c>
      <c r="AA408" s="16">
        <f t="shared" si="153"/>
        <v>0.189</v>
      </c>
      <c r="AB408" s="9">
        <v>10</v>
      </c>
      <c r="AC408" s="9">
        <f t="shared" si="154"/>
        <v>12</v>
      </c>
      <c r="AD408" s="9">
        <f t="shared" si="142"/>
        <v>7446.5209000000004</v>
      </c>
      <c r="AE408" s="9">
        <f t="shared" si="155"/>
        <v>15065.845158000002</v>
      </c>
      <c r="AF408" s="9">
        <f t="shared" si="143"/>
        <v>10241</v>
      </c>
      <c r="AG408" s="9">
        <f t="shared" si="144"/>
        <v>-2794.4790999999996</v>
      </c>
      <c r="AH408" s="9">
        <f t="shared" si="156"/>
        <v>4824.8451580000019</v>
      </c>
      <c r="AI408">
        <f t="shared" si="145"/>
        <v>-0.37527311579827827</v>
      </c>
      <c r="AJ408" s="5">
        <f t="shared" si="146"/>
        <v>44928</v>
      </c>
      <c r="AK408" t="str">
        <f t="shared" si="147"/>
        <v>Jan-2023</v>
      </c>
      <c r="AL408">
        <v>0</v>
      </c>
      <c r="AM408">
        <v>0</v>
      </c>
      <c r="AN408">
        <v>0</v>
      </c>
    </row>
    <row r="409" spans="1:40" x14ac:dyDescent="0.45">
      <c r="A409" s="3" t="s">
        <v>244</v>
      </c>
      <c r="B409" s="5">
        <v>45548</v>
      </c>
      <c r="C409" s="9" t="str">
        <f t="shared" si="135"/>
        <v>Sep-2024</v>
      </c>
      <c r="D409" s="5" t="str">
        <f t="shared" si="136"/>
        <v>2024-Q3</v>
      </c>
      <c r="E409" s="5">
        <v>45567</v>
      </c>
      <c r="F409" s="9">
        <f t="shared" si="148"/>
        <v>19</v>
      </c>
      <c r="G409" s="9" t="str">
        <f t="shared" si="149"/>
        <v>NOT ACHIEVED</v>
      </c>
      <c r="H409" s="3" t="s">
        <v>640</v>
      </c>
      <c r="I409" s="3" t="s">
        <v>644</v>
      </c>
      <c r="J409" s="3" t="s">
        <v>669</v>
      </c>
      <c r="K409" s="13" t="str">
        <f t="shared" si="150"/>
        <v>Africa &gt; Kenya &gt; Mombasa</v>
      </c>
      <c r="L409" s="3" t="s">
        <v>699</v>
      </c>
      <c r="M409" s="3" t="s">
        <v>701</v>
      </c>
      <c r="N409" s="13" t="str">
        <f t="shared" si="137"/>
        <v>Retail</v>
      </c>
      <c r="O409" s="3" t="s">
        <v>718</v>
      </c>
      <c r="P409" s="3" t="s">
        <v>724</v>
      </c>
      <c r="Q409" s="13" t="str">
        <f t="shared" si="138"/>
        <v>High</v>
      </c>
      <c r="R409" s="3" t="s">
        <v>963</v>
      </c>
      <c r="S409" s="7">
        <v>1338.99</v>
      </c>
      <c r="T409" s="7">
        <f t="shared" si="151"/>
        <v>1539.8384999999998</v>
      </c>
      <c r="U409" s="7">
        <v>1765.76</v>
      </c>
      <c r="V409" s="7">
        <f t="shared" si="139"/>
        <v>1765.76</v>
      </c>
      <c r="W409" s="7">
        <f t="shared" si="152"/>
        <v>2030.6239999999998</v>
      </c>
      <c r="X409" s="16">
        <v>0.126</v>
      </c>
      <c r="Y409" t="str">
        <f t="shared" si="140"/>
        <v>OK</v>
      </c>
      <c r="Z409" s="16">
        <f t="shared" si="141"/>
        <v>0.126</v>
      </c>
      <c r="AA409" s="16">
        <f t="shared" si="153"/>
        <v>0.126</v>
      </c>
      <c r="AB409" s="9">
        <v>24</v>
      </c>
      <c r="AC409" s="9">
        <f t="shared" si="154"/>
        <v>28.799999999999997</v>
      </c>
      <c r="AD409" s="9">
        <f t="shared" si="142"/>
        <v>37038.581760000001</v>
      </c>
      <c r="AE409" s="9">
        <f t="shared" si="155"/>
        <v>65850.699571199977</v>
      </c>
      <c r="AF409" s="9">
        <f t="shared" si="143"/>
        <v>32135.760000000002</v>
      </c>
      <c r="AG409" s="9">
        <f t="shared" si="144"/>
        <v>4902.8217599999989</v>
      </c>
      <c r="AH409" s="9">
        <f t="shared" si="156"/>
        <v>33714.939571199975</v>
      </c>
      <c r="AI409">
        <f t="shared" si="145"/>
        <v>0.1323706666677725</v>
      </c>
      <c r="AJ409" s="5">
        <f t="shared" si="146"/>
        <v>44928</v>
      </c>
      <c r="AK409" t="str">
        <f t="shared" si="147"/>
        <v>Jan-2023</v>
      </c>
      <c r="AL409">
        <v>0</v>
      </c>
      <c r="AM409">
        <v>0</v>
      </c>
      <c r="AN409">
        <v>0</v>
      </c>
    </row>
    <row r="410" spans="1:40" x14ac:dyDescent="0.45">
      <c r="A410" s="3" t="s">
        <v>256</v>
      </c>
      <c r="B410" s="5">
        <v>45604</v>
      </c>
      <c r="C410" s="9" t="str">
        <f t="shared" si="135"/>
        <v>Nov-2024</v>
      </c>
      <c r="D410" s="5" t="str">
        <f t="shared" si="136"/>
        <v>2024-Q4</v>
      </c>
      <c r="E410" s="5">
        <v>45604</v>
      </c>
      <c r="F410" s="9">
        <f t="shared" si="148"/>
        <v>0</v>
      </c>
      <c r="G410" s="9" t="str">
        <f t="shared" si="149"/>
        <v>ACHIEVED</v>
      </c>
      <c r="H410" s="3" t="s">
        <v>640</v>
      </c>
      <c r="I410" s="3" t="s">
        <v>644</v>
      </c>
      <c r="J410" s="3" t="s">
        <v>672</v>
      </c>
      <c r="K410" s="13" t="str">
        <f t="shared" si="150"/>
        <v>Africa &gt; Kenya &gt; Nakuru</v>
      </c>
      <c r="L410" s="3" t="s">
        <v>700</v>
      </c>
      <c r="M410" s="3" t="s">
        <v>703</v>
      </c>
      <c r="N410" s="13" t="str">
        <f t="shared" si="137"/>
        <v>Marketplace</v>
      </c>
      <c r="O410" s="3" t="s">
        <v>718</v>
      </c>
      <c r="P410" s="3" t="s">
        <v>723</v>
      </c>
      <c r="Q410" s="13" t="str">
        <f t="shared" si="138"/>
        <v>Medium</v>
      </c>
      <c r="R410" s="3" t="s">
        <v>975</v>
      </c>
      <c r="S410" s="7">
        <v>803.28</v>
      </c>
      <c r="T410" s="7">
        <f t="shared" si="151"/>
        <v>923.77199999999993</v>
      </c>
      <c r="U410" s="7">
        <v>1009</v>
      </c>
      <c r="V410" s="7">
        <f t="shared" si="139"/>
        <v>1009</v>
      </c>
      <c r="W410" s="7">
        <f t="shared" si="152"/>
        <v>1160.3499999999999</v>
      </c>
      <c r="X410" s="16">
        <v>0.11</v>
      </c>
      <c r="Y410" t="str">
        <f t="shared" si="140"/>
        <v>OK</v>
      </c>
      <c r="Z410" s="16">
        <f t="shared" si="141"/>
        <v>0.11</v>
      </c>
      <c r="AA410" s="16">
        <f t="shared" si="153"/>
        <v>0.11</v>
      </c>
      <c r="AB410" s="9">
        <v>4</v>
      </c>
      <c r="AC410" s="9">
        <f t="shared" si="154"/>
        <v>4.8</v>
      </c>
      <c r="AD410" s="9">
        <f t="shared" si="142"/>
        <v>3592.04</v>
      </c>
      <c r="AE410" s="9">
        <f t="shared" si="155"/>
        <v>6182.3447999999999</v>
      </c>
      <c r="AF410" s="9">
        <f t="shared" si="143"/>
        <v>3213.12</v>
      </c>
      <c r="AG410" s="9">
        <f t="shared" si="144"/>
        <v>378.92000000000007</v>
      </c>
      <c r="AH410" s="9">
        <f t="shared" si="156"/>
        <v>2969.2248</v>
      </c>
      <c r="AI410">
        <f t="shared" si="145"/>
        <v>0.10548880302001093</v>
      </c>
      <c r="AJ410" s="5">
        <f t="shared" si="146"/>
        <v>44928</v>
      </c>
      <c r="AK410" t="str">
        <f t="shared" si="147"/>
        <v>Jan-2023</v>
      </c>
      <c r="AL410">
        <v>0</v>
      </c>
      <c r="AM410">
        <v>0</v>
      </c>
      <c r="AN410">
        <v>0</v>
      </c>
    </row>
    <row r="411" spans="1:40" x14ac:dyDescent="0.45">
      <c r="A411" s="3" t="s">
        <v>290</v>
      </c>
      <c r="B411" s="5">
        <v>45153</v>
      </c>
      <c r="C411" s="9" t="str">
        <f t="shared" si="135"/>
        <v>Aug-2023</v>
      </c>
      <c r="D411" s="5" t="str">
        <f t="shared" si="136"/>
        <v>2023-Q3</v>
      </c>
      <c r="E411" s="5">
        <v>45163</v>
      </c>
      <c r="F411" s="9">
        <f t="shared" si="148"/>
        <v>10</v>
      </c>
      <c r="G411" s="9" t="str">
        <f t="shared" si="149"/>
        <v>NOT ACHIEVED</v>
      </c>
      <c r="H411" s="3" t="s">
        <v>640</v>
      </c>
      <c r="I411" s="3" t="s">
        <v>644</v>
      </c>
      <c r="J411" s="3" t="s">
        <v>658</v>
      </c>
      <c r="K411" s="13" t="str">
        <f t="shared" si="150"/>
        <v>Africa &gt; Kenya &gt; Nairobi</v>
      </c>
      <c r="L411" s="3" t="s">
        <v>699</v>
      </c>
      <c r="M411" s="3" t="s">
        <v>701</v>
      </c>
      <c r="N411" s="13" t="str">
        <f t="shared" si="137"/>
        <v>Retail</v>
      </c>
      <c r="O411" s="3" t="s">
        <v>719</v>
      </c>
      <c r="P411" s="3" t="s">
        <v>724</v>
      </c>
      <c r="Q411" s="13" t="str">
        <f t="shared" si="138"/>
        <v>Low</v>
      </c>
      <c r="R411" s="3" t="s">
        <v>1009</v>
      </c>
      <c r="S411" s="7">
        <v>91.85</v>
      </c>
      <c r="T411" s="7">
        <f t="shared" si="151"/>
        <v>105.62749999999998</v>
      </c>
      <c r="U411" s="7">
        <v>111.29</v>
      </c>
      <c r="V411" s="7">
        <f t="shared" si="139"/>
        <v>111.29</v>
      </c>
      <c r="W411" s="7">
        <f t="shared" si="152"/>
        <v>127.98349999999999</v>
      </c>
      <c r="X411" s="16">
        <v>0</v>
      </c>
      <c r="Y411" t="str">
        <f t="shared" si="140"/>
        <v>OK</v>
      </c>
      <c r="Z411" s="16">
        <f t="shared" si="141"/>
        <v>0</v>
      </c>
      <c r="AA411" s="16">
        <f t="shared" si="153"/>
        <v>0</v>
      </c>
      <c r="AB411" s="9">
        <v>6</v>
      </c>
      <c r="AC411" s="9">
        <f t="shared" si="154"/>
        <v>7.1999999999999993</v>
      </c>
      <c r="AD411" s="9">
        <f t="shared" si="142"/>
        <v>667.74</v>
      </c>
      <c r="AE411" s="9">
        <f t="shared" si="155"/>
        <v>921.48119999999983</v>
      </c>
      <c r="AF411" s="9">
        <f t="shared" si="143"/>
        <v>551.09999999999991</v>
      </c>
      <c r="AG411" s="9">
        <f t="shared" si="144"/>
        <v>116.6400000000001</v>
      </c>
      <c r="AH411" s="9">
        <f t="shared" si="156"/>
        <v>370.38119999999992</v>
      </c>
      <c r="AI411">
        <f t="shared" si="145"/>
        <v>0.17467876718483258</v>
      </c>
      <c r="AJ411" s="5">
        <f t="shared" si="146"/>
        <v>44928</v>
      </c>
      <c r="AK411" t="str">
        <f t="shared" si="147"/>
        <v>Jan-2023</v>
      </c>
      <c r="AL411">
        <v>0</v>
      </c>
      <c r="AM411">
        <v>0</v>
      </c>
      <c r="AN411">
        <v>0</v>
      </c>
    </row>
    <row r="412" spans="1:40" x14ac:dyDescent="0.45">
      <c r="A412" s="3" t="s">
        <v>312</v>
      </c>
      <c r="B412" s="5">
        <v>45462</v>
      </c>
      <c r="C412" s="9" t="str">
        <f t="shared" si="135"/>
        <v>Jun-2024</v>
      </c>
      <c r="D412" s="5" t="str">
        <f t="shared" si="136"/>
        <v>2024-Q2</v>
      </c>
      <c r="E412" s="5">
        <v>45463</v>
      </c>
      <c r="F412" s="9">
        <f t="shared" si="148"/>
        <v>1</v>
      </c>
      <c r="G412" s="9" t="str">
        <f t="shared" si="149"/>
        <v>ACHIEVED</v>
      </c>
      <c r="H412" s="3" t="s">
        <v>640</v>
      </c>
      <c r="I412" s="3" t="s">
        <v>644</v>
      </c>
      <c r="J412" s="3" t="s">
        <v>656</v>
      </c>
      <c r="K412" s="13" t="str">
        <f t="shared" si="150"/>
        <v>Africa &gt; Kenya &gt; Kisumu</v>
      </c>
      <c r="L412" s="3" t="s">
        <v>699</v>
      </c>
      <c r="M412" s="3" t="s">
        <v>705</v>
      </c>
      <c r="N412" s="13" t="str">
        <f t="shared" si="137"/>
        <v>Direct</v>
      </c>
      <c r="O412" s="3" t="s">
        <v>707</v>
      </c>
      <c r="P412" s="3" t="s">
        <v>725</v>
      </c>
      <c r="Q412" s="13" t="str">
        <f t="shared" si="138"/>
        <v>Low</v>
      </c>
      <c r="R412" s="3" t="s">
        <v>1031</v>
      </c>
      <c r="S412" s="7">
        <v>231.63</v>
      </c>
      <c r="T412" s="7">
        <f t="shared" si="151"/>
        <v>266.37449999999995</v>
      </c>
      <c r="U412" s="7">
        <v>537.39</v>
      </c>
      <c r="V412" s="7">
        <f t="shared" si="139"/>
        <v>537.39</v>
      </c>
      <c r="W412" s="7">
        <f t="shared" si="152"/>
        <v>617.99849999999992</v>
      </c>
      <c r="X412" s="16">
        <v>0.08</v>
      </c>
      <c r="Y412" t="str">
        <f t="shared" si="140"/>
        <v>OK</v>
      </c>
      <c r="Z412" s="16">
        <f t="shared" si="141"/>
        <v>0.08</v>
      </c>
      <c r="AA412" s="16">
        <f t="shared" si="153"/>
        <v>0.08</v>
      </c>
      <c r="AB412" s="9">
        <v>12</v>
      </c>
      <c r="AC412" s="9">
        <f t="shared" si="154"/>
        <v>14.399999999999999</v>
      </c>
      <c r="AD412" s="9">
        <f t="shared" si="142"/>
        <v>5932.7856000000002</v>
      </c>
      <c r="AE412" s="9">
        <f t="shared" si="155"/>
        <v>9611.1126719999993</v>
      </c>
      <c r="AF412" s="9">
        <f t="shared" si="143"/>
        <v>2779.56</v>
      </c>
      <c r="AG412" s="9">
        <f t="shared" si="144"/>
        <v>3153.2256000000002</v>
      </c>
      <c r="AH412" s="9">
        <f t="shared" si="156"/>
        <v>6831.5526719999998</v>
      </c>
      <c r="AI412">
        <f t="shared" si="145"/>
        <v>0.53149158129024587</v>
      </c>
      <c r="AJ412" s="5">
        <f t="shared" si="146"/>
        <v>44928</v>
      </c>
      <c r="AK412" t="str">
        <f t="shared" si="147"/>
        <v>Jan-2023</v>
      </c>
      <c r="AL412">
        <v>0</v>
      </c>
      <c r="AM412">
        <v>0</v>
      </c>
      <c r="AN412">
        <v>0</v>
      </c>
    </row>
    <row r="413" spans="1:40" x14ac:dyDescent="0.45">
      <c r="A413" s="3" t="s">
        <v>327</v>
      </c>
      <c r="B413" s="5">
        <v>45008</v>
      </c>
      <c r="C413" s="9" t="str">
        <f t="shared" si="135"/>
        <v>Mar-2023</v>
      </c>
      <c r="D413" s="5" t="str">
        <f t="shared" si="136"/>
        <v>2023-Q1</v>
      </c>
      <c r="E413" s="5">
        <v>45031</v>
      </c>
      <c r="F413" s="9">
        <f t="shared" si="148"/>
        <v>23</v>
      </c>
      <c r="G413" s="9" t="str">
        <f t="shared" si="149"/>
        <v>NOT ACHIEVED</v>
      </c>
      <c r="H413" s="3" t="s">
        <v>640</v>
      </c>
      <c r="I413" s="3" t="s">
        <v>644</v>
      </c>
      <c r="J413" s="3" t="s">
        <v>669</v>
      </c>
      <c r="K413" s="13" t="str">
        <f t="shared" si="150"/>
        <v>Africa &gt; Kenya &gt; Mombasa</v>
      </c>
      <c r="L413" s="3" t="s">
        <v>699</v>
      </c>
      <c r="M413" s="3" t="s">
        <v>701</v>
      </c>
      <c r="N413" s="13" t="str">
        <f t="shared" si="137"/>
        <v>Retail</v>
      </c>
      <c r="O413" s="3" t="s">
        <v>706</v>
      </c>
      <c r="P413" s="3" t="s">
        <v>727</v>
      </c>
      <c r="Q413" s="13" t="str">
        <f t="shared" si="138"/>
        <v>Medium</v>
      </c>
      <c r="R413" s="3" t="s">
        <v>1046</v>
      </c>
      <c r="S413" s="7">
        <v>875.36</v>
      </c>
      <c r="T413" s="7">
        <f t="shared" si="151"/>
        <v>1006.664</v>
      </c>
      <c r="U413" s="7">
        <v>1178.6199999999999</v>
      </c>
      <c r="V413" s="7">
        <f t="shared" si="139"/>
        <v>1178.6199999999999</v>
      </c>
      <c r="W413" s="7">
        <f t="shared" si="152"/>
        <v>1355.4129999999998</v>
      </c>
      <c r="X413" s="16">
        <v>0.151</v>
      </c>
      <c r="Y413" t="str">
        <f t="shared" si="140"/>
        <v>OK</v>
      </c>
      <c r="Z413" s="16">
        <f t="shared" si="141"/>
        <v>0.151</v>
      </c>
      <c r="AA413" s="16">
        <f t="shared" si="153"/>
        <v>0.151</v>
      </c>
      <c r="AB413" s="9">
        <v>53</v>
      </c>
      <c r="AC413" s="9">
        <f t="shared" si="154"/>
        <v>63.599999999999994</v>
      </c>
      <c r="AD413" s="9">
        <f t="shared" si="142"/>
        <v>53034.364139999991</v>
      </c>
      <c r="AE413" s="9">
        <f t="shared" si="155"/>
        <v>99221.111086799981</v>
      </c>
      <c r="AF413" s="9">
        <f t="shared" si="143"/>
        <v>46394.080000000002</v>
      </c>
      <c r="AG413" s="9">
        <f t="shared" si="144"/>
        <v>6640.2841399999888</v>
      </c>
      <c r="AH413" s="9">
        <f t="shared" si="156"/>
        <v>52827.03108679998</v>
      </c>
      <c r="AI413">
        <f t="shared" si="145"/>
        <v>0.12520719815685888</v>
      </c>
      <c r="AJ413" s="5">
        <f t="shared" si="146"/>
        <v>44928</v>
      </c>
      <c r="AK413" t="str">
        <f t="shared" si="147"/>
        <v>Jan-2023</v>
      </c>
      <c r="AL413">
        <v>0</v>
      </c>
      <c r="AM413">
        <v>0</v>
      </c>
      <c r="AN413">
        <v>0</v>
      </c>
    </row>
    <row r="414" spans="1:40" x14ac:dyDescent="0.45">
      <c r="A414" s="3" t="s">
        <v>335</v>
      </c>
      <c r="B414" s="5">
        <v>45087</v>
      </c>
      <c r="C414" s="9" t="str">
        <f t="shared" si="135"/>
        <v>Jun-2023</v>
      </c>
      <c r="D414" s="5" t="str">
        <f t="shared" si="136"/>
        <v>2023-Q2</v>
      </c>
      <c r="E414" s="5">
        <v>45095</v>
      </c>
      <c r="F414" s="9">
        <f t="shared" si="148"/>
        <v>8</v>
      </c>
      <c r="G414" s="9" t="str">
        <f t="shared" si="149"/>
        <v>NOT ACHIEVED</v>
      </c>
      <c r="H414" s="3" t="s">
        <v>640</v>
      </c>
      <c r="I414" s="3" t="s">
        <v>644</v>
      </c>
      <c r="J414" s="3" t="s">
        <v>672</v>
      </c>
      <c r="K414" s="13" t="str">
        <f t="shared" si="150"/>
        <v>Africa &gt; Kenya &gt; Nakuru</v>
      </c>
      <c r="L414" s="3" t="s">
        <v>700</v>
      </c>
      <c r="M414" s="3" t="s">
        <v>705</v>
      </c>
      <c r="N414" s="13" t="str">
        <f t="shared" si="137"/>
        <v>Direct</v>
      </c>
      <c r="O414" s="3" t="s">
        <v>716</v>
      </c>
      <c r="P414" s="3" t="s">
        <v>724</v>
      </c>
      <c r="Q414" s="13" t="str">
        <f t="shared" si="138"/>
        <v>Medium</v>
      </c>
      <c r="R414" s="3" t="s">
        <v>1054</v>
      </c>
      <c r="S414" s="7">
        <v>894.23</v>
      </c>
      <c r="T414" s="7">
        <f t="shared" si="151"/>
        <v>1028.3644999999999</v>
      </c>
      <c r="U414" s="7">
        <v>1421.55</v>
      </c>
      <c r="V414" s="7">
        <f t="shared" si="139"/>
        <v>1421.55</v>
      </c>
      <c r="W414" s="7">
        <f t="shared" si="152"/>
        <v>1634.7824999999998</v>
      </c>
      <c r="X414" s="16">
        <v>0.109</v>
      </c>
      <c r="Y414" t="str">
        <f t="shared" si="140"/>
        <v>OK</v>
      </c>
      <c r="Z414" s="16">
        <f t="shared" si="141"/>
        <v>0.109</v>
      </c>
      <c r="AA414" s="16">
        <f t="shared" si="153"/>
        <v>0.109</v>
      </c>
      <c r="AB414" s="9">
        <v>3</v>
      </c>
      <c r="AC414" s="9">
        <f t="shared" si="154"/>
        <v>3.5999999999999996</v>
      </c>
      <c r="AD414" s="9">
        <f t="shared" si="142"/>
        <v>3799.8031499999997</v>
      </c>
      <c r="AE414" s="9">
        <f t="shared" si="155"/>
        <v>6526.7056529999982</v>
      </c>
      <c r="AF414" s="9">
        <f t="shared" si="143"/>
        <v>2682.69</v>
      </c>
      <c r="AG414" s="9">
        <f t="shared" si="144"/>
        <v>1117.1131499999997</v>
      </c>
      <c r="AH414" s="9">
        <f t="shared" si="156"/>
        <v>3844.0156529999981</v>
      </c>
      <c r="AI414">
        <f t="shared" si="145"/>
        <v>0.29399237431549574</v>
      </c>
      <c r="AJ414" s="5">
        <f t="shared" si="146"/>
        <v>44928</v>
      </c>
      <c r="AK414" t="str">
        <f t="shared" si="147"/>
        <v>Jan-2023</v>
      </c>
      <c r="AL414">
        <v>0</v>
      </c>
      <c r="AM414">
        <v>0</v>
      </c>
      <c r="AN414">
        <v>0</v>
      </c>
    </row>
    <row r="415" spans="1:40" x14ac:dyDescent="0.45">
      <c r="A415" s="3" t="s">
        <v>348</v>
      </c>
      <c r="B415" s="5">
        <v>45131</v>
      </c>
      <c r="C415" s="9" t="str">
        <f t="shared" si="135"/>
        <v>Jul-2023</v>
      </c>
      <c r="D415" s="5" t="str">
        <f t="shared" si="136"/>
        <v>2023-Q3</v>
      </c>
      <c r="E415" s="5">
        <v>45157</v>
      </c>
      <c r="F415" s="9">
        <f t="shared" si="148"/>
        <v>26</v>
      </c>
      <c r="G415" s="9" t="str">
        <f t="shared" si="149"/>
        <v>NOT ACHIEVED</v>
      </c>
      <c r="H415" s="3" t="s">
        <v>640</v>
      </c>
      <c r="I415" s="3" t="s">
        <v>644</v>
      </c>
      <c r="J415" s="3" t="s">
        <v>658</v>
      </c>
      <c r="K415" s="13" t="str">
        <f t="shared" si="150"/>
        <v>Africa &gt; Kenya &gt; Nairobi</v>
      </c>
      <c r="L415" s="3" t="s">
        <v>700</v>
      </c>
      <c r="M415" s="3" t="s">
        <v>704</v>
      </c>
      <c r="N415" s="13" t="str">
        <f t="shared" si="137"/>
        <v>Distributor</v>
      </c>
      <c r="O415" s="3" t="s">
        <v>718</v>
      </c>
      <c r="P415" s="3" t="s">
        <v>727</v>
      </c>
      <c r="Q415" s="13" t="str">
        <f t="shared" si="138"/>
        <v>High</v>
      </c>
      <c r="R415" s="3" t="s">
        <v>1067</v>
      </c>
      <c r="S415" s="7">
        <v>661.45</v>
      </c>
      <c r="T415" s="7">
        <f t="shared" si="151"/>
        <v>760.66750000000002</v>
      </c>
      <c r="U415" s="7">
        <v>1634.86</v>
      </c>
      <c r="V415" s="7">
        <f t="shared" si="139"/>
        <v>1634.86</v>
      </c>
      <c r="W415" s="7">
        <f t="shared" si="152"/>
        <v>1880.0889999999997</v>
      </c>
      <c r="X415" s="16">
        <v>0.3</v>
      </c>
      <c r="Y415" t="str">
        <f t="shared" si="140"/>
        <v>OK</v>
      </c>
      <c r="Z415" s="16">
        <f t="shared" si="141"/>
        <v>0.3</v>
      </c>
      <c r="AA415" s="16">
        <f t="shared" si="153"/>
        <v>0.25</v>
      </c>
      <c r="AB415" s="9">
        <v>24</v>
      </c>
      <c r="AC415" s="9">
        <f t="shared" si="154"/>
        <v>28.799999999999997</v>
      </c>
      <c r="AD415" s="9">
        <f t="shared" si="142"/>
        <v>27465.647999999997</v>
      </c>
      <c r="AE415" s="9">
        <f t="shared" si="155"/>
        <v>67683.203999999983</v>
      </c>
      <c r="AF415" s="9">
        <f t="shared" si="143"/>
        <v>15874.800000000001</v>
      </c>
      <c r="AG415" s="9">
        <f t="shared" si="144"/>
        <v>11590.847999999996</v>
      </c>
      <c r="AH415" s="9">
        <f t="shared" si="156"/>
        <v>51808.40399999998</v>
      </c>
      <c r="AI415">
        <f t="shared" si="145"/>
        <v>0.42201254454291404</v>
      </c>
      <c r="AJ415" s="5">
        <f t="shared" si="146"/>
        <v>44928</v>
      </c>
      <c r="AK415" t="str">
        <f t="shared" si="147"/>
        <v>Jan-2023</v>
      </c>
      <c r="AL415">
        <v>0</v>
      </c>
      <c r="AM415">
        <v>0</v>
      </c>
      <c r="AN415">
        <v>0</v>
      </c>
    </row>
    <row r="416" spans="1:40" x14ac:dyDescent="0.45">
      <c r="A416" s="3" t="s">
        <v>350</v>
      </c>
      <c r="B416" s="5">
        <v>45594</v>
      </c>
      <c r="C416" s="9" t="str">
        <f t="shared" si="135"/>
        <v>Oct-2024</v>
      </c>
      <c r="D416" s="5" t="str">
        <f t="shared" si="136"/>
        <v>2024-Q4</v>
      </c>
      <c r="E416" s="5">
        <v>45600</v>
      </c>
      <c r="F416" s="9">
        <f t="shared" si="148"/>
        <v>6</v>
      </c>
      <c r="G416" s="9" t="str">
        <f t="shared" si="149"/>
        <v>ACHIEVED</v>
      </c>
      <c r="H416" s="3" t="s">
        <v>640</v>
      </c>
      <c r="I416" s="3" t="s">
        <v>644</v>
      </c>
      <c r="J416" s="3" t="s">
        <v>658</v>
      </c>
      <c r="K416" s="13" t="str">
        <f t="shared" si="150"/>
        <v>Africa &gt; Kenya &gt; Nairobi</v>
      </c>
      <c r="L416" s="3" t="s">
        <v>695</v>
      </c>
      <c r="M416" s="3" t="s">
        <v>704</v>
      </c>
      <c r="N416" s="13" t="str">
        <f t="shared" si="137"/>
        <v>Distributor</v>
      </c>
      <c r="O416" s="3" t="s">
        <v>718</v>
      </c>
      <c r="P416" s="3" t="s">
        <v>722</v>
      </c>
      <c r="Q416" s="13" t="str">
        <f t="shared" si="138"/>
        <v>High</v>
      </c>
      <c r="R416" s="3" t="s">
        <v>1069</v>
      </c>
      <c r="S416" s="7">
        <v>805.81</v>
      </c>
      <c r="T416" s="7">
        <f t="shared" si="151"/>
        <v>926.68149999999991</v>
      </c>
      <c r="U416" s="7">
        <v>1823.04</v>
      </c>
      <c r="V416" s="7">
        <f t="shared" si="139"/>
        <v>1823.04</v>
      </c>
      <c r="W416" s="7">
        <f t="shared" si="152"/>
        <v>2096.4959999999996</v>
      </c>
      <c r="X416" s="16">
        <v>0</v>
      </c>
      <c r="Y416" t="str">
        <f t="shared" si="140"/>
        <v>OK</v>
      </c>
      <c r="Z416" s="16">
        <f t="shared" si="141"/>
        <v>0</v>
      </c>
      <c r="AA416" s="16">
        <f t="shared" si="153"/>
        <v>0</v>
      </c>
      <c r="AB416" s="9">
        <v>11</v>
      </c>
      <c r="AC416" s="9">
        <f t="shared" si="154"/>
        <v>13.2</v>
      </c>
      <c r="AD416" s="9">
        <f t="shared" si="142"/>
        <v>20053.439999999999</v>
      </c>
      <c r="AE416" s="9">
        <f t="shared" si="155"/>
        <v>27673.747199999994</v>
      </c>
      <c r="AF416" s="9">
        <f t="shared" si="143"/>
        <v>8863.91</v>
      </c>
      <c r="AG416" s="9">
        <f t="shared" si="144"/>
        <v>11189.529999999999</v>
      </c>
      <c r="AH416" s="9">
        <f t="shared" si="156"/>
        <v>18809.837199999994</v>
      </c>
      <c r="AI416">
        <f t="shared" si="145"/>
        <v>0.55798556257679477</v>
      </c>
      <c r="AJ416" s="5">
        <f t="shared" si="146"/>
        <v>44928</v>
      </c>
      <c r="AK416" t="str">
        <f t="shared" si="147"/>
        <v>Jan-2023</v>
      </c>
      <c r="AL416">
        <v>0</v>
      </c>
      <c r="AM416">
        <v>0</v>
      </c>
      <c r="AN416">
        <v>0</v>
      </c>
    </row>
    <row r="417" spans="1:40" x14ac:dyDescent="0.45">
      <c r="A417" s="3" t="s">
        <v>374</v>
      </c>
      <c r="B417" s="5">
        <v>45445</v>
      </c>
      <c r="C417" s="9" t="str">
        <f t="shared" si="135"/>
        <v>Jun-2024</v>
      </c>
      <c r="D417" s="5" t="str">
        <f t="shared" si="136"/>
        <v>2024-Q2</v>
      </c>
      <c r="E417" s="5">
        <v>45458</v>
      </c>
      <c r="F417" s="9">
        <f t="shared" si="148"/>
        <v>13</v>
      </c>
      <c r="G417" s="9" t="str">
        <f t="shared" si="149"/>
        <v>NOT ACHIEVED</v>
      </c>
      <c r="H417" s="3" t="s">
        <v>640</v>
      </c>
      <c r="I417" s="3" t="s">
        <v>644</v>
      </c>
      <c r="J417" s="3" t="s">
        <v>669</v>
      </c>
      <c r="K417" s="13" t="str">
        <f t="shared" si="150"/>
        <v>Africa &gt; Kenya &gt; Mombasa</v>
      </c>
      <c r="L417" s="3" t="s">
        <v>696</v>
      </c>
      <c r="M417" s="3" t="s">
        <v>702</v>
      </c>
      <c r="N417" s="13" t="str">
        <f t="shared" si="137"/>
        <v>Online</v>
      </c>
      <c r="O417" s="3" t="s">
        <v>713</v>
      </c>
      <c r="P417" s="3" t="s">
        <v>724</v>
      </c>
      <c r="Q417" s="13" t="str">
        <f t="shared" si="138"/>
        <v>High</v>
      </c>
      <c r="R417" s="3" t="s">
        <v>1093</v>
      </c>
      <c r="S417" s="7">
        <v>1295.18</v>
      </c>
      <c r="T417" s="7">
        <f t="shared" si="151"/>
        <v>1489.4569999999999</v>
      </c>
      <c r="U417" s="7">
        <v>3024.03</v>
      </c>
      <c r="V417" s="7">
        <f t="shared" si="139"/>
        <v>3024.03</v>
      </c>
      <c r="W417" s="7">
        <f t="shared" si="152"/>
        <v>3477.6345000000001</v>
      </c>
      <c r="X417" s="16">
        <v>0.192</v>
      </c>
      <c r="Y417" t="str">
        <f t="shared" si="140"/>
        <v>OK</v>
      </c>
      <c r="Z417" s="16">
        <f t="shared" si="141"/>
        <v>0.192</v>
      </c>
      <c r="AA417" s="16">
        <f t="shared" si="153"/>
        <v>0.192</v>
      </c>
      <c r="AB417" s="9">
        <v>8</v>
      </c>
      <c r="AC417" s="9">
        <f t="shared" si="154"/>
        <v>9.6</v>
      </c>
      <c r="AD417" s="9">
        <f t="shared" si="142"/>
        <v>19547.329920000004</v>
      </c>
      <c r="AE417" s="9">
        <f t="shared" si="155"/>
        <v>39795.267110399996</v>
      </c>
      <c r="AF417" s="9">
        <f t="shared" si="143"/>
        <v>10361.44</v>
      </c>
      <c r="AG417" s="9">
        <f t="shared" si="144"/>
        <v>9185.8899200000033</v>
      </c>
      <c r="AH417" s="9">
        <f t="shared" si="156"/>
        <v>29433.827110399994</v>
      </c>
      <c r="AI417">
        <f t="shared" si="145"/>
        <v>0.46993067378483178</v>
      </c>
      <c r="AJ417" s="5">
        <f t="shared" si="146"/>
        <v>44928</v>
      </c>
      <c r="AK417" t="str">
        <f t="shared" si="147"/>
        <v>Jan-2023</v>
      </c>
      <c r="AL417">
        <v>0</v>
      </c>
      <c r="AM417">
        <v>0</v>
      </c>
      <c r="AN417">
        <v>0</v>
      </c>
    </row>
    <row r="418" spans="1:40" x14ac:dyDescent="0.45">
      <c r="A418" s="3" t="s">
        <v>408</v>
      </c>
      <c r="B418" s="5">
        <v>45759</v>
      </c>
      <c r="C418" s="9" t="str">
        <f t="shared" si="135"/>
        <v>Apr-2025</v>
      </c>
      <c r="D418" s="5" t="str">
        <f t="shared" si="136"/>
        <v>2025-Q2</v>
      </c>
      <c r="E418" s="5">
        <v>45777</v>
      </c>
      <c r="F418" s="9">
        <f t="shared" si="148"/>
        <v>18</v>
      </c>
      <c r="G418" s="9" t="str">
        <f t="shared" si="149"/>
        <v>NOT ACHIEVED</v>
      </c>
      <c r="H418" s="3" t="s">
        <v>640</v>
      </c>
      <c r="I418" s="3" t="s">
        <v>644</v>
      </c>
      <c r="J418" s="3" t="s">
        <v>656</v>
      </c>
      <c r="K418" s="13" t="str">
        <f t="shared" si="150"/>
        <v>Africa &gt; Kenya &gt; Kisumu</v>
      </c>
      <c r="L418" s="3" t="s">
        <v>695</v>
      </c>
      <c r="M418" s="3" t="s">
        <v>703</v>
      </c>
      <c r="N418" s="13" t="str">
        <f t="shared" si="137"/>
        <v>Marketplace</v>
      </c>
      <c r="O418" s="3" t="s">
        <v>715</v>
      </c>
      <c r="P418" s="3" t="s">
        <v>723</v>
      </c>
      <c r="Q418" s="13" t="str">
        <f t="shared" si="138"/>
        <v>Medium</v>
      </c>
      <c r="R418" s="3" t="s">
        <v>1126</v>
      </c>
      <c r="S418" s="7">
        <v>1119.04</v>
      </c>
      <c r="T418" s="7">
        <f t="shared" si="151"/>
        <v>1286.896</v>
      </c>
      <c r="U418" s="7">
        <v>1299.02</v>
      </c>
      <c r="V418" s="7">
        <f t="shared" si="139"/>
        <v>1299.02</v>
      </c>
      <c r="W418" s="7">
        <f t="shared" si="152"/>
        <v>1493.8729999999998</v>
      </c>
      <c r="X418" s="16">
        <v>2.5000000000000001E-2</v>
      </c>
      <c r="Y418" t="str">
        <f t="shared" si="140"/>
        <v>OK</v>
      </c>
      <c r="Z418" s="16">
        <f t="shared" si="141"/>
        <v>2.5000000000000001E-2</v>
      </c>
      <c r="AA418" s="16">
        <f t="shared" si="153"/>
        <v>2.5000000000000001E-2</v>
      </c>
      <c r="AB418" s="9">
        <v>14</v>
      </c>
      <c r="AC418" s="9">
        <f t="shared" si="154"/>
        <v>16.8</v>
      </c>
      <c r="AD418" s="9">
        <f t="shared" si="142"/>
        <v>17731.623</v>
      </c>
      <c r="AE418" s="9">
        <f t="shared" si="155"/>
        <v>25724.493059999997</v>
      </c>
      <c r="AF418" s="9">
        <f t="shared" si="143"/>
        <v>15666.56</v>
      </c>
      <c r="AG418" s="9">
        <f t="shared" si="144"/>
        <v>2065.0630000000001</v>
      </c>
      <c r="AH418" s="9">
        <f t="shared" si="156"/>
        <v>10057.933059999998</v>
      </c>
      <c r="AI418">
        <f t="shared" si="145"/>
        <v>0.11646215352085933</v>
      </c>
      <c r="AJ418" s="5">
        <f t="shared" si="146"/>
        <v>44928</v>
      </c>
      <c r="AK418" t="str">
        <f t="shared" si="147"/>
        <v>Jan-2023</v>
      </c>
      <c r="AL418">
        <v>0</v>
      </c>
      <c r="AM418">
        <v>0</v>
      </c>
      <c r="AN418">
        <v>0</v>
      </c>
    </row>
    <row r="419" spans="1:40" x14ac:dyDescent="0.45">
      <c r="A419" s="3" t="s">
        <v>443</v>
      </c>
      <c r="B419" s="5">
        <v>45217</v>
      </c>
      <c r="C419" s="9" t="str">
        <f t="shared" si="135"/>
        <v>Oct-2023</v>
      </c>
      <c r="D419" s="5" t="str">
        <f t="shared" si="136"/>
        <v>2023-Q4</v>
      </c>
      <c r="E419" s="5">
        <v>45219</v>
      </c>
      <c r="F419" s="9">
        <f t="shared" si="148"/>
        <v>2</v>
      </c>
      <c r="G419" s="9" t="str">
        <f t="shared" si="149"/>
        <v>ACHIEVED</v>
      </c>
      <c r="H419" s="3" t="s">
        <v>640</v>
      </c>
      <c r="I419" s="3" t="s">
        <v>644</v>
      </c>
      <c r="J419" s="3" t="s">
        <v>656</v>
      </c>
      <c r="K419" s="13" t="str">
        <f t="shared" si="150"/>
        <v>Africa &gt; Kenya &gt; Kisumu</v>
      </c>
      <c r="L419" s="3" t="s">
        <v>698</v>
      </c>
      <c r="M419" s="3" t="s">
        <v>701</v>
      </c>
      <c r="N419" s="13" t="str">
        <f t="shared" si="137"/>
        <v>Retail</v>
      </c>
      <c r="O419" s="3" t="s">
        <v>707</v>
      </c>
      <c r="P419" s="3" t="s">
        <v>724</v>
      </c>
      <c r="Q419" s="13" t="str">
        <f t="shared" si="138"/>
        <v>Medium</v>
      </c>
      <c r="R419" s="3" t="s">
        <v>1161</v>
      </c>
      <c r="S419" s="7">
        <v>774.12</v>
      </c>
      <c r="T419" s="7">
        <f t="shared" si="151"/>
        <v>890.23799999999994</v>
      </c>
      <c r="U419" s="7">
        <v>908.3</v>
      </c>
      <c r="V419" s="7">
        <f t="shared" si="139"/>
        <v>908.3</v>
      </c>
      <c r="W419" s="7">
        <f t="shared" si="152"/>
        <v>1044.5449999999998</v>
      </c>
      <c r="X419" s="16">
        <v>0</v>
      </c>
      <c r="Y419" t="str">
        <f t="shared" si="140"/>
        <v>OK</v>
      </c>
      <c r="Z419" s="16">
        <f t="shared" si="141"/>
        <v>0</v>
      </c>
      <c r="AA419" s="16">
        <f t="shared" si="153"/>
        <v>0</v>
      </c>
      <c r="AB419" s="9">
        <v>30</v>
      </c>
      <c r="AC419" s="9">
        <f t="shared" si="154"/>
        <v>36</v>
      </c>
      <c r="AD419" s="9">
        <f t="shared" si="142"/>
        <v>27249</v>
      </c>
      <c r="AE419" s="9">
        <f t="shared" si="155"/>
        <v>37603.619999999995</v>
      </c>
      <c r="AF419" s="9">
        <f t="shared" si="143"/>
        <v>23223.599999999999</v>
      </c>
      <c r="AG419" s="9">
        <f t="shared" si="144"/>
        <v>4025.4000000000015</v>
      </c>
      <c r="AH419" s="9">
        <f t="shared" si="156"/>
        <v>14380.019999999997</v>
      </c>
      <c r="AI419">
        <f t="shared" si="145"/>
        <v>0.14772652207420461</v>
      </c>
      <c r="AJ419" s="5">
        <f t="shared" si="146"/>
        <v>44928</v>
      </c>
      <c r="AK419" t="str">
        <f t="shared" si="147"/>
        <v>Jan-2023</v>
      </c>
      <c r="AL419">
        <v>0</v>
      </c>
      <c r="AM419">
        <v>0</v>
      </c>
      <c r="AN419">
        <v>0</v>
      </c>
    </row>
    <row r="420" spans="1:40" x14ac:dyDescent="0.45">
      <c r="A420" s="3" t="s">
        <v>447</v>
      </c>
      <c r="B420" s="5">
        <v>44978</v>
      </c>
      <c r="C420" s="9" t="str">
        <f t="shared" si="135"/>
        <v>Feb-2023</v>
      </c>
      <c r="D420" s="5" t="str">
        <f t="shared" si="136"/>
        <v>2023-Q1</v>
      </c>
      <c r="E420" s="5">
        <v>44997</v>
      </c>
      <c r="F420" s="9">
        <f t="shared" si="148"/>
        <v>19</v>
      </c>
      <c r="G420" s="9" t="str">
        <f t="shared" si="149"/>
        <v>NOT ACHIEVED</v>
      </c>
      <c r="H420" s="3" t="s">
        <v>640</v>
      </c>
      <c r="I420" s="3" t="s">
        <v>644</v>
      </c>
      <c r="J420" s="3" t="s">
        <v>672</v>
      </c>
      <c r="K420" s="13" t="str">
        <f t="shared" si="150"/>
        <v>Africa &gt; Kenya &gt; Nakuru</v>
      </c>
      <c r="L420" s="3" t="s">
        <v>695</v>
      </c>
      <c r="M420" s="3" t="s">
        <v>702</v>
      </c>
      <c r="N420" s="13" t="str">
        <f t="shared" si="137"/>
        <v>Online</v>
      </c>
      <c r="O420" s="3" t="s">
        <v>715</v>
      </c>
      <c r="P420" s="3" t="s">
        <v>723</v>
      </c>
      <c r="Q420" s="13" t="str">
        <f t="shared" si="138"/>
        <v>Low</v>
      </c>
      <c r="R420" s="3" t="s">
        <v>1165</v>
      </c>
      <c r="S420" s="7">
        <v>352.65</v>
      </c>
      <c r="T420" s="7">
        <f t="shared" si="151"/>
        <v>405.54749999999996</v>
      </c>
      <c r="U420" s="7">
        <v>485.86</v>
      </c>
      <c r="V420" s="7">
        <f t="shared" si="139"/>
        <v>485.86</v>
      </c>
      <c r="W420" s="7">
        <f t="shared" si="152"/>
        <v>558.73899999999992</v>
      </c>
      <c r="X420" s="16">
        <v>4.1000000000000002E-2</v>
      </c>
      <c r="Y420" t="str">
        <f t="shared" si="140"/>
        <v>OK</v>
      </c>
      <c r="Z420" s="16">
        <f t="shared" si="141"/>
        <v>4.1000000000000002E-2</v>
      </c>
      <c r="AA420" s="16">
        <f t="shared" si="153"/>
        <v>4.1000000000000002E-2</v>
      </c>
      <c r="AB420" s="9">
        <v>6</v>
      </c>
      <c r="AC420" s="9">
        <f t="shared" si="154"/>
        <v>7.1999999999999993</v>
      </c>
      <c r="AD420" s="9">
        <f t="shared" si="142"/>
        <v>2795.6384399999997</v>
      </c>
      <c r="AE420" s="9">
        <f t="shared" si="155"/>
        <v>4187.8605527999989</v>
      </c>
      <c r="AF420" s="9">
        <f t="shared" si="143"/>
        <v>2115.8999999999996</v>
      </c>
      <c r="AG420" s="9">
        <f t="shared" si="144"/>
        <v>679.73844000000008</v>
      </c>
      <c r="AH420" s="9">
        <f t="shared" si="156"/>
        <v>2071.9605527999993</v>
      </c>
      <c r="AI420">
        <f t="shared" si="145"/>
        <v>0.24314247159943908</v>
      </c>
      <c r="AJ420" s="5">
        <f t="shared" si="146"/>
        <v>44928</v>
      </c>
      <c r="AK420" t="str">
        <f t="shared" si="147"/>
        <v>Jan-2023</v>
      </c>
      <c r="AL420">
        <v>0</v>
      </c>
      <c r="AM420">
        <v>0</v>
      </c>
      <c r="AN420">
        <v>0</v>
      </c>
    </row>
    <row r="421" spans="1:40" x14ac:dyDescent="0.45">
      <c r="A421" s="3" t="s">
        <v>473</v>
      </c>
      <c r="B421" s="5">
        <v>45618</v>
      </c>
      <c r="C421" s="9" t="str">
        <f t="shared" si="135"/>
        <v>Nov-2024</v>
      </c>
      <c r="D421" s="5" t="str">
        <f t="shared" si="136"/>
        <v>2024-Q4</v>
      </c>
      <c r="E421" s="5">
        <v>45641</v>
      </c>
      <c r="F421" s="9">
        <f t="shared" si="148"/>
        <v>23</v>
      </c>
      <c r="G421" s="9" t="str">
        <f t="shared" si="149"/>
        <v>NOT ACHIEVED</v>
      </c>
      <c r="H421" s="3" t="s">
        <v>640</v>
      </c>
      <c r="I421" s="3" t="s">
        <v>644</v>
      </c>
      <c r="J421" s="3" t="s">
        <v>669</v>
      </c>
      <c r="K421" s="13" t="str">
        <f t="shared" si="150"/>
        <v>Africa &gt; Kenya &gt; Mombasa</v>
      </c>
      <c r="L421" s="3" t="s">
        <v>697</v>
      </c>
      <c r="M421" s="3" t="s">
        <v>704</v>
      </c>
      <c r="N421" s="13" t="str">
        <f t="shared" si="137"/>
        <v>Distributor</v>
      </c>
      <c r="O421" s="3" t="s">
        <v>706</v>
      </c>
      <c r="P421" s="3" t="s">
        <v>721</v>
      </c>
      <c r="Q421" s="13" t="str">
        <f t="shared" si="138"/>
        <v>High</v>
      </c>
      <c r="R421" s="3" t="s">
        <v>1191</v>
      </c>
      <c r="S421" s="7">
        <v>1335.76</v>
      </c>
      <c r="T421" s="7">
        <f t="shared" si="151"/>
        <v>1536.1239999999998</v>
      </c>
      <c r="U421" s="7">
        <v>2665.91</v>
      </c>
      <c r="V421" s="7">
        <f t="shared" si="139"/>
        <v>2665.91</v>
      </c>
      <c r="W421" s="7">
        <f t="shared" si="152"/>
        <v>3065.7964999999995</v>
      </c>
      <c r="X421" s="16">
        <v>0.21099999999999999</v>
      </c>
      <c r="Y421" t="str">
        <f t="shared" si="140"/>
        <v>OK</v>
      </c>
      <c r="Z421" s="16">
        <f t="shared" si="141"/>
        <v>0.21099999999999999</v>
      </c>
      <c r="AA421" s="16">
        <f t="shared" si="153"/>
        <v>0.21099999999999999</v>
      </c>
      <c r="AB421" s="9">
        <v>40</v>
      </c>
      <c r="AC421" s="9">
        <f t="shared" si="154"/>
        <v>48</v>
      </c>
      <c r="AD421" s="9">
        <f t="shared" si="142"/>
        <v>84136.119600000005</v>
      </c>
      <c r="AE421" s="9">
        <f t="shared" si="155"/>
        <v>178208.61895199996</v>
      </c>
      <c r="AF421" s="9">
        <f t="shared" si="143"/>
        <v>53430.400000000001</v>
      </c>
      <c r="AG421" s="9">
        <f t="shared" si="144"/>
        <v>30705.719600000004</v>
      </c>
      <c r="AH421" s="9">
        <f t="shared" si="156"/>
        <v>124778.21895199997</v>
      </c>
      <c r="AI421">
        <f t="shared" si="145"/>
        <v>0.36495288522909253</v>
      </c>
      <c r="AJ421" s="5">
        <f t="shared" si="146"/>
        <v>44928</v>
      </c>
      <c r="AK421" t="str">
        <f t="shared" si="147"/>
        <v>Jan-2023</v>
      </c>
      <c r="AL421">
        <v>0</v>
      </c>
      <c r="AM421">
        <v>0</v>
      </c>
      <c r="AN421">
        <v>0</v>
      </c>
    </row>
    <row r="422" spans="1:40" x14ac:dyDescent="0.45">
      <c r="A422" s="3" t="s">
        <v>478</v>
      </c>
      <c r="B422" s="5">
        <v>45060</v>
      </c>
      <c r="C422" s="9" t="str">
        <f t="shared" si="135"/>
        <v>May-2023</v>
      </c>
      <c r="D422" s="5" t="str">
        <f t="shared" si="136"/>
        <v>2023-Q2</v>
      </c>
      <c r="E422" s="5">
        <v>45068</v>
      </c>
      <c r="F422" s="9">
        <f t="shared" si="148"/>
        <v>8</v>
      </c>
      <c r="G422" s="9" t="str">
        <f t="shared" si="149"/>
        <v>NOT ACHIEVED</v>
      </c>
      <c r="H422" s="3" t="s">
        <v>640</v>
      </c>
      <c r="I422" s="3" t="s">
        <v>644</v>
      </c>
      <c r="J422" s="3" t="s">
        <v>669</v>
      </c>
      <c r="K422" s="13" t="str">
        <f t="shared" si="150"/>
        <v>Africa &gt; Kenya &gt; Mombasa</v>
      </c>
      <c r="L422" s="3" t="s">
        <v>699</v>
      </c>
      <c r="M422" s="3" t="s">
        <v>704</v>
      </c>
      <c r="N422" s="13" t="str">
        <f t="shared" si="137"/>
        <v>Distributor</v>
      </c>
      <c r="O422" s="3" t="s">
        <v>715</v>
      </c>
      <c r="P422" s="3" t="s">
        <v>722</v>
      </c>
      <c r="Q422" s="13" t="str">
        <f t="shared" si="138"/>
        <v>Medium</v>
      </c>
      <c r="R422" s="3" t="s">
        <v>1196</v>
      </c>
      <c r="S422" s="7">
        <v>432.01</v>
      </c>
      <c r="T422" s="7">
        <f t="shared" si="151"/>
        <v>496.81149999999997</v>
      </c>
      <c r="U422" s="7">
        <v>913.78</v>
      </c>
      <c r="V422" s="7">
        <f t="shared" si="139"/>
        <v>913.78</v>
      </c>
      <c r="W422" s="7">
        <f t="shared" si="152"/>
        <v>1050.847</v>
      </c>
      <c r="X422" s="16">
        <v>4.9000000000000002E-2</v>
      </c>
      <c r="Y422" t="str">
        <f t="shared" si="140"/>
        <v>OK</v>
      </c>
      <c r="Z422" s="16">
        <f t="shared" si="141"/>
        <v>4.9000000000000002E-2</v>
      </c>
      <c r="AA422" s="16">
        <f t="shared" si="153"/>
        <v>4.9000000000000002E-2</v>
      </c>
      <c r="AB422" s="9">
        <v>12</v>
      </c>
      <c r="AC422" s="9">
        <f t="shared" si="154"/>
        <v>14.399999999999999</v>
      </c>
      <c r="AD422" s="9">
        <f t="shared" si="142"/>
        <v>10428.057360000001</v>
      </c>
      <c r="AE422" s="9">
        <f t="shared" si="155"/>
        <v>15873.674443199996</v>
      </c>
      <c r="AF422" s="9">
        <f t="shared" si="143"/>
        <v>5184.12</v>
      </c>
      <c r="AG422" s="9">
        <f t="shared" si="144"/>
        <v>5243.9373600000008</v>
      </c>
      <c r="AH422" s="9">
        <f t="shared" si="156"/>
        <v>10689.554443199995</v>
      </c>
      <c r="AI422">
        <f t="shared" si="145"/>
        <v>0.50286809699711899</v>
      </c>
      <c r="AJ422" s="5">
        <f t="shared" si="146"/>
        <v>44928</v>
      </c>
      <c r="AK422" t="str">
        <f t="shared" si="147"/>
        <v>Jan-2023</v>
      </c>
      <c r="AL422">
        <v>0</v>
      </c>
      <c r="AM422">
        <v>0</v>
      </c>
      <c r="AN422">
        <v>0</v>
      </c>
    </row>
    <row r="423" spans="1:40" x14ac:dyDescent="0.45">
      <c r="A423" s="3" t="s">
        <v>481</v>
      </c>
      <c r="B423" s="5">
        <v>45328</v>
      </c>
      <c r="C423" s="9" t="str">
        <f t="shared" si="135"/>
        <v>Feb-2024</v>
      </c>
      <c r="D423" s="5" t="str">
        <f t="shared" si="136"/>
        <v>2024-Q1</v>
      </c>
      <c r="E423" s="5">
        <v>45350</v>
      </c>
      <c r="F423" s="9">
        <f t="shared" si="148"/>
        <v>22</v>
      </c>
      <c r="G423" s="9" t="str">
        <f t="shared" si="149"/>
        <v>NOT ACHIEVED</v>
      </c>
      <c r="H423" s="3" t="s">
        <v>640</v>
      </c>
      <c r="I423" s="3" t="s">
        <v>644</v>
      </c>
      <c r="J423" s="3" t="s">
        <v>656</v>
      </c>
      <c r="K423" s="13" t="str">
        <f t="shared" si="150"/>
        <v>Africa &gt; Kenya &gt; Kisumu</v>
      </c>
      <c r="L423" s="3" t="s">
        <v>697</v>
      </c>
      <c r="M423" s="3" t="s">
        <v>702</v>
      </c>
      <c r="N423" s="13" t="str">
        <f t="shared" si="137"/>
        <v>Online</v>
      </c>
      <c r="O423" s="3" t="s">
        <v>717</v>
      </c>
      <c r="P423" s="3" t="s">
        <v>726</v>
      </c>
      <c r="Q423" s="13" t="str">
        <f t="shared" si="138"/>
        <v>Medium</v>
      </c>
      <c r="R423" s="3" t="s">
        <v>1199</v>
      </c>
      <c r="S423" s="7">
        <v>834.93</v>
      </c>
      <c r="T423" s="7">
        <f t="shared" si="151"/>
        <v>960.16949999999986</v>
      </c>
      <c r="U423" s="7">
        <v>1588.53</v>
      </c>
      <c r="V423" s="7">
        <f t="shared" si="139"/>
        <v>1588.53</v>
      </c>
      <c r="W423" s="7">
        <f t="shared" si="152"/>
        <v>1826.8094999999998</v>
      </c>
      <c r="X423" s="16">
        <v>0.126</v>
      </c>
      <c r="Y423" t="str">
        <f t="shared" si="140"/>
        <v>OK</v>
      </c>
      <c r="Z423" s="16">
        <f t="shared" si="141"/>
        <v>0.126</v>
      </c>
      <c r="AA423" s="16">
        <f t="shared" si="153"/>
        <v>0.126</v>
      </c>
      <c r="AB423" s="9">
        <v>6</v>
      </c>
      <c r="AC423" s="9">
        <f t="shared" si="154"/>
        <v>7.1999999999999993</v>
      </c>
      <c r="AD423" s="9">
        <f t="shared" si="142"/>
        <v>8330.2513199999994</v>
      </c>
      <c r="AE423" s="9">
        <f t="shared" si="155"/>
        <v>14810.309978399995</v>
      </c>
      <c r="AF423" s="9">
        <f t="shared" si="143"/>
        <v>5009.58</v>
      </c>
      <c r="AG423" s="9">
        <f t="shared" si="144"/>
        <v>3320.6713199999995</v>
      </c>
      <c r="AH423" s="9">
        <f t="shared" si="156"/>
        <v>9800.7299783999952</v>
      </c>
      <c r="AI423">
        <f t="shared" si="145"/>
        <v>0.39862798761274343</v>
      </c>
      <c r="AJ423" s="5">
        <f t="shared" si="146"/>
        <v>44928</v>
      </c>
      <c r="AK423" t="str">
        <f t="shared" si="147"/>
        <v>Jan-2023</v>
      </c>
      <c r="AL423">
        <v>0</v>
      </c>
      <c r="AM423">
        <v>0</v>
      </c>
      <c r="AN423">
        <v>0</v>
      </c>
    </row>
    <row r="424" spans="1:40" x14ac:dyDescent="0.45">
      <c r="A424" s="3" t="s">
        <v>531</v>
      </c>
      <c r="B424" s="5">
        <v>45406</v>
      </c>
      <c r="C424" s="9" t="str">
        <f t="shared" si="135"/>
        <v>Apr-2024</v>
      </c>
      <c r="D424" s="5" t="str">
        <f t="shared" si="136"/>
        <v>2024-Q2</v>
      </c>
      <c r="E424" s="5">
        <v>45422</v>
      </c>
      <c r="F424" s="9">
        <f t="shared" si="148"/>
        <v>16</v>
      </c>
      <c r="G424" s="9" t="str">
        <f t="shared" si="149"/>
        <v>NOT ACHIEVED</v>
      </c>
      <c r="H424" s="3" t="s">
        <v>640</v>
      </c>
      <c r="I424" s="3" t="s">
        <v>644</v>
      </c>
      <c r="J424" s="3" t="s">
        <v>656</v>
      </c>
      <c r="K424" s="13" t="str">
        <f t="shared" si="150"/>
        <v>Africa &gt; Kenya &gt; Kisumu</v>
      </c>
      <c r="L424" s="3" t="s">
        <v>697</v>
      </c>
      <c r="M424" s="3" t="s">
        <v>702</v>
      </c>
      <c r="N424" s="13" t="str">
        <f t="shared" si="137"/>
        <v>Online</v>
      </c>
      <c r="O424" s="3" t="s">
        <v>719</v>
      </c>
      <c r="P424" s="3" t="s">
        <v>726</v>
      </c>
      <c r="Q424" s="13" t="str">
        <f t="shared" si="138"/>
        <v>Medium</v>
      </c>
      <c r="R424" s="3" t="s">
        <v>1249</v>
      </c>
      <c r="S424" s="7">
        <v>513.30999999999995</v>
      </c>
      <c r="T424" s="7">
        <f t="shared" si="151"/>
        <v>590.30649999999991</v>
      </c>
      <c r="U424" s="7">
        <v>1186.26</v>
      </c>
      <c r="V424" s="7">
        <f t="shared" si="139"/>
        <v>1186.26</v>
      </c>
      <c r="W424" s="7">
        <f t="shared" si="152"/>
        <v>1364.1989999999998</v>
      </c>
      <c r="X424" s="16">
        <v>9.4E-2</v>
      </c>
      <c r="Y424" t="str">
        <f t="shared" si="140"/>
        <v>OK</v>
      </c>
      <c r="Z424" s="16">
        <f t="shared" si="141"/>
        <v>9.4E-2</v>
      </c>
      <c r="AA424" s="16">
        <f t="shared" si="153"/>
        <v>9.4E-2</v>
      </c>
      <c r="AB424" s="9">
        <v>15</v>
      </c>
      <c r="AC424" s="9">
        <f t="shared" si="154"/>
        <v>18</v>
      </c>
      <c r="AD424" s="9">
        <f t="shared" si="142"/>
        <v>16121.273400000002</v>
      </c>
      <c r="AE424" s="9">
        <f t="shared" si="155"/>
        <v>26863.806708</v>
      </c>
      <c r="AF424" s="9">
        <f t="shared" si="143"/>
        <v>7699.65</v>
      </c>
      <c r="AG424" s="9">
        <f t="shared" si="144"/>
        <v>8421.6234000000022</v>
      </c>
      <c r="AH424" s="9">
        <f t="shared" si="156"/>
        <v>19164.156708000002</v>
      </c>
      <c r="AI424">
        <f t="shared" si="145"/>
        <v>0.52239194702820446</v>
      </c>
      <c r="AJ424" s="5">
        <f t="shared" si="146"/>
        <v>44928</v>
      </c>
      <c r="AK424" t="str">
        <f t="shared" si="147"/>
        <v>Jan-2023</v>
      </c>
      <c r="AL424">
        <v>0</v>
      </c>
      <c r="AM424">
        <v>0</v>
      </c>
      <c r="AN424">
        <v>0</v>
      </c>
    </row>
    <row r="425" spans="1:40" x14ac:dyDescent="0.45">
      <c r="A425" s="3" t="s">
        <v>533</v>
      </c>
      <c r="B425" s="5">
        <v>45398</v>
      </c>
      <c r="C425" s="9" t="str">
        <f t="shared" si="135"/>
        <v>Apr-2024</v>
      </c>
      <c r="D425" s="5" t="str">
        <f t="shared" si="136"/>
        <v>2024-Q2</v>
      </c>
      <c r="E425" s="5">
        <v>45409</v>
      </c>
      <c r="F425" s="9">
        <f t="shared" si="148"/>
        <v>11</v>
      </c>
      <c r="G425" s="9" t="str">
        <f t="shared" si="149"/>
        <v>NOT ACHIEVED</v>
      </c>
      <c r="H425" s="3" t="s">
        <v>640</v>
      </c>
      <c r="I425" s="3" t="s">
        <v>644</v>
      </c>
      <c r="J425" s="3" t="s">
        <v>672</v>
      </c>
      <c r="K425" s="13" t="str">
        <f t="shared" si="150"/>
        <v>Africa &gt; Kenya &gt; Nakuru</v>
      </c>
      <c r="L425" s="3" t="s">
        <v>700</v>
      </c>
      <c r="M425" s="3" t="s">
        <v>702</v>
      </c>
      <c r="N425" s="13" t="str">
        <f t="shared" si="137"/>
        <v>Online</v>
      </c>
      <c r="O425" s="3" t="s">
        <v>720</v>
      </c>
      <c r="P425" s="3" t="s">
        <v>722</v>
      </c>
      <c r="Q425" s="13" t="str">
        <f t="shared" si="138"/>
        <v>Medium</v>
      </c>
      <c r="R425" s="3" t="s">
        <v>1251</v>
      </c>
      <c r="S425" s="7">
        <v>401.3</v>
      </c>
      <c r="T425" s="7">
        <f t="shared" si="151"/>
        <v>461.495</v>
      </c>
      <c r="U425" s="7">
        <v>826.47</v>
      </c>
      <c r="V425" s="7">
        <f t="shared" si="139"/>
        <v>826.47</v>
      </c>
      <c r="W425" s="7">
        <f t="shared" si="152"/>
        <v>950.44049999999993</v>
      </c>
      <c r="X425" s="16">
        <v>0.22500000000000001</v>
      </c>
      <c r="Y425" t="str">
        <f t="shared" si="140"/>
        <v>OK</v>
      </c>
      <c r="Z425" s="16">
        <f t="shared" si="141"/>
        <v>0.22500000000000001</v>
      </c>
      <c r="AA425" s="16">
        <f t="shared" si="153"/>
        <v>0.22500000000000001</v>
      </c>
      <c r="AB425" s="9">
        <v>13</v>
      </c>
      <c r="AC425" s="9">
        <f t="shared" si="154"/>
        <v>15.6</v>
      </c>
      <c r="AD425" s="9">
        <f t="shared" si="142"/>
        <v>8326.6852500000005</v>
      </c>
      <c r="AE425" s="9">
        <f t="shared" si="155"/>
        <v>18162.917955000001</v>
      </c>
      <c r="AF425" s="9">
        <f t="shared" si="143"/>
        <v>5216.9000000000005</v>
      </c>
      <c r="AG425" s="9">
        <f t="shared" si="144"/>
        <v>3109.7852499999999</v>
      </c>
      <c r="AH425" s="9">
        <f t="shared" si="156"/>
        <v>12946.017954999999</v>
      </c>
      <c r="AI425">
        <f t="shared" si="145"/>
        <v>0.37347217489696755</v>
      </c>
      <c r="AJ425" s="5">
        <f t="shared" si="146"/>
        <v>44928</v>
      </c>
      <c r="AK425" t="str">
        <f t="shared" si="147"/>
        <v>Jan-2023</v>
      </c>
      <c r="AL425">
        <v>0</v>
      </c>
      <c r="AM425">
        <v>0</v>
      </c>
      <c r="AN425">
        <v>0</v>
      </c>
    </row>
    <row r="426" spans="1:40" x14ac:dyDescent="0.45">
      <c r="A426" s="3" t="s">
        <v>536</v>
      </c>
      <c r="B426" s="5">
        <v>45448</v>
      </c>
      <c r="C426" s="9" t="str">
        <f t="shared" si="135"/>
        <v>Jun-2024</v>
      </c>
      <c r="D426" s="5" t="str">
        <f t="shared" si="136"/>
        <v>2024-Q2</v>
      </c>
      <c r="E426" s="5">
        <v>45466</v>
      </c>
      <c r="F426" s="9">
        <f t="shared" si="148"/>
        <v>18</v>
      </c>
      <c r="G426" s="9" t="str">
        <f t="shared" si="149"/>
        <v>NOT ACHIEVED</v>
      </c>
      <c r="H426" s="3" t="s">
        <v>640</v>
      </c>
      <c r="I426" s="3" t="s">
        <v>644</v>
      </c>
      <c r="J426" s="3" t="s">
        <v>658</v>
      </c>
      <c r="K426" s="13" t="str">
        <f t="shared" si="150"/>
        <v>Africa &gt; Kenya &gt; Nairobi</v>
      </c>
      <c r="L426" s="3" t="s">
        <v>698</v>
      </c>
      <c r="M426" s="3" t="s">
        <v>704</v>
      </c>
      <c r="N426" s="13" t="str">
        <f t="shared" si="137"/>
        <v>Distributor</v>
      </c>
      <c r="O426" s="3" t="s">
        <v>720</v>
      </c>
      <c r="P426" s="3" t="s">
        <v>725</v>
      </c>
      <c r="Q426" s="13" t="str">
        <f t="shared" si="138"/>
        <v>Medium</v>
      </c>
      <c r="R426" s="3" t="s">
        <v>1254</v>
      </c>
      <c r="S426" s="7">
        <v>1208.74</v>
      </c>
      <c r="T426" s="7">
        <f t="shared" si="151"/>
        <v>1390.0509999999999</v>
      </c>
      <c r="U426" s="7">
        <v>1594.78</v>
      </c>
      <c r="V426" s="7">
        <f t="shared" si="139"/>
        <v>1594.78</v>
      </c>
      <c r="W426" s="7">
        <f t="shared" si="152"/>
        <v>1833.9969999999998</v>
      </c>
      <c r="X426" s="16">
        <v>5.8999999999999997E-2</v>
      </c>
      <c r="Y426" t="str">
        <f t="shared" si="140"/>
        <v>OK</v>
      </c>
      <c r="Z426" s="16">
        <f t="shared" si="141"/>
        <v>5.8999999999999997E-2</v>
      </c>
      <c r="AA426" s="16">
        <f t="shared" si="153"/>
        <v>5.8999999999999997E-2</v>
      </c>
      <c r="AB426" s="9">
        <v>39</v>
      </c>
      <c r="AC426" s="9">
        <f t="shared" si="154"/>
        <v>46.8</v>
      </c>
      <c r="AD426" s="9">
        <f t="shared" si="142"/>
        <v>58526.83122</v>
      </c>
      <c r="AE426" s="9">
        <f t="shared" si="155"/>
        <v>90895.092116399988</v>
      </c>
      <c r="AF426" s="9">
        <f t="shared" si="143"/>
        <v>47140.86</v>
      </c>
      <c r="AG426" s="9">
        <f t="shared" si="144"/>
        <v>11385.971219999999</v>
      </c>
      <c r="AH426" s="9">
        <f t="shared" si="156"/>
        <v>43754.232116399988</v>
      </c>
      <c r="AI426">
        <f t="shared" si="145"/>
        <v>0.1945427589817838</v>
      </c>
      <c r="AJ426" s="5">
        <f t="shared" si="146"/>
        <v>44928</v>
      </c>
      <c r="AK426" t="str">
        <f t="shared" si="147"/>
        <v>Jan-2023</v>
      </c>
      <c r="AL426">
        <v>0</v>
      </c>
      <c r="AM426">
        <v>0</v>
      </c>
      <c r="AN426">
        <v>0</v>
      </c>
    </row>
    <row r="427" spans="1:40" x14ac:dyDescent="0.45">
      <c r="A427" s="3" t="s">
        <v>549</v>
      </c>
      <c r="B427" s="5">
        <v>45115</v>
      </c>
      <c r="C427" s="9" t="str">
        <f t="shared" si="135"/>
        <v>Jul-2023</v>
      </c>
      <c r="D427" s="5" t="str">
        <f t="shared" si="136"/>
        <v>2023-Q3</v>
      </c>
      <c r="E427" s="5">
        <v>45116</v>
      </c>
      <c r="F427" s="9">
        <f t="shared" si="148"/>
        <v>1</v>
      </c>
      <c r="G427" s="9" t="str">
        <f t="shared" si="149"/>
        <v>ACHIEVED</v>
      </c>
      <c r="H427" s="3" t="s">
        <v>640</v>
      </c>
      <c r="I427" s="3" t="s">
        <v>644</v>
      </c>
      <c r="J427" s="3" t="s">
        <v>658</v>
      </c>
      <c r="K427" s="13" t="str">
        <f t="shared" si="150"/>
        <v>Africa &gt; Kenya &gt; Nairobi</v>
      </c>
      <c r="L427" s="3" t="s">
        <v>698</v>
      </c>
      <c r="M427" s="3" t="s">
        <v>702</v>
      </c>
      <c r="N427" s="13" t="str">
        <f t="shared" si="137"/>
        <v>Online</v>
      </c>
      <c r="O427" s="3" t="s">
        <v>720</v>
      </c>
      <c r="P427" s="3" t="s">
        <v>725</v>
      </c>
      <c r="Q427" s="13" t="str">
        <f t="shared" si="138"/>
        <v>High</v>
      </c>
      <c r="R427" s="3" t="s">
        <v>1266</v>
      </c>
      <c r="S427" s="7">
        <v>1258.72</v>
      </c>
      <c r="T427" s="7">
        <f t="shared" si="151"/>
        <v>1447.528</v>
      </c>
      <c r="U427" s="7">
        <v>2797.41</v>
      </c>
      <c r="V427" s="7">
        <f t="shared" si="139"/>
        <v>2797.41</v>
      </c>
      <c r="W427" s="7">
        <f t="shared" si="152"/>
        <v>3217.0214999999994</v>
      </c>
      <c r="X427" s="16">
        <v>0</v>
      </c>
      <c r="Y427" t="str">
        <f t="shared" si="140"/>
        <v>OK</v>
      </c>
      <c r="Z427" s="16">
        <f t="shared" si="141"/>
        <v>0</v>
      </c>
      <c r="AA427" s="16">
        <f t="shared" si="153"/>
        <v>0</v>
      </c>
      <c r="AB427" s="9">
        <v>7</v>
      </c>
      <c r="AC427" s="9">
        <f t="shared" si="154"/>
        <v>8.4</v>
      </c>
      <c r="AD427" s="9">
        <f t="shared" si="142"/>
        <v>19581.87</v>
      </c>
      <c r="AE427" s="9">
        <f t="shared" si="155"/>
        <v>27022.980599999995</v>
      </c>
      <c r="AF427" s="9">
        <f t="shared" si="143"/>
        <v>8811.0400000000009</v>
      </c>
      <c r="AG427" s="9">
        <f t="shared" si="144"/>
        <v>10770.829999999998</v>
      </c>
      <c r="AH427" s="9">
        <f t="shared" si="156"/>
        <v>18211.940599999994</v>
      </c>
      <c r="AI427">
        <f t="shared" si="145"/>
        <v>0.55004093071805704</v>
      </c>
      <c r="AJ427" s="5">
        <f t="shared" si="146"/>
        <v>44928</v>
      </c>
      <c r="AK427" t="str">
        <f t="shared" si="147"/>
        <v>Jan-2023</v>
      </c>
      <c r="AL427">
        <v>0</v>
      </c>
      <c r="AM427">
        <v>0</v>
      </c>
      <c r="AN427">
        <v>0</v>
      </c>
    </row>
    <row r="428" spans="1:40" x14ac:dyDescent="0.45">
      <c r="A428" s="3" t="s">
        <v>562</v>
      </c>
      <c r="B428" s="5">
        <v>45703</v>
      </c>
      <c r="C428" s="9" t="str">
        <f t="shared" si="135"/>
        <v>Feb-2025</v>
      </c>
      <c r="D428" s="5" t="str">
        <f t="shared" si="136"/>
        <v>2025-Q1</v>
      </c>
      <c r="E428" s="5">
        <v>45717</v>
      </c>
      <c r="F428" s="9">
        <f t="shared" si="148"/>
        <v>14</v>
      </c>
      <c r="G428" s="9" t="str">
        <f t="shared" si="149"/>
        <v>NOT ACHIEVED</v>
      </c>
      <c r="H428" s="3" t="s">
        <v>640</v>
      </c>
      <c r="I428" s="3" t="s">
        <v>644</v>
      </c>
      <c r="J428" s="3" t="s">
        <v>669</v>
      </c>
      <c r="K428" s="13" t="str">
        <f t="shared" si="150"/>
        <v>Africa &gt; Kenya &gt; Mombasa</v>
      </c>
      <c r="L428" s="3" t="s">
        <v>696</v>
      </c>
      <c r="M428" s="3" t="s">
        <v>705</v>
      </c>
      <c r="N428" s="13" t="str">
        <f t="shared" si="137"/>
        <v>Direct</v>
      </c>
      <c r="O428" s="3" t="s">
        <v>710</v>
      </c>
      <c r="P428" s="3" t="s">
        <v>727</v>
      </c>
      <c r="Q428" s="13" t="str">
        <f t="shared" si="138"/>
        <v>Medium</v>
      </c>
      <c r="R428" s="3" t="s">
        <v>1279</v>
      </c>
      <c r="S428" s="7">
        <v>1162.8599999999999</v>
      </c>
      <c r="T428" s="7">
        <f t="shared" si="151"/>
        <v>1337.2889999999998</v>
      </c>
      <c r="U428" s="7">
        <v>1447.68</v>
      </c>
      <c r="V428" s="7">
        <f t="shared" si="139"/>
        <v>1447.68</v>
      </c>
      <c r="W428" s="7">
        <f t="shared" si="152"/>
        <v>1664.8319999999999</v>
      </c>
      <c r="X428" s="16">
        <v>8.6999999999999994E-2</v>
      </c>
      <c r="Y428" t="str">
        <f t="shared" si="140"/>
        <v>OK</v>
      </c>
      <c r="Z428" s="16">
        <f t="shared" si="141"/>
        <v>8.6999999999999994E-2</v>
      </c>
      <c r="AA428" s="16">
        <f t="shared" si="153"/>
        <v>8.6999999999999994E-2</v>
      </c>
      <c r="AB428" s="9">
        <v>12</v>
      </c>
      <c r="AC428" s="9">
        <f t="shared" si="154"/>
        <v>14.399999999999999</v>
      </c>
      <c r="AD428" s="9">
        <f t="shared" si="142"/>
        <v>15860.782080000001</v>
      </c>
      <c r="AE428" s="9">
        <f t="shared" si="155"/>
        <v>26059.282329599995</v>
      </c>
      <c r="AF428" s="9">
        <f t="shared" si="143"/>
        <v>13954.32</v>
      </c>
      <c r="AG428" s="9">
        <f t="shared" si="144"/>
        <v>1906.4620800000012</v>
      </c>
      <c r="AH428" s="9">
        <f t="shared" si="156"/>
        <v>12104.962329599995</v>
      </c>
      <c r="AI428">
        <f t="shared" si="145"/>
        <v>0.12019975247021369</v>
      </c>
      <c r="AJ428" s="5">
        <f t="shared" si="146"/>
        <v>44928</v>
      </c>
      <c r="AK428" t="str">
        <f t="shared" si="147"/>
        <v>Jan-2023</v>
      </c>
      <c r="AL428">
        <v>0</v>
      </c>
      <c r="AM428">
        <v>0</v>
      </c>
      <c r="AN428">
        <v>0</v>
      </c>
    </row>
    <row r="429" spans="1:40" x14ac:dyDescent="0.45">
      <c r="A429" s="3" t="s">
        <v>567</v>
      </c>
      <c r="B429" s="5">
        <v>45430</v>
      </c>
      <c r="C429" s="9" t="str">
        <f t="shared" si="135"/>
        <v>May-2024</v>
      </c>
      <c r="D429" s="5" t="str">
        <f t="shared" si="136"/>
        <v>2024-Q2</v>
      </c>
      <c r="E429" s="5">
        <v>45434</v>
      </c>
      <c r="F429" s="9">
        <f t="shared" si="148"/>
        <v>4</v>
      </c>
      <c r="G429" s="9" t="str">
        <f t="shared" si="149"/>
        <v>ACHIEVED</v>
      </c>
      <c r="H429" s="3" t="s">
        <v>640</v>
      </c>
      <c r="I429" s="3" t="s">
        <v>644</v>
      </c>
      <c r="J429" s="3" t="s">
        <v>658</v>
      </c>
      <c r="K429" s="13" t="str">
        <f t="shared" si="150"/>
        <v>Africa &gt; Kenya &gt; Nairobi</v>
      </c>
      <c r="L429" s="3" t="s">
        <v>695</v>
      </c>
      <c r="M429" s="3" t="s">
        <v>705</v>
      </c>
      <c r="N429" s="13" t="str">
        <f t="shared" si="137"/>
        <v>Direct</v>
      </c>
      <c r="O429" s="3" t="s">
        <v>716</v>
      </c>
      <c r="P429" s="3" t="s">
        <v>727</v>
      </c>
      <c r="Q429" s="13" t="str">
        <f t="shared" si="138"/>
        <v>High</v>
      </c>
      <c r="R429" s="3" t="s">
        <v>1284</v>
      </c>
      <c r="S429" s="7">
        <v>857.42</v>
      </c>
      <c r="T429" s="7">
        <f t="shared" si="151"/>
        <v>986.0329999999999</v>
      </c>
      <c r="U429" s="7">
        <v>1658.92</v>
      </c>
      <c r="V429" s="7">
        <f t="shared" si="139"/>
        <v>1658.92</v>
      </c>
      <c r="W429" s="7">
        <f t="shared" si="152"/>
        <v>1907.758</v>
      </c>
      <c r="X429" s="16">
        <v>0.122</v>
      </c>
      <c r="Y429" t="str">
        <f t="shared" si="140"/>
        <v>OK</v>
      </c>
      <c r="Z429" s="16">
        <f t="shared" si="141"/>
        <v>0.122</v>
      </c>
      <c r="AA429" s="16">
        <f t="shared" si="153"/>
        <v>0.122</v>
      </c>
      <c r="AB429" s="9">
        <v>9</v>
      </c>
      <c r="AC429" s="9">
        <f t="shared" si="154"/>
        <v>10.799999999999999</v>
      </c>
      <c r="AD429" s="9">
        <f t="shared" si="142"/>
        <v>13108.78584</v>
      </c>
      <c r="AE429" s="9">
        <f t="shared" si="155"/>
        <v>23117.448340799994</v>
      </c>
      <c r="AF429" s="9">
        <f t="shared" si="143"/>
        <v>7716.78</v>
      </c>
      <c r="AG429" s="9">
        <f t="shared" si="144"/>
        <v>5392.0058400000007</v>
      </c>
      <c r="AH429" s="9">
        <f t="shared" si="156"/>
        <v>15400.668340799995</v>
      </c>
      <c r="AI429">
        <f t="shared" si="145"/>
        <v>0.41132763215544305</v>
      </c>
      <c r="AJ429" s="5">
        <f t="shared" si="146"/>
        <v>44928</v>
      </c>
      <c r="AK429" t="str">
        <f t="shared" si="147"/>
        <v>Jan-2023</v>
      </c>
      <c r="AL429">
        <v>0</v>
      </c>
      <c r="AM429">
        <v>0</v>
      </c>
      <c r="AN429">
        <v>0</v>
      </c>
    </row>
    <row r="430" spans="1:40" x14ac:dyDescent="0.45">
      <c r="A430" s="3" t="s">
        <v>570</v>
      </c>
      <c r="B430" s="5">
        <v>45626</v>
      </c>
      <c r="C430" s="9" t="str">
        <f t="shared" si="135"/>
        <v>Nov-2024</v>
      </c>
      <c r="D430" s="5" t="str">
        <f t="shared" si="136"/>
        <v>2024-Q4</v>
      </c>
      <c r="E430" s="5">
        <v>45645</v>
      </c>
      <c r="F430" s="9">
        <f t="shared" si="148"/>
        <v>19</v>
      </c>
      <c r="G430" s="9" t="str">
        <f t="shared" si="149"/>
        <v>NOT ACHIEVED</v>
      </c>
      <c r="H430" s="3" t="s">
        <v>640</v>
      </c>
      <c r="I430" s="3" t="s">
        <v>644</v>
      </c>
      <c r="J430" s="3" t="s">
        <v>656</v>
      </c>
      <c r="K430" s="13" t="str">
        <f t="shared" si="150"/>
        <v>Africa &gt; Kenya &gt; Kisumu</v>
      </c>
      <c r="L430" s="3" t="s">
        <v>695</v>
      </c>
      <c r="M430" s="3" t="s">
        <v>702</v>
      </c>
      <c r="N430" s="13" t="str">
        <f t="shared" si="137"/>
        <v>Online</v>
      </c>
      <c r="O430" s="3" t="s">
        <v>710</v>
      </c>
      <c r="P430" s="3" t="s">
        <v>724</v>
      </c>
      <c r="Q430" s="13" t="str">
        <f t="shared" si="138"/>
        <v>High</v>
      </c>
      <c r="R430" s="3" t="s">
        <v>1287</v>
      </c>
      <c r="S430" s="7">
        <v>1195.98</v>
      </c>
      <c r="T430" s="7">
        <f t="shared" si="151"/>
        <v>1375.377</v>
      </c>
      <c r="U430" s="7">
        <v>1841.9</v>
      </c>
      <c r="V430" s="7">
        <f t="shared" si="139"/>
        <v>1841.9</v>
      </c>
      <c r="W430" s="7">
        <f t="shared" si="152"/>
        <v>2118.1849999999999</v>
      </c>
      <c r="X430" s="16">
        <v>5.5E-2</v>
      </c>
      <c r="Y430" t="str">
        <f t="shared" si="140"/>
        <v>OK</v>
      </c>
      <c r="Z430" s="16">
        <f t="shared" si="141"/>
        <v>5.5E-2</v>
      </c>
      <c r="AA430" s="16">
        <f t="shared" si="153"/>
        <v>5.5E-2</v>
      </c>
      <c r="AB430" s="9">
        <v>19</v>
      </c>
      <c r="AC430" s="9">
        <f t="shared" si="154"/>
        <v>22.8</v>
      </c>
      <c r="AD430" s="9">
        <f t="shared" si="142"/>
        <v>33071.3145</v>
      </c>
      <c r="AE430" s="9">
        <f t="shared" si="155"/>
        <v>50950.821989999997</v>
      </c>
      <c r="AF430" s="9">
        <f t="shared" si="143"/>
        <v>22723.62</v>
      </c>
      <c r="AG430" s="9">
        <f t="shared" si="144"/>
        <v>10347.694500000001</v>
      </c>
      <c r="AH430" s="9">
        <f t="shared" si="156"/>
        <v>28227.201989999998</v>
      </c>
      <c r="AI430">
        <f t="shared" si="145"/>
        <v>0.31289032977506842</v>
      </c>
      <c r="AJ430" s="5">
        <f t="shared" si="146"/>
        <v>44928</v>
      </c>
      <c r="AK430" t="str">
        <f t="shared" si="147"/>
        <v>Jan-2023</v>
      </c>
      <c r="AL430">
        <v>0</v>
      </c>
      <c r="AM430">
        <v>0</v>
      </c>
      <c r="AN430">
        <v>0</v>
      </c>
    </row>
    <row r="431" spans="1:40" x14ac:dyDescent="0.45">
      <c r="A431" s="3" t="s">
        <v>574</v>
      </c>
      <c r="B431" s="5">
        <v>45330</v>
      </c>
      <c r="C431" s="9" t="str">
        <f t="shared" si="135"/>
        <v>Feb-2024</v>
      </c>
      <c r="D431" s="5" t="str">
        <f t="shared" si="136"/>
        <v>2024-Q1</v>
      </c>
      <c r="E431" s="5">
        <v>45331</v>
      </c>
      <c r="F431" s="9">
        <f t="shared" si="148"/>
        <v>1</v>
      </c>
      <c r="G431" s="9" t="str">
        <f t="shared" si="149"/>
        <v>ACHIEVED</v>
      </c>
      <c r="H431" s="3" t="s">
        <v>640</v>
      </c>
      <c r="I431" s="3" t="s">
        <v>644</v>
      </c>
      <c r="J431" s="3" t="s">
        <v>669</v>
      </c>
      <c r="K431" s="13" t="str">
        <f t="shared" si="150"/>
        <v>Africa &gt; Kenya &gt; Mombasa</v>
      </c>
      <c r="L431" s="3" t="s">
        <v>695</v>
      </c>
      <c r="M431" s="3" t="s">
        <v>705</v>
      </c>
      <c r="N431" s="13" t="str">
        <f t="shared" si="137"/>
        <v>Direct</v>
      </c>
      <c r="O431" s="3" t="s">
        <v>715</v>
      </c>
      <c r="P431" s="3" t="s">
        <v>721</v>
      </c>
      <c r="Q431" s="13" t="str">
        <f t="shared" si="138"/>
        <v>Medium</v>
      </c>
      <c r="R431" s="3" t="s">
        <v>1291</v>
      </c>
      <c r="S431" s="7">
        <v>1233.52</v>
      </c>
      <c r="T431" s="7">
        <f t="shared" si="151"/>
        <v>1418.5479999999998</v>
      </c>
      <c r="U431" s="7">
        <v>1543.76</v>
      </c>
      <c r="V431" s="7">
        <f t="shared" si="139"/>
        <v>1543.76</v>
      </c>
      <c r="W431" s="7">
        <f t="shared" si="152"/>
        <v>1775.3239999999998</v>
      </c>
      <c r="X431" s="16">
        <v>0.126</v>
      </c>
      <c r="Y431" t="str">
        <f t="shared" si="140"/>
        <v>OK</v>
      </c>
      <c r="Z431" s="16">
        <f t="shared" si="141"/>
        <v>0.126</v>
      </c>
      <c r="AA431" s="16">
        <f t="shared" si="153"/>
        <v>0.126</v>
      </c>
      <c r="AB431" s="9">
        <v>13</v>
      </c>
      <c r="AC431" s="9">
        <f t="shared" si="154"/>
        <v>15.6</v>
      </c>
      <c r="AD431" s="9">
        <f t="shared" si="142"/>
        <v>17540.201120000002</v>
      </c>
      <c r="AE431" s="9">
        <f t="shared" si="155"/>
        <v>31184.631254399996</v>
      </c>
      <c r="AF431" s="9">
        <f t="shared" si="143"/>
        <v>16035.76</v>
      </c>
      <c r="AG431" s="9">
        <f t="shared" si="144"/>
        <v>1504.4411200000013</v>
      </c>
      <c r="AH431" s="9">
        <f t="shared" si="156"/>
        <v>15148.871254399995</v>
      </c>
      <c r="AI431">
        <f t="shared" si="145"/>
        <v>8.5771030201277493E-2</v>
      </c>
      <c r="AJ431" s="5">
        <f t="shared" si="146"/>
        <v>44928</v>
      </c>
      <c r="AK431" t="str">
        <f t="shared" si="147"/>
        <v>Jan-2023</v>
      </c>
      <c r="AL431">
        <v>0</v>
      </c>
      <c r="AM431">
        <v>0</v>
      </c>
      <c r="AN431">
        <v>0</v>
      </c>
    </row>
    <row r="432" spans="1:40" x14ac:dyDescent="0.45">
      <c r="A432" s="3" t="s">
        <v>588</v>
      </c>
      <c r="B432" s="5">
        <v>45849</v>
      </c>
      <c r="C432" s="9" t="str">
        <f t="shared" si="135"/>
        <v>Jul-2025</v>
      </c>
      <c r="D432" s="5" t="str">
        <f t="shared" si="136"/>
        <v>2025-Q3</v>
      </c>
      <c r="E432" s="5">
        <v>45872</v>
      </c>
      <c r="F432" s="9">
        <f t="shared" si="148"/>
        <v>23</v>
      </c>
      <c r="G432" s="9" t="str">
        <f t="shared" si="149"/>
        <v>NOT ACHIEVED</v>
      </c>
      <c r="H432" s="3" t="s">
        <v>640</v>
      </c>
      <c r="I432" s="3" t="s">
        <v>644</v>
      </c>
      <c r="J432" s="3" t="s">
        <v>672</v>
      </c>
      <c r="K432" s="13" t="str">
        <f t="shared" si="150"/>
        <v>Africa &gt; Kenya &gt; Nakuru</v>
      </c>
      <c r="L432" s="3" t="s">
        <v>699</v>
      </c>
      <c r="M432" s="3" t="s">
        <v>701</v>
      </c>
      <c r="N432" s="13" t="str">
        <f t="shared" si="137"/>
        <v>Retail</v>
      </c>
      <c r="O432" s="3" t="s">
        <v>706</v>
      </c>
      <c r="P432" s="3" t="s">
        <v>724</v>
      </c>
      <c r="Q432" s="13" t="str">
        <f t="shared" si="138"/>
        <v>Low</v>
      </c>
      <c r="R432" s="3" t="s">
        <v>1305</v>
      </c>
      <c r="S432" s="7">
        <v>389.93</v>
      </c>
      <c r="T432" s="7">
        <f t="shared" si="151"/>
        <v>448.41949999999997</v>
      </c>
      <c r="U432" s="7">
        <v>486.13</v>
      </c>
      <c r="V432" s="7">
        <f t="shared" si="139"/>
        <v>486.13</v>
      </c>
      <c r="W432" s="7">
        <f t="shared" si="152"/>
        <v>559.04949999999997</v>
      </c>
      <c r="X432" s="16">
        <v>0.13200000000000001</v>
      </c>
      <c r="Y432" t="str">
        <f t="shared" si="140"/>
        <v>OK</v>
      </c>
      <c r="Z432" s="16">
        <f t="shared" si="141"/>
        <v>0.13200000000000001</v>
      </c>
      <c r="AA432" s="16">
        <f t="shared" si="153"/>
        <v>0.13200000000000001</v>
      </c>
      <c r="AB432" s="9">
        <v>17</v>
      </c>
      <c r="AC432" s="9">
        <f t="shared" si="154"/>
        <v>20.399999999999999</v>
      </c>
      <c r="AD432" s="9">
        <f t="shared" si="142"/>
        <v>7173.3342799999991</v>
      </c>
      <c r="AE432" s="9">
        <f t="shared" si="155"/>
        <v>12910.0182936</v>
      </c>
      <c r="AF432" s="9">
        <f t="shared" si="143"/>
        <v>6628.81</v>
      </c>
      <c r="AG432" s="9">
        <f t="shared" si="144"/>
        <v>544.52427999999873</v>
      </c>
      <c r="AH432" s="9">
        <f t="shared" si="156"/>
        <v>6281.2082935999997</v>
      </c>
      <c r="AI432">
        <f t="shared" si="145"/>
        <v>7.5909508569562828E-2</v>
      </c>
      <c r="AJ432" s="5">
        <f t="shared" si="146"/>
        <v>44928</v>
      </c>
      <c r="AK432" t="str">
        <f t="shared" si="147"/>
        <v>Jan-2023</v>
      </c>
      <c r="AL432">
        <v>0</v>
      </c>
      <c r="AM432">
        <v>0</v>
      </c>
      <c r="AN432">
        <v>0</v>
      </c>
    </row>
    <row r="433" spans="1:40" x14ac:dyDescent="0.45">
      <c r="A433" s="3" t="s">
        <v>592</v>
      </c>
      <c r="B433" s="5">
        <v>45507</v>
      </c>
      <c r="C433" s="9" t="str">
        <f t="shared" si="135"/>
        <v>Aug-2024</v>
      </c>
      <c r="D433" s="5" t="str">
        <f t="shared" si="136"/>
        <v>2024-Q3</v>
      </c>
      <c r="E433" s="5">
        <v>45513</v>
      </c>
      <c r="F433" s="9">
        <f t="shared" si="148"/>
        <v>6</v>
      </c>
      <c r="G433" s="9" t="str">
        <f t="shared" si="149"/>
        <v>ACHIEVED</v>
      </c>
      <c r="H433" s="3" t="s">
        <v>640</v>
      </c>
      <c r="I433" s="3" t="s">
        <v>644</v>
      </c>
      <c r="J433" s="3" t="s">
        <v>669</v>
      </c>
      <c r="K433" s="13" t="str">
        <f t="shared" si="150"/>
        <v>Africa &gt; Kenya &gt; Mombasa</v>
      </c>
      <c r="L433" s="3" t="s">
        <v>698</v>
      </c>
      <c r="M433" s="3" t="s">
        <v>703</v>
      </c>
      <c r="N433" s="13" t="str">
        <f t="shared" si="137"/>
        <v>Marketplace</v>
      </c>
      <c r="O433" s="3" t="s">
        <v>716</v>
      </c>
      <c r="P433" s="3" t="s">
        <v>725</v>
      </c>
      <c r="Q433" s="13" t="str">
        <f t="shared" si="138"/>
        <v>Medium</v>
      </c>
      <c r="R433" s="3" t="s">
        <v>1309</v>
      </c>
      <c r="S433" s="7">
        <v>643.21</v>
      </c>
      <c r="T433" s="7">
        <f t="shared" si="151"/>
        <v>739.69150000000002</v>
      </c>
      <c r="U433" s="7">
        <v>1112.81</v>
      </c>
      <c r="V433" s="7">
        <f t="shared" si="139"/>
        <v>1112.81</v>
      </c>
      <c r="W433" s="7">
        <f t="shared" si="152"/>
        <v>1279.7314999999999</v>
      </c>
      <c r="X433" s="16">
        <v>0.14099999999999999</v>
      </c>
      <c r="Y433" t="str">
        <f t="shared" si="140"/>
        <v>OK</v>
      </c>
      <c r="Z433" s="16">
        <f t="shared" si="141"/>
        <v>0.14099999999999999</v>
      </c>
      <c r="AA433" s="16">
        <f t="shared" si="153"/>
        <v>0.14099999999999999</v>
      </c>
      <c r="AB433" s="9">
        <v>4</v>
      </c>
      <c r="AC433" s="9">
        <f t="shared" si="154"/>
        <v>4.8</v>
      </c>
      <c r="AD433" s="9">
        <f t="shared" si="142"/>
        <v>3823.6151599999998</v>
      </c>
      <c r="AE433" s="9">
        <f t="shared" si="155"/>
        <v>7008.8334791999987</v>
      </c>
      <c r="AF433" s="9">
        <f t="shared" si="143"/>
        <v>2572.84</v>
      </c>
      <c r="AG433" s="9">
        <f t="shared" si="144"/>
        <v>1250.7751599999997</v>
      </c>
      <c r="AH433" s="9">
        <f t="shared" si="156"/>
        <v>4435.9934791999985</v>
      </c>
      <c r="AI433">
        <f t="shared" si="145"/>
        <v>0.32711847496702562</v>
      </c>
      <c r="AJ433" s="5">
        <f t="shared" si="146"/>
        <v>44928</v>
      </c>
      <c r="AK433" t="str">
        <f t="shared" si="147"/>
        <v>Jan-2023</v>
      </c>
      <c r="AL433">
        <v>0</v>
      </c>
      <c r="AM433">
        <v>0</v>
      </c>
      <c r="AN433">
        <v>0</v>
      </c>
    </row>
    <row r="434" spans="1:40" x14ac:dyDescent="0.45">
      <c r="A434" s="3" t="s">
        <v>603</v>
      </c>
      <c r="B434" s="5">
        <v>45473</v>
      </c>
      <c r="C434" s="9" t="str">
        <f t="shared" si="135"/>
        <v>Jun-2024</v>
      </c>
      <c r="D434" s="5" t="str">
        <f t="shared" si="136"/>
        <v>2024-Q2</v>
      </c>
      <c r="E434" s="5">
        <v>45494</v>
      </c>
      <c r="F434" s="9">
        <f t="shared" si="148"/>
        <v>21</v>
      </c>
      <c r="G434" s="9" t="str">
        <f t="shared" si="149"/>
        <v>NOT ACHIEVED</v>
      </c>
      <c r="H434" s="3" t="s">
        <v>640</v>
      </c>
      <c r="I434" s="3" t="s">
        <v>644</v>
      </c>
      <c r="J434" s="3" t="s">
        <v>656</v>
      </c>
      <c r="K434" s="13" t="str">
        <f t="shared" si="150"/>
        <v>Africa &gt; Kenya &gt; Kisumu</v>
      </c>
      <c r="L434" s="3" t="s">
        <v>699</v>
      </c>
      <c r="M434" s="3" t="s">
        <v>701</v>
      </c>
      <c r="N434" s="13" t="str">
        <f t="shared" si="137"/>
        <v>Retail</v>
      </c>
      <c r="O434" s="3" t="s">
        <v>717</v>
      </c>
      <c r="P434" s="3" t="s">
        <v>725</v>
      </c>
      <c r="Q434" s="13" t="str">
        <f t="shared" si="138"/>
        <v>High</v>
      </c>
      <c r="R434" s="3" t="s">
        <v>1320</v>
      </c>
      <c r="S434" s="7">
        <v>753.43</v>
      </c>
      <c r="T434" s="7">
        <f t="shared" si="151"/>
        <v>866.44449999999983</v>
      </c>
      <c r="U434" s="7">
        <v>1787.2</v>
      </c>
      <c r="V434" s="7">
        <f t="shared" si="139"/>
        <v>1787.2</v>
      </c>
      <c r="W434" s="7">
        <f t="shared" si="152"/>
        <v>2055.2799999999997</v>
      </c>
      <c r="X434" s="16">
        <v>7.2999999999999995E-2</v>
      </c>
      <c r="Y434" t="str">
        <f t="shared" si="140"/>
        <v>OK</v>
      </c>
      <c r="Z434" s="16">
        <f t="shared" si="141"/>
        <v>7.2999999999999995E-2</v>
      </c>
      <c r="AA434" s="16">
        <f t="shared" si="153"/>
        <v>7.2999999999999995E-2</v>
      </c>
      <c r="AB434" s="9">
        <v>9</v>
      </c>
      <c r="AC434" s="9">
        <f t="shared" si="154"/>
        <v>10.799999999999999</v>
      </c>
      <c r="AD434" s="9">
        <f t="shared" si="142"/>
        <v>14910.609600000002</v>
      </c>
      <c r="AE434" s="9">
        <f t="shared" si="155"/>
        <v>23817.406751999992</v>
      </c>
      <c r="AF434" s="9">
        <f t="shared" si="143"/>
        <v>6780.87</v>
      </c>
      <c r="AG434" s="9">
        <f t="shared" si="144"/>
        <v>8129.7396000000017</v>
      </c>
      <c r="AH434" s="9">
        <f t="shared" si="156"/>
        <v>17036.536751999993</v>
      </c>
      <c r="AI434">
        <f t="shared" si="145"/>
        <v>0.54523187301476939</v>
      </c>
      <c r="AJ434" s="5">
        <f t="shared" si="146"/>
        <v>44928</v>
      </c>
      <c r="AK434" t="str">
        <f t="shared" si="147"/>
        <v>Jan-2023</v>
      </c>
      <c r="AL434">
        <v>0</v>
      </c>
      <c r="AM434">
        <v>0</v>
      </c>
      <c r="AN434">
        <v>0</v>
      </c>
    </row>
    <row r="435" spans="1:40" x14ac:dyDescent="0.45">
      <c r="A435" s="3" t="s">
        <v>616</v>
      </c>
      <c r="B435" s="5">
        <v>45623</v>
      </c>
      <c r="C435" s="9" t="str">
        <f t="shared" si="135"/>
        <v>Nov-2024</v>
      </c>
      <c r="D435" s="5" t="str">
        <f t="shared" si="136"/>
        <v>2024-Q4</v>
      </c>
      <c r="E435" s="5">
        <v>45650</v>
      </c>
      <c r="F435" s="9">
        <f t="shared" si="148"/>
        <v>27</v>
      </c>
      <c r="G435" s="9" t="str">
        <f t="shared" si="149"/>
        <v>NOT ACHIEVED</v>
      </c>
      <c r="H435" s="3" t="s">
        <v>640</v>
      </c>
      <c r="I435" s="3" t="s">
        <v>644</v>
      </c>
      <c r="J435" s="3" t="s">
        <v>669</v>
      </c>
      <c r="K435" s="13" t="str">
        <f t="shared" si="150"/>
        <v>Africa &gt; Kenya &gt; Mombasa</v>
      </c>
      <c r="L435" s="3" t="s">
        <v>695</v>
      </c>
      <c r="M435" s="3" t="s">
        <v>704</v>
      </c>
      <c r="N435" s="13" t="str">
        <f t="shared" si="137"/>
        <v>Distributor</v>
      </c>
      <c r="O435" s="3" t="s">
        <v>711</v>
      </c>
      <c r="P435" s="3" t="s">
        <v>722</v>
      </c>
      <c r="Q435" s="13" t="str">
        <f t="shared" si="138"/>
        <v>Low</v>
      </c>
      <c r="R435" s="3" t="s">
        <v>1333</v>
      </c>
      <c r="S435" s="7">
        <v>143.33000000000001</v>
      </c>
      <c r="T435" s="7">
        <f t="shared" si="151"/>
        <v>164.8295</v>
      </c>
      <c r="U435" s="7">
        <v>233.51</v>
      </c>
      <c r="V435" s="7">
        <f t="shared" si="139"/>
        <v>233.51</v>
      </c>
      <c r="W435" s="7">
        <f t="shared" si="152"/>
        <v>268.53649999999999</v>
      </c>
      <c r="X435" s="16">
        <v>0.16300000000000001</v>
      </c>
      <c r="Y435" t="str">
        <f t="shared" si="140"/>
        <v>OK</v>
      </c>
      <c r="Z435" s="16">
        <f t="shared" si="141"/>
        <v>0.16300000000000001</v>
      </c>
      <c r="AA435" s="16">
        <f t="shared" si="153"/>
        <v>0.16300000000000001</v>
      </c>
      <c r="AB435" s="9">
        <v>14</v>
      </c>
      <c r="AC435" s="9">
        <f t="shared" si="154"/>
        <v>16.8</v>
      </c>
      <c r="AD435" s="9">
        <f t="shared" si="142"/>
        <v>2736.27018</v>
      </c>
      <c r="AE435" s="9">
        <f t="shared" si="155"/>
        <v>5246.7735516000002</v>
      </c>
      <c r="AF435" s="9">
        <f t="shared" si="143"/>
        <v>2006.6200000000001</v>
      </c>
      <c r="AG435" s="9">
        <f t="shared" si="144"/>
        <v>729.65017999999986</v>
      </c>
      <c r="AH435" s="9">
        <f t="shared" si="156"/>
        <v>3240.1535516000004</v>
      </c>
      <c r="AI435">
        <f t="shared" si="145"/>
        <v>0.26665867476580835</v>
      </c>
      <c r="AJ435" s="5">
        <f t="shared" si="146"/>
        <v>44928</v>
      </c>
      <c r="AK435" t="str">
        <f t="shared" si="147"/>
        <v>Jan-2023</v>
      </c>
      <c r="AL435">
        <v>0</v>
      </c>
      <c r="AM435">
        <v>0</v>
      </c>
      <c r="AN435">
        <v>0</v>
      </c>
    </row>
    <row r="436" spans="1:40" x14ac:dyDescent="0.45">
      <c r="A436" s="3" t="s">
        <v>621</v>
      </c>
      <c r="B436" s="5">
        <v>45468</v>
      </c>
      <c r="C436" s="9" t="str">
        <f t="shared" si="135"/>
        <v>Jun-2024</v>
      </c>
      <c r="D436" s="5" t="str">
        <f t="shared" si="136"/>
        <v>2024-Q2</v>
      </c>
      <c r="E436" s="5">
        <v>45473</v>
      </c>
      <c r="F436" s="9">
        <f t="shared" si="148"/>
        <v>5</v>
      </c>
      <c r="G436" s="9" t="str">
        <f t="shared" si="149"/>
        <v>ACHIEVED</v>
      </c>
      <c r="H436" s="3" t="s">
        <v>640</v>
      </c>
      <c r="I436" s="3" t="s">
        <v>644</v>
      </c>
      <c r="J436" s="3" t="s">
        <v>656</v>
      </c>
      <c r="K436" s="13" t="str">
        <f t="shared" si="150"/>
        <v>Africa &gt; Kenya &gt; Kisumu</v>
      </c>
      <c r="L436" s="3" t="s">
        <v>696</v>
      </c>
      <c r="M436" s="3" t="s">
        <v>705</v>
      </c>
      <c r="N436" s="13" t="str">
        <f t="shared" si="137"/>
        <v>Direct</v>
      </c>
      <c r="O436" s="3" t="s">
        <v>718</v>
      </c>
      <c r="P436" s="3" t="s">
        <v>723</v>
      </c>
      <c r="Q436" s="13" t="str">
        <f t="shared" si="138"/>
        <v>High</v>
      </c>
      <c r="R436" s="3" t="s">
        <v>1338</v>
      </c>
      <c r="S436" s="7">
        <v>1323.55</v>
      </c>
      <c r="T436" s="7">
        <f t="shared" si="151"/>
        <v>1522.0824999999998</v>
      </c>
      <c r="U436" s="7">
        <v>3230.35</v>
      </c>
      <c r="V436" s="7">
        <f t="shared" si="139"/>
        <v>3230.35</v>
      </c>
      <c r="W436" s="7">
        <f t="shared" si="152"/>
        <v>3714.9024999999997</v>
      </c>
      <c r="X436" s="16">
        <v>2.1999999999999999E-2</v>
      </c>
      <c r="Y436" t="str">
        <f t="shared" si="140"/>
        <v>OK</v>
      </c>
      <c r="Z436" s="16">
        <f t="shared" si="141"/>
        <v>2.1999999999999999E-2</v>
      </c>
      <c r="AA436" s="16">
        <f t="shared" si="153"/>
        <v>2.1999999999999999E-2</v>
      </c>
      <c r="AB436" s="9">
        <v>26</v>
      </c>
      <c r="AC436" s="9">
        <f t="shared" si="154"/>
        <v>31.2</v>
      </c>
      <c r="AD436" s="9">
        <f t="shared" si="142"/>
        <v>82141.339799999987</v>
      </c>
      <c r="AE436" s="9">
        <f t="shared" si="155"/>
        <v>118454.86707599998</v>
      </c>
      <c r="AF436" s="9">
        <f t="shared" si="143"/>
        <v>34412.299999999996</v>
      </c>
      <c r="AG436" s="9">
        <f t="shared" si="144"/>
        <v>47729.039799999991</v>
      </c>
      <c r="AH436" s="9">
        <f t="shared" si="156"/>
        <v>84042.567075999978</v>
      </c>
      <c r="AI436">
        <f t="shared" si="145"/>
        <v>0.58105991351263542</v>
      </c>
      <c r="AJ436" s="5">
        <f t="shared" si="146"/>
        <v>44928</v>
      </c>
      <c r="AK436" t="str">
        <f t="shared" si="147"/>
        <v>Jan-2023</v>
      </c>
      <c r="AL436">
        <v>0</v>
      </c>
      <c r="AM436">
        <v>0</v>
      </c>
      <c r="AN436">
        <v>0</v>
      </c>
    </row>
    <row r="437" spans="1:40" x14ac:dyDescent="0.45">
      <c r="A437" s="3" t="s">
        <v>628</v>
      </c>
      <c r="B437" s="5">
        <v>45177</v>
      </c>
      <c r="C437" s="9" t="str">
        <f t="shared" si="135"/>
        <v>Sep-2023</v>
      </c>
      <c r="D437" s="5" t="str">
        <f t="shared" si="136"/>
        <v>2023-Q3</v>
      </c>
      <c r="E437" s="5">
        <v>45183</v>
      </c>
      <c r="F437" s="9">
        <f t="shared" si="148"/>
        <v>6</v>
      </c>
      <c r="G437" s="9" t="str">
        <f t="shared" si="149"/>
        <v>ACHIEVED</v>
      </c>
      <c r="H437" s="3" t="s">
        <v>640</v>
      </c>
      <c r="I437" s="3" t="s">
        <v>644</v>
      </c>
      <c r="J437" s="3" t="s">
        <v>672</v>
      </c>
      <c r="K437" s="13" t="str">
        <f t="shared" si="150"/>
        <v>Africa &gt; Kenya &gt; Nakuru</v>
      </c>
      <c r="L437" s="3" t="s">
        <v>696</v>
      </c>
      <c r="M437" s="3" t="s">
        <v>705</v>
      </c>
      <c r="N437" s="13" t="str">
        <f t="shared" si="137"/>
        <v>Direct</v>
      </c>
      <c r="O437" s="3" t="s">
        <v>708</v>
      </c>
      <c r="P437" s="3" t="s">
        <v>727</v>
      </c>
      <c r="Q437" s="13" t="str">
        <f t="shared" si="138"/>
        <v>Low</v>
      </c>
      <c r="R437" s="3" t="s">
        <v>1345</v>
      </c>
      <c r="S437" s="7">
        <v>251.03</v>
      </c>
      <c r="T437" s="7">
        <f t="shared" si="151"/>
        <v>288.68449999999996</v>
      </c>
      <c r="U437" s="7">
        <v>411.48</v>
      </c>
      <c r="V437" s="7">
        <f t="shared" si="139"/>
        <v>411.48</v>
      </c>
      <c r="W437" s="7">
        <f t="shared" si="152"/>
        <v>473.202</v>
      </c>
      <c r="X437" s="16">
        <v>0.16500000000000001</v>
      </c>
      <c r="Y437" t="str">
        <f t="shared" si="140"/>
        <v>OK</v>
      </c>
      <c r="Z437" s="16">
        <f t="shared" si="141"/>
        <v>0.16500000000000001</v>
      </c>
      <c r="AA437" s="16">
        <f t="shared" si="153"/>
        <v>0.16500000000000001</v>
      </c>
      <c r="AB437" s="9">
        <v>3</v>
      </c>
      <c r="AC437" s="9">
        <f t="shared" si="154"/>
        <v>3.5999999999999996</v>
      </c>
      <c r="AD437" s="9">
        <f t="shared" si="142"/>
        <v>1030.7574</v>
      </c>
      <c r="AE437" s="9">
        <f t="shared" si="155"/>
        <v>1984.6091879999997</v>
      </c>
      <c r="AF437" s="9">
        <f t="shared" si="143"/>
        <v>753.09</v>
      </c>
      <c r="AG437" s="9">
        <f t="shared" si="144"/>
        <v>277.66739999999993</v>
      </c>
      <c r="AH437" s="9">
        <f t="shared" si="156"/>
        <v>1231.5191879999998</v>
      </c>
      <c r="AI437">
        <f t="shared" si="145"/>
        <v>0.26938191275658069</v>
      </c>
      <c r="AJ437" s="5">
        <f t="shared" si="146"/>
        <v>44928</v>
      </c>
      <c r="AK437" t="str">
        <f t="shared" si="147"/>
        <v>Jan-2023</v>
      </c>
      <c r="AL437">
        <v>0</v>
      </c>
      <c r="AM437">
        <v>0</v>
      </c>
      <c r="AN437">
        <v>0</v>
      </c>
    </row>
    <row r="438" spans="1:40" x14ac:dyDescent="0.45">
      <c r="A438" s="3" t="s">
        <v>631</v>
      </c>
      <c r="B438" s="5">
        <v>45857</v>
      </c>
      <c r="C438" s="9" t="str">
        <f t="shared" si="135"/>
        <v>Jul-2025</v>
      </c>
      <c r="D438" s="5" t="str">
        <f t="shared" si="136"/>
        <v>2025-Q3</v>
      </c>
      <c r="E438" s="5">
        <v>45869</v>
      </c>
      <c r="F438" s="9">
        <f t="shared" si="148"/>
        <v>12</v>
      </c>
      <c r="G438" s="9" t="str">
        <f t="shared" si="149"/>
        <v>NOT ACHIEVED</v>
      </c>
      <c r="H438" s="3" t="s">
        <v>640</v>
      </c>
      <c r="I438" s="3" t="s">
        <v>644</v>
      </c>
      <c r="J438" s="3" t="s">
        <v>658</v>
      </c>
      <c r="K438" s="13" t="str">
        <f t="shared" si="150"/>
        <v>Africa &gt; Kenya &gt; Nairobi</v>
      </c>
      <c r="L438" s="3" t="s">
        <v>699</v>
      </c>
      <c r="M438" s="3" t="s">
        <v>703</v>
      </c>
      <c r="N438" s="13" t="str">
        <f t="shared" si="137"/>
        <v>Marketplace</v>
      </c>
      <c r="O438" s="3" t="s">
        <v>713</v>
      </c>
      <c r="P438" s="3" t="s">
        <v>727</v>
      </c>
      <c r="Q438" s="13" t="str">
        <f t="shared" si="138"/>
        <v>Medium</v>
      </c>
      <c r="R438" s="3" t="s">
        <v>1348</v>
      </c>
      <c r="S438" s="7">
        <v>619.64</v>
      </c>
      <c r="T438" s="7">
        <f t="shared" si="151"/>
        <v>712.5859999999999</v>
      </c>
      <c r="U438" s="7">
        <v>861.16</v>
      </c>
      <c r="V438" s="7">
        <f t="shared" si="139"/>
        <v>861.16</v>
      </c>
      <c r="W438" s="7">
        <f t="shared" si="152"/>
        <v>990.33399999999983</v>
      </c>
      <c r="X438" s="16">
        <v>0.113</v>
      </c>
      <c r="Y438" t="str">
        <f t="shared" si="140"/>
        <v>OK</v>
      </c>
      <c r="Z438" s="16">
        <f t="shared" si="141"/>
        <v>0.113</v>
      </c>
      <c r="AA438" s="16">
        <f t="shared" si="153"/>
        <v>0.113</v>
      </c>
      <c r="AB438" s="9">
        <v>14</v>
      </c>
      <c r="AC438" s="9">
        <f t="shared" si="154"/>
        <v>16.8</v>
      </c>
      <c r="AD438" s="9">
        <f t="shared" si="142"/>
        <v>10693.88488</v>
      </c>
      <c r="AE438" s="9">
        <f t="shared" si="155"/>
        <v>18517.6612656</v>
      </c>
      <c r="AF438" s="9">
        <f t="shared" si="143"/>
        <v>8674.9599999999991</v>
      </c>
      <c r="AG438" s="9">
        <f t="shared" si="144"/>
        <v>2018.9248800000005</v>
      </c>
      <c r="AH438" s="9">
        <f t="shared" si="156"/>
        <v>9842.7012656000006</v>
      </c>
      <c r="AI438">
        <f t="shared" si="145"/>
        <v>0.18879246435276761</v>
      </c>
      <c r="AJ438" s="5">
        <f t="shared" si="146"/>
        <v>44928</v>
      </c>
      <c r="AK438" t="str">
        <f t="shared" si="147"/>
        <v>Jan-2023</v>
      </c>
      <c r="AL438">
        <v>0</v>
      </c>
      <c r="AM438">
        <v>0</v>
      </c>
      <c r="AN438">
        <v>0</v>
      </c>
    </row>
    <row r="439" spans="1:40" x14ac:dyDescent="0.45">
      <c r="A439" s="3" t="s">
        <v>10</v>
      </c>
      <c r="B439" s="5">
        <v>45588</v>
      </c>
      <c r="C439" s="9" t="str">
        <f t="shared" si="135"/>
        <v>Oct-2024</v>
      </c>
      <c r="D439" s="5" t="str">
        <f t="shared" si="136"/>
        <v>2024-Q4</v>
      </c>
      <c r="E439" s="5">
        <v>45593</v>
      </c>
      <c r="F439" s="9">
        <f t="shared" si="148"/>
        <v>5</v>
      </c>
      <c r="G439" s="9" t="str">
        <f t="shared" si="149"/>
        <v>ACHIEVED</v>
      </c>
      <c r="H439" s="3" t="s">
        <v>640</v>
      </c>
      <c r="I439" s="3" t="s">
        <v>645</v>
      </c>
      <c r="J439" s="3" t="s">
        <v>657</v>
      </c>
      <c r="K439" s="13" t="str">
        <f t="shared" si="150"/>
        <v>Africa &gt; Nigeria &gt; Port Harcourt</v>
      </c>
      <c r="L439" s="3" t="s">
        <v>696</v>
      </c>
      <c r="M439" s="3" t="s">
        <v>702</v>
      </c>
      <c r="N439" s="13" t="str">
        <f t="shared" si="137"/>
        <v>Online</v>
      </c>
      <c r="O439" s="3" t="s">
        <v>707</v>
      </c>
      <c r="P439" s="3" t="s">
        <v>722</v>
      </c>
      <c r="Q439" s="13" t="str">
        <f t="shared" si="138"/>
        <v>Low</v>
      </c>
      <c r="R439" s="3" t="s">
        <v>729</v>
      </c>
      <c r="S439" s="7">
        <v>1084.3900000000001</v>
      </c>
      <c r="T439" s="7">
        <f t="shared" si="151"/>
        <v>1247.0485000000001</v>
      </c>
      <c r="U439" s="7">
        <v>759.33</v>
      </c>
      <c r="V439" s="7">
        <f t="shared" si="139"/>
        <v>759.33</v>
      </c>
      <c r="W439" s="7">
        <f t="shared" si="152"/>
        <v>873.22950000000003</v>
      </c>
      <c r="X439" s="16">
        <v>0.23699999999999999</v>
      </c>
      <c r="Y439" t="str">
        <f t="shared" si="140"/>
        <v>OK</v>
      </c>
      <c r="Z439" s="16">
        <f t="shared" si="141"/>
        <v>0.23699999999999999</v>
      </c>
      <c r="AA439" s="16">
        <f t="shared" si="153"/>
        <v>0.23699999999999999</v>
      </c>
      <c r="AB439" s="9">
        <v>31</v>
      </c>
      <c r="AC439" s="9">
        <f t="shared" si="154"/>
        <v>37.199999999999996</v>
      </c>
      <c r="AD439" s="9">
        <f t="shared" si="142"/>
        <v>17960.432489999999</v>
      </c>
      <c r="AE439" s="9">
        <f t="shared" si="155"/>
        <v>40182.877963799998</v>
      </c>
      <c r="AF439" s="9">
        <f t="shared" si="143"/>
        <v>33616.090000000004</v>
      </c>
      <c r="AG439" s="9">
        <f t="shared" si="144"/>
        <v>-15655.657510000005</v>
      </c>
      <c r="AH439" s="9">
        <f t="shared" si="156"/>
        <v>6566.787963799994</v>
      </c>
      <c r="AI439">
        <f t="shared" si="145"/>
        <v>-0.87167486187856302</v>
      </c>
      <c r="AJ439" s="5">
        <f t="shared" si="146"/>
        <v>44928</v>
      </c>
      <c r="AK439" t="str">
        <f t="shared" si="147"/>
        <v>Jan-2023</v>
      </c>
      <c r="AL439" t="s">
        <v>1431</v>
      </c>
      <c r="AM439">
        <f>_xlfn.PERCENTILE.INC(V:V,0.66)</f>
        <v>1620.05</v>
      </c>
      <c r="AN439">
        <v>0</v>
      </c>
    </row>
    <row r="440" spans="1:40" x14ac:dyDescent="0.45">
      <c r="A440" s="3" t="s">
        <v>12</v>
      </c>
      <c r="B440" s="5">
        <v>45745</v>
      </c>
      <c r="C440" s="9" t="str">
        <f t="shared" si="135"/>
        <v>Mar-2025</v>
      </c>
      <c r="D440" s="5" t="str">
        <f t="shared" si="136"/>
        <v>2025-Q1</v>
      </c>
      <c r="E440" s="5">
        <v>45749</v>
      </c>
      <c r="F440" s="9">
        <f t="shared" si="148"/>
        <v>4</v>
      </c>
      <c r="G440" s="9" t="str">
        <f t="shared" si="149"/>
        <v>ACHIEVED</v>
      </c>
      <c r="H440" s="3" t="s">
        <v>640</v>
      </c>
      <c r="I440" s="3" t="s">
        <v>645</v>
      </c>
      <c r="J440" s="3" t="s">
        <v>659</v>
      </c>
      <c r="K440" s="13" t="str">
        <f t="shared" si="150"/>
        <v>Africa &gt; Nigeria &gt; Lagos</v>
      </c>
      <c r="L440" s="3" t="s">
        <v>697</v>
      </c>
      <c r="M440" s="3" t="s">
        <v>703</v>
      </c>
      <c r="N440" s="13" t="str">
        <f t="shared" si="137"/>
        <v>Marketplace</v>
      </c>
      <c r="O440" s="3" t="s">
        <v>709</v>
      </c>
      <c r="P440" s="3" t="s">
        <v>724</v>
      </c>
      <c r="Q440" s="13" t="str">
        <f t="shared" si="138"/>
        <v>Low</v>
      </c>
      <c r="R440" s="3" t="s">
        <v>731</v>
      </c>
      <c r="S440" s="7">
        <v>259.93</v>
      </c>
      <c r="T440" s="7">
        <f t="shared" si="151"/>
        <v>298.91949999999997</v>
      </c>
      <c r="U440" s="7">
        <v>255.94</v>
      </c>
      <c r="V440" s="7">
        <f t="shared" si="139"/>
        <v>255.94</v>
      </c>
      <c r="W440" s="7">
        <f t="shared" si="152"/>
        <v>294.33099999999996</v>
      </c>
      <c r="X440" s="16">
        <v>7.1999999999999995E-2</v>
      </c>
      <c r="Y440" t="str">
        <f t="shared" si="140"/>
        <v>OK</v>
      </c>
      <c r="Z440" s="16">
        <f t="shared" si="141"/>
        <v>7.1999999999999995E-2</v>
      </c>
      <c r="AA440" s="16">
        <f t="shared" si="153"/>
        <v>7.1999999999999995E-2</v>
      </c>
      <c r="AB440" s="9">
        <v>22</v>
      </c>
      <c r="AC440" s="9">
        <f t="shared" si="154"/>
        <v>26.4</v>
      </c>
      <c r="AD440" s="9">
        <f t="shared" si="142"/>
        <v>5225.2710400000005</v>
      </c>
      <c r="AE440" s="9">
        <f t="shared" si="155"/>
        <v>8329.8027647999988</v>
      </c>
      <c r="AF440" s="9">
        <f t="shared" si="143"/>
        <v>5718.46</v>
      </c>
      <c r="AG440" s="9">
        <f t="shared" si="144"/>
        <v>-493.1889599999995</v>
      </c>
      <c r="AH440" s="9">
        <f t="shared" si="156"/>
        <v>2611.3427647999988</v>
      </c>
      <c r="AI440">
        <f t="shared" si="145"/>
        <v>-9.4385335463861311E-2</v>
      </c>
      <c r="AJ440" s="5">
        <f t="shared" si="146"/>
        <v>44928</v>
      </c>
      <c r="AK440" t="str">
        <f t="shared" si="147"/>
        <v>Jan-2023</v>
      </c>
      <c r="AL440">
        <v>0</v>
      </c>
      <c r="AM440">
        <v>0</v>
      </c>
      <c r="AN440">
        <v>0</v>
      </c>
    </row>
    <row r="441" spans="1:40" x14ac:dyDescent="0.45">
      <c r="A441" s="3" t="s">
        <v>16</v>
      </c>
      <c r="B441" s="5">
        <v>44941</v>
      </c>
      <c r="C441" s="9" t="str">
        <f t="shared" si="135"/>
        <v>Jan-2023</v>
      </c>
      <c r="D441" s="5" t="str">
        <f t="shared" si="136"/>
        <v>2023-Q1</v>
      </c>
      <c r="E441" s="5">
        <v>44946</v>
      </c>
      <c r="F441" s="9">
        <f t="shared" si="148"/>
        <v>5</v>
      </c>
      <c r="G441" s="9" t="str">
        <f t="shared" si="149"/>
        <v>ACHIEVED</v>
      </c>
      <c r="H441" s="3" t="s">
        <v>640</v>
      </c>
      <c r="I441" s="3" t="s">
        <v>645</v>
      </c>
      <c r="J441" s="3" t="s">
        <v>663</v>
      </c>
      <c r="K441" s="13" t="str">
        <f t="shared" si="150"/>
        <v>Africa &gt; Nigeria &gt; Abuja</v>
      </c>
      <c r="L441" s="3" t="s">
        <v>696</v>
      </c>
      <c r="M441" s="3" t="s">
        <v>702</v>
      </c>
      <c r="N441" s="13" t="str">
        <f t="shared" si="137"/>
        <v>Online</v>
      </c>
      <c r="O441" s="3" t="s">
        <v>713</v>
      </c>
      <c r="P441" s="3" t="s">
        <v>722</v>
      </c>
      <c r="Q441" s="13" t="str">
        <f t="shared" si="138"/>
        <v>Low</v>
      </c>
      <c r="R441" s="3" t="s">
        <v>735</v>
      </c>
      <c r="S441" s="7">
        <v>28.38</v>
      </c>
      <c r="T441" s="7">
        <f t="shared" si="151"/>
        <v>32.636999999999993</v>
      </c>
      <c r="U441" s="7">
        <v>47.22</v>
      </c>
      <c r="V441" s="7">
        <f t="shared" si="139"/>
        <v>47.22</v>
      </c>
      <c r="W441" s="7">
        <f t="shared" si="152"/>
        <v>54.302999999999997</v>
      </c>
      <c r="X441" s="16">
        <v>0.19400000000000001</v>
      </c>
      <c r="Y441" t="str">
        <f t="shared" si="140"/>
        <v>OK</v>
      </c>
      <c r="Z441" s="16">
        <f t="shared" si="141"/>
        <v>0.19400000000000001</v>
      </c>
      <c r="AA441" s="16">
        <f t="shared" si="153"/>
        <v>0.19400000000000001</v>
      </c>
      <c r="AB441" s="9">
        <v>18</v>
      </c>
      <c r="AC441" s="9">
        <f t="shared" si="154"/>
        <v>21.599999999999998</v>
      </c>
      <c r="AD441" s="9">
        <f t="shared" si="142"/>
        <v>685.06776000000002</v>
      </c>
      <c r="AE441" s="9">
        <f t="shared" si="155"/>
        <v>1400.4960911999997</v>
      </c>
      <c r="AF441" s="9">
        <f t="shared" si="143"/>
        <v>510.84</v>
      </c>
      <c r="AG441" s="9">
        <f t="shared" si="144"/>
        <v>174.22776000000005</v>
      </c>
      <c r="AH441" s="9">
        <f t="shared" si="156"/>
        <v>889.65609119999976</v>
      </c>
      <c r="AI441">
        <f t="shared" si="145"/>
        <v>0.25432193743871417</v>
      </c>
      <c r="AJ441" s="5">
        <f t="shared" si="146"/>
        <v>44928</v>
      </c>
      <c r="AK441" t="str">
        <f t="shared" si="147"/>
        <v>Jan-2023</v>
      </c>
      <c r="AL441">
        <v>0</v>
      </c>
      <c r="AM441">
        <v>0</v>
      </c>
      <c r="AN441">
        <v>0</v>
      </c>
    </row>
    <row r="442" spans="1:40" x14ac:dyDescent="0.45">
      <c r="A442" s="3" t="s">
        <v>17</v>
      </c>
      <c r="B442" s="5">
        <v>45416</v>
      </c>
      <c r="C442" s="9" t="str">
        <f t="shared" si="135"/>
        <v>May-2024</v>
      </c>
      <c r="D442" s="5" t="str">
        <f t="shared" si="136"/>
        <v>2024-Q2</v>
      </c>
      <c r="E442" s="5">
        <v>45441</v>
      </c>
      <c r="F442" s="9">
        <f t="shared" si="148"/>
        <v>25</v>
      </c>
      <c r="G442" s="9" t="str">
        <f t="shared" si="149"/>
        <v>NOT ACHIEVED</v>
      </c>
      <c r="H442" s="3" t="s">
        <v>640</v>
      </c>
      <c r="I442" s="3" t="s">
        <v>645</v>
      </c>
      <c r="J442" s="3" t="s">
        <v>663</v>
      </c>
      <c r="K442" s="13" t="str">
        <f t="shared" si="150"/>
        <v>Africa &gt; Nigeria &gt; Abuja</v>
      </c>
      <c r="L442" s="3" t="s">
        <v>697</v>
      </c>
      <c r="M442" s="3" t="s">
        <v>703</v>
      </c>
      <c r="N442" s="13" t="str">
        <f t="shared" si="137"/>
        <v>Marketplace</v>
      </c>
      <c r="O442" s="3" t="s">
        <v>713</v>
      </c>
      <c r="P442" s="3" t="s">
        <v>726</v>
      </c>
      <c r="Q442" s="13" t="str">
        <f t="shared" si="138"/>
        <v>High</v>
      </c>
      <c r="R442" s="3" t="s">
        <v>736</v>
      </c>
      <c r="S442" s="7">
        <v>1295.3399999999999</v>
      </c>
      <c r="T442" s="7">
        <f t="shared" si="151"/>
        <v>1489.6409999999998</v>
      </c>
      <c r="U442" s="7">
        <v>2530.81</v>
      </c>
      <c r="V442" s="7">
        <f t="shared" si="139"/>
        <v>2530.81</v>
      </c>
      <c r="W442" s="7">
        <f t="shared" si="152"/>
        <v>2910.4314999999997</v>
      </c>
      <c r="X442" s="16">
        <v>3.1E-2</v>
      </c>
      <c r="Y442" t="str">
        <f t="shared" si="140"/>
        <v>OK</v>
      </c>
      <c r="Z442" s="16">
        <f t="shared" si="141"/>
        <v>3.1E-2</v>
      </c>
      <c r="AA442" s="16">
        <f t="shared" si="153"/>
        <v>3.1E-2</v>
      </c>
      <c r="AB442" s="9">
        <v>6</v>
      </c>
      <c r="AC442" s="9">
        <f t="shared" si="154"/>
        <v>7.1999999999999993</v>
      </c>
      <c r="AD442" s="9">
        <f t="shared" si="142"/>
        <v>14714.12934</v>
      </c>
      <c r="AE442" s="9">
        <f t="shared" si="155"/>
        <v>21604.715110799993</v>
      </c>
      <c r="AF442" s="9">
        <f t="shared" si="143"/>
        <v>7772.0399999999991</v>
      </c>
      <c r="AG442" s="9">
        <f t="shared" si="144"/>
        <v>6942.0893400000004</v>
      </c>
      <c r="AH442" s="9">
        <f t="shared" si="156"/>
        <v>13832.675110799993</v>
      </c>
      <c r="AI442">
        <f t="shared" si="145"/>
        <v>0.4717974933880798</v>
      </c>
      <c r="AJ442" s="5">
        <f t="shared" si="146"/>
        <v>44928</v>
      </c>
      <c r="AK442" t="str">
        <f t="shared" si="147"/>
        <v>Jan-2023</v>
      </c>
      <c r="AL442">
        <v>0</v>
      </c>
      <c r="AM442">
        <v>0</v>
      </c>
      <c r="AN442">
        <v>0</v>
      </c>
    </row>
    <row r="443" spans="1:40" x14ac:dyDescent="0.45">
      <c r="A443" s="3" t="s">
        <v>31</v>
      </c>
      <c r="B443" s="5">
        <v>45822</v>
      </c>
      <c r="C443" s="9" t="str">
        <f t="shared" si="135"/>
        <v>Jun-2025</v>
      </c>
      <c r="D443" s="5" t="str">
        <f t="shared" si="136"/>
        <v>2025-Q2</v>
      </c>
      <c r="E443" s="5">
        <v>45837</v>
      </c>
      <c r="F443" s="9">
        <f t="shared" si="148"/>
        <v>15</v>
      </c>
      <c r="G443" s="9" t="str">
        <f t="shared" si="149"/>
        <v>NOT ACHIEVED</v>
      </c>
      <c r="H443" s="3" t="s">
        <v>640</v>
      </c>
      <c r="I443" s="3" t="s">
        <v>645</v>
      </c>
      <c r="J443" s="3" t="s">
        <v>657</v>
      </c>
      <c r="K443" s="13" t="str">
        <f t="shared" si="150"/>
        <v>Africa &gt; Nigeria &gt; Port Harcourt</v>
      </c>
      <c r="L443" s="3" t="s">
        <v>698</v>
      </c>
      <c r="M443" s="3" t="s">
        <v>703</v>
      </c>
      <c r="N443" s="13" t="str">
        <f t="shared" si="137"/>
        <v>Marketplace</v>
      </c>
      <c r="O443" s="3" t="s">
        <v>718</v>
      </c>
      <c r="P443" s="3" t="s">
        <v>727</v>
      </c>
      <c r="Q443" s="13" t="str">
        <f t="shared" si="138"/>
        <v>Medium</v>
      </c>
      <c r="R443" s="3" t="s">
        <v>750</v>
      </c>
      <c r="S443" s="7">
        <v>730.99</v>
      </c>
      <c r="T443" s="7">
        <f t="shared" si="151"/>
        <v>840.63849999999991</v>
      </c>
      <c r="U443" s="7">
        <v>1242.8399999999999</v>
      </c>
      <c r="V443" s="7">
        <f t="shared" si="139"/>
        <v>1242.8399999999999</v>
      </c>
      <c r="W443" s="7">
        <f t="shared" si="152"/>
        <v>1429.2659999999998</v>
      </c>
      <c r="X443" s="16">
        <v>0.12</v>
      </c>
      <c r="Y443" t="str">
        <f t="shared" si="140"/>
        <v>OK</v>
      </c>
      <c r="Z443" s="16">
        <f t="shared" si="141"/>
        <v>0.12</v>
      </c>
      <c r="AA443" s="16">
        <f t="shared" si="153"/>
        <v>0.12</v>
      </c>
      <c r="AB443" s="9">
        <v>10</v>
      </c>
      <c r="AC443" s="9">
        <f t="shared" si="154"/>
        <v>12</v>
      </c>
      <c r="AD443" s="9">
        <f t="shared" si="142"/>
        <v>10936.992</v>
      </c>
      <c r="AE443" s="9">
        <f t="shared" si="155"/>
        <v>19209.335040000002</v>
      </c>
      <c r="AF443" s="9">
        <f t="shared" si="143"/>
        <v>7309.9</v>
      </c>
      <c r="AG443" s="9">
        <f t="shared" si="144"/>
        <v>3627.0920000000006</v>
      </c>
      <c r="AH443" s="9">
        <f t="shared" si="156"/>
        <v>11899.435040000002</v>
      </c>
      <c r="AI443">
        <f t="shared" si="145"/>
        <v>0.33163524303574515</v>
      </c>
      <c r="AJ443" s="5">
        <f t="shared" si="146"/>
        <v>44928</v>
      </c>
      <c r="AK443" t="str">
        <f t="shared" si="147"/>
        <v>Jan-2023</v>
      </c>
      <c r="AL443">
        <v>0</v>
      </c>
      <c r="AM443">
        <v>0</v>
      </c>
      <c r="AN443">
        <v>0</v>
      </c>
    </row>
    <row r="444" spans="1:40" x14ac:dyDescent="0.45">
      <c r="A444" s="3" t="s">
        <v>47</v>
      </c>
      <c r="B444" s="5">
        <v>45401</v>
      </c>
      <c r="C444" s="9" t="str">
        <f t="shared" si="135"/>
        <v>Apr-2024</v>
      </c>
      <c r="D444" s="5" t="str">
        <f t="shared" si="136"/>
        <v>2024-Q2</v>
      </c>
      <c r="E444" s="5">
        <v>45418</v>
      </c>
      <c r="F444" s="9">
        <f t="shared" si="148"/>
        <v>17</v>
      </c>
      <c r="G444" s="9" t="str">
        <f t="shared" si="149"/>
        <v>NOT ACHIEVED</v>
      </c>
      <c r="H444" s="3" t="s">
        <v>640</v>
      </c>
      <c r="I444" s="3" t="s">
        <v>645</v>
      </c>
      <c r="J444" s="3" t="s">
        <v>657</v>
      </c>
      <c r="K444" s="13" t="str">
        <f t="shared" si="150"/>
        <v>Africa &gt; Nigeria &gt; Port Harcourt</v>
      </c>
      <c r="L444" s="3" t="s">
        <v>697</v>
      </c>
      <c r="M444" s="3" t="s">
        <v>702</v>
      </c>
      <c r="N444" s="13" t="str">
        <f t="shared" si="137"/>
        <v>Online</v>
      </c>
      <c r="O444" s="3" t="s">
        <v>714</v>
      </c>
      <c r="P444" s="3" t="s">
        <v>722</v>
      </c>
      <c r="Q444" s="13" t="str">
        <f t="shared" si="138"/>
        <v>Medium</v>
      </c>
      <c r="R444" s="3" t="s">
        <v>766</v>
      </c>
      <c r="S444" s="7">
        <v>865.33</v>
      </c>
      <c r="T444" s="7">
        <f t="shared" si="151"/>
        <v>995.12950000000001</v>
      </c>
      <c r="U444" s="7">
        <v>1395.64</v>
      </c>
      <c r="V444" s="7">
        <f t="shared" si="139"/>
        <v>1395.64</v>
      </c>
      <c r="W444" s="7">
        <f t="shared" si="152"/>
        <v>1604.9860000000001</v>
      </c>
      <c r="X444" s="16">
        <v>0.17499999999999999</v>
      </c>
      <c r="Y444" t="str">
        <f t="shared" si="140"/>
        <v>OK</v>
      </c>
      <c r="Z444" s="16">
        <f t="shared" si="141"/>
        <v>0.17499999999999999</v>
      </c>
      <c r="AA444" s="16">
        <f t="shared" si="153"/>
        <v>0.17499999999999999</v>
      </c>
      <c r="AB444" s="9">
        <v>13</v>
      </c>
      <c r="AC444" s="9">
        <f t="shared" si="154"/>
        <v>15.6</v>
      </c>
      <c r="AD444" s="9">
        <f t="shared" si="142"/>
        <v>14968.239</v>
      </c>
      <c r="AE444" s="9">
        <f t="shared" si="155"/>
        <v>29419.393380000005</v>
      </c>
      <c r="AF444" s="9">
        <f t="shared" si="143"/>
        <v>11249.29</v>
      </c>
      <c r="AG444" s="9">
        <f t="shared" si="144"/>
        <v>3718.9489999999987</v>
      </c>
      <c r="AH444" s="9">
        <f t="shared" si="156"/>
        <v>18170.103380000004</v>
      </c>
      <c r="AI444">
        <f t="shared" si="145"/>
        <v>0.24845601409758347</v>
      </c>
      <c r="AJ444" s="5">
        <f t="shared" si="146"/>
        <v>44928</v>
      </c>
      <c r="AK444" t="str">
        <f t="shared" si="147"/>
        <v>Jan-2023</v>
      </c>
      <c r="AL444">
        <v>0</v>
      </c>
      <c r="AM444">
        <v>0</v>
      </c>
      <c r="AN444">
        <v>0</v>
      </c>
    </row>
    <row r="445" spans="1:40" x14ac:dyDescent="0.45">
      <c r="A445" s="3" t="s">
        <v>55</v>
      </c>
      <c r="B445" s="5">
        <v>45100</v>
      </c>
      <c r="C445" s="9" t="str">
        <f t="shared" si="135"/>
        <v>Jun-2023</v>
      </c>
      <c r="D445" s="5" t="str">
        <f t="shared" si="136"/>
        <v>2023-Q2</v>
      </c>
      <c r="E445" s="5">
        <v>45110</v>
      </c>
      <c r="F445" s="9">
        <f t="shared" si="148"/>
        <v>10</v>
      </c>
      <c r="G445" s="9" t="str">
        <f t="shared" si="149"/>
        <v>NOT ACHIEVED</v>
      </c>
      <c r="H445" s="3" t="s">
        <v>640</v>
      </c>
      <c r="I445" s="3" t="s">
        <v>645</v>
      </c>
      <c r="J445" s="3" t="s">
        <v>663</v>
      </c>
      <c r="K445" s="13" t="str">
        <f t="shared" si="150"/>
        <v>Africa &gt; Nigeria &gt; Abuja</v>
      </c>
      <c r="L445" s="3" t="s">
        <v>698</v>
      </c>
      <c r="M445" s="3" t="s">
        <v>702</v>
      </c>
      <c r="N445" s="13" t="str">
        <f t="shared" si="137"/>
        <v>Online</v>
      </c>
      <c r="O445" s="3" t="s">
        <v>707</v>
      </c>
      <c r="P445" s="3" t="s">
        <v>722</v>
      </c>
      <c r="Q445" s="13" t="str">
        <f t="shared" si="138"/>
        <v>Low</v>
      </c>
      <c r="R445" s="3" t="s">
        <v>774</v>
      </c>
      <c r="S445" s="7">
        <v>337.75</v>
      </c>
      <c r="T445" s="7">
        <f t="shared" si="151"/>
        <v>388.41249999999997</v>
      </c>
      <c r="U445" s="7">
        <v>548.89</v>
      </c>
      <c r="V445" s="7">
        <f t="shared" si="139"/>
        <v>548.89</v>
      </c>
      <c r="W445" s="7">
        <f t="shared" si="152"/>
        <v>631.22349999999994</v>
      </c>
      <c r="X445" s="16">
        <v>0</v>
      </c>
      <c r="Y445" t="str">
        <f t="shared" si="140"/>
        <v>OK</v>
      </c>
      <c r="Z445" s="16">
        <f t="shared" si="141"/>
        <v>0</v>
      </c>
      <c r="AA445" s="16">
        <f t="shared" si="153"/>
        <v>0</v>
      </c>
      <c r="AB445" s="9">
        <v>13</v>
      </c>
      <c r="AC445" s="9">
        <f t="shared" si="154"/>
        <v>15.6</v>
      </c>
      <c r="AD445" s="9">
        <f t="shared" si="142"/>
        <v>7135.57</v>
      </c>
      <c r="AE445" s="9">
        <f t="shared" si="155"/>
        <v>9847.0865999999987</v>
      </c>
      <c r="AF445" s="9">
        <f t="shared" si="143"/>
        <v>4390.75</v>
      </c>
      <c r="AG445" s="9">
        <f t="shared" si="144"/>
        <v>2744.8199999999997</v>
      </c>
      <c r="AH445" s="9">
        <f t="shared" si="156"/>
        <v>5456.3365999999987</v>
      </c>
      <c r="AI445">
        <f t="shared" si="145"/>
        <v>0.38466723751571352</v>
      </c>
      <c r="AJ445" s="5">
        <f t="shared" si="146"/>
        <v>44928</v>
      </c>
      <c r="AK445" t="str">
        <f t="shared" si="147"/>
        <v>Jan-2023</v>
      </c>
      <c r="AL445">
        <v>0</v>
      </c>
      <c r="AM445">
        <v>0</v>
      </c>
      <c r="AN445">
        <v>0</v>
      </c>
    </row>
    <row r="446" spans="1:40" x14ac:dyDescent="0.45">
      <c r="A446" s="3" t="s">
        <v>57</v>
      </c>
      <c r="B446" s="5">
        <v>45579</v>
      </c>
      <c r="C446" s="9" t="str">
        <f t="shared" si="135"/>
        <v>Oct-2024</v>
      </c>
      <c r="D446" s="5" t="str">
        <f t="shared" si="136"/>
        <v>2024-Q4</v>
      </c>
      <c r="E446" s="5">
        <v>45604</v>
      </c>
      <c r="F446" s="9">
        <f t="shared" si="148"/>
        <v>25</v>
      </c>
      <c r="G446" s="9" t="str">
        <f t="shared" si="149"/>
        <v>NOT ACHIEVED</v>
      </c>
      <c r="H446" s="3" t="s">
        <v>640</v>
      </c>
      <c r="I446" s="3" t="s">
        <v>645</v>
      </c>
      <c r="J446" s="3" t="s">
        <v>659</v>
      </c>
      <c r="K446" s="13" t="str">
        <f t="shared" si="150"/>
        <v>Africa &gt; Nigeria &gt; Lagos</v>
      </c>
      <c r="L446" s="3" t="s">
        <v>700</v>
      </c>
      <c r="M446" s="3" t="s">
        <v>702</v>
      </c>
      <c r="N446" s="13" t="str">
        <f t="shared" si="137"/>
        <v>Online</v>
      </c>
      <c r="O446" s="3" t="s">
        <v>713</v>
      </c>
      <c r="P446" s="3" t="s">
        <v>723</v>
      </c>
      <c r="Q446" s="13" t="str">
        <f t="shared" si="138"/>
        <v>High</v>
      </c>
      <c r="R446" s="3" t="s">
        <v>776</v>
      </c>
      <c r="S446" s="7">
        <v>859.35</v>
      </c>
      <c r="T446" s="7">
        <f t="shared" si="151"/>
        <v>988.25249999999994</v>
      </c>
      <c r="U446" s="7">
        <v>1825.61</v>
      </c>
      <c r="V446" s="7">
        <f t="shared" si="139"/>
        <v>1825.61</v>
      </c>
      <c r="W446" s="7">
        <f t="shared" si="152"/>
        <v>2099.4514999999997</v>
      </c>
      <c r="X446" s="16">
        <v>0.187</v>
      </c>
      <c r="Y446" t="str">
        <f t="shared" si="140"/>
        <v>OK</v>
      </c>
      <c r="Z446" s="16">
        <f t="shared" si="141"/>
        <v>0.187</v>
      </c>
      <c r="AA446" s="16">
        <f t="shared" si="153"/>
        <v>0.187</v>
      </c>
      <c r="AB446" s="9">
        <v>24</v>
      </c>
      <c r="AC446" s="9">
        <f t="shared" si="154"/>
        <v>28.799999999999997</v>
      </c>
      <c r="AD446" s="9">
        <f t="shared" si="142"/>
        <v>35621.302319999995</v>
      </c>
      <c r="AE446" s="9">
        <f t="shared" si="155"/>
        <v>71771.009198399988</v>
      </c>
      <c r="AF446" s="9">
        <f t="shared" si="143"/>
        <v>20624.400000000001</v>
      </c>
      <c r="AG446" s="9">
        <f t="shared" si="144"/>
        <v>14996.902319999994</v>
      </c>
      <c r="AH446" s="9">
        <f t="shared" si="156"/>
        <v>51146.609198399987</v>
      </c>
      <c r="AI446">
        <f t="shared" si="145"/>
        <v>0.42100937762681989</v>
      </c>
      <c r="AJ446" s="5">
        <f t="shared" si="146"/>
        <v>44928</v>
      </c>
      <c r="AK446" t="str">
        <f t="shared" si="147"/>
        <v>Jan-2023</v>
      </c>
      <c r="AL446">
        <v>0</v>
      </c>
      <c r="AM446">
        <v>0</v>
      </c>
      <c r="AN446">
        <v>0</v>
      </c>
    </row>
    <row r="447" spans="1:40" x14ac:dyDescent="0.45">
      <c r="A447" s="3" t="s">
        <v>102</v>
      </c>
      <c r="B447" s="5">
        <v>45569</v>
      </c>
      <c r="C447" s="9" t="str">
        <f t="shared" si="135"/>
        <v>Oct-2024</v>
      </c>
      <c r="D447" s="5" t="str">
        <f t="shared" si="136"/>
        <v>2024-Q4</v>
      </c>
      <c r="E447" s="5">
        <v>45598</v>
      </c>
      <c r="F447" s="9">
        <f t="shared" si="148"/>
        <v>29</v>
      </c>
      <c r="G447" s="9" t="str">
        <f t="shared" si="149"/>
        <v>NOT ACHIEVED</v>
      </c>
      <c r="H447" s="3" t="s">
        <v>640</v>
      </c>
      <c r="I447" s="3" t="s">
        <v>645</v>
      </c>
      <c r="J447" s="3" t="s">
        <v>663</v>
      </c>
      <c r="K447" s="13" t="str">
        <f t="shared" si="150"/>
        <v>Africa &gt; Nigeria &gt; Abuja</v>
      </c>
      <c r="L447" s="3" t="s">
        <v>695</v>
      </c>
      <c r="M447" s="3" t="s">
        <v>704</v>
      </c>
      <c r="N447" s="13" t="str">
        <f t="shared" si="137"/>
        <v>Distributor</v>
      </c>
      <c r="O447" s="3" t="s">
        <v>715</v>
      </c>
      <c r="P447" s="3" t="s">
        <v>727</v>
      </c>
      <c r="Q447" s="13" t="str">
        <f t="shared" si="138"/>
        <v>Medium</v>
      </c>
      <c r="R447" s="3" t="s">
        <v>821</v>
      </c>
      <c r="S447" s="7">
        <v>412.09</v>
      </c>
      <c r="T447" s="7">
        <f t="shared" si="151"/>
        <v>473.90349999999995</v>
      </c>
      <c r="U447" s="7">
        <v>968.94</v>
      </c>
      <c r="V447" s="7">
        <f t="shared" si="139"/>
        <v>968.94</v>
      </c>
      <c r="W447" s="7">
        <f t="shared" si="152"/>
        <v>1114.2809999999999</v>
      </c>
      <c r="X447" s="16">
        <v>9.9000000000000005E-2</v>
      </c>
      <c r="Y447" t="str">
        <f t="shared" si="140"/>
        <v>OK</v>
      </c>
      <c r="Z447" s="16">
        <f t="shared" si="141"/>
        <v>9.9000000000000005E-2</v>
      </c>
      <c r="AA447" s="16">
        <f t="shared" si="153"/>
        <v>9.9000000000000005E-2</v>
      </c>
      <c r="AB447" s="9">
        <v>23</v>
      </c>
      <c r="AC447" s="9">
        <f t="shared" si="154"/>
        <v>27.599999999999998</v>
      </c>
      <c r="AD447" s="9">
        <f t="shared" si="142"/>
        <v>20079.343620000003</v>
      </c>
      <c r="AE447" s="9">
        <f t="shared" si="155"/>
        <v>33798.817004399993</v>
      </c>
      <c r="AF447" s="9">
        <f t="shared" si="143"/>
        <v>9478.07</v>
      </c>
      <c r="AG447" s="9">
        <f t="shared" si="144"/>
        <v>10601.273620000004</v>
      </c>
      <c r="AH447" s="9">
        <f t="shared" si="156"/>
        <v>24320.747004399993</v>
      </c>
      <c r="AI447">
        <f t="shared" si="145"/>
        <v>0.52796913189137418</v>
      </c>
      <c r="AJ447" s="5">
        <f t="shared" si="146"/>
        <v>44928</v>
      </c>
      <c r="AK447" t="str">
        <f t="shared" si="147"/>
        <v>Jan-2023</v>
      </c>
      <c r="AL447">
        <v>0</v>
      </c>
      <c r="AM447">
        <v>0</v>
      </c>
      <c r="AN447">
        <v>0</v>
      </c>
    </row>
    <row r="448" spans="1:40" x14ac:dyDescent="0.45">
      <c r="A448" s="3" t="s">
        <v>106</v>
      </c>
      <c r="B448" s="5">
        <v>45440</v>
      </c>
      <c r="C448" s="9" t="str">
        <f t="shared" si="135"/>
        <v>May-2024</v>
      </c>
      <c r="D448" s="5" t="str">
        <f t="shared" si="136"/>
        <v>2024-Q2</v>
      </c>
      <c r="E448" s="5">
        <v>45445</v>
      </c>
      <c r="F448" s="9">
        <f t="shared" si="148"/>
        <v>5</v>
      </c>
      <c r="G448" s="9" t="str">
        <f t="shared" si="149"/>
        <v>ACHIEVED</v>
      </c>
      <c r="H448" s="3" t="s">
        <v>640</v>
      </c>
      <c r="I448" s="3" t="s">
        <v>645</v>
      </c>
      <c r="J448" s="3" t="s">
        <v>663</v>
      </c>
      <c r="K448" s="13" t="str">
        <f t="shared" si="150"/>
        <v>Africa &gt; Nigeria &gt; Abuja</v>
      </c>
      <c r="L448" s="3" t="s">
        <v>700</v>
      </c>
      <c r="M448" s="3" t="s">
        <v>702</v>
      </c>
      <c r="N448" s="13" t="str">
        <f t="shared" si="137"/>
        <v>Online</v>
      </c>
      <c r="O448" s="3" t="s">
        <v>715</v>
      </c>
      <c r="P448" s="3" t="s">
        <v>727</v>
      </c>
      <c r="Q448" s="13" t="str">
        <f t="shared" si="138"/>
        <v>High</v>
      </c>
      <c r="R448" s="3" t="s">
        <v>825</v>
      </c>
      <c r="S448" s="7">
        <v>1227.08</v>
      </c>
      <c r="T448" s="7">
        <f t="shared" si="151"/>
        <v>1411.1419999999998</v>
      </c>
      <c r="U448" s="7">
        <v>1896.62</v>
      </c>
      <c r="V448" s="7">
        <f t="shared" si="139"/>
        <v>1896.62</v>
      </c>
      <c r="W448" s="7">
        <f t="shared" si="152"/>
        <v>2181.1129999999998</v>
      </c>
      <c r="X448" s="16">
        <v>0</v>
      </c>
      <c r="Y448" t="str">
        <f t="shared" si="140"/>
        <v>OK</v>
      </c>
      <c r="Z448" s="16">
        <f t="shared" si="141"/>
        <v>0</v>
      </c>
      <c r="AA448" s="16">
        <f t="shared" si="153"/>
        <v>0</v>
      </c>
      <c r="AB448" s="9">
        <v>18</v>
      </c>
      <c r="AC448" s="9">
        <f t="shared" si="154"/>
        <v>21.599999999999998</v>
      </c>
      <c r="AD448" s="9">
        <f t="shared" si="142"/>
        <v>34139.159999999996</v>
      </c>
      <c r="AE448" s="9">
        <f t="shared" si="155"/>
        <v>47112.040799999995</v>
      </c>
      <c r="AF448" s="9">
        <f t="shared" si="143"/>
        <v>22087.439999999999</v>
      </c>
      <c r="AG448" s="9">
        <f t="shared" si="144"/>
        <v>12051.719999999998</v>
      </c>
      <c r="AH448" s="9">
        <f t="shared" si="156"/>
        <v>25024.600799999997</v>
      </c>
      <c r="AI448">
        <f t="shared" si="145"/>
        <v>0.353017473189147</v>
      </c>
      <c r="AJ448" s="5">
        <f t="shared" si="146"/>
        <v>44928</v>
      </c>
      <c r="AK448" t="str">
        <f t="shared" si="147"/>
        <v>Jan-2023</v>
      </c>
      <c r="AL448">
        <v>0</v>
      </c>
      <c r="AM448">
        <v>0</v>
      </c>
      <c r="AN448">
        <v>0</v>
      </c>
    </row>
    <row r="449" spans="1:40" x14ac:dyDescent="0.45">
      <c r="A449" s="3" t="s">
        <v>140</v>
      </c>
      <c r="B449" s="5">
        <v>45719</v>
      </c>
      <c r="C449" s="9" t="str">
        <f t="shared" si="135"/>
        <v>Mar-2025</v>
      </c>
      <c r="D449" s="5" t="str">
        <f t="shared" si="136"/>
        <v>2025-Q1</v>
      </c>
      <c r="E449" s="5">
        <v>45740</v>
      </c>
      <c r="F449" s="9">
        <f t="shared" si="148"/>
        <v>21</v>
      </c>
      <c r="G449" s="9" t="str">
        <f t="shared" si="149"/>
        <v>NOT ACHIEVED</v>
      </c>
      <c r="H449" s="3" t="s">
        <v>640</v>
      </c>
      <c r="I449" s="3" t="s">
        <v>645</v>
      </c>
      <c r="J449" s="3" t="s">
        <v>663</v>
      </c>
      <c r="K449" s="13" t="str">
        <f t="shared" si="150"/>
        <v>Africa &gt; Nigeria &gt; Abuja</v>
      </c>
      <c r="L449" s="3" t="s">
        <v>700</v>
      </c>
      <c r="M449" s="3" t="s">
        <v>705</v>
      </c>
      <c r="N449" s="13" t="str">
        <f t="shared" si="137"/>
        <v>Direct</v>
      </c>
      <c r="O449" s="3" t="s">
        <v>716</v>
      </c>
      <c r="P449" s="3" t="s">
        <v>727</v>
      </c>
      <c r="Q449" s="13" t="str">
        <f t="shared" si="138"/>
        <v>Low</v>
      </c>
      <c r="R449" s="3" t="s">
        <v>859</v>
      </c>
      <c r="S449" s="7">
        <v>555.95000000000005</v>
      </c>
      <c r="T449" s="7">
        <f t="shared" si="151"/>
        <v>639.34249999999997</v>
      </c>
      <c r="U449" s="7">
        <v>468.09</v>
      </c>
      <c r="V449" s="7">
        <f t="shared" si="139"/>
        <v>468.09</v>
      </c>
      <c r="W449" s="7">
        <f t="shared" si="152"/>
        <v>538.30349999999999</v>
      </c>
      <c r="X449" s="16">
        <v>0.14199999999999999</v>
      </c>
      <c r="Y449" t="str">
        <f t="shared" si="140"/>
        <v>OK</v>
      </c>
      <c r="Z449" s="16">
        <f t="shared" si="141"/>
        <v>0.14199999999999999</v>
      </c>
      <c r="AA449" s="16">
        <f t="shared" si="153"/>
        <v>0.14199999999999999</v>
      </c>
      <c r="AB449" s="9">
        <v>11</v>
      </c>
      <c r="AC449" s="9">
        <f t="shared" si="154"/>
        <v>13.2</v>
      </c>
      <c r="AD449" s="9">
        <f t="shared" si="142"/>
        <v>4417.8334199999999</v>
      </c>
      <c r="AE449" s="9">
        <f t="shared" si="155"/>
        <v>8114.6022803999986</v>
      </c>
      <c r="AF449" s="9">
        <f t="shared" si="143"/>
        <v>6115.4500000000007</v>
      </c>
      <c r="AG449" s="9">
        <f t="shared" si="144"/>
        <v>-1697.6165800000008</v>
      </c>
      <c r="AH449" s="9">
        <f t="shared" si="156"/>
        <v>1999.1522803999978</v>
      </c>
      <c r="AI449">
        <f t="shared" si="145"/>
        <v>-0.38426450674095375</v>
      </c>
      <c r="AJ449" s="5">
        <f t="shared" si="146"/>
        <v>44928</v>
      </c>
      <c r="AK449" t="str">
        <f t="shared" si="147"/>
        <v>Jan-2023</v>
      </c>
      <c r="AL449">
        <v>0</v>
      </c>
      <c r="AM449">
        <v>0</v>
      </c>
      <c r="AN449">
        <v>0</v>
      </c>
    </row>
    <row r="450" spans="1:40" x14ac:dyDescent="0.45">
      <c r="A450" s="3" t="s">
        <v>192</v>
      </c>
      <c r="B450" s="5">
        <v>45157</v>
      </c>
      <c r="C450" s="9" t="str">
        <f t="shared" ref="C450:C513" si="157">TEXT(B450,"MMM-YYYY")</f>
        <v>Aug-2023</v>
      </c>
      <c r="D450" s="5" t="str">
        <f t="shared" ref="D450:D513" si="158">YEAR(B450)&amp; "-Q"&amp;ROUNDUP(MONTH(B450)/3,0)</f>
        <v>2023-Q3</v>
      </c>
      <c r="E450" s="5">
        <v>45161</v>
      </c>
      <c r="F450" s="9">
        <f t="shared" si="148"/>
        <v>4</v>
      </c>
      <c r="G450" s="9" t="str">
        <f t="shared" si="149"/>
        <v>ACHIEVED</v>
      </c>
      <c r="H450" s="3" t="s">
        <v>640</v>
      </c>
      <c r="I450" s="3" t="s">
        <v>645</v>
      </c>
      <c r="J450" s="3" t="s">
        <v>663</v>
      </c>
      <c r="K450" s="13" t="str">
        <f t="shared" si="150"/>
        <v>Africa &gt; Nigeria &gt; Abuja</v>
      </c>
      <c r="L450" s="3" t="s">
        <v>699</v>
      </c>
      <c r="M450" s="3" t="s">
        <v>702</v>
      </c>
      <c r="N450" s="13" t="str">
        <f t="shared" ref="N450:N513" si="159">IF(ISBLANK(M450),"Unknown",M450)</f>
        <v>Online</v>
      </c>
      <c r="O450" s="3" t="s">
        <v>707</v>
      </c>
      <c r="P450" s="3" t="s">
        <v>726</v>
      </c>
      <c r="Q450" s="13" t="str">
        <f t="shared" ref="Q450:Q513" si="160">IF(U450&lt;=$AM$2,"Low",IF(U450&lt;=$AM$3,"Medium","High"))</f>
        <v>Medium</v>
      </c>
      <c r="R450" s="3" t="s">
        <v>911</v>
      </c>
      <c r="S450" s="7">
        <v>790.63</v>
      </c>
      <c r="T450" s="7">
        <f t="shared" si="151"/>
        <v>909.22449999999992</v>
      </c>
      <c r="U450" s="7">
        <v>1382.31</v>
      </c>
      <c r="V450" s="7">
        <f t="shared" ref="V450:V513" si="161">IF(U450&lt;0,"",U450)</f>
        <v>1382.31</v>
      </c>
      <c r="W450" s="7">
        <f t="shared" si="152"/>
        <v>1589.6564999999998</v>
      </c>
      <c r="X450" s="16">
        <v>0.10100000000000001</v>
      </c>
      <c r="Y450" t="str">
        <f t="shared" ref="Y450:Y513" si="162">IF(X450&gt;0.3,"Excess dis","OK")</f>
        <v>OK</v>
      </c>
      <c r="Z450" s="16">
        <f t="shared" ref="Z450:Z513" si="163">IF(X450&gt;0.3,0.3,X450)</f>
        <v>0.10100000000000001</v>
      </c>
      <c r="AA450" s="16">
        <f t="shared" si="153"/>
        <v>0.10100000000000001</v>
      </c>
      <c r="AB450" s="9">
        <v>7</v>
      </c>
      <c r="AC450" s="9">
        <f t="shared" si="154"/>
        <v>8.4</v>
      </c>
      <c r="AD450" s="9">
        <f t="shared" ref="AD450:AD513" si="164">V450*AB450*(1-Z450)</f>
        <v>8698.8768300000011</v>
      </c>
      <c r="AE450" s="9">
        <f t="shared" si="155"/>
        <v>14701.779174599998</v>
      </c>
      <c r="AF450" s="9">
        <f t="shared" ref="AF450:AF513" si="165">S450*AB450</f>
        <v>5534.41</v>
      </c>
      <c r="AG450" s="9">
        <f t="shared" ref="AG450:AG513" si="166">AD450-AF450</f>
        <v>3164.4668300000012</v>
      </c>
      <c r="AH450" s="9">
        <f t="shared" si="156"/>
        <v>9167.3691745999986</v>
      </c>
      <c r="AI450">
        <f t="shared" ref="AI450:AI513" si="167">IF(AD450=0,0,AG450/AD450)</f>
        <v>0.36377878338116448</v>
      </c>
      <c r="AJ450" s="5">
        <f t="shared" ref="AJ450:AJ513" si="168">MIN(IF($I$2:$I$632=I450, $B$2:$B$632))</f>
        <v>44928</v>
      </c>
      <c r="AK450" t="str">
        <f t="shared" ref="AK450:AK513" si="169">TEXT(AJ450,"MMM-YYYY")</f>
        <v>Jan-2023</v>
      </c>
      <c r="AL450">
        <v>0</v>
      </c>
      <c r="AM450">
        <v>0</v>
      </c>
      <c r="AN450">
        <v>0</v>
      </c>
    </row>
    <row r="451" spans="1:40" x14ac:dyDescent="0.45">
      <c r="A451" s="3" t="s">
        <v>193</v>
      </c>
      <c r="B451" s="5">
        <v>45587</v>
      </c>
      <c r="C451" s="9" t="str">
        <f t="shared" si="157"/>
        <v>Oct-2024</v>
      </c>
      <c r="D451" s="5" t="str">
        <f t="shared" si="158"/>
        <v>2024-Q4</v>
      </c>
      <c r="E451" s="5">
        <v>45594</v>
      </c>
      <c r="F451" s="9">
        <f t="shared" ref="F451:F514" si="170">E451-B451</f>
        <v>7</v>
      </c>
      <c r="G451" s="9" t="str">
        <f t="shared" ref="G451:G514" si="171">IF(F451&lt;=7,"ACHIEVED","NOT ACHIEVED")</f>
        <v>ACHIEVED</v>
      </c>
      <c r="H451" s="3" t="s">
        <v>640</v>
      </c>
      <c r="I451" s="3" t="s">
        <v>645</v>
      </c>
      <c r="J451" s="3" t="s">
        <v>657</v>
      </c>
      <c r="K451" s="13" t="str">
        <f t="shared" ref="K451:K514" si="172">H451&amp;" &gt; "&amp;I451&amp;" &gt; "&amp;J451</f>
        <v>Africa &gt; Nigeria &gt; Port Harcourt</v>
      </c>
      <c r="L451" s="3" t="s">
        <v>700</v>
      </c>
      <c r="M451" s="3" t="s">
        <v>704</v>
      </c>
      <c r="N451" s="13" t="str">
        <f t="shared" si="159"/>
        <v>Distributor</v>
      </c>
      <c r="O451" s="3" t="s">
        <v>718</v>
      </c>
      <c r="P451" s="3" t="s">
        <v>726</v>
      </c>
      <c r="Q451" s="13" t="str">
        <f t="shared" si="160"/>
        <v>Medium</v>
      </c>
      <c r="R451" s="3" t="s">
        <v>912</v>
      </c>
      <c r="S451" s="7">
        <v>1023.06</v>
      </c>
      <c r="T451" s="7">
        <f t="shared" ref="T451:T514" si="173">S451*(1+$AM$6)</f>
        <v>1176.5189999999998</v>
      </c>
      <c r="U451" s="7">
        <v>1355.61</v>
      </c>
      <c r="V451" s="7">
        <f t="shared" si="161"/>
        <v>1355.61</v>
      </c>
      <c r="W451" s="7">
        <f t="shared" ref="W451:W514" si="174">V451*(1+$AM$6)</f>
        <v>1558.9514999999997</v>
      </c>
      <c r="X451" s="16">
        <v>0.153</v>
      </c>
      <c r="Y451" t="str">
        <f t="shared" si="162"/>
        <v>OK</v>
      </c>
      <c r="Z451" s="16">
        <f t="shared" si="163"/>
        <v>0.153</v>
      </c>
      <c r="AA451" s="16">
        <f t="shared" ref="AA451:AA514" si="175">MIN(Z451,$AM$5)</f>
        <v>0.153</v>
      </c>
      <c r="AB451" s="9">
        <v>23</v>
      </c>
      <c r="AC451" s="9">
        <f t="shared" ref="AC451:AC514" si="176">AB451*(1+$AM$7)</f>
        <v>27.599999999999998</v>
      </c>
      <c r="AD451" s="9">
        <f t="shared" si="164"/>
        <v>26408.63841</v>
      </c>
      <c r="AE451" s="9">
        <f t="shared" ref="AE451:AE514" si="177">W451*AC451*(1+AA451)</f>
        <v>49610.20179419998</v>
      </c>
      <c r="AF451" s="9">
        <f t="shared" si="165"/>
        <v>23530.379999999997</v>
      </c>
      <c r="AG451" s="9">
        <f t="shared" si="166"/>
        <v>2878.2584100000022</v>
      </c>
      <c r="AH451" s="9">
        <f t="shared" ref="AH451:AH514" si="178">AE451-AF451</f>
        <v>26079.821794199983</v>
      </c>
      <c r="AI451">
        <f t="shared" si="167"/>
        <v>0.10898927711888809</v>
      </c>
      <c r="AJ451" s="5">
        <f t="shared" si="168"/>
        <v>44928</v>
      </c>
      <c r="AK451" t="str">
        <f t="shared" si="169"/>
        <v>Jan-2023</v>
      </c>
      <c r="AL451">
        <v>0</v>
      </c>
      <c r="AM451">
        <v>0</v>
      </c>
      <c r="AN451">
        <v>0</v>
      </c>
    </row>
    <row r="452" spans="1:40" x14ac:dyDescent="0.45">
      <c r="A452" s="3" t="s">
        <v>217</v>
      </c>
      <c r="B452" s="5">
        <v>45859</v>
      </c>
      <c r="C452" s="9" t="str">
        <f t="shared" si="157"/>
        <v>Jul-2025</v>
      </c>
      <c r="D452" s="5" t="str">
        <f t="shared" si="158"/>
        <v>2025-Q3</v>
      </c>
      <c r="E452" s="5">
        <v>45876</v>
      </c>
      <c r="F452" s="9">
        <f t="shared" si="170"/>
        <v>17</v>
      </c>
      <c r="G452" s="9" t="str">
        <f t="shared" si="171"/>
        <v>NOT ACHIEVED</v>
      </c>
      <c r="H452" s="3" t="s">
        <v>640</v>
      </c>
      <c r="I452" s="3" t="s">
        <v>645</v>
      </c>
      <c r="J452" s="3" t="s">
        <v>659</v>
      </c>
      <c r="K452" s="13" t="str">
        <f t="shared" si="172"/>
        <v>Africa &gt; Nigeria &gt; Lagos</v>
      </c>
      <c r="L452" s="3" t="s">
        <v>700</v>
      </c>
      <c r="M452" s="3" t="s">
        <v>705</v>
      </c>
      <c r="N452" s="13" t="str">
        <f t="shared" si="159"/>
        <v>Direct</v>
      </c>
      <c r="O452" s="3" t="s">
        <v>718</v>
      </c>
      <c r="P452" s="3" t="s">
        <v>727</v>
      </c>
      <c r="Q452" s="13" t="str">
        <f t="shared" si="160"/>
        <v>High</v>
      </c>
      <c r="R452" s="3" t="s">
        <v>936</v>
      </c>
      <c r="S452" s="7">
        <v>1204.95</v>
      </c>
      <c r="T452" s="7">
        <f t="shared" si="173"/>
        <v>1385.6924999999999</v>
      </c>
      <c r="U452" s="7">
        <v>2065.73</v>
      </c>
      <c r="V452" s="7">
        <f t="shared" si="161"/>
        <v>2065.73</v>
      </c>
      <c r="W452" s="7">
        <f t="shared" si="174"/>
        <v>2375.5895</v>
      </c>
      <c r="X452" s="16">
        <v>0.13600000000000001</v>
      </c>
      <c r="Y452" t="str">
        <f t="shared" si="162"/>
        <v>OK</v>
      </c>
      <c r="Z452" s="16">
        <f t="shared" si="163"/>
        <v>0.13600000000000001</v>
      </c>
      <c r="AA452" s="16">
        <f t="shared" si="175"/>
        <v>0.13600000000000001</v>
      </c>
      <c r="AB452" s="9">
        <v>10</v>
      </c>
      <c r="AC452" s="9">
        <f t="shared" si="176"/>
        <v>12</v>
      </c>
      <c r="AD452" s="9">
        <f t="shared" si="164"/>
        <v>17847.907199999998</v>
      </c>
      <c r="AE452" s="9">
        <f t="shared" si="177"/>
        <v>32384.036064000004</v>
      </c>
      <c r="AF452" s="9">
        <f t="shared" si="165"/>
        <v>12049.5</v>
      </c>
      <c r="AG452" s="9">
        <f t="shared" si="166"/>
        <v>5798.4071999999978</v>
      </c>
      <c r="AH452" s="9">
        <f t="shared" si="178"/>
        <v>20334.536064000004</v>
      </c>
      <c r="AI452">
        <f t="shared" si="167"/>
        <v>0.32487882949100039</v>
      </c>
      <c r="AJ452" s="5">
        <f t="shared" si="168"/>
        <v>44928</v>
      </c>
      <c r="AK452" t="str">
        <f t="shared" si="169"/>
        <v>Jan-2023</v>
      </c>
      <c r="AL452">
        <v>0</v>
      </c>
      <c r="AM452">
        <v>0</v>
      </c>
      <c r="AN452">
        <v>0</v>
      </c>
    </row>
    <row r="453" spans="1:40" x14ac:dyDescent="0.45">
      <c r="A453" s="3" t="s">
        <v>240</v>
      </c>
      <c r="B453" s="5">
        <v>45538</v>
      </c>
      <c r="C453" s="9" t="str">
        <f t="shared" si="157"/>
        <v>Sep-2024</v>
      </c>
      <c r="D453" s="5" t="str">
        <f t="shared" si="158"/>
        <v>2024-Q3</v>
      </c>
      <c r="E453" s="5">
        <v>45543</v>
      </c>
      <c r="F453" s="9">
        <f t="shared" si="170"/>
        <v>5</v>
      </c>
      <c r="G453" s="9" t="str">
        <f t="shared" si="171"/>
        <v>ACHIEVED</v>
      </c>
      <c r="H453" s="3" t="s">
        <v>640</v>
      </c>
      <c r="I453" s="3" t="s">
        <v>645</v>
      </c>
      <c r="J453" s="3" t="s">
        <v>659</v>
      </c>
      <c r="K453" s="13" t="str">
        <f t="shared" si="172"/>
        <v>Africa &gt; Nigeria &gt; Lagos</v>
      </c>
      <c r="L453" s="3" t="s">
        <v>699</v>
      </c>
      <c r="M453" s="3" t="s">
        <v>705</v>
      </c>
      <c r="N453" s="13" t="str">
        <f t="shared" si="159"/>
        <v>Direct</v>
      </c>
      <c r="O453" s="3" t="s">
        <v>717</v>
      </c>
      <c r="P453" s="3" t="s">
        <v>722</v>
      </c>
      <c r="Q453" s="13" t="str">
        <f t="shared" si="160"/>
        <v>Low</v>
      </c>
      <c r="R453" s="3" t="s">
        <v>959</v>
      </c>
      <c r="S453" s="7">
        <v>197.63</v>
      </c>
      <c r="T453" s="7">
        <f t="shared" si="173"/>
        <v>227.27449999999999</v>
      </c>
      <c r="U453" s="7">
        <v>325.79000000000002</v>
      </c>
      <c r="V453" s="7">
        <f t="shared" si="161"/>
        <v>325.79000000000002</v>
      </c>
      <c r="W453" s="7">
        <f t="shared" si="174"/>
        <v>374.6585</v>
      </c>
      <c r="X453" s="16">
        <v>0.11600000000000001</v>
      </c>
      <c r="Y453" t="str">
        <f t="shared" si="162"/>
        <v>OK</v>
      </c>
      <c r="Z453" s="16">
        <f t="shared" si="163"/>
        <v>0.11600000000000001</v>
      </c>
      <c r="AA453" s="16">
        <f t="shared" si="175"/>
        <v>0.11600000000000001</v>
      </c>
      <c r="AB453" s="9">
        <v>10</v>
      </c>
      <c r="AC453" s="9">
        <f t="shared" si="176"/>
        <v>12</v>
      </c>
      <c r="AD453" s="9">
        <f t="shared" si="164"/>
        <v>2879.9836</v>
      </c>
      <c r="AE453" s="9">
        <f t="shared" si="177"/>
        <v>5017.4266320000006</v>
      </c>
      <c r="AF453" s="9">
        <f t="shared" si="165"/>
        <v>1976.3</v>
      </c>
      <c r="AG453" s="9">
        <f t="shared" si="166"/>
        <v>903.68360000000007</v>
      </c>
      <c r="AH453" s="9">
        <f t="shared" si="178"/>
        <v>3041.1266320000004</v>
      </c>
      <c r="AI453">
        <f t="shared" si="167"/>
        <v>0.31378081458519419</v>
      </c>
      <c r="AJ453" s="5">
        <f t="shared" si="168"/>
        <v>44928</v>
      </c>
      <c r="AK453" t="str">
        <f t="shared" si="169"/>
        <v>Jan-2023</v>
      </c>
      <c r="AL453">
        <v>0</v>
      </c>
      <c r="AM453">
        <v>0</v>
      </c>
      <c r="AN453">
        <v>0</v>
      </c>
    </row>
    <row r="454" spans="1:40" x14ac:dyDescent="0.45">
      <c r="A454" s="3" t="s">
        <v>253</v>
      </c>
      <c r="B454" s="5">
        <v>45357</v>
      </c>
      <c r="C454" s="9" t="str">
        <f t="shared" si="157"/>
        <v>Mar-2024</v>
      </c>
      <c r="D454" s="5" t="str">
        <f t="shared" si="158"/>
        <v>2024-Q1</v>
      </c>
      <c r="E454" s="5">
        <v>45377</v>
      </c>
      <c r="F454" s="9">
        <f t="shared" si="170"/>
        <v>20</v>
      </c>
      <c r="G454" s="9" t="str">
        <f t="shared" si="171"/>
        <v>NOT ACHIEVED</v>
      </c>
      <c r="H454" s="3" t="s">
        <v>640</v>
      </c>
      <c r="I454" s="3" t="s">
        <v>645</v>
      </c>
      <c r="J454" s="3" t="s">
        <v>657</v>
      </c>
      <c r="K454" s="13" t="str">
        <f t="shared" si="172"/>
        <v>Africa &gt; Nigeria &gt; Port Harcourt</v>
      </c>
      <c r="L454" s="3" t="s">
        <v>698</v>
      </c>
      <c r="M454" s="3" t="s">
        <v>703</v>
      </c>
      <c r="N454" s="13" t="str">
        <f t="shared" si="159"/>
        <v>Marketplace</v>
      </c>
      <c r="O454" s="3" t="s">
        <v>708</v>
      </c>
      <c r="P454" s="3" t="s">
        <v>724</v>
      </c>
      <c r="Q454" s="13" t="str">
        <f t="shared" si="160"/>
        <v>Low</v>
      </c>
      <c r="R454" s="3" t="s">
        <v>972</v>
      </c>
      <c r="S454" s="7">
        <v>65.64</v>
      </c>
      <c r="T454" s="7">
        <f t="shared" si="173"/>
        <v>75.48599999999999</v>
      </c>
      <c r="U454" s="7">
        <v>151.88</v>
      </c>
      <c r="V454" s="7">
        <f t="shared" si="161"/>
        <v>151.88</v>
      </c>
      <c r="W454" s="7">
        <f t="shared" si="174"/>
        <v>174.66199999999998</v>
      </c>
      <c r="X454" s="16">
        <v>0.16700000000000001</v>
      </c>
      <c r="Y454" t="str">
        <f t="shared" si="162"/>
        <v>OK</v>
      </c>
      <c r="Z454" s="16">
        <f t="shared" si="163"/>
        <v>0.16700000000000001</v>
      </c>
      <c r="AA454" s="16">
        <f t="shared" si="175"/>
        <v>0.16700000000000001</v>
      </c>
      <c r="AB454" s="9">
        <v>23</v>
      </c>
      <c r="AC454" s="9">
        <f t="shared" si="176"/>
        <v>27.599999999999998</v>
      </c>
      <c r="AD454" s="9">
        <f t="shared" si="164"/>
        <v>2909.8689199999999</v>
      </c>
      <c r="AE454" s="9">
        <f t="shared" si="177"/>
        <v>5625.7232903999984</v>
      </c>
      <c r="AF454" s="9">
        <f t="shared" si="165"/>
        <v>1509.72</v>
      </c>
      <c r="AG454" s="9">
        <f t="shared" si="166"/>
        <v>1400.1489199999999</v>
      </c>
      <c r="AH454" s="9">
        <f t="shared" si="178"/>
        <v>4116.0032903999981</v>
      </c>
      <c r="AI454">
        <f t="shared" si="167"/>
        <v>0.48117250587356353</v>
      </c>
      <c r="AJ454" s="5">
        <f t="shared" si="168"/>
        <v>44928</v>
      </c>
      <c r="AK454" t="str">
        <f t="shared" si="169"/>
        <v>Jan-2023</v>
      </c>
      <c r="AL454">
        <v>0</v>
      </c>
      <c r="AM454">
        <v>0</v>
      </c>
      <c r="AN454">
        <v>0</v>
      </c>
    </row>
    <row r="455" spans="1:40" x14ac:dyDescent="0.45">
      <c r="A455" s="3" t="s">
        <v>268</v>
      </c>
      <c r="B455" s="5">
        <v>45066</v>
      </c>
      <c r="C455" s="9" t="str">
        <f t="shared" si="157"/>
        <v>May-2023</v>
      </c>
      <c r="D455" s="5" t="str">
        <f t="shared" si="158"/>
        <v>2023-Q2</v>
      </c>
      <c r="E455" s="5">
        <v>45084</v>
      </c>
      <c r="F455" s="9">
        <f t="shared" si="170"/>
        <v>18</v>
      </c>
      <c r="G455" s="9" t="str">
        <f t="shared" si="171"/>
        <v>NOT ACHIEVED</v>
      </c>
      <c r="H455" s="3" t="s">
        <v>640</v>
      </c>
      <c r="I455" s="3" t="s">
        <v>645</v>
      </c>
      <c r="J455" s="3" t="s">
        <v>657</v>
      </c>
      <c r="K455" s="13" t="str">
        <f t="shared" si="172"/>
        <v>Africa &gt; Nigeria &gt; Port Harcourt</v>
      </c>
      <c r="L455" s="3" t="s">
        <v>700</v>
      </c>
      <c r="M455" s="3" t="s">
        <v>704</v>
      </c>
      <c r="N455" s="13" t="str">
        <f t="shared" si="159"/>
        <v>Distributor</v>
      </c>
      <c r="O455" s="3" t="s">
        <v>712</v>
      </c>
      <c r="P455" s="3" t="s">
        <v>721</v>
      </c>
      <c r="Q455" s="13" t="str">
        <f t="shared" si="160"/>
        <v>High</v>
      </c>
      <c r="R455" s="3" t="s">
        <v>987</v>
      </c>
      <c r="S455" s="7">
        <v>1120.06</v>
      </c>
      <c r="T455" s="7">
        <f t="shared" si="173"/>
        <v>1288.0689999999997</v>
      </c>
      <c r="U455" s="7">
        <v>2068.21</v>
      </c>
      <c r="V455" s="7">
        <f t="shared" si="161"/>
        <v>2068.21</v>
      </c>
      <c r="W455" s="7">
        <f t="shared" si="174"/>
        <v>2378.4414999999999</v>
      </c>
      <c r="X455" s="16">
        <v>7.8E-2</v>
      </c>
      <c r="Y455" t="str">
        <f t="shared" si="162"/>
        <v>OK</v>
      </c>
      <c r="Z455" s="16">
        <f t="shared" si="163"/>
        <v>7.8E-2</v>
      </c>
      <c r="AA455" s="16">
        <f t="shared" si="175"/>
        <v>7.8E-2</v>
      </c>
      <c r="AB455" s="9">
        <v>12</v>
      </c>
      <c r="AC455" s="9">
        <f t="shared" si="176"/>
        <v>14.399999999999999</v>
      </c>
      <c r="AD455" s="9">
        <f t="shared" si="164"/>
        <v>22882.675440000003</v>
      </c>
      <c r="AE455" s="9">
        <f t="shared" si="177"/>
        <v>36921.023092799995</v>
      </c>
      <c r="AF455" s="9">
        <f t="shared" si="165"/>
        <v>13440.72</v>
      </c>
      <c r="AG455" s="9">
        <f t="shared" si="166"/>
        <v>9441.9554400000034</v>
      </c>
      <c r="AH455" s="9">
        <f t="shared" si="178"/>
        <v>23480.303092799993</v>
      </c>
      <c r="AI455">
        <f t="shared" si="167"/>
        <v>0.41262462795303284</v>
      </c>
      <c r="AJ455" s="5">
        <f t="shared" si="168"/>
        <v>44928</v>
      </c>
      <c r="AK455" t="str">
        <f t="shared" si="169"/>
        <v>Jan-2023</v>
      </c>
      <c r="AL455">
        <v>0</v>
      </c>
      <c r="AM455">
        <v>0</v>
      </c>
      <c r="AN455">
        <v>0</v>
      </c>
    </row>
    <row r="456" spans="1:40" x14ac:dyDescent="0.45">
      <c r="A456" s="3" t="s">
        <v>272</v>
      </c>
      <c r="B456" s="5">
        <v>45763</v>
      </c>
      <c r="C456" s="9" t="str">
        <f t="shared" si="157"/>
        <v>Apr-2025</v>
      </c>
      <c r="D456" s="5" t="str">
        <f t="shared" si="158"/>
        <v>2025-Q2</v>
      </c>
      <c r="E456" s="5">
        <v>45773</v>
      </c>
      <c r="F456" s="9">
        <f t="shared" si="170"/>
        <v>10</v>
      </c>
      <c r="G456" s="9" t="str">
        <f t="shared" si="171"/>
        <v>NOT ACHIEVED</v>
      </c>
      <c r="H456" s="3" t="s">
        <v>640</v>
      </c>
      <c r="I456" s="3" t="s">
        <v>645</v>
      </c>
      <c r="J456" s="3" t="s">
        <v>657</v>
      </c>
      <c r="K456" s="13" t="str">
        <f t="shared" si="172"/>
        <v>Africa &gt; Nigeria &gt; Port Harcourt</v>
      </c>
      <c r="L456" s="3" t="s">
        <v>700</v>
      </c>
      <c r="M456" s="3" t="s">
        <v>703</v>
      </c>
      <c r="N456" s="13" t="str">
        <f t="shared" si="159"/>
        <v>Marketplace</v>
      </c>
      <c r="O456" s="3" t="s">
        <v>715</v>
      </c>
      <c r="P456" s="3" t="s">
        <v>725</v>
      </c>
      <c r="Q456" s="13" t="str">
        <f t="shared" si="160"/>
        <v>High</v>
      </c>
      <c r="R456" s="3" t="s">
        <v>991</v>
      </c>
      <c r="S456" s="7">
        <v>1457.44</v>
      </c>
      <c r="T456" s="7">
        <f t="shared" si="173"/>
        <v>1676.056</v>
      </c>
      <c r="U456" s="7">
        <v>1996.81</v>
      </c>
      <c r="V456" s="7">
        <f t="shared" si="161"/>
        <v>1996.81</v>
      </c>
      <c r="W456" s="7">
        <f t="shared" si="174"/>
        <v>2296.3314999999998</v>
      </c>
      <c r="X456" s="16">
        <v>0.126</v>
      </c>
      <c r="Y456" t="str">
        <f t="shared" si="162"/>
        <v>OK</v>
      </c>
      <c r="Z456" s="16">
        <f t="shared" si="163"/>
        <v>0.126</v>
      </c>
      <c r="AA456" s="16">
        <f t="shared" si="175"/>
        <v>0.126</v>
      </c>
      <c r="AB456" s="9">
        <v>23</v>
      </c>
      <c r="AC456" s="9">
        <f t="shared" si="176"/>
        <v>27.599999999999998</v>
      </c>
      <c r="AD456" s="9">
        <f t="shared" si="164"/>
        <v>40139.874619999995</v>
      </c>
      <c r="AE456" s="9">
        <f t="shared" si="177"/>
        <v>71364.471824399981</v>
      </c>
      <c r="AF456" s="9">
        <f t="shared" si="165"/>
        <v>33521.120000000003</v>
      </c>
      <c r="AG456" s="9">
        <f t="shared" si="166"/>
        <v>6618.7546199999924</v>
      </c>
      <c r="AH456" s="9">
        <f t="shared" si="178"/>
        <v>37843.351824399979</v>
      </c>
      <c r="AI456">
        <f t="shared" si="167"/>
        <v>0.16489225944672353</v>
      </c>
      <c r="AJ456" s="5">
        <f t="shared" si="168"/>
        <v>44928</v>
      </c>
      <c r="AK456" t="str">
        <f t="shared" si="169"/>
        <v>Jan-2023</v>
      </c>
      <c r="AL456">
        <v>0</v>
      </c>
      <c r="AM456">
        <v>0</v>
      </c>
      <c r="AN456">
        <v>0</v>
      </c>
    </row>
    <row r="457" spans="1:40" x14ac:dyDescent="0.45">
      <c r="A457" s="3" t="s">
        <v>275</v>
      </c>
      <c r="B457" s="5">
        <v>45053</v>
      </c>
      <c r="C457" s="9" t="str">
        <f t="shared" si="157"/>
        <v>May-2023</v>
      </c>
      <c r="D457" s="5" t="str">
        <f t="shared" si="158"/>
        <v>2023-Q2</v>
      </c>
      <c r="E457" s="5">
        <v>45058</v>
      </c>
      <c r="F457" s="9">
        <f t="shared" si="170"/>
        <v>5</v>
      </c>
      <c r="G457" s="9" t="str">
        <f t="shared" si="171"/>
        <v>ACHIEVED</v>
      </c>
      <c r="H457" s="3" t="s">
        <v>640</v>
      </c>
      <c r="I457" s="3" t="s">
        <v>645</v>
      </c>
      <c r="J457" s="3" t="s">
        <v>657</v>
      </c>
      <c r="K457" s="13" t="str">
        <f t="shared" si="172"/>
        <v>Africa &gt; Nigeria &gt; Port Harcourt</v>
      </c>
      <c r="L457" s="3" t="s">
        <v>697</v>
      </c>
      <c r="M457" s="3" t="s">
        <v>703</v>
      </c>
      <c r="N457" s="13" t="str">
        <f t="shared" si="159"/>
        <v>Marketplace</v>
      </c>
      <c r="O457" s="3" t="s">
        <v>714</v>
      </c>
      <c r="P457" s="3" t="s">
        <v>721</v>
      </c>
      <c r="Q457" s="13" t="str">
        <f t="shared" si="160"/>
        <v>High</v>
      </c>
      <c r="R457" s="3" t="s">
        <v>994</v>
      </c>
      <c r="S457" s="7">
        <v>1269.6500000000001</v>
      </c>
      <c r="T457" s="7">
        <f t="shared" si="173"/>
        <v>1460.0975000000001</v>
      </c>
      <c r="U457" s="7">
        <v>2462.77</v>
      </c>
      <c r="V457" s="7">
        <f t="shared" si="161"/>
        <v>2462.77</v>
      </c>
      <c r="W457" s="7">
        <f t="shared" si="174"/>
        <v>2832.1854999999996</v>
      </c>
      <c r="X457" s="16">
        <v>0.107</v>
      </c>
      <c r="Y457" t="str">
        <f t="shared" si="162"/>
        <v>OK</v>
      </c>
      <c r="Z457" s="16">
        <f t="shared" si="163"/>
        <v>0.107</v>
      </c>
      <c r="AA457" s="16">
        <f t="shared" si="175"/>
        <v>0.107</v>
      </c>
      <c r="AB457" s="9">
        <v>8</v>
      </c>
      <c r="AC457" s="9">
        <f t="shared" si="176"/>
        <v>9.6</v>
      </c>
      <c r="AD457" s="9">
        <f t="shared" si="164"/>
        <v>17594.028880000002</v>
      </c>
      <c r="AE457" s="9">
        <f t="shared" si="177"/>
        <v>30098.201745599992</v>
      </c>
      <c r="AF457" s="9">
        <f t="shared" si="165"/>
        <v>10157.200000000001</v>
      </c>
      <c r="AG457" s="9">
        <f t="shared" si="166"/>
        <v>7436.8288800000009</v>
      </c>
      <c r="AH457" s="9">
        <f t="shared" si="178"/>
        <v>19941.001745599991</v>
      </c>
      <c r="AI457">
        <f t="shared" si="167"/>
        <v>0.42269050089225502</v>
      </c>
      <c r="AJ457" s="5">
        <f t="shared" si="168"/>
        <v>44928</v>
      </c>
      <c r="AK457" t="str">
        <f t="shared" si="169"/>
        <v>Jan-2023</v>
      </c>
      <c r="AL457">
        <v>0</v>
      </c>
      <c r="AM457">
        <v>0</v>
      </c>
      <c r="AN457">
        <v>0</v>
      </c>
    </row>
    <row r="458" spans="1:40" x14ac:dyDescent="0.45">
      <c r="A458" s="3" t="s">
        <v>298</v>
      </c>
      <c r="B458" s="5">
        <v>45897</v>
      </c>
      <c r="C458" s="9" t="str">
        <f t="shared" si="157"/>
        <v>Aug-2025</v>
      </c>
      <c r="D458" s="5" t="str">
        <f t="shared" si="158"/>
        <v>2025-Q3</v>
      </c>
      <c r="E458" s="5">
        <v>45902</v>
      </c>
      <c r="F458" s="9">
        <f t="shared" si="170"/>
        <v>5</v>
      </c>
      <c r="G458" s="9" t="str">
        <f t="shared" si="171"/>
        <v>ACHIEVED</v>
      </c>
      <c r="H458" s="3" t="s">
        <v>640</v>
      </c>
      <c r="I458" s="3" t="s">
        <v>645</v>
      </c>
      <c r="J458" s="3" t="s">
        <v>657</v>
      </c>
      <c r="K458" s="13" t="str">
        <f t="shared" si="172"/>
        <v>Africa &gt; Nigeria &gt; Port Harcourt</v>
      </c>
      <c r="L458" s="3" t="s">
        <v>699</v>
      </c>
      <c r="M458" s="3" t="s">
        <v>701</v>
      </c>
      <c r="N458" s="13" t="str">
        <f t="shared" si="159"/>
        <v>Retail</v>
      </c>
      <c r="O458" s="3" t="s">
        <v>714</v>
      </c>
      <c r="P458" s="3" t="s">
        <v>727</v>
      </c>
      <c r="Q458" s="13" t="str">
        <f t="shared" si="160"/>
        <v>Medium</v>
      </c>
      <c r="R458" s="3" t="s">
        <v>1017</v>
      </c>
      <c r="S458" s="7">
        <v>521.05999999999995</v>
      </c>
      <c r="T458" s="7">
        <f t="shared" si="173"/>
        <v>599.21899999999994</v>
      </c>
      <c r="U458" s="7">
        <v>1240.31</v>
      </c>
      <c r="V458" s="7">
        <f t="shared" si="161"/>
        <v>1240.31</v>
      </c>
      <c r="W458" s="7">
        <f t="shared" si="174"/>
        <v>1426.3564999999999</v>
      </c>
      <c r="X458" s="16">
        <v>0.14599999999999999</v>
      </c>
      <c r="Y458" t="str">
        <f t="shared" si="162"/>
        <v>OK</v>
      </c>
      <c r="Z458" s="16">
        <f t="shared" si="163"/>
        <v>0.14599999999999999</v>
      </c>
      <c r="AA458" s="16">
        <f t="shared" si="175"/>
        <v>0.14599999999999999</v>
      </c>
      <c r="AB458" s="9">
        <v>18</v>
      </c>
      <c r="AC458" s="9">
        <f t="shared" si="176"/>
        <v>21.599999999999998</v>
      </c>
      <c r="AD458" s="9">
        <f t="shared" si="164"/>
        <v>19066.045319999997</v>
      </c>
      <c r="AE458" s="9">
        <f t="shared" si="177"/>
        <v>35307.458258399987</v>
      </c>
      <c r="AF458" s="9">
        <f t="shared" si="165"/>
        <v>9379.0799999999981</v>
      </c>
      <c r="AG458" s="9">
        <f t="shared" si="166"/>
        <v>9686.9653199999993</v>
      </c>
      <c r="AH458" s="9">
        <f t="shared" si="178"/>
        <v>25928.378258399989</v>
      </c>
      <c r="AI458">
        <f t="shared" si="167"/>
        <v>0.50807417885650974</v>
      </c>
      <c r="AJ458" s="5">
        <f t="shared" si="168"/>
        <v>44928</v>
      </c>
      <c r="AK458" t="str">
        <f t="shared" si="169"/>
        <v>Jan-2023</v>
      </c>
      <c r="AL458">
        <v>0</v>
      </c>
      <c r="AM458">
        <v>0</v>
      </c>
      <c r="AN458">
        <v>0</v>
      </c>
    </row>
    <row r="459" spans="1:40" x14ac:dyDescent="0.45">
      <c r="A459" s="3" t="s">
        <v>314</v>
      </c>
      <c r="B459" s="5">
        <v>45741</v>
      </c>
      <c r="C459" s="9" t="str">
        <f t="shared" si="157"/>
        <v>Mar-2025</v>
      </c>
      <c r="D459" s="5" t="str">
        <f t="shared" si="158"/>
        <v>2025-Q1</v>
      </c>
      <c r="E459" s="5">
        <v>45742</v>
      </c>
      <c r="F459" s="9">
        <f t="shared" si="170"/>
        <v>1</v>
      </c>
      <c r="G459" s="9" t="str">
        <f t="shared" si="171"/>
        <v>ACHIEVED</v>
      </c>
      <c r="H459" s="3" t="s">
        <v>640</v>
      </c>
      <c r="I459" s="3" t="s">
        <v>645</v>
      </c>
      <c r="J459" s="3" t="s">
        <v>659</v>
      </c>
      <c r="K459" s="13" t="str">
        <f t="shared" si="172"/>
        <v>Africa &gt; Nigeria &gt; Lagos</v>
      </c>
      <c r="L459" s="3" t="s">
        <v>696</v>
      </c>
      <c r="M459" s="3" t="s">
        <v>704</v>
      </c>
      <c r="N459" s="13" t="str">
        <f t="shared" si="159"/>
        <v>Distributor</v>
      </c>
      <c r="O459" s="3" t="s">
        <v>709</v>
      </c>
      <c r="P459" s="3" t="s">
        <v>727</v>
      </c>
      <c r="Q459" s="13" t="str">
        <f t="shared" si="160"/>
        <v>High</v>
      </c>
      <c r="R459" s="3" t="s">
        <v>1033</v>
      </c>
      <c r="S459" s="7">
        <v>1450.43</v>
      </c>
      <c r="T459" s="7">
        <f t="shared" si="173"/>
        <v>1667.9945</v>
      </c>
      <c r="U459" s="7">
        <v>1994.67</v>
      </c>
      <c r="V459" s="7">
        <f t="shared" si="161"/>
        <v>1994.67</v>
      </c>
      <c r="W459" s="7">
        <f t="shared" si="174"/>
        <v>2293.8705</v>
      </c>
      <c r="X459" s="16">
        <v>0.1</v>
      </c>
      <c r="Y459" t="str">
        <f t="shared" si="162"/>
        <v>OK</v>
      </c>
      <c r="Z459" s="16">
        <f t="shared" si="163"/>
        <v>0.1</v>
      </c>
      <c r="AA459" s="16">
        <f t="shared" si="175"/>
        <v>0.1</v>
      </c>
      <c r="AB459" s="9">
        <v>24</v>
      </c>
      <c r="AC459" s="9">
        <f t="shared" si="176"/>
        <v>28.799999999999997</v>
      </c>
      <c r="AD459" s="9">
        <f t="shared" si="164"/>
        <v>43084.872000000003</v>
      </c>
      <c r="AE459" s="9">
        <f t="shared" si="177"/>
        <v>72669.817439999999</v>
      </c>
      <c r="AF459" s="9">
        <f t="shared" si="165"/>
        <v>34810.32</v>
      </c>
      <c r="AG459" s="9">
        <f t="shared" si="166"/>
        <v>8274.5520000000033</v>
      </c>
      <c r="AH459" s="9">
        <f t="shared" si="178"/>
        <v>37859.497439999999</v>
      </c>
      <c r="AI459">
        <f t="shared" si="167"/>
        <v>0.19205237513529116</v>
      </c>
      <c r="AJ459" s="5">
        <f t="shared" si="168"/>
        <v>44928</v>
      </c>
      <c r="AK459" t="str">
        <f t="shared" si="169"/>
        <v>Jan-2023</v>
      </c>
      <c r="AL459">
        <v>0</v>
      </c>
      <c r="AM459">
        <v>0</v>
      </c>
      <c r="AN459">
        <v>0</v>
      </c>
    </row>
    <row r="460" spans="1:40" x14ac:dyDescent="0.45">
      <c r="A460" s="3" t="s">
        <v>346</v>
      </c>
      <c r="B460" s="5">
        <v>45132</v>
      </c>
      <c r="C460" s="9" t="str">
        <f t="shared" si="157"/>
        <v>Jul-2023</v>
      </c>
      <c r="D460" s="5" t="str">
        <f t="shared" si="158"/>
        <v>2023-Q3</v>
      </c>
      <c r="E460" s="5">
        <v>45148</v>
      </c>
      <c r="F460" s="9">
        <f t="shared" si="170"/>
        <v>16</v>
      </c>
      <c r="G460" s="9" t="str">
        <f t="shared" si="171"/>
        <v>NOT ACHIEVED</v>
      </c>
      <c r="H460" s="3" t="s">
        <v>640</v>
      </c>
      <c r="I460" s="3" t="s">
        <v>645</v>
      </c>
      <c r="J460" s="3" t="s">
        <v>657</v>
      </c>
      <c r="K460" s="13" t="str">
        <f t="shared" si="172"/>
        <v>Africa &gt; Nigeria &gt; Port Harcourt</v>
      </c>
      <c r="L460" s="3" t="s">
        <v>695</v>
      </c>
      <c r="M460" s="3" t="s">
        <v>704</v>
      </c>
      <c r="N460" s="13" t="str">
        <f t="shared" si="159"/>
        <v>Distributor</v>
      </c>
      <c r="O460" s="3" t="s">
        <v>708</v>
      </c>
      <c r="P460" s="3" t="s">
        <v>727</v>
      </c>
      <c r="Q460" s="13" t="str">
        <f t="shared" si="160"/>
        <v>Low</v>
      </c>
      <c r="R460" s="3" t="s">
        <v>1065</v>
      </c>
      <c r="S460" s="7">
        <v>506.83</v>
      </c>
      <c r="T460" s="7">
        <f t="shared" si="173"/>
        <v>582.85449999999992</v>
      </c>
      <c r="U460" s="7">
        <v>441.74</v>
      </c>
      <c r="V460" s="7">
        <f t="shared" si="161"/>
        <v>441.74</v>
      </c>
      <c r="W460" s="7">
        <f t="shared" si="174"/>
        <v>508.00099999999998</v>
      </c>
      <c r="X460" s="16">
        <v>0.24</v>
      </c>
      <c r="Y460" t="str">
        <f t="shared" si="162"/>
        <v>OK</v>
      </c>
      <c r="Z460" s="16">
        <f t="shared" si="163"/>
        <v>0.24</v>
      </c>
      <c r="AA460" s="16">
        <f t="shared" si="175"/>
        <v>0.24</v>
      </c>
      <c r="AB460" s="9">
        <v>9</v>
      </c>
      <c r="AC460" s="9">
        <f t="shared" si="176"/>
        <v>10.799999999999999</v>
      </c>
      <c r="AD460" s="9">
        <f t="shared" si="164"/>
        <v>3021.5016000000001</v>
      </c>
      <c r="AE460" s="9">
        <f t="shared" si="177"/>
        <v>6803.1493919999994</v>
      </c>
      <c r="AF460" s="9">
        <f t="shared" si="165"/>
        <v>4561.47</v>
      </c>
      <c r="AG460" s="9">
        <f t="shared" si="166"/>
        <v>-1539.9684000000002</v>
      </c>
      <c r="AH460" s="9">
        <f t="shared" si="178"/>
        <v>2241.6793919999991</v>
      </c>
      <c r="AI460">
        <f t="shared" si="167"/>
        <v>-0.50966989393618067</v>
      </c>
      <c r="AJ460" s="5">
        <f t="shared" si="168"/>
        <v>44928</v>
      </c>
      <c r="AK460" t="str">
        <f t="shared" si="169"/>
        <v>Jan-2023</v>
      </c>
      <c r="AL460">
        <v>0</v>
      </c>
      <c r="AM460">
        <v>0</v>
      </c>
      <c r="AN460">
        <v>0</v>
      </c>
    </row>
    <row r="461" spans="1:40" x14ac:dyDescent="0.45">
      <c r="A461" s="3" t="s">
        <v>355</v>
      </c>
      <c r="B461" s="5">
        <v>45050</v>
      </c>
      <c r="C461" s="9" t="str">
        <f t="shared" si="157"/>
        <v>May-2023</v>
      </c>
      <c r="D461" s="5" t="str">
        <f t="shared" si="158"/>
        <v>2023-Q2</v>
      </c>
      <c r="E461" s="5">
        <v>45062</v>
      </c>
      <c r="F461" s="9">
        <f t="shared" si="170"/>
        <v>12</v>
      </c>
      <c r="G461" s="9" t="str">
        <f t="shared" si="171"/>
        <v>NOT ACHIEVED</v>
      </c>
      <c r="H461" s="3" t="s">
        <v>640</v>
      </c>
      <c r="I461" s="3" t="s">
        <v>645</v>
      </c>
      <c r="J461" s="3" t="s">
        <v>663</v>
      </c>
      <c r="K461" s="13" t="str">
        <f t="shared" si="172"/>
        <v>Africa &gt; Nigeria &gt; Abuja</v>
      </c>
      <c r="L461" s="3" t="s">
        <v>699</v>
      </c>
      <c r="M461" s="3" t="s">
        <v>703</v>
      </c>
      <c r="N461" s="13" t="str">
        <f t="shared" si="159"/>
        <v>Marketplace</v>
      </c>
      <c r="O461" s="3" t="s">
        <v>707</v>
      </c>
      <c r="P461" s="3" t="s">
        <v>724</v>
      </c>
      <c r="Q461" s="13" t="str">
        <f t="shared" si="160"/>
        <v>Low</v>
      </c>
      <c r="R461" s="3" t="s">
        <v>1074</v>
      </c>
      <c r="S461" s="7">
        <v>77.739999999999995</v>
      </c>
      <c r="T461" s="7">
        <f t="shared" si="173"/>
        <v>89.400999999999982</v>
      </c>
      <c r="U461" s="7">
        <v>147.12</v>
      </c>
      <c r="V461" s="7">
        <f t="shared" si="161"/>
        <v>147.12</v>
      </c>
      <c r="W461" s="7">
        <f t="shared" si="174"/>
        <v>169.18799999999999</v>
      </c>
      <c r="X461" s="16">
        <v>0</v>
      </c>
      <c r="Y461" t="str">
        <f t="shared" si="162"/>
        <v>OK</v>
      </c>
      <c r="Z461" s="16">
        <f t="shared" si="163"/>
        <v>0</v>
      </c>
      <c r="AA461" s="16">
        <f t="shared" si="175"/>
        <v>0</v>
      </c>
      <c r="AB461" s="9">
        <v>15</v>
      </c>
      <c r="AC461" s="9">
        <f t="shared" si="176"/>
        <v>18</v>
      </c>
      <c r="AD461" s="9">
        <f t="shared" si="164"/>
        <v>2206.8000000000002</v>
      </c>
      <c r="AE461" s="9">
        <f t="shared" si="177"/>
        <v>3045.384</v>
      </c>
      <c r="AF461" s="9">
        <f t="shared" si="165"/>
        <v>1166.0999999999999</v>
      </c>
      <c r="AG461" s="9">
        <f t="shared" si="166"/>
        <v>1040.7000000000003</v>
      </c>
      <c r="AH461" s="9">
        <f t="shared" si="178"/>
        <v>1879.2840000000001</v>
      </c>
      <c r="AI461">
        <f t="shared" si="167"/>
        <v>0.47158781946710177</v>
      </c>
      <c r="AJ461" s="5">
        <f t="shared" si="168"/>
        <v>44928</v>
      </c>
      <c r="AK461" t="str">
        <f t="shared" si="169"/>
        <v>Jan-2023</v>
      </c>
      <c r="AL461">
        <v>0</v>
      </c>
      <c r="AM461">
        <v>0</v>
      </c>
      <c r="AN461">
        <v>0</v>
      </c>
    </row>
    <row r="462" spans="1:40" x14ac:dyDescent="0.45">
      <c r="A462" s="3" t="s">
        <v>356</v>
      </c>
      <c r="B462" s="5">
        <v>45281</v>
      </c>
      <c r="C462" s="9" t="str">
        <f t="shared" si="157"/>
        <v>Dec-2023</v>
      </c>
      <c r="D462" s="5" t="str">
        <f t="shared" si="158"/>
        <v>2023-Q4</v>
      </c>
      <c r="E462" s="5">
        <v>45297</v>
      </c>
      <c r="F462" s="9">
        <f t="shared" si="170"/>
        <v>16</v>
      </c>
      <c r="G462" s="9" t="str">
        <f t="shared" si="171"/>
        <v>NOT ACHIEVED</v>
      </c>
      <c r="H462" s="3" t="s">
        <v>640</v>
      </c>
      <c r="I462" s="3" t="s">
        <v>645</v>
      </c>
      <c r="J462" s="3" t="s">
        <v>1444</v>
      </c>
      <c r="K462" s="13" t="str">
        <f t="shared" si="172"/>
        <v>Africa &gt; Nigeria &gt; Unkown</v>
      </c>
      <c r="L462" s="3" t="s">
        <v>695</v>
      </c>
      <c r="M462" s="3" t="s">
        <v>703</v>
      </c>
      <c r="N462" s="13" t="str">
        <f t="shared" si="159"/>
        <v>Marketplace</v>
      </c>
      <c r="O462" s="3" t="s">
        <v>717</v>
      </c>
      <c r="P462" s="3" t="s">
        <v>721</v>
      </c>
      <c r="Q462" s="13" t="str">
        <f t="shared" si="160"/>
        <v>High</v>
      </c>
      <c r="R462" s="3" t="s">
        <v>1075</v>
      </c>
      <c r="S462" s="7">
        <v>932.61</v>
      </c>
      <c r="T462" s="7">
        <f t="shared" si="173"/>
        <v>1072.5014999999999</v>
      </c>
      <c r="U462" s="7">
        <v>1982.98</v>
      </c>
      <c r="V462" s="7">
        <f t="shared" si="161"/>
        <v>1982.98</v>
      </c>
      <c r="W462" s="7">
        <f t="shared" si="174"/>
        <v>2280.4269999999997</v>
      </c>
      <c r="X462" s="16">
        <v>0.14399999999999999</v>
      </c>
      <c r="Y462" t="str">
        <f t="shared" si="162"/>
        <v>OK</v>
      </c>
      <c r="Z462" s="16">
        <f t="shared" si="163"/>
        <v>0.14399999999999999</v>
      </c>
      <c r="AA462" s="16">
        <f t="shared" si="175"/>
        <v>0.14399999999999999</v>
      </c>
      <c r="AB462" s="9">
        <v>16</v>
      </c>
      <c r="AC462" s="9">
        <f t="shared" si="176"/>
        <v>19.2</v>
      </c>
      <c r="AD462" s="9">
        <f t="shared" si="164"/>
        <v>27158.894079999998</v>
      </c>
      <c r="AE462" s="9">
        <f t="shared" si="177"/>
        <v>50089.122969599986</v>
      </c>
      <c r="AF462" s="9">
        <f t="shared" si="165"/>
        <v>14921.76</v>
      </c>
      <c r="AG462" s="9">
        <f t="shared" si="166"/>
        <v>12237.134079999998</v>
      </c>
      <c r="AH462" s="9">
        <f t="shared" si="178"/>
        <v>35167.362969599984</v>
      </c>
      <c r="AI462">
        <f t="shared" si="167"/>
        <v>0.45057556629345635</v>
      </c>
      <c r="AJ462" s="5">
        <f t="shared" si="168"/>
        <v>44928</v>
      </c>
      <c r="AK462" t="str">
        <f t="shared" si="169"/>
        <v>Jan-2023</v>
      </c>
      <c r="AL462">
        <v>0</v>
      </c>
      <c r="AM462">
        <v>0</v>
      </c>
      <c r="AN462">
        <v>0</v>
      </c>
    </row>
    <row r="463" spans="1:40" x14ac:dyDescent="0.45">
      <c r="A463" s="3" t="s">
        <v>360</v>
      </c>
      <c r="B463" s="5">
        <v>45121</v>
      </c>
      <c r="C463" s="9" t="str">
        <f t="shared" si="157"/>
        <v>Jul-2023</v>
      </c>
      <c r="D463" s="5" t="str">
        <f t="shared" si="158"/>
        <v>2023-Q3</v>
      </c>
      <c r="E463" s="5">
        <v>45121</v>
      </c>
      <c r="F463" s="9">
        <f t="shared" si="170"/>
        <v>0</v>
      </c>
      <c r="G463" s="9" t="str">
        <f t="shared" si="171"/>
        <v>ACHIEVED</v>
      </c>
      <c r="H463" s="3" t="s">
        <v>640</v>
      </c>
      <c r="I463" s="3" t="s">
        <v>645</v>
      </c>
      <c r="J463" s="3" t="s">
        <v>659</v>
      </c>
      <c r="K463" s="13" t="str">
        <f t="shared" si="172"/>
        <v>Africa &gt; Nigeria &gt; Lagos</v>
      </c>
      <c r="L463" s="3" t="s">
        <v>696</v>
      </c>
      <c r="M463" s="3" t="s">
        <v>701</v>
      </c>
      <c r="N463" s="13" t="str">
        <f t="shared" si="159"/>
        <v>Retail</v>
      </c>
      <c r="O463" s="3" t="s">
        <v>708</v>
      </c>
      <c r="P463" s="3" t="s">
        <v>727</v>
      </c>
      <c r="Q463" s="13" t="str">
        <f t="shared" si="160"/>
        <v>Medium</v>
      </c>
      <c r="R463" s="3" t="s">
        <v>1079</v>
      </c>
      <c r="S463" s="7">
        <v>956.38</v>
      </c>
      <c r="T463" s="7">
        <f t="shared" si="173"/>
        <v>1099.837</v>
      </c>
      <c r="U463" s="7">
        <v>1454.22</v>
      </c>
      <c r="V463" s="7">
        <f t="shared" si="161"/>
        <v>1454.22</v>
      </c>
      <c r="W463" s="7">
        <f t="shared" si="174"/>
        <v>1672.3529999999998</v>
      </c>
      <c r="X463" s="16">
        <v>3.9E-2</v>
      </c>
      <c r="Y463" t="str">
        <f t="shared" si="162"/>
        <v>OK</v>
      </c>
      <c r="Z463" s="16">
        <f t="shared" si="163"/>
        <v>3.9E-2</v>
      </c>
      <c r="AA463" s="16">
        <f t="shared" si="175"/>
        <v>3.9E-2</v>
      </c>
      <c r="AB463" s="9">
        <v>19</v>
      </c>
      <c r="AC463" s="9">
        <f t="shared" si="176"/>
        <v>22.8</v>
      </c>
      <c r="AD463" s="9">
        <f t="shared" si="164"/>
        <v>26552.60298</v>
      </c>
      <c r="AE463" s="9">
        <f t="shared" si="177"/>
        <v>39616.704687599995</v>
      </c>
      <c r="AF463" s="9">
        <f t="shared" si="165"/>
        <v>18171.22</v>
      </c>
      <c r="AG463" s="9">
        <f t="shared" si="166"/>
        <v>8381.3829799999985</v>
      </c>
      <c r="AH463" s="9">
        <f t="shared" si="178"/>
        <v>21445.484687599994</v>
      </c>
      <c r="AI463">
        <f t="shared" si="167"/>
        <v>0.31565202802576603</v>
      </c>
      <c r="AJ463" s="5">
        <f t="shared" si="168"/>
        <v>44928</v>
      </c>
      <c r="AK463" t="str">
        <f t="shared" si="169"/>
        <v>Jan-2023</v>
      </c>
      <c r="AL463">
        <v>0</v>
      </c>
      <c r="AM463">
        <v>0</v>
      </c>
      <c r="AN463">
        <v>0</v>
      </c>
    </row>
    <row r="464" spans="1:40" x14ac:dyDescent="0.45">
      <c r="A464" s="3" t="s">
        <v>370</v>
      </c>
      <c r="B464" s="5">
        <v>45108</v>
      </c>
      <c r="C464" s="9" t="str">
        <f t="shared" si="157"/>
        <v>Jul-2023</v>
      </c>
      <c r="D464" s="5" t="str">
        <f t="shared" si="158"/>
        <v>2023-Q3</v>
      </c>
      <c r="E464" s="5">
        <v>45115</v>
      </c>
      <c r="F464" s="9">
        <f t="shared" si="170"/>
        <v>7</v>
      </c>
      <c r="G464" s="9" t="str">
        <f t="shared" si="171"/>
        <v>ACHIEVED</v>
      </c>
      <c r="H464" s="3" t="s">
        <v>640</v>
      </c>
      <c r="I464" s="3" t="s">
        <v>645</v>
      </c>
      <c r="J464" s="3" t="s">
        <v>657</v>
      </c>
      <c r="K464" s="13" t="str">
        <f t="shared" si="172"/>
        <v>Africa &gt; Nigeria &gt; Port Harcourt</v>
      </c>
      <c r="L464" s="3" t="s">
        <v>695</v>
      </c>
      <c r="M464" s="3" t="s">
        <v>701</v>
      </c>
      <c r="N464" s="13" t="str">
        <f t="shared" si="159"/>
        <v>Retail</v>
      </c>
      <c r="O464" s="3" t="s">
        <v>714</v>
      </c>
      <c r="P464" s="3" t="s">
        <v>725</v>
      </c>
      <c r="Q464" s="13" t="str">
        <f t="shared" si="160"/>
        <v>High</v>
      </c>
      <c r="R464" s="3" t="s">
        <v>1089</v>
      </c>
      <c r="S464" s="7">
        <v>834.26</v>
      </c>
      <c r="T464" s="7">
        <f t="shared" si="173"/>
        <v>959.39899999999989</v>
      </c>
      <c r="U464" s="7">
        <v>1780.56</v>
      </c>
      <c r="V464" s="7">
        <f t="shared" si="161"/>
        <v>1780.56</v>
      </c>
      <c r="W464" s="7">
        <f t="shared" si="174"/>
        <v>2047.6439999999998</v>
      </c>
      <c r="X464" s="16">
        <v>1.4E-2</v>
      </c>
      <c r="Y464" t="str">
        <f t="shared" si="162"/>
        <v>OK</v>
      </c>
      <c r="Z464" s="16">
        <f t="shared" si="163"/>
        <v>1.4E-2</v>
      </c>
      <c r="AA464" s="16">
        <f t="shared" si="175"/>
        <v>1.4E-2</v>
      </c>
      <c r="AB464" s="9">
        <v>47</v>
      </c>
      <c r="AC464" s="9">
        <f t="shared" si="176"/>
        <v>56.4</v>
      </c>
      <c r="AD464" s="9">
        <f t="shared" si="164"/>
        <v>82514.711519999997</v>
      </c>
      <c r="AE464" s="9">
        <f t="shared" si="177"/>
        <v>117103.94130239998</v>
      </c>
      <c r="AF464" s="9">
        <f t="shared" si="165"/>
        <v>39210.22</v>
      </c>
      <c r="AG464" s="9">
        <f t="shared" si="166"/>
        <v>43304.491519999996</v>
      </c>
      <c r="AH464" s="9">
        <f t="shared" si="178"/>
        <v>77893.721302399979</v>
      </c>
      <c r="AI464">
        <f t="shared" si="167"/>
        <v>0.5248093427497933</v>
      </c>
      <c r="AJ464" s="5">
        <f t="shared" si="168"/>
        <v>44928</v>
      </c>
      <c r="AK464" t="str">
        <f t="shared" si="169"/>
        <v>Jan-2023</v>
      </c>
      <c r="AL464">
        <v>0</v>
      </c>
      <c r="AM464">
        <v>0</v>
      </c>
      <c r="AN464">
        <v>0</v>
      </c>
    </row>
    <row r="465" spans="1:40" x14ac:dyDescent="0.45">
      <c r="A465" s="3" t="s">
        <v>380</v>
      </c>
      <c r="B465" s="5">
        <v>45022</v>
      </c>
      <c r="C465" s="9" t="str">
        <f t="shared" si="157"/>
        <v>Apr-2023</v>
      </c>
      <c r="D465" s="5" t="str">
        <f t="shared" si="158"/>
        <v>2023-Q2</v>
      </c>
      <c r="E465" s="5">
        <v>45024</v>
      </c>
      <c r="F465" s="9">
        <f t="shared" si="170"/>
        <v>2</v>
      </c>
      <c r="G465" s="9" t="str">
        <f t="shared" si="171"/>
        <v>ACHIEVED</v>
      </c>
      <c r="H465" s="3" t="s">
        <v>640</v>
      </c>
      <c r="I465" s="3" t="s">
        <v>645</v>
      </c>
      <c r="J465" s="3" t="s">
        <v>663</v>
      </c>
      <c r="K465" s="13" t="str">
        <f t="shared" si="172"/>
        <v>Africa &gt; Nigeria &gt; Abuja</v>
      </c>
      <c r="L465" s="3" t="s">
        <v>699</v>
      </c>
      <c r="M465" s="3" t="s">
        <v>703</v>
      </c>
      <c r="N465" s="13" t="str">
        <f t="shared" si="159"/>
        <v>Marketplace</v>
      </c>
      <c r="O465" s="3" t="s">
        <v>717</v>
      </c>
      <c r="P465" s="3" t="s">
        <v>726</v>
      </c>
      <c r="Q465" s="13" t="str">
        <f t="shared" si="160"/>
        <v>Medium</v>
      </c>
      <c r="R465" s="3" t="s">
        <v>1099</v>
      </c>
      <c r="S465" s="7">
        <v>720.35</v>
      </c>
      <c r="T465" s="7">
        <f t="shared" si="173"/>
        <v>828.40249999999992</v>
      </c>
      <c r="U465" s="7">
        <v>1571.66</v>
      </c>
      <c r="V465" s="7">
        <f t="shared" si="161"/>
        <v>1571.66</v>
      </c>
      <c r="W465" s="7">
        <f t="shared" si="174"/>
        <v>1807.4089999999999</v>
      </c>
      <c r="X465" s="16">
        <v>0.107</v>
      </c>
      <c r="Y465" t="str">
        <f t="shared" si="162"/>
        <v>OK</v>
      </c>
      <c r="Z465" s="16">
        <f t="shared" si="163"/>
        <v>0.107</v>
      </c>
      <c r="AA465" s="16">
        <f t="shared" si="175"/>
        <v>0.107</v>
      </c>
      <c r="AB465" s="9">
        <v>23</v>
      </c>
      <c r="AC465" s="9">
        <f t="shared" si="176"/>
        <v>27.599999999999998</v>
      </c>
      <c r="AD465" s="9">
        <f t="shared" si="164"/>
        <v>32280.32474</v>
      </c>
      <c r="AE465" s="9">
        <f t="shared" si="177"/>
        <v>55222.128658799993</v>
      </c>
      <c r="AF465" s="9">
        <f t="shared" si="165"/>
        <v>16568.05</v>
      </c>
      <c r="AG465" s="9">
        <f t="shared" si="166"/>
        <v>15712.274740000001</v>
      </c>
      <c r="AH465" s="9">
        <f t="shared" si="178"/>
        <v>38654.07865879999</v>
      </c>
      <c r="AI465">
        <f t="shared" si="167"/>
        <v>0.4867446305622265</v>
      </c>
      <c r="AJ465" s="5">
        <f t="shared" si="168"/>
        <v>44928</v>
      </c>
      <c r="AK465" t="str">
        <f t="shared" si="169"/>
        <v>Jan-2023</v>
      </c>
      <c r="AL465">
        <v>0</v>
      </c>
      <c r="AM465">
        <v>0</v>
      </c>
      <c r="AN465">
        <v>0</v>
      </c>
    </row>
    <row r="466" spans="1:40" x14ac:dyDescent="0.45">
      <c r="A466" s="3" t="s">
        <v>395</v>
      </c>
      <c r="B466" s="5">
        <v>45419</v>
      </c>
      <c r="C466" s="9" t="str">
        <f t="shared" si="157"/>
        <v>May-2024</v>
      </c>
      <c r="D466" s="5" t="str">
        <f t="shared" si="158"/>
        <v>2024-Q2</v>
      </c>
      <c r="E466" s="5">
        <v>45424</v>
      </c>
      <c r="F466" s="9">
        <f t="shared" si="170"/>
        <v>5</v>
      </c>
      <c r="G466" s="9" t="str">
        <f t="shared" si="171"/>
        <v>ACHIEVED</v>
      </c>
      <c r="H466" s="3" t="s">
        <v>640</v>
      </c>
      <c r="I466" s="3" t="s">
        <v>645</v>
      </c>
      <c r="J466" s="3" t="s">
        <v>663</v>
      </c>
      <c r="K466" s="13" t="str">
        <f t="shared" si="172"/>
        <v>Africa &gt; Nigeria &gt; Abuja</v>
      </c>
      <c r="L466" s="3" t="s">
        <v>697</v>
      </c>
      <c r="M466" s="3" t="s">
        <v>704</v>
      </c>
      <c r="N466" s="13" t="str">
        <f t="shared" si="159"/>
        <v>Distributor</v>
      </c>
      <c r="O466" s="3" t="s">
        <v>710</v>
      </c>
      <c r="P466" s="3" t="s">
        <v>725</v>
      </c>
      <c r="Q466" s="13" t="str">
        <f t="shared" si="160"/>
        <v>Medium</v>
      </c>
      <c r="R466" s="3" t="s">
        <v>1113</v>
      </c>
      <c r="S466" s="7">
        <v>1163.99</v>
      </c>
      <c r="T466" s="7">
        <f t="shared" si="173"/>
        <v>1338.5884999999998</v>
      </c>
      <c r="U466" s="7">
        <v>1617.85</v>
      </c>
      <c r="V466" s="7">
        <f t="shared" si="161"/>
        <v>1617.85</v>
      </c>
      <c r="W466" s="7">
        <f t="shared" si="174"/>
        <v>1860.5274999999997</v>
      </c>
      <c r="X466" s="16">
        <v>0.127</v>
      </c>
      <c r="Y466" t="str">
        <f t="shared" si="162"/>
        <v>OK</v>
      </c>
      <c r="Z466" s="16">
        <f t="shared" si="163"/>
        <v>0.127</v>
      </c>
      <c r="AA466" s="16">
        <f t="shared" si="175"/>
        <v>0.127</v>
      </c>
      <c r="AB466" s="9">
        <v>14</v>
      </c>
      <c r="AC466" s="9">
        <f t="shared" si="176"/>
        <v>16.8</v>
      </c>
      <c r="AD466" s="9">
        <f t="shared" si="164"/>
        <v>19773.362699999998</v>
      </c>
      <c r="AE466" s="9">
        <f t="shared" si="177"/>
        <v>35226.483474000001</v>
      </c>
      <c r="AF466" s="9">
        <f t="shared" si="165"/>
        <v>16295.86</v>
      </c>
      <c r="AG466" s="9">
        <f t="shared" si="166"/>
        <v>3477.5026999999973</v>
      </c>
      <c r="AH466" s="9">
        <f t="shared" si="178"/>
        <v>18930.623474</v>
      </c>
      <c r="AI466">
        <f t="shared" si="167"/>
        <v>0.17586804797749436</v>
      </c>
      <c r="AJ466" s="5">
        <f t="shared" si="168"/>
        <v>44928</v>
      </c>
      <c r="AK466" t="str">
        <f t="shared" si="169"/>
        <v>Jan-2023</v>
      </c>
      <c r="AL466">
        <v>0</v>
      </c>
      <c r="AM466">
        <v>0</v>
      </c>
      <c r="AN466">
        <v>0</v>
      </c>
    </row>
    <row r="467" spans="1:40" x14ac:dyDescent="0.45">
      <c r="A467" s="3" t="s">
        <v>415</v>
      </c>
      <c r="B467" s="5">
        <v>45709</v>
      </c>
      <c r="C467" s="9" t="str">
        <f t="shared" si="157"/>
        <v>Feb-2025</v>
      </c>
      <c r="D467" s="5" t="str">
        <f t="shared" si="158"/>
        <v>2025-Q1</v>
      </c>
      <c r="E467" s="5">
        <v>45737</v>
      </c>
      <c r="F467" s="9">
        <f t="shared" si="170"/>
        <v>28</v>
      </c>
      <c r="G467" s="9" t="str">
        <f t="shared" si="171"/>
        <v>NOT ACHIEVED</v>
      </c>
      <c r="H467" s="3" t="s">
        <v>640</v>
      </c>
      <c r="I467" s="3" t="s">
        <v>645</v>
      </c>
      <c r="J467" s="3" t="s">
        <v>663</v>
      </c>
      <c r="K467" s="13" t="str">
        <f t="shared" si="172"/>
        <v>Africa &gt; Nigeria &gt; Abuja</v>
      </c>
      <c r="L467" s="3" t="s">
        <v>700</v>
      </c>
      <c r="M467" s="3" t="s">
        <v>703</v>
      </c>
      <c r="N467" s="13" t="str">
        <f t="shared" si="159"/>
        <v>Marketplace</v>
      </c>
      <c r="O467" s="3" t="s">
        <v>708</v>
      </c>
      <c r="P467" s="3" t="s">
        <v>724</v>
      </c>
      <c r="Q467" s="13" t="str">
        <f t="shared" si="160"/>
        <v>Medium</v>
      </c>
      <c r="R467" s="3" t="s">
        <v>1133</v>
      </c>
      <c r="S467" s="7">
        <v>1437.39</v>
      </c>
      <c r="T467" s="7">
        <f t="shared" si="173"/>
        <v>1652.9984999999999</v>
      </c>
      <c r="U467" s="7">
        <v>1388.31</v>
      </c>
      <c r="V467" s="7">
        <f t="shared" si="161"/>
        <v>1388.31</v>
      </c>
      <c r="W467" s="7">
        <f t="shared" si="174"/>
        <v>1596.5564999999999</v>
      </c>
      <c r="X467" s="16">
        <v>0.13800000000000001</v>
      </c>
      <c r="Y467" t="str">
        <f t="shared" si="162"/>
        <v>OK</v>
      </c>
      <c r="Z467" s="16">
        <f t="shared" si="163"/>
        <v>0.13800000000000001</v>
      </c>
      <c r="AA467" s="16">
        <f t="shared" si="175"/>
        <v>0.13800000000000001</v>
      </c>
      <c r="AB467" s="9">
        <v>18</v>
      </c>
      <c r="AC467" s="9">
        <f t="shared" si="176"/>
        <v>21.599999999999998</v>
      </c>
      <c r="AD467" s="9">
        <f t="shared" si="164"/>
        <v>21541.017959999997</v>
      </c>
      <c r="AE467" s="9">
        <f t="shared" si="177"/>
        <v>39244.636015199991</v>
      </c>
      <c r="AF467" s="9">
        <f t="shared" si="165"/>
        <v>25873.02</v>
      </c>
      <c r="AG467" s="9">
        <f t="shared" si="166"/>
        <v>-4332.002040000003</v>
      </c>
      <c r="AH467" s="9">
        <f t="shared" si="178"/>
        <v>13371.61601519999</v>
      </c>
      <c r="AI467">
        <f t="shared" si="167"/>
        <v>-0.20110479681341872</v>
      </c>
      <c r="AJ467" s="5">
        <f t="shared" si="168"/>
        <v>44928</v>
      </c>
      <c r="AK467" t="str">
        <f t="shared" si="169"/>
        <v>Jan-2023</v>
      </c>
      <c r="AL467">
        <v>0</v>
      </c>
      <c r="AM467">
        <v>0</v>
      </c>
      <c r="AN467">
        <v>0</v>
      </c>
    </row>
    <row r="468" spans="1:40" x14ac:dyDescent="0.45">
      <c r="A468" s="3" t="s">
        <v>421</v>
      </c>
      <c r="B468" s="5">
        <v>45163</v>
      </c>
      <c r="C468" s="9" t="str">
        <f t="shared" si="157"/>
        <v>Aug-2023</v>
      </c>
      <c r="D468" s="5" t="str">
        <f t="shared" si="158"/>
        <v>2023-Q3</v>
      </c>
      <c r="E468" s="5">
        <v>45185</v>
      </c>
      <c r="F468" s="9">
        <f t="shared" si="170"/>
        <v>22</v>
      </c>
      <c r="G468" s="9" t="str">
        <f t="shared" si="171"/>
        <v>NOT ACHIEVED</v>
      </c>
      <c r="H468" s="3" t="s">
        <v>640</v>
      </c>
      <c r="I468" s="3" t="s">
        <v>645</v>
      </c>
      <c r="J468" s="3" t="s">
        <v>663</v>
      </c>
      <c r="K468" s="13" t="str">
        <f t="shared" si="172"/>
        <v>Africa &gt; Nigeria &gt; Abuja</v>
      </c>
      <c r="L468" s="3" t="s">
        <v>695</v>
      </c>
      <c r="M468" s="3" t="s">
        <v>703</v>
      </c>
      <c r="N468" s="13" t="str">
        <f t="shared" si="159"/>
        <v>Marketplace</v>
      </c>
      <c r="O468" s="3" t="s">
        <v>710</v>
      </c>
      <c r="P468" s="3" t="s">
        <v>724</v>
      </c>
      <c r="Q468" s="13" t="str">
        <f t="shared" si="160"/>
        <v>High</v>
      </c>
      <c r="R468" s="3" t="s">
        <v>1139</v>
      </c>
      <c r="S468" s="7">
        <v>1196.83</v>
      </c>
      <c r="T468" s="7">
        <f t="shared" si="173"/>
        <v>1376.3544999999999</v>
      </c>
      <c r="U468" s="7">
        <v>2513.5100000000002</v>
      </c>
      <c r="V468" s="7">
        <f t="shared" si="161"/>
        <v>2513.5100000000002</v>
      </c>
      <c r="W468" s="7">
        <f t="shared" si="174"/>
        <v>2890.5365000000002</v>
      </c>
      <c r="X468" s="16">
        <v>8.3000000000000004E-2</v>
      </c>
      <c r="Y468" t="str">
        <f t="shared" si="162"/>
        <v>OK</v>
      </c>
      <c r="Z468" s="16">
        <f t="shared" si="163"/>
        <v>8.3000000000000004E-2</v>
      </c>
      <c r="AA468" s="16">
        <f t="shared" si="175"/>
        <v>8.3000000000000004E-2</v>
      </c>
      <c r="AB468" s="9">
        <v>7</v>
      </c>
      <c r="AC468" s="9">
        <f t="shared" si="176"/>
        <v>8.4</v>
      </c>
      <c r="AD468" s="9">
        <f t="shared" si="164"/>
        <v>16134.22069</v>
      </c>
      <c r="AE468" s="9">
        <f t="shared" si="177"/>
        <v>26295.7886478</v>
      </c>
      <c r="AF468" s="9">
        <f t="shared" si="165"/>
        <v>8377.81</v>
      </c>
      <c r="AG468" s="9">
        <f t="shared" si="166"/>
        <v>7756.4106900000006</v>
      </c>
      <c r="AH468" s="9">
        <f t="shared" si="178"/>
        <v>17917.978647800002</v>
      </c>
      <c r="AI468">
        <f t="shared" si="167"/>
        <v>0.48074281609445374</v>
      </c>
      <c r="AJ468" s="5">
        <f t="shared" si="168"/>
        <v>44928</v>
      </c>
      <c r="AK468" t="str">
        <f t="shared" si="169"/>
        <v>Jan-2023</v>
      </c>
      <c r="AL468">
        <v>0</v>
      </c>
      <c r="AM468">
        <v>0</v>
      </c>
      <c r="AN468">
        <v>0</v>
      </c>
    </row>
    <row r="469" spans="1:40" x14ac:dyDescent="0.45">
      <c r="A469" s="3" t="s">
        <v>430</v>
      </c>
      <c r="B469" s="5">
        <v>45841</v>
      </c>
      <c r="C469" s="9" t="str">
        <f t="shared" si="157"/>
        <v>Jul-2025</v>
      </c>
      <c r="D469" s="5" t="str">
        <f t="shared" si="158"/>
        <v>2025-Q3</v>
      </c>
      <c r="E469" s="5">
        <v>45844</v>
      </c>
      <c r="F469" s="9">
        <f t="shared" si="170"/>
        <v>3</v>
      </c>
      <c r="G469" s="9" t="str">
        <f t="shared" si="171"/>
        <v>ACHIEVED</v>
      </c>
      <c r="H469" s="3" t="s">
        <v>640</v>
      </c>
      <c r="I469" s="3" t="s">
        <v>645</v>
      </c>
      <c r="J469" s="3" t="s">
        <v>659</v>
      </c>
      <c r="K469" s="13" t="str">
        <f t="shared" si="172"/>
        <v>Africa &gt; Nigeria &gt; Lagos</v>
      </c>
      <c r="L469" s="3" t="s">
        <v>698</v>
      </c>
      <c r="M469" s="3" t="s">
        <v>702</v>
      </c>
      <c r="N469" s="13" t="str">
        <f t="shared" si="159"/>
        <v>Online</v>
      </c>
      <c r="O469" s="3" t="s">
        <v>1443</v>
      </c>
      <c r="P469" s="3" t="s">
        <v>725</v>
      </c>
      <c r="Q469" s="13" t="str">
        <f t="shared" si="160"/>
        <v>High</v>
      </c>
      <c r="R469" s="3" t="s">
        <v>1148</v>
      </c>
      <c r="S469" s="7">
        <v>1313.3</v>
      </c>
      <c r="T469" s="7">
        <f t="shared" si="173"/>
        <v>1510.2949999999998</v>
      </c>
      <c r="U469" s="7">
        <v>2884.34</v>
      </c>
      <c r="V469" s="7">
        <f t="shared" si="161"/>
        <v>2884.34</v>
      </c>
      <c r="W469" s="7">
        <f t="shared" si="174"/>
        <v>3316.991</v>
      </c>
      <c r="X469" s="16">
        <v>0.157</v>
      </c>
      <c r="Y469" t="str">
        <f t="shared" si="162"/>
        <v>OK</v>
      </c>
      <c r="Z469" s="16">
        <f t="shared" si="163"/>
        <v>0.157</v>
      </c>
      <c r="AA469" s="16">
        <f t="shared" si="175"/>
        <v>0.157</v>
      </c>
      <c r="AB469" s="9">
        <v>42</v>
      </c>
      <c r="AC469" s="9">
        <f t="shared" si="176"/>
        <v>50.4</v>
      </c>
      <c r="AD469" s="9">
        <f t="shared" si="164"/>
        <v>102122.94203999999</v>
      </c>
      <c r="AE469" s="9">
        <f t="shared" si="177"/>
        <v>193423.03278479999</v>
      </c>
      <c r="AF469" s="9">
        <f t="shared" si="165"/>
        <v>55158.6</v>
      </c>
      <c r="AG469" s="9">
        <f t="shared" si="166"/>
        <v>46964.342039999996</v>
      </c>
      <c r="AH469" s="9">
        <f t="shared" si="178"/>
        <v>138264.43278479998</v>
      </c>
      <c r="AI469">
        <f t="shared" si="167"/>
        <v>0.45988042551305253</v>
      </c>
      <c r="AJ469" s="5">
        <f t="shared" si="168"/>
        <v>44928</v>
      </c>
      <c r="AK469" t="str">
        <f t="shared" si="169"/>
        <v>Jan-2023</v>
      </c>
      <c r="AL469">
        <v>0</v>
      </c>
      <c r="AM469">
        <v>0</v>
      </c>
      <c r="AN469">
        <v>0</v>
      </c>
    </row>
    <row r="470" spans="1:40" x14ac:dyDescent="0.45">
      <c r="A470" s="3" t="s">
        <v>434</v>
      </c>
      <c r="B470" s="5">
        <v>45897</v>
      </c>
      <c r="C470" s="9" t="str">
        <f t="shared" si="157"/>
        <v>Aug-2025</v>
      </c>
      <c r="D470" s="5" t="str">
        <f t="shared" si="158"/>
        <v>2025-Q3</v>
      </c>
      <c r="E470" s="5">
        <v>45905</v>
      </c>
      <c r="F470" s="9">
        <f t="shared" si="170"/>
        <v>8</v>
      </c>
      <c r="G470" s="9" t="str">
        <f t="shared" si="171"/>
        <v>NOT ACHIEVED</v>
      </c>
      <c r="H470" s="3" t="s">
        <v>640</v>
      </c>
      <c r="I470" s="3" t="s">
        <v>645</v>
      </c>
      <c r="J470" s="3" t="s">
        <v>657</v>
      </c>
      <c r="K470" s="13" t="str">
        <f t="shared" si="172"/>
        <v>Africa &gt; Nigeria &gt; Port Harcourt</v>
      </c>
      <c r="L470" s="3" t="s">
        <v>699</v>
      </c>
      <c r="M470" s="3" t="s">
        <v>703</v>
      </c>
      <c r="N470" s="13" t="str">
        <f t="shared" si="159"/>
        <v>Marketplace</v>
      </c>
      <c r="O470" s="3" t="s">
        <v>712</v>
      </c>
      <c r="P470" s="3" t="s">
        <v>725</v>
      </c>
      <c r="Q470" s="13" t="str">
        <f t="shared" si="160"/>
        <v>High</v>
      </c>
      <c r="R470" s="3" t="s">
        <v>1152</v>
      </c>
      <c r="S470" s="7">
        <v>1271.0999999999999</v>
      </c>
      <c r="T470" s="7">
        <f t="shared" si="173"/>
        <v>1461.7649999999999</v>
      </c>
      <c r="U470" s="7">
        <v>1932.42</v>
      </c>
      <c r="V470" s="7">
        <f t="shared" si="161"/>
        <v>1932.42</v>
      </c>
      <c r="W470" s="7">
        <f t="shared" si="174"/>
        <v>2222.2829999999999</v>
      </c>
      <c r="X470" s="16">
        <v>0.25</v>
      </c>
      <c r="Y470" t="str">
        <f t="shared" si="162"/>
        <v>OK</v>
      </c>
      <c r="Z470" s="16">
        <f t="shared" si="163"/>
        <v>0.25</v>
      </c>
      <c r="AA470" s="16">
        <f t="shared" si="175"/>
        <v>0.25</v>
      </c>
      <c r="AB470" s="9">
        <v>21</v>
      </c>
      <c r="AC470" s="9">
        <f t="shared" si="176"/>
        <v>25.2</v>
      </c>
      <c r="AD470" s="9">
        <f t="shared" si="164"/>
        <v>30435.614999999998</v>
      </c>
      <c r="AE470" s="9">
        <f t="shared" si="177"/>
        <v>70001.914499999999</v>
      </c>
      <c r="AF470" s="9">
        <f t="shared" si="165"/>
        <v>26693.1</v>
      </c>
      <c r="AG470" s="9">
        <f t="shared" si="166"/>
        <v>3742.5149999999994</v>
      </c>
      <c r="AH470" s="9">
        <f t="shared" si="178"/>
        <v>43308.8145</v>
      </c>
      <c r="AI470">
        <f t="shared" si="167"/>
        <v>0.12296498690760807</v>
      </c>
      <c r="AJ470" s="5">
        <f t="shared" si="168"/>
        <v>44928</v>
      </c>
      <c r="AK470" t="str">
        <f t="shared" si="169"/>
        <v>Jan-2023</v>
      </c>
      <c r="AL470">
        <v>0</v>
      </c>
      <c r="AM470">
        <v>0</v>
      </c>
      <c r="AN470">
        <v>0</v>
      </c>
    </row>
    <row r="471" spans="1:40" x14ac:dyDescent="0.45">
      <c r="A471" s="3" t="s">
        <v>441</v>
      </c>
      <c r="B471" s="5">
        <v>45636</v>
      </c>
      <c r="C471" s="9" t="str">
        <f t="shared" si="157"/>
        <v>Dec-2024</v>
      </c>
      <c r="D471" s="5" t="str">
        <f t="shared" si="158"/>
        <v>2024-Q4</v>
      </c>
      <c r="E471" s="5">
        <v>45645</v>
      </c>
      <c r="F471" s="9">
        <f t="shared" si="170"/>
        <v>9</v>
      </c>
      <c r="G471" s="9" t="str">
        <f t="shared" si="171"/>
        <v>NOT ACHIEVED</v>
      </c>
      <c r="H471" s="3" t="s">
        <v>640</v>
      </c>
      <c r="I471" s="3" t="s">
        <v>645</v>
      </c>
      <c r="J471" s="3" t="s">
        <v>659</v>
      </c>
      <c r="K471" s="13" t="str">
        <f t="shared" si="172"/>
        <v>Africa &gt; Nigeria &gt; Lagos</v>
      </c>
      <c r="L471" s="3" t="s">
        <v>695</v>
      </c>
      <c r="M471" s="3" t="s">
        <v>701</v>
      </c>
      <c r="N471" s="13" t="str">
        <f t="shared" si="159"/>
        <v>Retail</v>
      </c>
      <c r="O471" s="3" t="s">
        <v>713</v>
      </c>
      <c r="P471" s="3" t="s">
        <v>726</v>
      </c>
      <c r="Q471" s="13" t="str">
        <f t="shared" si="160"/>
        <v>Medium</v>
      </c>
      <c r="R471" s="3" t="s">
        <v>1159</v>
      </c>
      <c r="S471" s="7">
        <v>488.68</v>
      </c>
      <c r="T471" s="7">
        <f t="shared" si="173"/>
        <v>561.98199999999997</v>
      </c>
      <c r="U471" s="7">
        <v>984.36</v>
      </c>
      <c r="V471" s="7">
        <f t="shared" si="161"/>
        <v>984.36</v>
      </c>
      <c r="W471" s="7">
        <f t="shared" si="174"/>
        <v>1132.0139999999999</v>
      </c>
      <c r="X471" s="16">
        <v>5.8999999999999997E-2</v>
      </c>
      <c r="Y471" t="str">
        <f t="shared" si="162"/>
        <v>OK</v>
      </c>
      <c r="Z471" s="16">
        <f t="shared" si="163"/>
        <v>5.8999999999999997E-2</v>
      </c>
      <c r="AA471" s="16">
        <f t="shared" si="175"/>
        <v>5.8999999999999997E-2</v>
      </c>
      <c r="AB471" s="9">
        <v>14</v>
      </c>
      <c r="AC471" s="9">
        <f t="shared" si="176"/>
        <v>16.8</v>
      </c>
      <c r="AD471" s="9">
        <f t="shared" si="164"/>
        <v>12967.958640000001</v>
      </c>
      <c r="AE471" s="9">
        <f t="shared" si="177"/>
        <v>20139.887476799995</v>
      </c>
      <c r="AF471" s="9">
        <f t="shared" si="165"/>
        <v>6841.52</v>
      </c>
      <c r="AG471" s="9">
        <f t="shared" si="166"/>
        <v>6126.4386400000003</v>
      </c>
      <c r="AH471" s="9">
        <f t="shared" si="178"/>
        <v>13298.367476799995</v>
      </c>
      <c r="AI471">
        <f t="shared" si="167"/>
        <v>0.47242891576649876</v>
      </c>
      <c r="AJ471" s="5">
        <f t="shared" si="168"/>
        <v>44928</v>
      </c>
      <c r="AK471" t="str">
        <f t="shared" si="169"/>
        <v>Jan-2023</v>
      </c>
      <c r="AL471">
        <v>0</v>
      </c>
      <c r="AM471">
        <v>0</v>
      </c>
      <c r="AN471">
        <v>0</v>
      </c>
    </row>
    <row r="472" spans="1:40" x14ac:dyDescent="0.45">
      <c r="A472" s="3" t="s">
        <v>457</v>
      </c>
      <c r="B472" s="5">
        <v>45454</v>
      </c>
      <c r="C472" s="9" t="str">
        <f t="shared" si="157"/>
        <v>Jun-2024</v>
      </c>
      <c r="D472" s="5" t="str">
        <f t="shared" si="158"/>
        <v>2024-Q2</v>
      </c>
      <c r="E472" s="5">
        <v>45482</v>
      </c>
      <c r="F472" s="9">
        <f t="shared" si="170"/>
        <v>28</v>
      </c>
      <c r="G472" s="9" t="str">
        <f t="shared" si="171"/>
        <v>NOT ACHIEVED</v>
      </c>
      <c r="H472" s="3" t="s">
        <v>640</v>
      </c>
      <c r="I472" s="3" t="s">
        <v>645</v>
      </c>
      <c r="J472" s="3" t="s">
        <v>657</v>
      </c>
      <c r="K472" s="13" t="str">
        <f t="shared" si="172"/>
        <v>Africa &gt; Nigeria &gt; Port Harcourt</v>
      </c>
      <c r="L472" s="3" t="s">
        <v>695</v>
      </c>
      <c r="M472" s="3" t="s">
        <v>703</v>
      </c>
      <c r="N472" s="13" t="str">
        <f t="shared" si="159"/>
        <v>Marketplace</v>
      </c>
      <c r="O472" s="3" t="s">
        <v>708</v>
      </c>
      <c r="P472" s="3" t="s">
        <v>724</v>
      </c>
      <c r="Q472" s="13" t="str">
        <f t="shared" si="160"/>
        <v>Medium</v>
      </c>
      <c r="R472" s="3" t="s">
        <v>1175</v>
      </c>
      <c r="S472" s="7">
        <v>895.54</v>
      </c>
      <c r="T472" s="7">
        <f t="shared" si="173"/>
        <v>1029.8709999999999</v>
      </c>
      <c r="U472" s="7">
        <v>1045</v>
      </c>
      <c r="V472" s="7">
        <f t="shared" si="161"/>
        <v>1045</v>
      </c>
      <c r="W472" s="7">
        <f t="shared" si="174"/>
        <v>1201.75</v>
      </c>
      <c r="X472" s="16">
        <v>0.216</v>
      </c>
      <c r="Y472" t="str">
        <f t="shared" si="162"/>
        <v>OK</v>
      </c>
      <c r="Z472" s="16">
        <f t="shared" si="163"/>
        <v>0.216</v>
      </c>
      <c r="AA472" s="16">
        <f t="shared" si="175"/>
        <v>0.216</v>
      </c>
      <c r="AB472" s="9">
        <v>15</v>
      </c>
      <c r="AC472" s="9">
        <f t="shared" si="176"/>
        <v>18</v>
      </c>
      <c r="AD472" s="9">
        <f t="shared" si="164"/>
        <v>12289.2</v>
      </c>
      <c r="AE472" s="9">
        <f t="shared" si="177"/>
        <v>26303.903999999999</v>
      </c>
      <c r="AF472" s="9">
        <f t="shared" si="165"/>
        <v>13433.099999999999</v>
      </c>
      <c r="AG472" s="9">
        <f t="shared" si="166"/>
        <v>-1143.8999999999978</v>
      </c>
      <c r="AH472" s="9">
        <f t="shared" si="178"/>
        <v>12870.804</v>
      </c>
      <c r="AI472">
        <f t="shared" si="167"/>
        <v>-9.3081730299775234E-2</v>
      </c>
      <c r="AJ472" s="5">
        <f t="shared" si="168"/>
        <v>44928</v>
      </c>
      <c r="AK472" t="str">
        <f t="shared" si="169"/>
        <v>Jan-2023</v>
      </c>
      <c r="AL472">
        <v>0</v>
      </c>
      <c r="AM472">
        <v>0</v>
      </c>
      <c r="AN472">
        <v>0</v>
      </c>
    </row>
    <row r="473" spans="1:40" x14ac:dyDescent="0.45">
      <c r="A473" s="3" t="s">
        <v>474</v>
      </c>
      <c r="B473" s="5">
        <v>45466</v>
      </c>
      <c r="C473" s="9" t="str">
        <f t="shared" si="157"/>
        <v>Jun-2024</v>
      </c>
      <c r="D473" s="5" t="str">
        <f t="shared" si="158"/>
        <v>2024-Q2</v>
      </c>
      <c r="E473" s="5">
        <v>45471</v>
      </c>
      <c r="F473" s="9">
        <f t="shared" si="170"/>
        <v>5</v>
      </c>
      <c r="G473" s="9" t="str">
        <f t="shared" si="171"/>
        <v>ACHIEVED</v>
      </c>
      <c r="H473" s="3" t="s">
        <v>640</v>
      </c>
      <c r="I473" s="3" t="s">
        <v>645</v>
      </c>
      <c r="J473" s="3" t="s">
        <v>657</v>
      </c>
      <c r="K473" s="13" t="str">
        <f t="shared" si="172"/>
        <v>Africa &gt; Nigeria &gt; Port Harcourt</v>
      </c>
      <c r="L473" s="3" t="s">
        <v>697</v>
      </c>
      <c r="M473" s="3" t="s">
        <v>705</v>
      </c>
      <c r="N473" s="13" t="str">
        <f t="shared" si="159"/>
        <v>Direct</v>
      </c>
      <c r="O473" s="3" t="s">
        <v>718</v>
      </c>
      <c r="P473" s="3" t="s">
        <v>727</v>
      </c>
      <c r="Q473" s="13" t="str">
        <f t="shared" si="160"/>
        <v>Low</v>
      </c>
      <c r="R473" s="3" t="s">
        <v>1192</v>
      </c>
      <c r="S473" s="7">
        <v>242.31</v>
      </c>
      <c r="T473" s="7">
        <f t="shared" si="173"/>
        <v>278.65649999999999</v>
      </c>
      <c r="U473" s="7">
        <v>587.95000000000005</v>
      </c>
      <c r="V473" s="7">
        <f t="shared" si="161"/>
        <v>587.95000000000005</v>
      </c>
      <c r="W473" s="7">
        <f t="shared" si="174"/>
        <v>676.14250000000004</v>
      </c>
      <c r="X473" s="16">
        <v>0.22900000000000001</v>
      </c>
      <c r="Y473" t="str">
        <f t="shared" si="162"/>
        <v>OK</v>
      </c>
      <c r="Z473" s="16">
        <f t="shared" si="163"/>
        <v>0.22900000000000001</v>
      </c>
      <c r="AA473" s="16">
        <f t="shared" si="175"/>
        <v>0.22900000000000001</v>
      </c>
      <c r="AB473" s="9">
        <v>6</v>
      </c>
      <c r="AC473" s="9">
        <f t="shared" si="176"/>
        <v>7.1999999999999993</v>
      </c>
      <c r="AD473" s="9">
        <f t="shared" si="164"/>
        <v>2719.8567000000003</v>
      </c>
      <c r="AE473" s="9">
        <f t="shared" si="177"/>
        <v>5983.0497539999997</v>
      </c>
      <c r="AF473" s="9">
        <f t="shared" si="165"/>
        <v>1453.8600000000001</v>
      </c>
      <c r="AG473" s="9">
        <f t="shared" si="166"/>
        <v>1265.9967000000001</v>
      </c>
      <c r="AH473" s="9">
        <f t="shared" si="178"/>
        <v>4529.1897539999991</v>
      </c>
      <c r="AI473">
        <f t="shared" si="167"/>
        <v>0.46546448568411714</v>
      </c>
      <c r="AJ473" s="5">
        <f t="shared" si="168"/>
        <v>44928</v>
      </c>
      <c r="AK473" t="str">
        <f t="shared" si="169"/>
        <v>Jan-2023</v>
      </c>
      <c r="AL473">
        <v>0</v>
      </c>
      <c r="AM473">
        <v>0</v>
      </c>
      <c r="AN473">
        <v>0</v>
      </c>
    </row>
    <row r="474" spans="1:40" x14ac:dyDescent="0.45">
      <c r="A474" s="3" t="s">
        <v>498</v>
      </c>
      <c r="B474" s="5">
        <v>45403</v>
      </c>
      <c r="C474" s="9" t="str">
        <f t="shared" si="157"/>
        <v>Apr-2024</v>
      </c>
      <c r="D474" s="5" t="str">
        <f t="shared" si="158"/>
        <v>2024-Q2</v>
      </c>
      <c r="E474" s="5">
        <v>45431</v>
      </c>
      <c r="F474" s="9">
        <f t="shared" si="170"/>
        <v>28</v>
      </c>
      <c r="G474" s="9" t="str">
        <f t="shared" si="171"/>
        <v>NOT ACHIEVED</v>
      </c>
      <c r="H474" s="3" t="s">
        <v>640</v>
      </c>
      <c r="I474" s="3" t="s">
        <v>645</v>
      </c>
      <c r="J474" s="3" t="s">
        <v>659</v>
      </c>
      <c r="K474" s="13" t="str">
        <f t="shared" si="172"/>
        <v>Africa &gt; Nigeria &gt; Lagos</v>
      </c>
      <c r="L474" s="3" t="s">
        <v>695</v>
      </c>
      <c r="M474" s="3" t="s">
        <v>704</v>
      </c>
      <c r="N474" s="13" t="str">
        <f t="shared" si="159"/>
        <v>Distributor</v>
      </c>
      <c r="O474" s="3" t="s">
        <v>714</v>
      </c>
      <c r="P474" s="3" t="s">
        <v>727</v>
      </c>
      <c r="Q474" s="13" t="str">
        <f t="shared" si="160"/>
        <v>Low</v>
      </c>
      <c r="R474" s="3" t="s">
        <v>1216</v>
      </c>
      <c r="S474" s="7">
        <v>187.22</v>
      </c>
      <c r="T474" s="7">
        <f t="shared" si="173"/>
        <v>215.30299999999997</v>
      </c>
      <c r="U474" s="7">
        <v>309.47000000000003</v>
      </c>
      <c r="V474" s="7">
        <f t="shared" si="161"/>
        <v>309.47000000000003</v>
      </c>
      <c r="W474" s="7">
        <f t="shared" si="174"/>
        <v>355.89050000000003</v>
      </c>
      <c r="X474" s="16">
        <v>0</v>
      </c>
      <c r="Y474" t="str">
        <f t="shared" si="162"/>
        <v>OK</v>
      </c>
      <c r="Z474" s="16">
        <f t="shared" si="163"/>
        <v>0</v>
      </c>
      <c r="AA474" s="16">
        <f t="shared" si="175"/>
        <v>0</v>
      </c>
      <c r="AB474" s="9">
        <v>5</v>
      </c>
      <c r="AC474" s="9">
        <f t="shared" si="176"/>
        <v>6</v>
      </c>
      <c r="AD474" s="9">
        <f t="shared" si="164"/>
        <v>1547.3500000000001</v>
      </c>
      <c r="AE474" s="9">
        <f t="shared" si="177"/>
        <v>2135.3430000000003</v>
      </c>
      <c r="AF474" s="9">
        <f t="shared" si="165"/>
        <v>936.1</v>
      </c>
      <c r="AG474" s="9">
        <f t="shared" si="166"/>
        <v>611.25000000000011</v>
      </c>
      <c r="AH474" s="9">
        <f t="shared" si="178"/>
        <v>1199.2430000000004</v>
      </c>
      <c r="AI474">
        <f t="shared" si="167"/>
        <v>0.39503021294471197</v>
      </c>
      <c r="AJ474" s="5">
        <f t="shared" si="168"/>
        <v>44928</v>
      </c>
      <c r="AK474" t="str">
        <f t="shared" si="169"/>
        <v>Jan-2023</v>
      </c>
      <c r="AL474">
        <v>0</v>
      </c>
      <c r="AM474">
        <v>0</v>
      </c>
      <c r="AN474">
        <v>0</v>
      </c>
    </row>
    <row r="475" spans="1:40" x14ac:dyDescent="0.45">
      <c r="A475" s="3" t="s">
        <v>513</v>
      </c>
      <c r="B475" s="5">
        <v>45387</v>
      </c>
      <c r="C475" s="9" t="str">
        <f t="shared" si="157"/>
        <v>Apr-2024</v>
      </c>
      <c r="D475" s="5" t="str">
        <f t="shared" si="158"/>
        <v>2024-Q2</v>
      </c>
      <c r="E475" s="5">
        <v>45391</v>
      </c>
      <c r="F475" s="9">
        <f t="shared" si="170"/>
        <v>4</v>
      </c>
      <c r="G475" s="9" t="str">
        <f t="shared" si="171"/>
        <v>ACHIEVED</v>
      </c>
      <c r="H475" s="3" t="s">
        <v>640</v>
      </c>
      <c r="I475" s="3" t="s">
        <v>645</v>
      </c>
      <c r="J475" s="3" t="s">
        <v>659</v>
      </c>
      <c r="K475" s="13" t="str">
        <f t="shared" si="172"/>
        <v>Africa &gt; Nigeria &gt; Lagos</v>
      </c>
      <c r="L475" s="3" t="s">
        <v>697</v>
      </c>
      <c r="M475" s="3" t="s">
        <v>705</v>
      </c>
      <c r="N475" s="13" t="str">
        <f t="shared" si="159"/>
        <v>Direct</v>
      </c>
      <c r="O475" s="3" t="s">
        <v>717</v>
      </c>
      <c r="P475" s="3" t="s">
        <v>721</v>
      </c>
      <c r="Q475" s="13" t="str">
        <f t="shared" si="160"/>
        <v>Medium</v>
      </c>
      <c r="R475" s="3" t="s">
        <v>1231</v>
      </c>
      <c r="S475" s="7">
        <v>395.07</v>
      </c>
      <c r="T475" s="7">
        <f t="shared" si="173"/>
        <v>454.33049999999997</v>
      </c>
      <c r="U475" s="7">
        <v>970.27</v>
      </c>
      <c r="V475" s="7">
        <f t="shared" si="161"/>
        <v>970.27</v>
      </c>
      <c r="W475" s="7">
        <f t="shared" si="174"/>
        <v>1115.8104999999998</v>
      </c>
      <c r="X475" s="16">
        <v>0.123</v>
      </c>
      <c r="Y475" t="str">
        <f t="shared" si="162"/>
        <v>OK</v>
      </c>
      <c r="Z475" s="16">
        <f t="shared" si="163"/>
        <v>0.123</v>
      </c>
      <c r="AA475" s="16">
        <f t="shared" si="175"/>
        <v>0.123</v>
      </c>
      <c r="AB475" s="9">
        <v>38</v>
      </c>
      <c r="AC475" s="9">
        <f t="shared" si="176"/>
        <v>45.6</v>
      </c>
      <c r="AD475" s="9">
        <f t="shared" si="164"/>
        <v>32335.21802</v>
      </c>
      <c r="AE475" s="9">
        <f t="shared" si="177"/>
        <v>57139.316732399995</v>
      </c>
      <c r="AF475" s="9">
        <f t="shared" si="165"/>
        <v>15012.66</v>
      </c>
      <c r="AG475" s="9">
        <f t="shared" si="166"/>
        <v>17322.55802</v>
      </c>
      <c r="AH475" s="9">
        <f t="shared" si="178"/>
        <v>42126.656732399992</v>
      </c>
      <c r="AI475">
        <f t="shared" si="167"/>
        <v>0.53571799049833657</v>
      </c>
      <c r="AJ475" s="5">
        <f t="shared" si="168"/>
        <v>44928</v>
      </c>
      <c r="AK475" t="str">
        <f t="shared" si="169"/>
        <v>Jan-2023</v>
      </c>
      <c r="AL475">
        <v>0</v>
      </c>
      <c r="AM475">
        <v>0</v>
      </c>
      <c r="AN475">
        <v>0</v>
      </c>
    </row>
    <row r="476" spans="1:40" x14ac:dyDescent="0.45">
      <c r="A476" s="3" t="s">
        <v>525</v>
      </c>
      <c r="B476" s="5">
        <v>45794</v>
      </c>
      <c r="C476" s="9" t="str">
        <f t="shared" si="157"/>
        <v>May-2025</v>
      </c>
      <c r="D476" s="5" t="str">
        <f t="shared" si="158"/>
        <v>2025-Q2</v>
      </c>
      <c r="E476" s="5">
        <v>45807</v>
      </c>
      <c r="F476" s="9">
        <f t="shared" si="170"/>
        <v>13</v>
      </c>
      <c r="G476" s="9" t="str">
        <f t="shared" si="171"/>
        <v>NOT ACHIEVED</v>
      </c>
      <c r="H476" s="3" t="s">
        <v>640</v>
      </c>
      <c r="I476" s="3" t="s">
        <v>645</v>
      </c>
      <c r="J476" s="3" t="s">
        <v>659</v>
      </c>
      <c r="K476" s="13" t="str">
        <f t="shared" si="172"/>
        <v>Africa &gt; Nigeria &gt; Lagos</v>
      </c>
      <c r="L476" s="3" t="s">
        <v>698</v>
      </c>
      <c r="M476" s="3" t="s">
        <v>704</v>
      </c>
      <c r="N476" s="13" t="str">
        <f t="shared" si="159"/>
        <v>Distributor</v>
      </c>
      <c r="O476" s="3" t="s">
        <v>715</v>
      </c>
      <c r="P476" s="3" t="s">
        <v>727</v>
      </c>
      <c r="Q476" s="13" t="str">
        <f t="shared" si="160"/>
        <v>Low</v>
      </c>
      <c r="R476" s="3" t="s">
        <v>1243</v>
      </c>
      <c r="S476" s="7">
        <v>66.400000000000006</v>
      </c>
      <c r="T476" s="7">
        <f t="shared" si="173"/>
        <v>76.36</v>
      </c>
      <c r="U476" s="7">
        <v>141.43</v>
      </c>
      <c r="V476" s="7">
        <f t="shared" si="161"/>
        <v>141.43</v>
      </c>
      <c r="W476" s="7">
        <f t="shared" si="174"/>
        <v>162.64449999999999</v>
      </c>
      <c r="X476" s="16">
        <v>0.107</v>
      </c>
      <c r="Y476" t="str">
        <f t="shared" si="162"/>
        <v>OK</v>
      </c>
      <c r="Z476" s="16">
        <f t="shared" si="163"/>
        <v>0.107</v>
      </c>
      <c r="AA476" s="16">
        <f t="shared" si="175"/>
        <v>0.107</v>
      </c>
      <c r="AB476" s="9">
        <v>8</v>
      </c>
      <c r="AC476" s="9">
        <f t="shared" si="176"/>
        <v>9.6</v>
      </c>
      <c r="AD476" s="9">
        <f t="shared" si="164"/>
        <v>1010.3759200000001</v>
      </c>
      <c r="AE476" s="9">
        <f t="shared" si="177"/>
        <v>1728.4556303999998</v>
      </c>
      <c r="AF476" s="9">
        <f t="shared" si="165"/>
        <v>531.20000000000005</v>
      </c>
      <c r="AG476" s="9">
        <f t="shared" si="166"/>
        <v>479.17592000000002</v>
      </c>
      <c r="AH476" s="9">
        <f t="shared" si="178"/>
        <v>1197.2556303999997</v>
      </c>
      <c r="AI476">
        <f t="shared" si="167"/>
        <v>0.47425508715607551</v>
      </c>
      <c r="AJ476" s="5">
        <f t="shared" si="168"/>
        <v>44928</v>
      </c>
      <c r="AK476" t="str">
        <f t="shared" si="169"/>
        <v>Jan-2023</v>
      </c>
      <c r="AL476">
        <v>0</v>
      </c>
      <c r="AM476">
        <v>0</v>
      </c>
      <c r="AN476">
        <v>0</v>
      </c>
    </row>
    <row r="477" spans="1:40" x14ac:dyDescent="0.45">
      <c r="A477" s="3" t="s">
        <v>527</v>
      </c>
      <c r="B477" s="5">
        <v>45047</v>
      </c>
      <c r="C477" s="9" t="str">
        <f t="shared" si="157"/>
        <v>May-2023</v>
      </c>
      <c r="D477" s="5" t="str">
        <f t="shared" si="158"/>
        <v>2023-Q2</v>
      </c>
      <c r="E477" s="5">
        <v>45064</v>
      </c>
      <c r="F477" s="9">
        <f t="shared" si="170"/>
        <v>17</v>
      </c>
      <c r="G477" s="9" t="str">
        <f t="shared" si="171"/>
        <v>NOT ACHIEVED</v>
      </c>
      <c r="H477" s="3" t="s">
        <v>640</v>
      </c>
      <c r="I477" s="3" t="s">
        <v>645</v>
      </c>
      <c r="J477" s="3" t="s">
        <v>657</v>
      </c>
      <c r="K477" s="13" t="str">
        <f t="shared" si="172"/>
        <v>Africa &gt; Nigeria &gt; Port Harcourt</v>
      </c>
      <c r="L477" s="3" t="s">
        <v>695</v>
      </c>
      <c r="M477" s="3" t="s">
        <v>705</v>
      </c>
      <c r="N477" s="13" t="str">
        <f t="shared" si="159"/>
        <v>Direct</v>
      </c>
      <c r="O477" s="3" t="s">
        <v>715</v>
      </c>
      <c r="P477" s="3" t="s">
        <v>721</v>
      </c>
      <c r="Q477" s="13" t="str">
        <f t="shared" si="160"/>
        <v>Low</v>
      </c>
      <c r="R477" s="3" t="s">
        <v>1245</v>
      </c>
      <c r="S477" s="7">
        <v>327.97</v>
      </c>
      <c r="T477" s="7">
        <f t="shared" si="173"/>
        <v>377.16550000000001</v>
      </c>
      <c r="U477" s="7">
        <v>299.94</v>
      </c>
      <c r="V477" s="7">
        <f t="shared" si="161"/>
        <v>299.94</v>
      </c>
      <c r="W477" s="7">
        <f t="shared" si="174"/>
        <v>344.93099999999998</v>
      </c>
      <c r="X477" s="16">
        <v>4.9000000000000002E-2</v>
      </c>
      <c r="Y477" t="str">
        <f t="shared" si="162"/>
        <v>OK</v>
      </c>
      <c r="Z477" s="16">
        <f t="shared" si="163"/>
        <v>4.9000000000000002E-2</v>
      </c>
      <c r="AA477" s="16">
        <f t="shared" si="175"/>
        <v>4.9000000000000002E-2</v>
      </c>
      <c r="AB477" s="9">
        <v>3</v>
      </c>
      <c r="AC477" s="9">
        <f t="shared" si="176"/>
        <v>3.5999999999999996</v>
      </c>
      <c r="AD477" s="9">
        <f t="shared" si="164"/>
        <v>855.72881999999993</v>
      </c>
      <c r="AE477" s="9">
        <f t="shared" si="177"/>
        <v>1302.5974283999997</v>
      </c>
      <c r="AF477" s="9">
        <f t="shared" si="165"/>
        <v>983.91000000000008</v>
      </c>
      <c r="AG477" s="9">
        <f t="shared" si="166"/>
        <v>-128.18118000000015</v>
      </c>
      <c r="AH477" s="9">
        <f t="shared" si="178"/>
        <v>318.68742839999959</v>
      </c>
      <c r="AI477">
        <f t="shared" si="167"/>
        <v>-0.14979182306843442</v>
      </c>
      <c r="AJ477" s="5">
        <f t="shared" si="168"/>
        <v>44928</v>
      </c>
      <c r="AK477" t="str">
        <f t="shared" si="169"/>
        <v>Jan-2023</v>
      </c>
      <c r="AL477">
        <v>0</v>
      </c>
      <c r="AM477">
        <v>0</v>
      </c>
      <c r="AN477">
        <v>0</v>
      </c>
    </row>
    <row r="478" spans="1:40" x14ac:dyDescent="0.45">
      <c r="A478" s="3" t="s">
        <v>534</v>
      </c>
      <c r="B478" s="5">
        <v>45695</v>
      </c>
      <c r="C478" s="9" t="str">
        <f t="shared" si="157"/>
        <v>Feb-2025</v>
      </c>
      <c r="D478" s="5" t="str">
        <f t="shared" si="158"/>
        <v>2025-Q1</v>
      </c>
      <c r="E478" s="5">
        <v>45704</v>
      </c>
      <c r="F478" s="9">
        <f t="shared" si="170"/>
        <v>9</v>
      </c>
      <c r="G478" s="9" t="str">
        <f t="shared" si="171"/>
        <v>NOT ACHIEVED</v>
      </c>
      <c r="H478" s="3" t="s">
        <v>640</v>
      </c>
      <c r="I478" s="3" t="s">
        <v>645</v>
      </c>
      <c r="J478" s="3" t="s">
        <v>659</v>
      </c>
      <c r="K478" s="13" t="str">
        <f t="shared" si="172"/>
        <v>Africa &gt; Nigeria &gt; Lagos</v>
      </c>
      <c r="L478" s="3" t="s">
        <v>699</v>
      </c>
      <c r="M478" s="3" t="s">
        <v>704</v>
      </c>
      <c r="N478" s="13" t="str">
        <f t="shared" si="159"/>
        <v>Distributor</v>
      </c>
      <c r="O478" s="3" t="s">
        <v>706</v>
      </c>
      <c r="P478" s="3" t="s">
        <v>722</v>
      </c>
      <c r="Q478" s="13" t="str">
        <f t="shared" si="160"/>
        <v>Low</v>
      </c>
      <c r="R478" s="3" t="s">
        <v>1252</v>
      </c>
      <c r="S478" s="7">
        <v>90.68</v>
      </c>
      <c r="T478" s="7">
        <f t="shared" si="173"/>
        <v>104.282</v>
      </c>
      <c r="U478" s="7">
        <v>118.17</v>
      </c>
      <c r="V478" s="7">
        <f t="shared" si="161"/>
        <v>118.17</v>
      </c>
      <c r="W478" s="7">
        <f t="shared" si="174"/>
        <v>135.8955</v>
      </c>
      <c r="X478" s="16">
        <v>0.13500000000000001</v>
      </c>
      <c r="Y478" t="str">
        <f t="shared" si="162"/>
        <v>OK</v>
      </c>
      <c r="Z478" s="16">
        <f t="shared" si="163"/>
        <v>0.13500000000000001</v>
      </c>
      <c r="AA478" s="16">
        <f t="shared" si="175"/>
        <v>0.13500000000000001</v>
      </c>
      <c r="AB478" s="9">
        <v>21</v>
      </c>
      <c r="AC478" s="9">
        <f t="shared" si="176"/>
        <v>25.2</v>
      </c>
      <c r="AD478" s="9">
        <f t="shared" si="164"/>
        <v>2146.5580500000001</v>
      </c>
      <c r="AE478" s="9">
        <f t="shared" si="177"/>
        <v>3886.8830909999997</v>
      </c>
      <c r="AF478" s="9">
        <f t="shared" si="165"/>
        <v>1904.2800000000002</v>
      </c>
      <c r="AG478" s="9">
        <f t="shared" si="166"/>
        <v>242.27804999999989</v>
      </c>
      <c r="AH478" s="9">
        <f t="shared" si="178"/>
        <v>1982.6030909999995</v>
      </c>
      <c r="AI478">
        <f t="shared" si="167"/>
        <v>0.11286815653552899</v>
      </c>
      <c r="AJ478" s="5">
        <f t="shared" si="168"/>
        <v>44928</v>
      </c>
      <c r="AK478" t="str">
        <f t="shared" si="169"/>
        <v>Jan-2023</v>
      </c>
      <c r="AL478">
        <v>0</v>
      </c>
      <c r="AM478">
        <v>0</v>
      </c>
      <c r="AN478">
        <v>0</v>
      </c>
    </row>
    <row r="479" spans="1:40" x14ac:dyDescent="0.45">
      <c r="A479" s="3" t="s">
        <v>551</v>
      </c>
      <c r="B479" s="5">
        <v>44968</v>
      </c>
      <c r="C479" s="9" t="str">
        <f t="shared" si="157"/>
        <v>Feb-2023</v>
      </c>
      <c r="D479" s="5" t="str">
        <f t="shared" si="158"/>
        <v>2023-Q1</v>
      </c>
      <c r="E479" s="5">
        <v>44969</v>
      </c>
      <c r="F479" s="9">
        <f t="shared" si="170"/>
        <v>1</v>
      </c>
      <c r="G479" s="9" t="str">
        <f t="shared" si="171"/>
        <v>ACHIEVED</v>
      </c>
      <c r="H479" s="3" t="s">
        <v>640</v>
      </c>
      <c r="I479" s="3" t="s">
        <v>645</v>
      </c>
      <c r="J479" s="3" t="s">
        <v>657</v>
      </c>
      <c r="K479" s="13" t="str">
        <f t="shared" si="172"/>
        <v>Africa &gt; Nigeria &gt; Port Harcourt</v>
      </c>
      <c r="L479" s="3" t="s">
        <v>697</v>
      </c>
      <c r="M479" s="3" t="s">
        <v>705</v>
      </c>
      <c r="N479" s="13" t="str">
        <f t="shared" si="159"/>
        <v>Direct</v>
      </c>
      <c r="O479" s="3" t="s">
        <v>720</v>
      </c>
      <c r="P479" s="3" t="s">
        <v>727</v>
      </c>
      <c r="Q479" s="13" t="str">
        <f t="shared" si="160"/>
        <v>Medium</v>
      </c>
      <c r="R479" s="3" t="s">
        <v>1268</v>
      </c>
      <c r="S479" s="7">
        <v>944.61</v>
      </c>
      <c r="T479" s="7">
        <f t="shared" si="173"/>
        <v>1086.3015</v>
      </c>
      <c r="U479" s="7">
        <v>839.04</v>
      </c>
      <c r="V479" s="7">
        <f t="shared" si="161"/>
        <v>839.04</v>
      </c>
      <c r="W479" s="7">
        <f t="shared" si="174"/>
        <v>964.89599999999984</v>
      </c>
      <c r="X479" s="16">
        <v>5.8999999999999997E-2</v>
      </c>
      <c r="Y479" t="str">
        <f t="shared" si="162"/>
        <v>OK</v>
      </c>
      <c r="Z479" s="16">
        <f t="shared" si="163"/>
        <v>5.8999999999999997E-2</v>
      </c>
      <c r="AA479" s="16">
        <f t="shared" si="175"/>
        <v>5.8999999999999997E-2</v>
      </c>
      <c r="AB479" s="9">
        <v>6</v>
      </c>
      <c r="AC479" s="9">
        <f t="shared" si="176"/>
        <v>7.1999999999999993</v>
      </c>
      <c r="AD479" s="9">
        <f t="shared" si="164"/>
        <v>4737.2198399999997</v>
      </c>
      <c r="AE479" s="9">
        <f t="shared" si="177"/>
        <v>7357.1390207999975</v>
      </c>
      <c r="AF479" s="9">
        <f t="shared" si="165"/>
        <v>5667.66</v>
      </c>
      <c r="AG479" s="9">
        <f t="shared" si="166"/>
        <v>-930.44016000000011</v>
      </c>
      <c r="AH479" s="9">
        <f t="shared" si="178"/>
        <v>1689.4790207999977</v>
      </c>
      <c r="AI479">
        <f t="shared" si="167"/>
        <v>-0.19641059343363726</v>
      </c>
      <c r="AJ479" s="5">
        <f t="shared" si="168"/>
        <v>44928</v>
      </c>
      <c r="AK479" t="str">
        <f t="shared" si="169"/>
        <v>Jan-2023</v>
      </c>
      <c r="AL479">
        <v>0</v>
      </c>
      <c r="AM479">
        <v>0</v>
      </c>
      <c r="AN479">
        <v>0</v>
      </c>
    </row>
    <row r="480" spans="1:40" x14ac:dyDescent="0.45">
      <c r="A480" s="3" t="s">
        <v>575</v>
      </c>
      <c r="B480" s="5">
        <v>45834</v>
      </c>
      <c r="C480" s="9" t="str">
        <f t="shared" si="157"/>
        <v>Jun-2025</v>
      </c>
      <c r="D480" s="5" t="str">
        <f t="shared" si="158"/>
        <v>2025-Q2</v>
      </c>
      <c r="E480" s="5">
        <v>45849</v>
      </c>
      <c r="F480" s="9">
        <f t="shared" si="170"/>
        <v>15</v>
      </c>
      <c r="G480" s="9" t="str">
        <f t="shared" si="171"/>
        <v>NOT ACHIEVED</v>
      </c>
      <c r="H480" s="3" t="s">
        <v>640</v>
      </c>
      <c r="I480" s="3" t="s">
        <v>645</v>
      </c>
      <c r="J480" s="3" t="s">
        <v>657</v>
      </c>
      <c r="K480" s="13" t="str">
        <f t="shared" si="172"/>
        <v>Africa &gt; Nigeria &gt; Port Harcourt</v>
      </c>
      <c r="L480" s="3" t="s">
        <v>699</v>
      </c>
      <c r="M480" s="3" t="s">
        <v>702</v>
      </c>
      <c r="N480" s="13" t="str">
        <f t="shared" si="159"/>
        <v>Online</v>
      </c>
      <c r="O480" s="3" t="s">
        <v>714</v>
      </c>
      <c r="P480" s="3" t="s">
        <v>725</v>
      </c>
      <c r="Q480" s="13" t="str">
        <f t="shared" si="160"/>
        <v>High</v>
      </c>
      <c r="R480" s="3" t="s">
        <v>1292</v>
      </c>
      <c r="S480" s="7">
        <v>1170.1500000000001</v>
      </c>
      <c r="T480" s="7">
        <f t="shared" si="173"/>
        <v>1345.6724999999999</v>
      </c>
      <c r="U480" s="7">
        <v>2115.19</v>
      </c>
      <c r="V480" s="7">
        <f t="shared" si="161"/>
        <v>2115.19</v>
      </c>
      <c r="W480" s="7">
        <f t="shared" si="174"/>
        <v>2432.4684999999999</v>
      </c>
      <c r="X480" s="16">
        <v>9.1999999999999998E-2</v>
      </c>
      <c r="Y480" t="str">
        <f t="shared" si="162"/>
        <v>OK</v>
      </c>
      <c r="Z480" s="16">
        <f t="shared" si="163"/>
        <v>9.1999999999999998E-2</v>
      </c>
      <c r="AA480" s="16">
        <f t="shared" si="175"/>
        <v>9.1999999999999998E-2</v>
      </c>
      <c r="AB480" s="9">
        <v>23</v>
      </c>
      <c r="AC480" s="9">
        <f t="shared" si="176"/>
        <v>27.599999999999998</v>
      </c>
      <c r="AD480" s="9">
        <f t="shared" si="164"/>
        <v>44173.627960000005</v>
      </c>
      <c r="AE480" s="9">
        <f t="shared" si="177"/>
        <v>73312.654615199994</v>
      </c>
      <c r="AF480" s="9">
        <f t="shared" si="165"/>
        <v>26913.45</v>
      </c>
      <c r="AG480" s="9">
        <f t="shared" si="166"/>
        <v>17260.177960000005</v>
      </c>
      <c r="AH480" s="9">
        <f t="shared" si="178"/>
        <v>46399.204615199997</v>
      </c>
      <c r="AI480">
        <f t="shared" si="167"/>
        <v>0.39073489674946776</v>
      </c>
      <c r="AJ480" s="5">
        <f t="shared" si="168"/>
        <v>44928</v>
      </c>
      <c r="AK480" t="str">
        <f t="shared" si="169"/>
        <v>Jan-2023</v>
      </c>
      <c r="AL480">
        <v>0</v>
      </c>
      <c r="AM480">
        <v>0</v>
      </c>
      <c r="AN480">
        <v>0</v>
      </c>
    </row>
    <row r="481" spans="1:40" x14ac:dyDescent="0.45">
      <c r="A481" s="3" t="s">
        <v>595</v>
      </c>
      <c r="B481" s="5">
        <v>45364</v>
      </c>
      <c r="C481" s="9" t="str">
        <f t="shared" si="157"/>
        <v>Mar-2024</v>
      </c>
      <c r="D481" s="5" t="str">
        <f t="shared" si="158"/>
        <v>2024-Q1</v>
      </c>
      <c r="E481" s="5">
        <v>45388</v>
      </c>
      <c r="F481" s="9">
        <f t="shared" si="170"/>
        <v>24</v>
      </c>
      <c r="G481" s="9" t="str">
        <f t="shared" si="171"/>
        <v>NOT ACHIEVED</v>
      </c>
      <c r="H481" s="3" t="s">
        <v>640</v>
      </c>
      <c r="I481" s="3" t="s">
        <v>645</v>
      </c>
      <c r="J481" s="3" t="s">
        <v>663</v>
      </c>
      <c r="K481" s="13" t="str">
        <f t="shared" si="172"/>
        <v>Africa &gt; Nigeria &gt; Abuja</v>
      </c>
      <c r="L481" s="3" t="s">
        <v>698</v>
      </c>
      <c r="M481" s="3" t="s">
        <v>704</v>
      </c>
      <c r="N481" s="13" t="str">
        <f t="shared" si="159"/>
        <v>Distributor</v>
      </c>
      <c r="O481" s="3" t="s">
        <v>710</v>
      </c>
      <c r="P481" s="3" t="s">
        <v>721</v>
      </c>
      <c r="Q481" s="13" t="str">
        <f t="shared" si="160"/>
        <v>High</v>
      </c>
      <c r="R481" s="3" t="s">
        <v>1312</v>
      </c>
      <c r="S481" s="7">
        <v>1232.78</v>
      </c>
      <c r="T481" s="7">
        <f t="shared" si="173"/>
        <v>1417.6969999999999</v>
      </c>
      <c r="U481" s="7">
        <v>1731.75</v>
      </c>
      <c r="V481" s="7">
        <f t="shared" si="161"/>
        <v>1731.75</v>
      </c>
      <c r="W481" s="7">
        <f t="shared" si="174"/>
        <v>1991.5124999999998</v>
      </c>
      <c r="X481" s="16">
        <v>9.2999999999999999E-2</v>
      </c>
      <c r="Y481" t="str">
        <f t="shared" si="162"/>
        <v>OK</v>
      </c>
      <c r="Z481" s="16">
        <f t="shared" si="163"/>
        <v>9.2999999999999999E-2</v>
      </c>
      <c r="AA481" s="16">
        <f t="shared" si="175"/>
        <v>9.2999999999999999E-2</v>
      </c>
      <c r="AB481" s="9">
        <v>16</v>
      </c>
      <c r="AC481" s="9">
        <f t="shared" si="176"/>
        <v>19.2</v>
      </c>
      <c r="AD481" s="9">
        <f t="shared" si="164"/>
        <v>25131.155999999999</v>
      </c>
      <c r="AE481" s="9">
        <f t="shared" si="177"/>
        <v>41793.084719999992</v>
      </c>
      <c r="AF481" s="9">
        <f t="shared" si="165"/>
        <v>19724.48</v>
      </c>
      <c r="AG481" s="9">
        <f t="shared" si="166"/>
        <v>5406.6759999999995</v>
      </c>
      <c r="AH481" s="9">
        <f t="shared" si="178"/>
        <v>22068.604719999992</v>
      </c>
      <c r="AI481">
        <f t="shared" si="167"/>
        <v>0.21513837246484005</v>
      </c>
      <c r="AJ481" s="5">
        <f t="shared" si="168"/>
        <v>44928</v>
      </c>
      <c r="AK481" t="str">
        <f t="shared" si="169"/>
        <v>Jan-2023</v>
      </c>
      <c r="AL481">
        <v>0</v>
      </c>
      <c r="AM481">
        <v>0</v>
      </c>
      <c r="AN481">
        <v>0</v>
      </c>
    </row>
    <row r="482" spans="1:40" x14ac:dyDescent="0.45">
      <c r="A482" s="3" t="s">
        <v>624</v>
      </c>
      <c r="B482" s="5">
        <v>45208</v>
      </c>
      <c r="C482" s="9" t="str">
        <f t="shared" si="157"/>
        <v>Oct-2023</v>
      </c>
      <c r="D482" s="5" t="str">
        <f t="shared" si="158"/>
        <v>2023-Q4</v>
      </c>
      <c r="E482" s="5">
        <v>45210</v>
      </c>
      <c r="F482" s="9">
        <f t="shared" si="170"/>
        <v>2</v>
      </c>
      <c r="G482" s="9" t="str">
        <f t="shared" si="171"/>
        <v>ACHIEVED</v>
      </c>
      <c r="H482" s="3" t="s">
        <v>640</v>
      </c>
      <c r="I482" s="3" t="s">
        <v>645</v>
      </c>
      <c r="J482" s="3" t="s">
        <v>657</v>
      </c>
      <c r="K482" s="13" t="str">
        <f t="shared" si="172"/>
        <v>Africa &gt; Nigeria &gt; Port Harcourt</v>
      </c>
      <c r="L482" s="3" t="s">
        <v>696</v>
      </c>
      <c r="M482" s="3" t="s">
        <v>703</v>
      </c>
      <c r="N482" s="13" t="str">
        <f t="shared" si="159"/>
        <v>Marketplace</v>
      </c>
      <c r="O482" s="3" t="s">
        <v>717</v>
      </c>
      <c r="P482" s="3" t="s">
        <v>723</v>
      </c>
      <c r="Q482" s="13" t="str">
        <f t="shared" si="160"/>
        <v>Medium</v>
      </c>
      <c r="R482" s="3" t="s">
        <v>1341</v>
      </c>
      <c r="S482" s="7">
        <v>391.16</v>
      </c>
      <c r="T482" s="7">
        <f t="shared" si="173"/>
        <v>449.834</v>
      </c>
      <c r="U482" s="7">
        <v>902.47</v>
      </c>
      <c r="V482" s="7">
        <f t="shared" si="161"/>
        <v>902.47</v>
      </c>
      <c r="W482" s="7">
        <f t="shared" si="174"/>
        <v>1037.8405</v>
      </c>
      <c r="X482" s="16">
        <v>4.0000000000000001E-3</v>
      </c>
      <c r="Y482" t="str">
        <f t="shared" si="162"/>
        <v>OK</v>
      </c>
      <c r="Z482" s="16">
        <f t="shared" si="163"/>
        <v>4.0000000000000001E-3</v>
      </c>
      <c r="AA482" s="16">
        <f t="shared" si="175"/>
        <v>4.0000000000000001E-3</v>
      </c>
      <c r="AB482" s="9">
        <v>12</v>
      </c>
      <c r="AC482" s="9">
        <f t="shared" si="176"/>
        <v>14.399999999999999</v>
      </c>
      <c r="AD482" s="9">
        <f t="shared" si="164"/>
        <v>10786.32144</v>
      </c>
      <c r="AE482" s="9">
        <f t="shared" si="177"/>
        <v>15004.6828128</v>
      </c>
      <c r="AF482" s="9">
        <f t="shared" si="165"/>
        <v>4693.92</v>
      </c>
      <c r="AG482" s="9">
        <f t="shared" si="166"/>
        <v>6092.4014399999996</v>
      </c>
      <c r="AH482" s="9">
        <f t="shared" si="178"/>
        <v>10310.7628128</v>
      </c>
      <c r="AI482">
        <f t="shared" si="167"/>
        <v>0.56482661618139207</v>
      </c>
      <c r="AJ482" s="5">
        <f t="shared" si="168"/>
        <v>44928</v>
      </c>
      <c r="AK482" t="str">
        <f t="shared" si="169"/>
        <v>Jan-2023</v>
      </c>
      <c r="AL482">
        <v>0</v>
      </c>
      <c r="AM482">
        <v>0</v>
      </c>
      <c r="AN482">
        <v>0</v>
      </c>
    </row>
    <row r="483" spans="1:40" x14ac:dyDescent="0.45">
      <c r="A483" s="3" t="s">
        <v>41</v>
      </c>
      <c r="B483" s="5">
        <v>45862</v>
      </c>
      <c r="C483" s="9" t="str">
        <f t="shared" si="157"/>
        <v>Jul-2025</v>
      </c>
      <c r="D483" s="5" t="str">
        <f t="shared" si="158"/>
        <v>2025-Q3</v>
      </c>
      <c r="E483" s="5">
        <v>45875</v>
      </c>
      <c r="F483" s="9">
        <f t="shared" si="170"/>
        <v>13</v>
      </c>
      <c r="G483" s="9" t="str">
        <f t="shared" si="171"/>
        <v>NOT ACHIEVED</v>
      </c>
      <c r="H483" s="3" t="s">
        <v>640</v>
      </c>
      <c r="I483" s="3" t="s">
        <v>655</v>
      </c>
      <c r="J483" s="3" t="s">
        <v>676</v>
      </c>
      <c r="K483" s="13" t="str">
        <f t="shared" si="172"/>
        <v>Africa &gt; South Africa &gt; Johannesburg</v>
      </c>
      <c r="L483" s="3" t="s">
        <v>696</v>
      </c>
      <c r="M483" s="3" t="s">
        <v>703</v>
      </c>
      <c r="N483" s="13" t="str">
        <f t="shared" si="159"/>
        <v>Marketplace</v>
      </c>
      <c r="O483" s="3" t="s">
        <v>720</v>
      </c>
      <c r="P483" s="3" t="s">
        <v>723</v>
      </c>
      <c r="Q483" s="13" t="str">
        <f t="shared" si="160"/>
        <v>High</v>
      </c>
      <c r="R483" s="3" t="s">
        <v>760</v>
      </c>
      <c r="S483" s="7">
        <v>1463.9</v>
      </c>
      <c r="T483" s="7">
        <f t="shared" si="173"/>
        <v>1683.4849999999999</v>
      </c>
      <c r="U483" s="7">
        <v>2633.02</v>
      </c>
      <c r="V483" s="7">
        <f t="shared" si="161"/>
        <v>2633.02</v>
      </c>
      <c r="W483" s="7">
        <f t="shared" si="174"/>
        <v>3027.973</v>
      </c>
      <c r="X483" s="16">
        <v>8.4000000000000005E-2</v>
      </c>
      <c r="Y483" t="str">
        <f t="shared" si="162"/>
        <v>OK</v>
      </c>
      <c r="Z483" s="16">
        <f t="shared" si="163"/>
        <v>8.4000000000000005E-2</v>
      </c>
      <c r="AA483" s="16">
        <f t="shared" si="175"/>
        <v>8.4000000000000005E-2</v>
      </c>
      <c r="AB483" s="9">
        <v>4</v>
      </c>
      <c r="AC483" s="9">
        <f t="shared" si="176"/>
        <v>4.8</v>
      </c>
      <c r="AD483" s="9">
        <f t="shared" si="164"/>
        <v>9647.3852800000004</v>
      </c>
      <c r="AE483" s="9">
        <f t="shared" si="177"/>
        <v>15755.1491136</v>
      </c>
      <c r="AF483" s="9">
        <f t="shared" si="165"/>
        <v>5855.6</v>
      </c>
      <c r="AG483" s="9">
        <f t="shared" si="166"/>
        <v>3791.7852800000001</v>
      </c>
      <c r="AH483" s="9">
        <f t="shared" si="178"/>
        <v>9899.5491136000001</v>
      </c>
      <c r="AI483">
        <f t="shared" si="167"/>
        <v>0.39303761277791527</v>
      </c>
      <c r="AJ483" s="5">
        <f t="shared" si="168"/>
        <v>44928</v>
      </c>
      <c r="AK483" t="str">
        <f t="shared" si="169"/>
        <v>Jan-2023</v>
      </c>
      <c r="AL483">
        <v>0</v>
      </c>
      <c r="AM483">
        <v>0</v>
      </c>
      <c r="AN483">
        <v>0</v>
      </c>
    </row>
    <row r="484" spans="1:40" x14ac:dyDescent="0.45">
      <c r="A484" s="3" t="s">
        <v>43</v>
      </c>
      <c r="B484" s="5">
        <v>45527</v>
      </c>
      <c r="C484" s="9" t="str">
        <f t="shared" si="157"/>
        <v>Aug-2024</v>
      </c>
      <c r="D484" s="5" t="str">
        <f t="shared" si="158"/>
        <v>2024-Q3</v>
      </c>
      <c r="E484" s="5">
        <v>45532</v>
      </c>
      <c r="F484" s="9">
        <f t="shared" si="170"/>
        <v>5</v>
      </c>
      <c r="G484" s="9" t="str">
        <f t="shared" si="171"/>
        <v>ACHIEVED</v>
      </c>
      <c r="H484" s="3" t="s">
        <v>640</v>
      </c>
      <c r="I484" s="3" t="s">
        <v>655</v>
      </c>
      <c r="J484" s="3" t="s">
        <v>676</v>
      </c>
      <c r="K484" s="13" t="str">
        <f t="shared" si="172"/>
        <v>Africa &gt; South Africa &gt; Johannesburg</v>
      </c>
      <c r="L484" s="3" t="s">
        <v>696</v>
      </c>
      <c r="M484" s="3" t="s">
        <v>701</v>
      </c>
      <c r="N484" s="13" t="str">
        <f t="shared" si="159"/>
        <v>Retail</v>
      </c>
      <c r="O484" s="3" t="s">
        <v>712</v>
      </c>
      <c r="P484" s="3" t="s">
        <v>721</v>
      </c>
      <c r="Q484" s="13" t="str">
        <f t="shared" si="160"/>
        <v>High</v>
      </c>
      <c r="R484" s="3" t="s">
        <v>762</v>
      </c>
      <c r="S484" s="7">
        <v>1432.52</v>
      </c>
      <c r="T484" s="7">
        <f t="shared" si="173"/>
        <v>1647.3979999999999</v>
      </c>
      <c r="U484" s="7">
        <v>3036.87</v>
      </c>
      <c r="V484" s="7">
        <f t="shared" si="161"/>
        <v>3036.87</v>
      </c>
      <c r="W484" s="7">
        <f t="shared" si="174"/>
        <v>3492.4004999999997</v>
      </c>
      <c r="X484" s="16">
        <v>0</v>
      </c>
      <c r="Y484" t="str">
        <f t="shared" si="162"/>
        <v>OK</v>
      </c>
      <c r="Z484" s="16">
        <f t="shared" si="163"/>
        <v>0</v>
      </c>
      <c r="AA484" s="16">
        <f t="shared" si="175"/>
        <v>0</v>
      </c>
      <c r="AB484" s="9">
        <v>9</v>
      </c>
      <c r="AC484" s="9">
        <f t="shared" si="176"/>
        <v>10.799999999999999</v>
      </c>
      <c r="AD484" s="9">
        <f t="shared" si="164"/>
        <v>27331.829999999998</v>
      </c>
      <c r="AE484" s="9">
        <f t="shared" si="177"/>
        <v>37717.925399999993</v>
      </c>
      <c r="AF484" s="9">
        <f t="shared" si="165"/>
        <v>12892.68</v>
      </c>
      <c r="AG484" s="9">
        <f t="shared" si="166"/>
        <v>14439.149999999998</v>
      </c>
      <c r="AH484" s="9">
        <f t="shared" si="178"/>
        <v>24825.245399999993</v>
      </c>
      <c r="AI484">
        <f t="shared" si="167"/>
        <v>0.52829064135112791</v>
      </c>
      <c r="AJ484" s="5">
        <f t="shared" si="168"/>
        <v>44928</v>
      </c>
      <c r="AK484" t="str">
        <f t="shared" si="169"/>
        <v>Jan-2023</v>
      </c>
      <c r="AL484">
        <v>0</v>
      </c>
      <c r="AM484">
        <v>0</v>
      </c>
      <c r="AN484">
        <v>0</v>
      </c>
    </row>
    <row r="485" spans="1:40" x14ac:dyDescent="0.45">
      <c r="A485" s="3" t="s">
        <v>50</v>
      </c>
      <c r="B485" s="5">
        <v>45302</v>
      </c>
      <c r="C485" s="9" t="str">
        <f t="shared" si="157"/>
        <v>Jan-2024</v>
      </c>
      <c r="D485" s="5" t="str">
        <f t="shared" si="158"/>
        <v>2024-Q1</v>
      </c>
      <c r="E485" s="5">
        <v>45324</v>
      </c>
      <c r="F485" s="9">
        <f t="shared" si="170"/>
        <v>22</v>
      </c>
      <c r="G485" s="9" t="str">
        <f t="shared" si="171"/>
        <v>NOT ACHIEVED</v>
      </c>
      <c r="H485" s="3" t="s">
        <v>640</v>
      </c>
      <c r="I485" s="3" t="s">
        <v>655</v>
      </c>
      <c r="J485" s="3" t="s">
        <v>681</v>
      </c>
      <c r="K485" s="13" t="str">
        <f t="shared" si="172"/>
        <v>Africa &gt; South Africa &gt; Durban</v>
      </c>
      <c r="L485" s="3" t="s">
        <v>698</v>
      </c>
      <c r="M485" s="3" t="s">
        <v>702</v>
      </c>
      <c r="N485" s="13" t="str">
        <f t="shared" si="159"/>
        <v>Online</v>
      </c>
      <c r="O485" s="3" t="s">
        <v>717</v>
      </c>
      <c r="P485" s="3" t="s">
        <v>723</v>
      </c>
      <c r="Q485" s="13" t="str">
        <f t="shared" si="160"/>
        <v>High</v>
      </c>
      <c r="R485" s="3" t="s">
        <v>769</v>
      </c>
      <c r="S485" s="7">
        <v>1206.2</v>
      </c>
      <c r="T485" s="7">
        <f t="shared" si="173"/>
        <v>1387.1299999999999</v>
      </c>
      <c r="U485" s="7">
        <v>1759.79</v>
      </c>
      <c r="V485" s="7">
        <f t="shared" si="161"/>
        <v>1759.79</v>
      </c>
      <c r="W485" s="7">
        <f t="shared" si="174"/>
        <v>2023.7584999999999</v>
      </c>
      <c r="X485" s="16">
        <v>0</v>
      </c>
      <c r="Y485" t="str">
        <f t="shared" si="162"/>
        <v>OK</v>
      </c>
      <c r="Z485" s="16">
        <f t="shared" si="163"/>
        <v>0</v>
      </c>
      <c r="AA485" s="16">
        <f t="shared" si="175"/>
        <v>0</v>
      </c>
      <c r="AB485" s="9">
        <v>6</v>
      </c>
      <c r="AC485" s="9">
        <f t="shared" si="176"/>
        <v>7.1999999999999993</v>
      </c>
      <c r="AD485" s="9">
        <f t="shared" si="164"/>
        <v>10558.74</v>
      </c>
      <c r="AE485" s="9">
        <f t="shared" si="177"/>
        <v>14571.061199999998</v>
      </c>
      <c r="AF485" s="9">
        <f t="shared" si="165"/>
        <v>7237.2000000000007</v>
      </c>
      <c r="AG485" s="9">
        <f t="shared" si="166"/>
        <v>3321.5399999999991</v>
      </c>
      <c r="AH485" s="9">
        <f t="shared" si="178"/>
        <v>7333.8611999999976</v>
      </c>
      <c r="AI485">
        <f t="shared" si="167"/>
        <v>0.31457730751964713</v>
      </c>
      <c r="AJ485" s="5">
        <f t="shared" si="168"/>
        <v>44928</v>
      </c>
      <c r="AK485" t="str">
        <f t="shared" si="169"/>
        <v>Jan-2023</v>
      </c>
      <c r="AL485">
        <v>0</v>
      </c>
      <c r="AM485">
        <v>0</v>
      </c>
      <c r="AN485">
        <v>0</v>
      </c>
    </row>
    <row r="486" spans="1:40" x14ac:dyDescent="0.45">
      <c r="A486" s="3" t="s">
        <v>73</v>
      </c>
      <c r="B486" s="5">
        <v>44972</v>
      </c>
      <c r="C486" s="9" t="str">
        <f t="shared" si="157"/>
        <v>Feb-2023</v>
      </c>
      <c r="D486" s="5" t="str">
        <f t="shared" si="158"/>
        <v>2023-Q1</v>
      </c>
      <c r="E486" s="5">
        <v>44983</v>
      </c>
      <c r="F486" s="9">
        <f t="shared" si="170"/>
        <v>11</v>
      </c>
      <c r="G486" s="9" t="str">
        <f t="shared" si="171"/>
        <v>NOT ACHIEVED</v>
      </c>
      <c r="H486" s="3" t="s">
        <v>640</v>
      </c>
      <c r="I486" s="3" t="s">
        <v>655</v>
      </c>
      <c r="J486" s="3" t="s">
        <v>676</v>
      </c>
      <c r="K486" s="13" t="str">
        <f t="shared" si="172"/>
        <v>Africa &gt; South Africa &gt; Johannesburg</v>
      </c>
      <c r="L486" s="3" t="s">
        <v>697</v>
      </c>
      <c r="M486" s="3" t="s">
        <v>701</v>
      </c>
      <c r="N486" s="13" t="str">
        <f t="shared" si="159"/>
        <v>Retail</v>
      </c>
      <c r="O486" s="3" t="s">
        <v>717</v>
      </c>
      <c r="P486" s="3" t="s">
        <v>725</v>
      </c>
      <c r="Q486" s="13" t="str">
        <f t="shared" si="160"/>
        <v>Low</v>
      </c>
      <c r="R486" s="3" t="s">
        <v>792</v>
      </c>
      <c r="S486" s="7">
        <v>498.5</v>
      </c>
      <c r="T486" s="7">
        <f t="shared" si="173"/>
        <v>573.27499999999998</v>
      </c>
      <c r="U486" s="7">
        <v>755.87</v>
      </c>
      <c r="V486" s="7">
        <f t="shared" si="161"/>
        <v>755.87</v>
      </c>
      <c r="W486" s="7">
        <f t="shared" si="174"/>
        <v>869.25049999999999</v>
      </c>
      <c r="X486" s="16">
        <v>0.13</v>
      </c>
      <c r="Y486" t="str">
        <f t="shared" si="162"/>
        <v>OK</v>
      </c>
      <c r="Z486" s="16">
        <f t="shared" si="163"/>
        <v>0.13</v>
      </c>
      <c r="AA486" s="16">
        <f t="shared" si="175"/>
        <v>0.13</v>
      </c>
      <c r="AB486" s="9">
        <v>40</v>
      </c>
      <c r="AC486" s="9">
        <f t="shared" si="176"/>
        <v>48</v>
      </c>
      <c r="AD486" s="9">
        <f t="shared" si="164"/>
        <v>26304.275999999998</v>
      </c>
      <c r="AE486" s="9">
        <f t="shared" si="177"/>
        <v>47148.147119999994</v>
      </c>
      <c r="AF486" s="9">
        <f t="shared" si="165"/>
        <v>19940</v>
      </c>
      <c r="AG486" s="9">
        <f t="shared" si="166"/>
        <v>6364.275999999998</v>
      </c>
      <c r="AH486" s="9">
        <f t="shared" si="178"/>
        <v>27208.147119999994</v>
      </c>
      <c r="AI486">
        <f t="shared" si="167"/>
        <v>0.24194834330357537</v>
      </c>
      <c r="AJ486" s="5">
        <f t="shared" si="168"/>
        <v>44928</v>
      </c>
      <c r="AK486" t="str">
        <f t="shared" si="169"/>
        <v>Jan-2023</v>
      </c>
      <c r="AL486">
        <v>0</v>
      </c>
      <c r="AM486">
        <v>0</v>
      </c>
      <c r="AN486">
        <v>0</v>
      </c>
    </row>
    <row r="487" spans="1:40" x14ac:dyDescent="0.45">
      <c r="A487" s="3" t="s">
        <v>77</v>
      </c>
      <c r="B487" s="5">
        <v>45157</v>
      </c>
      <c r="C487" s="9" t="str">
        <f t="shared" si="157"/>
        <v>Aug-2023</v>
      </c>
      <c r="D487" s="5" t="str">
        <f t="shared" si="158"/>
        <v>2023-Q3</v>
      </c>
      <c r="E487" s="5">
        <v>45176</v>
      </c>
      <c r="F487" s="9">
        <f t="shared" si="170"/>
        <v>19</v>
      </c>
      <c r="G487" s="9" t="str">
        <f t="shared" si="171"/>
        <v>NOT ACHIEVED</v>
      </c>
      <c r="H487" s="3" t="s">
        <v>640</v>
      </c>
      <c r="I487" s="3" t="s">
        <v>655</v>
      </c>
      <c r="J487" s="3" t="s">
        <v>676</v>
      </c>
      <c r="K487" s="13" t="str">
        <f t="shared" si="172"/>
        <v>Africa &gt; South Africa &gt; Johannesburg</v>
      </c>
      <c r="L487" s="3" t="s">
        <v>700</v>
      </c>
      <c r="M487" s="3" t="s">
        <v>701</v>
      </c>
      <c r="N487" s="13" t="str">
        <f t="shared" si="159"/>
        <v>Retail</v>
      </c>
      <c r="O487" s="3" t="s">
        <v>720</v>
      </c>
      <c r="P487" s="3" t="s">
        <v>726</v>
      </c>
      <c r="Q487" s="13" t="str">
        <f t="shared" si="160"/>
        <v>Low</v>
      </c>
      <c r="R487" s="3" t="s">
        <v>796</v>
      </c>
      <c r="S487" s="7">
        <v>494.61</v>
      </c>
      <c r="T487" s="7">
        <f t="shared" si="173"/>
        <v>568.80149999999992</v>
      </c>
      <c r="U487" s="7">
        <v>605.23</v>
      </c>
      <c r="V487" s="7">
        <f t="shared" si="161"/>
        <v>605.23</v>
      </c>
      <c r="W487" s="7">
        <f t="shared" si="174"/>
        <v>696.0145</v>
      </c>
      <c r="X487" s="16">
        <v>0.20399999999999999</v>
      </c>
      <c r="Y487" t="str">
        <f t="shared" si="162"/>
        <v>OK</v>
      </c>
      <c r="Z487" s="16">
        <f t="shared" si="163"/>
        <v>0.20399999999999999</v>
      </c>
      <c r="AA487" s="16">
        <f t="shared" si="175"/>
        <v>0.20399999999999999</v>
      </c>
      <c r="AB487" s="9">
        <v>18</v>
      </c>
      <c r="AC487" s="9">
        <f t="shared" si="176"/>
        <v>21.599999999999998</v>
      </c>
      <c r="AD487" s="9">
        <f t="shared" si="164"/>
        <v>8671.7354400000004</v>
      </c>
      <c r="AE487" s="9">
        <f t="shared" si="177"/>
        <v>18100.8314928</v>
      </c>
      <c r="AF487" s="9">
        <f t="shared" si="165"/>
        <v>8902.98</v>
      </c>
      <c r="AG487" s="9">
        <f t="shared" si="166"/>
        <v>-231.24455999999918</v>
      </c>
      <c r="AH487" s="9">
        <f t="shared" si="178"/>
        <v>9197.8514928000004</v>
      </c>
      <c r="AI487">
        <f t="shared" si="167"/>
        <v>-2.6666468505639647E-2</v>
      </c>
      <c r="AJ487" s="5">
        <f t="shared" si="168"/>
        <v>44928</v>
      </c>
      <c r="AK487" t="str">
        <f t="shared" si="169"/>
        <v>Jan-2023</v>
      </c>
      <c r="AL487">
        <v>0</v>
      </c>
      <c r="AM487">
        <v>0</v>
      </c>
      <c r="AN487">
        <v>0</v>
      </c>
    </row>
    <row r="488" spans="1:40" x14ac:dyDescent="0.45">
      <c r="A488" s="3" t="s">
        <v>81</v>
      </c>
      <c r="B488" s="5">
        <v>45394</v>
      </c>
      <c r="C488" s="9" t="str">
        <f t="shared" si="157"/>
        <v>Apr-2024</v>
      </c>
      <c r="D488" s="5" t="str">
        <f t="shared" si="158"/>
        <v>2024-Q2</v>
      </c>
      <c r="E488" s="5">
        <v>45419</v>
      </c>
      <c r="F488" s="9">
        <f t="shared" si="170"/>
        <v>25</v>
      </c>
      <c r="G488" s="9" t="str">
        <f t="shared" si="171"/>
        <v>NOT ACHIEVED</v>
      </c>
      <c r="H488" s="3" t="s">
        <v>640</v>
      </c>
      <c r="I488" s="3" t="s">
        <v>655</v>
      </c>
      <c r="J488" s="3" t="s">
        <v>676</v>
      </c>
      <c r="K488" s="13" t="str">
        <f t="shared" si="172"/>
        <v>Africa &gt; South Africa &gt; Johannesburg</v>
      </c>
      <c r="L488" s="3" t="s">
        <v>696</v>
      </c>
      <c r="M488" s="3" t="s">
        <v>704</v>
      </c>
      <c r="N488" s="13" t="str">
        <f t="shared" si="159"/>
        <v>Distributor</v>
      </c>
      <c r="O488" s="3" t="s">
        <v>714</v>
      </c>
      <c r="P488" s="3" t="s">
        <v>725</v>
      </c>
      <c r="Q488" s="13" t="str">
        <f t="shared" si="160"/>
        <v>Medium</v>
      </c>
      <c r="R488" s="3" t="s">
        <v>800</v>
      </c>
      <c r="S488" s="7">
        <v>1376.51</v>
      </c>
      <c r="T488" s="7">
        <f t="shared" si="173"/>
        <v>1582.9865</v>
      </c>
      <c r="U488" s="7">
        <v>1455.91</v>
      </c>
      <c r="V488" s="7">
        <f t="shared" si="161"/>
        <v>1455.91</v>
      </c>
      <c r="W488" s="7">
        <f t="shared" si="174"/>
        <v>1674.2964999999999</v>
      </c>
      <c r="X488" s="16">
        <v>0.185</v>
      </c>
      <c r="Y488" t="str">
        <f t="shared" si="162"/>
        <v>OK</v>
      </c>
      <c r="Z488" s="16">
        <f t="shared" si="163"/>
        <v>0.185</v>
      </c>
      <c r="AA488" s="16">
        <f t="shared" si="175"/>
        <v>0.185</v>
      </c>
      <c r="AB488" s="9">
        <v>17</v>
      </c>
      <c r="AC488" s="9">
        <f t="shared" si="176"/>
        <v>20.399999999999999</v>
      </c>
      <c r="AD488" s="9">
        <f t="shared" si="164"/>
        <v>20171.63305</v>
      </c>
      <c r="AE488" s="9">
        <f t="shared" si="177"/>
        <v>40474.443590999996</v>
      </c>
      <c r="AF488" s="9">
        <f t="shared" si="165"/>
        <v>23400.67</v>
      </c>
      <c r="AG488" s="9">
        <f t="shared" si="166"/>
        <v>-3229.0369499999979</v>
      </c>
      <c r="AH488" s="9">
        <f t="shared" si="178"/>
        <v>17073.773590999997</v>
      </c>
      <c r="AI488">
        <f t="shared" si="167"/>
        <v>-0.1600781127634085</v>
      </c>
      <c r="AJ488" s="5">
        <f t="shared" si="168"/>
        <v>44928</v>
      </c>
      <c r="AK488" t="str">
        <f t="shared" si="169"/>
        <v>Jan-2023</v>
      </c>
      <c r="AL488">
        <v>0</v>
      </c>
      <c r="AM488">
        <v>0</v>
      </c>
      <c r="AN488">
        <v>0</v>
      </c>
    </row>
    <row r="489" spans="1:40" x14ac:dyDescent="0.45">
      <c r="A489" s="3" t="s">
        <v>83</v>
      </c>
      <c r="B489" s="5">
        <v>45066</v>
      </c>
      <c r="C489" s="9" t="str">
        <f t="shared" si="157"/>
        <v>May-2023</v>
      </c>
      <c r="D489" s="5" t="str">
        <f t="shared" si="158"/>
        <v>2023-Q2</v>
      </c>
      <c r="E489" s="5">
        <v>45071</v>
      </c>
      <c r="F489" s="9">
        <f t="shared" si="170"/>
        <v>5</v>
      </c>
      <c r="G489" s="9" t="str">
        <f t="shared" si="171"/>
        <v>ACHIEVED</v>
      </c>
      <c r="H489" s="3" t="s">
        <v>640</v>
      </c>
      <c r="I489" s="3" t="s">
        <v>655</v>
      </c>
      <c r="J489" s="3" t="s">
        <v>681</v>
      </c>
      <c r="K489" s="13" t="str">
        <f t="shared" si="172"/>
        <v>Africa &gt; South Africa &gt; Durban</v>
      </c>
      <c r="L489" s="3" t="s">
        <v>695</v>
      </c>
      <c r="M489" s="3" t="s">
        <v>704</v>
      </c>
      <c r="N489" s="13" t="str">
        <f t="shared" si="159"/>
        <v>Distributor</v>
      </c>
      <c r="O489" s="3" t="s">
        <v>714</v>
      </c>
      <c r="P489" s="3" t="s">
        <v>721</v>
      </c>
      <c r="Q489" s="13" t="str">
        <f t="shared" si="160"/>
        <v>Medium</v>
      </c>
      <c r="R489" s="3" t="s">
        <v>802</v>
      </c>
      <c r="S489" s="7">
        <v>917.88</v>
      </c>
      <c r="T489" s="7">
        <f t="shared" si="173"/>
        <v>1055.5619999999999</v>
      </c>
      <c r="U489" s="7">
        <v>1347.92</v>
      </c>
      <c r="V489" s="7">
        <f t="shared" si="161"/>
        <v>1347.92</v>
      </c>
      <c r="W489" s="7">
        <f t="shared" si="174"/>
        <v>1550.1079999999999</v>
      </c>
      <c r="X489" s="16">
        <v>0.3</v>
      </c>
      <c r="Y489" t="str">
        <f t="shared" si="162"/>
        <v>OK</v>
      </c>
      <c r="Z489" s="16">
        <f t="shared" si="163"/>
        <v>0.3</v>
      </c>
      <c r="AA489" s="16">
        <f t="shared" si="175"/>
        <v>0.25</v>
      </c>
      <c r="AB489" s="9">
        <v>5</v>
      </c>
      <c r="AC489" s="9">
        <f t="shared" si="176"/>
        <v>6</v>
      </c>
      <c r="AD489" s="9">
        <f t="shared" si="164"/>
        <v>4717.72</v>
      </c>
      <c r="AE489" s="9">
        <f t="shared" si="177"/>
        <v>11625.81</v>
      </c>
      <c r="AF489" s="9">
        <f t="shared" si="165"/>
        <v>4589.3999999999996</v>
      </c>
      <c r="AG489" s="9">
        <f t="shared" si="166"/>
        <v>128.32000000000062</v>
      </c>
      <c r="AH489" s="9">
        <f t="shared" si="178"/>
        <v>7036.41</v>
      </c>
      <c r="AI489">
        <f t="shared" si="167"/>
        <v>2.7199579457873848E-2</v>
      </c>
      <c r="AJ489" s="5">
        <f t="shared" si="168"/>
        <v>44928</v>
      </c>
      <c r="AK489" t="str">
        <f t="shared" si="169"/>
        <v>Jan-2023</v>
      </c>
      <c r="AL489">
        <v>0</v>
      </c>
      <c r="AM489">
        <v>0</v>
      </c>
      <c r="AN489">
        <v>0</v>
      </c>
    </row>
    <row r="490" spans="1:40" x14ac:dyDescent="0.45">
      <c r="A490" s="3" t="s">
        <v>89</v>
      </c>
      <c r="B490" s="5">
        <v>44965</v>
      </c>
      <c r="C490" s="9" t="str">
        <f t="shared" si="157"/>
        <v>Feb-2023</v>
      </c>
      <c r="D490" s="5" t="str">
        <f t="shared" si="158"/>
        <v>2023-Q1</v>
      </c>
      <c r="E490" s="5">
        <v>44968</v>
      </c>
      <c r="F490" s="9">
        <f t="shared" si="170"/>
        <v>3</v>
      </c>
      <c r="G490" s="9" t="str">
        <f t="shared" si="171"/>
        <v>ACHIEVED</v>
      </c>
      <c r="H490" s="3" t="s">
        <v>640</v>
      </c>
      <c r="I490" s="3" t="s">
        <v>655</v>
      </c>
      <c r="J490" s="3" t="s">
        <v>689</v>
      </c>
      <c r="K490" s="13" t="str">
        <f t="shared" si="172"/>
        <v>Africa &gt; South Africa &gt; Cape Town</v>
      </c>
      <c r="L490" s="3" t="s">
        <v>695</v>
      </c>
      <c r="M490" s="3" t="s">
        <v>705</v>
      </c>
      <c r="N490" s="13" t="str">
        <f t="shared" si="159"/>
        <v>Direct</v>
      </c>
      <c r="O490" s="3" t="s">
        <v>718</v>
      </c>
      <c r="P490" s="3" t="s">
        <v>723</v>
      </c>
      <c r="Q490" s="13" t="str">
        <f t="shared" si="160"/>
        <v>High</v>
      </c>
      <c r="R490" s="3" t="s">
        <v>808</v>
      </c>
      <c r="S490" s="7">
        <v>1410.05</v>
      </c>
      <c r="T490" s="7">
        <f t="shared" si="173"/>
        <v>1621.5574999999999</v>
      </c>
      <c r="U490" s="7">
        <v>2763.95</v>
      </c>
      <c r="V490" s="7">
        <f t="shared" si="161"/>
        <v>2763.95</v>
      </c>
      <c r="W490" s="7">
        <f t="shared" si="174"/>
        <v>3178.5424999999996</v>
      </c>
      <c r="X490" s="16">
        <v>0.161</v>
      </c>
      <c r="Y490" t="str">
        <f t="shared" si="162"/>
        <v>OK</v>
      </c>
      <c r="Z490" s="16">
        <f t="shared" si="163"/>
        <v>0.161</v>
      </c>
      <c r="AA490" s="16">
        <f t="shared" si="175"/>
        <v>0.161</v>
      </c>
      <c r="AB490" s="9">
        <v>26</v>
      </c>
      <c r="AC490" s="9">
        <f t="shared" si="176"/>
        <v>31.2</v>
      </c>
      <c r="AD490" s="9">
        <f t="shared" si="164"/>
        <v>60292.805299999993</v>
      </c>
      <c r="AE490" s="9">
        <f t="shared" si="177"/>
        <v>115136.98068599998</v>
      </c>
      <c r="AF490" s="9">
        <f t="shared" si="165"/>
        <v>36661.299999999996</v>
      </c>
      <c r="AG490" s="9">
        <f t="shared" si="166"/>
        <v>23631.505299999997</v>
      </c>
      <c r="AH490" s="9">
        <f t="shared" si="178"/>
        <v>78475.680685999978</v>
      </c>
      <c r="AI490">
        <f t="shared" si="167"/>
        <v>0.39194569206750779</v>
      </c>
      <c r="AJ490" s="5">
        <f t="shared" si="168"/>
        <v>44928</v>
      </c>
      <c r="AK490" t="str">
        <f t="shared" si="169"/>
        <v>Jan-2023</v>
      </c>
      <c r="AL490">
        <v>0</v>
      </c>
      <c r="AM490">
        <v>0</v>
      </c>
      <c r="AN490">
        <v>0</v>
      </c>
    </row>
    <row r="491" spans="1:40" x14ac:dyDescent="0.45">
      <c r="A491" s="3" t="s">
        <v>94</v>
      </c>
      <c r="B491" s="5">
        <v>45282</v>
      </c>
      <c r="C491" s="9" t="str">
        <f t="shared" si="157"/>
        <v>Dec-2023</v>
      </c>
      <c r="D491" s="5" t="str">
        <f t="shared" si="158"/>
        <v>2023-Q4</v>
      </c>
      <c r="E491" s="5">
        <v>45283</v>
      </c>
      <c r="F491" s="9">
        <f t="shared" si="170"/>
        <v>1</v>
      </c>
      <c r="G491" s="9" t="str">
        <f t="shared" si="171"/>
        <v>ACHIEVED</v>
      </c>
      <c r="H491" s="3" t="s">
        <v>640</v>
      </c>
      <c r="I491" s="3" t="s">
        <v>655</v>
      </c>
      <c r="J491" s="3" t="s">
        <v>689</v>
      </c>
      <c r="K491" s="13" t="str">
        <f t="shared" si="172"/>
        <v>Africa &gt; South Africa &gt; Cape Town</v>
      </c>
      <c r="L491" s="3" t="s">
        <v>697</v>
      </c>
      <c r="M491" s="3" t="s">
        <v>703</v>
      </c>
      <c r="N491" s="13" t="str">
        <f t="shared" si="159"/>
        <v>Marketplace</v>
      </c>
      <c r="O491" s="3" t="s">
        <v>720</v>
      </c>
      <c r="P491" s="3" t="s">
        <v>721</v>
      </c>
      <c r="Q491" s="13" t="str">
        <f t="shared" si="160"/>
        <v>Medium</v>
      </c>
      <c r="R491" s="3" t="s">
        <v>813</v>
      </c>
      <c r="S491" s="7">
        <v>1186.18</v>
      </c>
      <c r="T491" s="7">
        <f t="shared" si="173"/>
        <v>1364.107</v>
      </c>
      <c r="U491" s="7">
        <v>1285.0899999999999</v>
      </c>
      <c r="V491" s="7">
        <f t="shared" si="161"/>
        <v>1285.0899999999999</v>
      </c>
      <c r="W491" s="7">
        <f t="shared" si="174"/>
        <v>1477.8534999999997</v>
      </c>
      <c r="X491" s="16">
        <v>7.0000000000000007E-2</v>
      </c>
      <c r="Y491" t="str">
        <f t="shared" si="162"/>
        <v>OK</v>
      </c>
      <c r="Z491" s="16">
        <f t="shared" si="163"/>
        <v>7.0000000000000007E-2</v>
      </c>
      <c r="AA491" s="16">
        <f t="shared" si="175"/>
        <v>7.0000000000000007E-2</v>
      </c>
      <c r="AB491" s="9">
        <v>11</v>
      </c>
      <c r="AC491" s="9">
        <f t="shared" si="176"/>
        <v>13.2</v>
      </c>
      <c r="AD491" s="9">
        <f t="shared" si="164"/>
        <v>13146.470699999998</v>
      </c>
      <c r="AE491" s="9">
        <f t="shared" si="177"/>
        <v>20873.202833999996</v>
      </c>
      <c r="AF491" s="9">
        <f t="shared" si="165"/>
        <v>13047.980000000001</v>
      </c>
      <c r="AG491" s="9">
        <f t="shared" si="166"/>
        <v>98.49069999999665</v>
      </c>
      <c r="AH491" s="9">
        <f t="shared" si="178"/>
        <v>7825.2228339999947</v>
      </c>
      <c r="AI491">
        <f t="shared" si="167"/>
        <v>7.4917977796121861E-3</v>
      </c>
      <c r="AJ491" s="5">
        <f t="shared" si="168"/>
        <v>44928</v>
      </c>
      <c r="AK491" t="str">
        <f t="shared" si="169"/>
        <v>Jan-2023</v>
      </c>
      <c r="AL491">
        <v>0</v>
      </c>
      <c r="AM491">
        <v>0</v>
      </c>
      <c r="AN491">
        <v>0</v>
      </c>
    </row>
    <row r="492" spans="1:40" x14ac:dyDescent="0.45">
      <c r="A492" s="3" t="s">
        <v>114</v>
      </c>
      <c r="B492" s="5">
        <v>45433</v>
      </c>
      <c r="C492" s="9" t="str">
        <f t="shared" si="157"/>
        <v>May-2024</v>
      </c>
      <c r="D492" s="5" t="str">
        <f t="shared" si="158"/>
        <v>2024-Q2</v>
      </c>
      <c r="E492" s="5">
        <v>45439</v>
      </c>
      <c r="F492" s="9">
        <f t="shared" si="170"/>
        <v>6</v>
      </c>
      <c r="G492" s="9" t="str">
        <f t="shared" si="171"/>
        <v>ACHIEVED</v>
      </c>
      <c r="H492" s="3" t="s">
        <v>640</v>
      </c>
      <c r="I492" s="3" t="s">
        <v>655</v>
      </c>
      <c r="J492" s="3" t="s">
        <v>676</v>
      </c>
      <c r="K492" s="13" t="str">
        <f t="shared" si="172"/>
        <v>Africa &gt; South Africa &gt; Johannesburg</v>
      </c>
      <c r="L492" s="3" t="s">
        <v>697</v>
      </c>
      <c r="M492" s="3" t="s">
        <v>702</v>
      </c>
      <c r="N492" s="13" t="str">
        <f t="shared" si="159"/>
        <v>Online</v>
      </c>
      <c r="O492" s="3" t="s">
        <v>718</v>
      </c>
      <c r="P492" s="3" t="s">
        <v>721</v>
      </c>
      <c r="Q492" s="13" t="str">
        <f t="shared" si="160"/>
        <v>Medium</v>
      </c>
      <c r="R492" s="3" t="s">
        <v>833</v>
      </c>
      <c r="S492" s="7">
        <v>1157.51</v>
      </c>
      <c r="T492" s="7">
        <f t="shared" si="173"/>
        <v>1331.1364999999998</v>
      </c>
      <c r="U492" s="7">
        <v>1394.3</v>
      </c>
      <c r="V492" s="7">
        <f t="shared" si="161"/>
        <v>1394.3</v>
      </c>
      <c r="W492" s="7">
        <f t="shared" si="174"/>
        <v>1603.4449999999999</v>
      </c>
      <c r="X492" s="16">
        <v>0.27800000000000002</v>
      </c>
      <c r="Y492" t="str">
        <f t="shared" si="162"/>
        <v>OK</v>
      </c>
      <c r="Z492" s="16">
        <f t="shared" si="163"/>
        <v>0.27800000000000002</v>
      </c>
      <c r="AA492" s="16">
        <f t="shared" si="175"/>
        <v>0.25</v>
      </c>
      <c r="AB492" s="9">
        <v>12</v>
      </c>
      <c r="AC492" s="9">
        <f t="shared" si="176"/>
        <v>14.399999999999999</v>
      </c>
      <c r="AD492" s="9">
        <f t="shared" si="164"/>
        <v>12080.215199999999</v>
      </c>
      <c r="AE492" s="9">
        <f t="shared" si="177"/>
        <v>28862.009999999995</v>
      </c>
      <c r="AF492" s="9">
        <f t="shared" si="165"/>
        <v>13890.119999999999</v>
      </c>
      <c r="AG492" s="9">
        <f t="shared" si="166"/>
        <v>-1809.9048000000003</v>
      </c>
      <c r="AH492" s="9">
        <f t="shared" si="178"/>
        <v>14971.889999999996</v>
      </c>
      <c r="AI492">
        <f t="shared" si="167"/>
        <v>-0.14982388724333326</v>
      </c>
      <c r="AJ492" s="5">
        <f t="shared" si="168"/>
        <v>44928</v>
      </c>
      <c r="AK492" t="str">
        <f t="shared" si="169"/>
        <v>Jan-2023</v>
      </c>
      <c r="AL492">
        <v>0</v>
      </c>
      <c r="AM492">
        <v>0</v>
      </c>
      <c r="AN492">
        <v>0</v>
      </c>
    </row>
    <row r="493" spans="1:40" x14ac:dyDescent="0.45">
      <c r="A493" s="3" t="s">
        <v>121</v>
      </c>
      <c r="B493" s="5">
        <v>45472</v>
      </c>
      <c r="C493" s="9" t="str">
        <f t="shared" si="157"/>
        <v>Jun-2024</v>
      </c>
      <c r="D493" s="5" t="str">
        <f t="shared" si="158"/>
        <v>2024-Q2</v>
      </c>
      <c r="E493" s="5">
        <v>45499</v>
      </c>
      <c r="F493" s="9">
        <f t="shared" si="170"/>
        <v>27</v>
      </c>
      <c r="G493" s="9" t="str">
        <f t="shared" si="171"/>
        <v>NOT ACHIEVED</v>
      </c>
      <c r="H493" s="3" t="s">
        <v>640</v>
      </c>
      <c r="I493" s="3" t="s">
        <v>655</v>
      </c>
      <c r="J493" s="3" t="s">
        <v>681</v>
      </c>
      <c r="K493" s="13" t="str">
        <f t="shared" si="172"/>
        <v>Africa &gt; South Africa &gt; Durban</v>
      </c>
      <c r="L493" s="3" t="s">
        <v>700</v>
      </c>
      <c r="M493" s="3" t="s">
        <v>704</v>
      </c>
      <c r="N493" s="13" t="str">
        <f t="shared" si="159"/>
        <v>Distributor</v>
      </c>
      <c r="O493" s="3" t="s">
        <v>711</v>
      </c>
      <c r="P493" s="3" t="s">
        <v>723</v>
      </c>
      <c r="Q493" s="13" t="str">
        <f t="shared" si="160"/>
        <v>Low</v>
      </c>
      <c r="R493" s="3" t="s">
        <v>840</v>
      </c>
      <c r="S493" s="7">
        <v>5.36</v>
      </c>
      <c r="T493" s="7">
        <f t="shared" si="173"/>
        <v>6.1639999999999997</v>
      </c>
      <c r="U493" s="7">
        <v>4.37</v>
      </c>
      <c r="V493" s="7">
        <f t="shared" si="161"/>
        <v>4.37</v>
      </c>
      <c r="W493" s="7">
        <f t="shared" si="174"/>
        <v>5.0255000000000001</v>
      </c>
      <c r="X493" s="16">
        <v>0.11799999999999999</v>
      </c>
      <c r="Y493" t="str">
        <f t="shared" si="162"/>
        <v>OK</v>
      </c>
      <c r="Z493" s="16">
        <f t="shared" si="163"/>
        <v>0.11799999999999999</v>
      </c>
      <c r="AA493" s="16">
        <f t="shared" si="175"/>
        <v>0.11799999999999999</v>
      </c>
      <c r="AB493" s="9">
        <v>9</v>
      </c>
      <c r="AC493" s="9">
        <f t="shared" si="176"/>
        <v>10.799999999999999</v>
      </c>
      <c r="AD493" s="9">
        <f t="shared" si="164"/>
        <v>34.689059999999998</v>
      </c>
      <c r="AE493" s="9">
        <f t="shared" si="177"/>
        <v>60.679897199999992</v>
      </c>
      <c r="AF493" s="9">
        <f t="shared" si="165"/>
        <v>48.24</v>
      </c>
      <c r="AG493" s="9">
        <f t="shared" si="166"/>
        <v>-13.550940000000004</v>
      </c>
      <c r="AH493" s="9">
        <f t="shared" si="178"/>
        <v>12.43989719999999</v>
      </c>
      <c r="AI493">
        <f t="shared" si="167"/>
        <v>-0.39064016148030545</v>
      </c>
      <c r="AJ493" s="5">
        <f t="shared" si="168"/>
        <v>44928</v>
      </c>
      <c r="AK493" t="str">
        <f t="shared" si="169"/>
        <v>Jan-2023</v>
      </c>
      <c r="AL493">
        <v>0</v>
      </c>
      <c r="AM493">
        <v>0</v>
      </c>
      <c r="AN493">
        <v>0</v>
      </c>
    </row>
    <row r="494" spans="1:40" x14ac:dyDescent="0.45">
      <c r="A494" s="3" t="s">
        <v>154</v>
      </c>
      <c r="B494" s="5">
        <v>45260</v>
      </c>
      <c r="C494" s="9" t="str">
        <f t="shared" si="157"/>
        <v>Nov-2023</v>
      </c>
      <c r="D494" s="5" t="str">
        <f t="shared" si="158"/>
        <v>2023-Q4</v>
      </c>
      <c r="E494" s="5">
        <v>45265</v>
      </c>
      <c r="F494" s="9">
        <f t="shared" si="170"/>
        <v>5</v>
      </c>
      <c r="G494" s="9" t="str">
        <f t="shared" si="171"/>
        <v>ACHIEVED</v>
      </c>
      <c r="H494" s="3" t="s">
        <v>640</v>
      </c>
      <c r="I494" s="3" t="s">
        <v>655</v>
      </c>
      <c r="J494" s="3" t="s">
        <v>681</v>
      </c>
      <c r="K494" s="13" t="str">
        <f t="shared" si="172"/>
        <v>Africa &gt; South Africa &gt; Durban</v>
      </c>
      <c r="L494" s="3" t="s">
        <v>699</v>
      </c>
      <c r="M494" s="3" t="s">
        <v>703</v>
      </c>
      <c r="N494" s="13" t="str">
        <f t="shared" si="159"/>
        <v>Marketplace</v>
      </c>
      <c r="O494" s="3" t="s">
        <v>712</v>
      </c>
      <c r="P494" s="3" t="s">
        <v>725</v>
      </c>
      <c r="Q494" s="13" t="str">
        <f t="shared" si="160"/>
        <v>Low</v>
      </c>
      <c r="R494" s="3" t="s">
        <v>873</v>
      </c>
      <c r="S494" s="7">
        <v>275.56</v>
      </c>
      <c r="T494" s="7">
        <f t="shared" si="173"/>
        <v>316.89400000000001</v>
      </c>
      <c r="U494" s="7">
        <v>630.72</v>
      </c>
      <c r="V494" s="7">
        <f t="shared" si="161"/>
        <v>630.72</v>
      </c>
      <c r="W494" s="7">
        <f t="shared" si="174"/>
        <v>725.32799999999997</v>
      </c>
      <c r="X494" s="16">
        <v>0.107</v>
      </c>
      <c r="Y494" t="str">
        <f t="shared" si="162"/>
        <v>OK</v>
      </c>
      <c r="Z494" s="16">
        <f t="shared" si="163"/>
        <v>0.107</v>
      </c>
      <c r="AA494" s="16">
        <f t="shared" si="175"/>
        <v>0.107</v>
      </c>
      <c r="AB494" s="9">
        <v>23</v>
      </c>
      <c r="AC494" s="9">
        <f t="shared" si="176"/>
        <v>27.599999999999998</v>
      </c>
      <c r="AD494" s="9">
        <f t="shared" si="164"/>
        <v>12954.358080000002</v>
      </c>
      <c r="AE494" s="9">
        <f t="shared" si="177"/>
        <v>22161.091449599997</v>
      </c>
      <c r="AF494" s="9">
        <f t="shared" si="165"/>
        <v>6337.88</v>
      </c>
      <c r="AG494" s="9">
        <f t="shared" si="166"/>
        <v>6616.4780800000017</v>
      </c>
      <c r="AH494" s="9">
        <f t="shared" si="178"/>
        <v>15823.211449599996</v>
      </c>
      <c r="AI494">
        <f t="shared" si="167"/>
        <v>0.5107530638831933</v>
      </c>
      <c r="AJ494" s="5">
        <f t="shared" si="168"/>
        <v>44928</v>
      </c>
      <c r="AK494" t="str">
        <f t="shared" si="169"/>
        <v>Jan-2023</v>
      </c>
      <c r="AL494">
        <v>0</v>
      </c>
      <c r="AM494">
        <v>0</v>
      </c>
      <c r="AN494">
        <v>0</v>
      </c>
    </row>
    <row r="495" spans="1:40" x14ac:dyDescent="0.45">
      <c r="A495" s="3" t="s">
        <v>160</v>
      </c>
      <c r="B495" s="5">
        <v>45110</v>
      </c>
      <c r="C495" s="9" t="str">
        <f t="shared" si="157"/>
        <v>Jul-2023</v>
      </c>
      <c r="D495" s="5" t="str">
        <f t="shared" si="158"/>
        <v>2023-Q3</v>
      </c>
      <c r="E495" s="5">
        <v>45130</v>
      </c>
      <c r="F495" s="9">
        <f t="shared" si="170"/>
        <v>20</v>
      </c>
      <c r="G495" s="9" t="str">
        <f t="shared" si="171"/>
        <v>NOT ACHIEVED</v>
      </c>
      <c r="H495" s="3" t="s">
        <v>640</v>
      </c>
      <c r="I495" s="3" t="s">
        <v>655</v>
      </c>
      <c r="J495" s="3" t="s">
        <v>676</v>
      </c>
      <c r="K495" s="13" t="str">
        <f t="shared" si="172"/>
        <v>Africa &gt; South Africa &gt; Johannesburg</v>
      </c>
      <c r="L495" s="3" t="s">
        <v>699</v>
      </c>
      <c r="M495" s="3" t="s">
        <v>704</v>
      </c>
      <c r="N495" s="13" t="str">
        <f t="shared" si="159"/>
        <v>Distributor</v>
      </c>
      <c r="O495" s="3" t="s">
        <v>715</v>
      </c>
      <c r="P495" s="3" t="s">
        <v>725</v>
      </c>
      <c r="Q495" s="13" t="str">
        <f t="shared" si="160"/>
        <v>Medium</v>
      </c>
      <c r="R495" s="3" t="s">
        <v>879</v>
      </c>
      <c r="S495" s="7">
        <v>1001.96</v>
      </c>
      <c r="T495" s="7">
        <f t="shared" si="173"/>
        <v>1152.2539999999999</v>
      </c>
      <c r="U495" s="7">
        <v>1254.95</v>
      </c>
      <c r="V495" s="7">
        <f t="shared" si="161"/>
        <v>1254.95</v>
      </c>
      <c r="W495" s="7">
        <f t="shared" si="174"/>
        <v>1443.1924999999999</v>
      </c>
      <c r="X495" s="16">
        <v>4.4999999999999998E-2</v>
      </c>
      <c r="Y495" t="str">
        <f t="shared" si="162"/>
        <v>OK</v>
      </c>
      <c r="Z495" s="16">
        <f t="shared" si="163"/>
        <v>4.4999999999999998E-2</v>
      </c>
      <c r="AA495" s="16">
        <f t="shared" si="175"/>
        <v>4.4999999999999998E-2</v>
      </c>
      <c r="AB495" s="9">
        <v>18</v>
      </c>
      <c r="AC495" s="9">
        <f t="shared" si="176"/>
        <v>21.599999999999998</v>
      </c>
      <c r="AD495" s="9">
        <f t="shared" si="164"/>
        <v>21572.590500000002</v>
      </c>
      <c r="AE495" s="9">
        <f t="shared" si="177"/>
        <v>32575.741109999992</v>
      </c>
      <c r="AF495" s="9">
        <f t="shared" si="165"/>
        <v>18035.28</v>
      </c>
      <c r="AG495" s="9">
        <f t="shared" si="166"/>
        <v>3537.3105000000032</v>
      </c>
      <c r="AH495" s="9">
        <f t="shared" si="178"/>
        <v>14540.461109999993</v>
      </c>
      <c r="AI495">
        <f t="shared" si="167"/>
        <v>0.16397244920585699</v>
      </c>
      <c r="AJ495" s="5">
        <f t="shared" si="168"/>
        <v>44928</v>
      </c>
      <c r="AK495" t="str">
        <f t="shared" si="169"/>
        <v>Jan-2023</v>
      </c>
      <c r="AL495">
        <v>0</v>
      </c>
      <c r="AM495">
        <v>0</v>
      </c>
      <c r="AN495">
        <v>0</v>
      </c>
    </row>
    <row r="496" spans="1:40" x14ac:dyDescent="0.45">
      <c r="A496" s="3" t="s">
        <v>182</v>
      </c>
      <c r="B496" s="5">
        <v>45798</v>
      </c>
      <c r="C496" s="9" t="str">
        <f t="shared" si="157"/>
        <v>May-2025</v>
      </c>
      <c r="D496" s="5" t="str">
        <f t="shared" si="158"/>
        <v>2025-Q2</v>
      </c>
      <c r="E496" s="5">
        <v>45803</v>
      </c>
      <c r="F496" s="9">
        <f t="shared" si="170"/>
        <v>5</v>
      </c>
      <c r="G496" s="9" t="str">
        <f t="shared" si="171"/>
        <v>ACHIEVED</v>
      </c>
      <c r="H496" s="3" t="s">
        <v>640</v>
      </c>
      <c r="I496" s="3" t="s">
        <v>655</v>
      </c>
      <c r="J496" s="3" t="s">
        <v>676</v>
      </c>
      <c r="K496" s="13" t="str">
        <f t="shared" si="172"/>
        <v>Africa &gt; South Africa &gt; Johannesburg</v>
      </c>
      <c r="L496" s="3" t="s">
        <v>697</v>
      </c>
      <c r="M496" s="3" t="s">
        <v>704</v>
      </c>
      <c r="N496" s="13" t="str">
        <f t="shared" si="159"/>
        <v>Distributor</v>
      </c>
      <c r="O496" s="3" t="s">
        <v>713</v>
      </c>
      <c r="P496" s="3" t="s">
        <v>725</v>
      </c>
      <c r="Q496" s="13" t="str">
        <f t="shared" si="160"/>
        <v>High</v>
      </c>
      <c r="R496" s="3" t="s">
        <v>901</v>
      </c>
      <c r="S496" s="7">
        <v>1263.8399999999999</v>
      </c>
      <c r="T496" s="7">
        <f t="shared" si="173"/>
        <v>1453.4159999999997</v>
      </c>
      <c r="U496" s="7">
        <v>2281.7199999999998</v>
      </c>
      <c r="V496" s="7">
        <f t="shared" si="161"/>
        <v>2281.7199999999998</v>
      </c>
      <c r="W496" s="7">
        <f t="shared" si="174"/>
        <v>2623.9779999999996</v>
      </c>
      <c r="X496" s="16">
        <v>7.8E-2</v>
      </c>
      <c r="Y496" t="str">
        <f t="shared" si="162"/>
        <v>OK</v>
      </c>
      <c r="Z496" s="16">
        <f t="shared" si="163"/>
        <v>7.8E-2</v>
      </c>
      <c r="AA496" s="16">
        <f t="shared" si="175"/>
        <v>7.8E-2</v>
      </c>
      <c r="AB496" s="9">
        <v>15</v>
      </c>
      <c r="AC496" s="9">
        <f t="shared" si="176"/>
        <v>18</v>
      </c>
      <c r="AD496" s="9">
        <f t="shared" si="164"/>
        <v>31556.187599999997</v>
      </c>
      <c r="AE496" s="9">
        <f t="shared" si="177"/>
        <v>50915.669111999996</v>
      </c>
      <c r="AF496" s="9">
        <f t="shared" si="165"/>
        <v>18957.599999999999</v>
      </c>
      <c r="AG496" s="9">
        <f t="shared" si="166"/>
        <v>12598.587599999999</v>
      </c>
      <c r="AH496" s="9">
        <f t="shared" si="178"/>
        <v>31958.069111999997</v>
      </c>
      <c r="AI496">
        <f t="shared" si="167"/>
        <v>0.39924301882398494</v>
      </c>
      <c r="AJ496" s="5">
        <f t="shared" si="168"/>
        <v>44928</v>
      </c>
      <c r="AK496" t="str">
        <f t="shared" si="169"/>
        <v>Jan-2023</v>
      </c>
      <c r="AL496">
        <v>0</v>
      </c>
      <c r="AM496">
        <v>0</v>
      </c>
      <c r="AN496">
        <v>0</v>
      </c>
    </row>
    <row r="497" spans="1:40" x14ac:dyDescent="0.45">
      <c r="A497" s="3" t="s">
        <v>183</v>
      </c>
      <c r="B497" s="5">
        <v>45435</v>
      </c>
      <c r="C497" s="9" t="str">
        <f t="shared" si="157"/>
        <v>May-2024</v>
      </c>
      <c r="D497" s="5" t="str">
        <f t="shared" si="158"/>
        <v>2024-Q2</v>
      </c>
      <c r="E497" s="5">
        <v>45446</v>
      </c>
      <c r="F497" s="9">
        <f t="shared" si="170"/>
        <v>11</v>
      </c>
      <c r="G497" s="9" t="str">
        <f t="shared" si="171"/>
        <v>NOT ACHIEVED</v>
      </c>
      <c r="H497" s="3" t="s">
        <v>640</v>
      </c>
      <c r="I497" s="3" t="s">
        <v>655</v>
      </c>
      <c r="J497" s="3" t="s">
        <v>676</v>
      </c>
      <c r="K497" s="13" t="str">
        <f t="shared" si="172"/>
        <v>Africa &gt; South Africa &gt; Johannesburg</v>
      </c>
      <c r="L497" s="3" t="s">
        <v>699</v>
      </c>
      <c r="M497" s="3" t="s">
        <v>704</v>
      </c>
      <c r="N497" s="13" t="str">
        <f t="shared" si="159"/>
        <v>Distributor</v>
      </c>
      <c r="O497" s="3" t="s">
        <v>715</v>
      </c>
      <c r="P497" s="3" t="s">
        <v>722</v>
      </c>
      <c r="Q497" s="13" t="str">
        <f t="shared" si="160"/>
        <v>Low</v>
      </c>
      <c r="R497" s="3" t="s">
        <v>902</v>
      </c>
      <c r="S497" s="7">
        <v>180.89</v>
      </c>
      <c r="T497" s="7">
        <f t="shared" si="173"/>
        <v>208.02349999999996</v>
      </c>
      <c r="U497" s="7">
        <v>249.57</v>
      </c>
      <c r="V497" s="7">
        <f t="shared" si="161"/>
        <v>249.57</v>
      </c>
      <c r="W497" s="7">
        <f t="shared" si="174"/>
        <v>287.00549999999998</v>
      </c>
      <c r="X497" s="16">
        <v>2.1999999999999999E-2</v>
      </c>
      <c r="Y497" t="str">
        <f t="shared" si="162"/>
        <v>OK</v>
      </c>
      <c r="Z497" s="16">
        <f t="shared" si="163"/>
        <v>2.1999999999999999E-2</v>
      </c>
      <c r="AA497" s="16">
        <f t="shared" si="175"/>
        <v>2.1999999999999999E-2</v>
      </c>
      <c r="AB497" s="9">
        <v>8</v>
      </c>
      <c r="AC497" s="9">
        <f t="shared" si="176"/>
        <v>9.6</v>
      </c>
      <c r="AD497" s="9">
        <f t="shared" si="164"/>
        <v>1952.6356799999999</v>
      </c>
      <c r="AE497" s="9">
        <f t="shared" si="177"/>
        <v>2815.8683615999998</v>
      </c>
      <c r="AF497" s="9">
        <f t="shared" si="165"/>
        <v>1447.12</v>
      </c>
      <c r="AG497" s="9">
        <f t="shared" si="166"/>
        <v>505.51567999999997</v>
      </c>
      <c r="AH497" s="9">
        <f t="shared" si="178"/>
        <v>1368.7483616</v>
      </c>
      <c r="AI497">
        <f t="shared" si="167"/>
        <v>0.25888888806948362</v>
      </c>
      <c r="AJ497" s="5">
        <f t="shared" si="168"/>
        <v>44928</v>
      </c>
      <c r="AK497" t="str">
        <f t="shared" si="169"/>
        <v>Jan-2023</v>
      </c>
      <c r="AL497">
        <v>0</v>
      </c>
      <c r="AM497">
        <v>0</v>
      </c>
      <c r="AN497">
        <v>0</v>
      </c>
    </row>
    <row r="498" spans="1:40" x14ac:dyDescent="0.45">
      <c r="A498" s="3" t="s">
        <v>218</v>
      </c>
      <c r="B498" s="5">
        <v>45567</v>
      </c>
      <c r="C498" s="9" t="str">
        <f t="shared" si="157"/>
        <v>Oct-2024</v>
      </c>
      <c r="D498" s="5" t="str">
        <f t="shared" si="158"/>
        <v>2024-Q4</v>
      </c>
      <c r="E498" s="5">
        <v>45588</v>
      </c>
      <c r="F498" s="9">
        <f t="shared" si="170"/>
        <v>21</v>
      </c>
      <c r="G498" s="9" t="str">
        <f t="shared" si="171"/>
        <v>NOT ACHIEVED</v>
      </c>
      <c r="H498" s="3" t="s">
        <v>640</v>
      </c>
      <c r="I498" s="3" t="s">
        <v>655</v>
      </c>
      <c r="J498" s="3" t="s">
        <v>681</v>
      </c>
      <c r="K498" s="13" t="str">
        <f t="shared" si="172"/>
        <v>Africa &gt; South Africa &gt; Durban</v>
      </c>
      <c r="L498" s="3" t="s">
        <v>695</v>
      </c>
      <c r="M498" s="3" t="s">
        <v>703</v>
      </c>
      <c r="N498" s="13" t="str">
        <f t="shared" si="159"/>
        <v>Marketplace</v>
      </c>
      <c r="O498" s="3" t="s">
        <v>714</v>
      </c>
      <c r="P498" s="3" t="s">
        <v>721</v>
      </c>
      <c r="Q498" s="13" t="str">
        <f t="shared" si="160"/>
        <v>High</v>
      </c>
      <c r="R498" s="3" t="s">
        <v>937</v>
      </c>
      <c r="S498" s="7">
        <v>1095.6099999999999</v>
      </c>
      <c r="T498" s="7">
        <f t="shared" si="173"/>
        <v>1259.9514999999999</v>
      </c>
      <c r="U498" s="7">
        <v>2366.5100000000002</v>
      </c>
      <c r="V498" s="7">
        <f t="shared" si="161"/>
        <v>2366.5100000000002</v>
      </c>
      <c r="W498" s="7">
        <f t="shared" si="174"/>
        <v>2721.4865</v>
      </c>
      <c r="X498" s="16">
        <v>0.152</v>
      </c>
      <c r="Y498" t="str">
        <f t="shared" si="162"/>
        <v>OK</v>
      </c>
      <c r="Z498" s="16">
        <f t="shared" si="163"/>
        <v>0.152</v>
      </c>
      <c r="AA498" s="16">
        <f t="shared" si="175"/>
        <v>0.152</v>
      </c>
      <c r="AB498" s="9">
        <v>9</v>
      </c>
      <c r="AC498" s="9">
        <f t="shared" si="176"/>
        <v>10.799999999999999</v>
      </c>
      <c r="AD498" s="9">
        <f t="shared" si="164"/>
        <v>18061.204320000004</v>
      </c>
      <c r="AE498" s="9">
        <f t="shared" si="177"/>
        <v>33859.646438399999</v>
      </c>
      <c r="AF498" s="9">
        <f t="shared" si="165"/>
        <v>9860.49</v>
      </c>
      <c r="AG498" s="9">
        <f t="shared" si="166"/>
        <v>8200.7143200000046</v>
      </c>
      <c r="AH498" s="9">
        <f t="shared" si="178"/>
        <v>23999.156438400001</v>
      </c>
      <c r="AI498">
        <f t="shared" si="167"/>
        <v>0.4540513564158607</v>
      </c>
      <c r="AJ498" s="5">
        <f t="shared" si="168"/>
        <v>44928</v>
      </c>
      <c r="AK498" t="str">
        <f t="shared" si="169"/>
        <v>Jan-2023</v>
      </c>
      <c r="AL498">
        <v>0</v>
      </c>
      <c r="AM498">
        <v>0</v>
      </c>
      <c r="AN498">
        <v>0</v>
      </c>
    </row>
    <row r="499" spans="1:40" x14ac:dyDescent="0.45">
      <c r="A499" s="3" t="s">
        <v>230</v>
      </c>
      <c r="B499" s="5">
        <v>45164</v>
      </c>
      <c r="C499" s="9" t="str">
        <f t="shared" si="157"/>
        <v>Aug-2023</v>
      </c>
      <c r="D499" s="5" t="str">
        <f t="shared" si="158"/>
        <v>2023-Q3</v>
      </c>
      <c r="E499" s="5">
        <v>45179</v>
      </c>
      <c r="F499" s="9">
        <f t="shared" si="170"/>
        <v>15</v>
      </c>
      <c r="G499" s="9" t="str">
        <f t="shared" si="171"/>
        <v>NOT ACHIEVED</v>
      </c>
      <c r="H499" s="3" t="s">
        <v>640</v>
      </c>
      <c r="I499" s="3" t="s">
        <v>655</v>
      </c>
      <c r="J499" s="3" t="s">
        <v>689</v>
      </c>
      <c r="K499" s="13" t="str">
        <f t="shared" si="172"/>
        <v>Africa &gt; South Africa &gt; Cape Town</v>
      </c>
      <c r="L499" s="3" t="s">
        <v>697</v>
      </c>
      <c r="M499" s="3" t="s">
        <v>705</v>
      </c>
      <c r="N499" s="13" t="str">
        <f t="shared" si="159"/>
        <v>Direct</v>
      </c>
      <c r="O499" s="3" t="s">
        <v>719</v>
      </c>
      <c r="P499" s="3" t="s">
        <v>721</v>
      </c>
      <c r="Q499" s="13" t="str">
        <f t="shared" si="160"/>
        <v>Low</v>
      </c>
      <c r="R499" s="3" t="s">
        <v>949</v>
      </c>
      <c r="S499" s="7">
        <v>241.14</v>
      </c>
      <c r="T499" s="7">
        <f t="shared" si="173"/>
        <v>277.31099999999998</v>
      </c>
      <c r="U499" s="7">
        <v>496.52</v>
      </c>
      <c r="V499" s="7">
        <f t="shared" si="161"/>
        <v>496.52</v>
      </c>
      <c r="W499" s="7">
        <f t="shared" si="174"/>
        <v>570.99799999999993</v>
      </c>
      <c r="X499" s="16">
        <v>9.2999999999999999E-2</v>
      </c>
      <c r="Y499" t="str">
        <f t="shared" si="162"/>
        <v>OK</v>
      </c>
      <c r="Z499" s="16">
        <f t="shared" si="163"/>
        <v>9.2999999999999999E-2</v>
      </c>
      <c r="AA499" s="16">
        <f t="shared" si="175"/>
        <v>9.2999999999999999E-2</v>
      </c>
      <c r="AB499" s="9">
        <v>10</v>
      </c>
      <c r="AC499" s="9">
        <f t="shared" si="176"/>
        <v>12</v>
      </c>
      <c r="AD499" s="9">
        <f t="shared" si="164"/>
        <v>4503.4363999999996</v>
      </c>
      <c r="AE499" s="9">
        <f t="shared" si="177"/>
        <v>7489.2097679999988</v>
      </c>
      <c r="AF499" s="9">
        <f t="shared" si="165"/>
        <v>2411.3999999999996</v>
      </c>
      <c r="AG499" s="9">
        <f t="shared" si="166"/>
        <v>2092.0364</v>
      </c>
      <c r="AH499" s="9">
        <f t="shared" si="178"/>
        <v>5077.8097679999992</v>
      </c>
      <c r="AI499">
        <f t="shared" si="167"/>
        <v>0.46454223268257994</v>
      </c>
      <c r="AJ499" s="5">
        <f t="shared" si="168"/>
        <v>44928</v>
      </c>
      <c r="AK499" t="str">
        <f t="shared" si="169"/>
        <v>Jan-2023</v>
      </c>
      <c r="AL499">
        <v>0</v>
      </c>
      <c r="AM499">
        <v>0</v>
      </c>
      <c r="AN499">
        <v>0</v>
      </c>
    </row>
    <row r="500" spans="1:40" x14ac:dyDescent="0.45">
      <c r="A500" s="3" t="s">
        <v>231</v>
      </c>
      <c r="B500" s="5">
        <v>45854</v>
      </c>
      <c r="C500" s="9" t="str">
        <f t="shared" si="157"/>
        <v>Jul-2025</v>
      </c>
      <c r="D500" s="5" t="str">
        <f t="shared" si="158"/>
        <v>2025-Q3</v>
      </c>
      <c r="E500" s="5">
        <v>45855</v>
      </c>
      <c r="F500" s="9">
        <f t="shared" si="170"/>
        <v>1</v>
      </c>
      <c r="G500" s="9" t="str">
        <f t="shared" si="171"/>
        <v>ACHIEVED</v>
      </c>
      <c r="H500" s="3" t="s">
        <v>640</v>
      </c>
      <c r="I500" s="3" t="s">
        <v>655</v>
      </c>
      <c r="J500" s="3" t="s">
        <v>681</v>
      </c>
      <c r="K500" s="13" t="str">
        <f t="shared" si="172"/>
        <v>Africa &gt; South Africa &gt; Durban</v>
      </c>
      <c r="L500" s="3" t="s">
        <v>699</v>
      </c>
      <c r="M500" s="3" t="s">
        <v>704</v>
      </c>
      <c r="N500" s="13" t="str">
        <f t="shared" si="159"/>
        <v>Distributor</v>
      </c>
      <c r="O500" s="3" t="s">
        <v>711</v>
      </c>
      <c r="P500" s="3" t="s">
        <v>723</v>
      </c>
      <c r="Q500" s="13" t="str">
        <f t="shared" si="160"/>
        <v>High</v>
      </c>
      <c r="R500" s="3" t="s">
        <v>950</v>
      </c>
      <c r="S500" s="7">
        <v>1198.9000000000001</v>
      </c>
      <c r="T500" s="7">
        <f t="shared" si="173"/>
        <v>1378.7349999999999</v>
      </c>
      <c r="U500" s="7">
        <v>2941.2</v>
      </c>
      <c r="V500" s="7">
        <f t="shared" si="161"/>
        <v>2941.2</v>
      </c>
      <c r="W500" s="7">
        <f t="shared" si="174"/>
        <v>3382.3799999999997</v>
      </c>
      <c r="X500" s="16">
        <v>5.0999999999999997E-2</v>
      </c>
      <c r="Y500" t="str">
        <f t="shared" si="162"/>
        <v>OK</v>
      </c>
      <c r="Z500" s="16">
        <f t="shared" si="163"/>
        <v>5.0999999999999997E-2</v>
      </c>
      <c r="AA500" s="16">
        <f t="shared" si="175"/>
        <v>5.0999999999999997E-2</v>
      </c>
      <c r="AB500" s="9">
        <v>24</v>
      </c>
      <c r="AC500" s="9">
        <f t="shared" si="176"/>
        <v>28.799999999999997</v>
      </c>
      <c r="AD500" s="9">
        <f t="shared" si="164"/>
        <v>66988.771199999988</v>
      </c>
      <c r="AE500" s="9">
        <f t="shared" si="177"/>
        <v>102380.58374399997</v>
      </c>
      <c r="AF500" s="9">
        <f t="shared" si="165"/>
        <v>28773.600000000002</v>
      </c>
      <c r="AG500" s="9">
        <f t="shared" si="166"/>
        <v>38215.171199999982</v>
      </c>
      <c r="AH500" s="9">
        <f t="shared" si="178"/>
        <v>73606.983743999968</v>
      </c>
      <c r="AI500">
        <f t="shared" si="167"/>
        <v>0.57047129713583977</v>
      </c>
      <c r="AJ500" s="5">
        <f t="shared" si="168"/>
        <v>44928</v>
      </c>
      <c r="AK500" t="str">
        <f t="shared" si="169"/>
        <v>Jan-2023</v>
      </c>
      <c r="AL500">
        <v>0</v>
      </c>
      <c r="AM500">
        <v>0</v>
      </c>
      <c r="AN500">
        <v>0</v>
      </c>
    </row>
    <row r="501" spans="1:40" x14ac:dyDescent="0.45">
      <c r="A501" s="3" t="s">
        <v>242</v>
      </c>
      <c r="B501" s="5">
        <v>44999</v>
      </c>
      <c r="C501" s="9" t="str">
        <f t="shared" si="157"/>
        <v>Mar-2023</v>
      </c>
      <c r="D501" s="5" t="str">
        <f t="shared" si="158"/>
        <v>2023-Q1</v>
      </c>
      <c r="E501" s="5">
        <v>45015</v>
      </c>
      <c r="F501" s="9">
        <f t="shared" si="170"/>
        <v>16</v>
      </c>
      <c r="G501" s="9" t="str">
        <f t="shared" si="171"/>
        <v>NOT ACHIEVED</v>
      </c>
      <c r="H501" s="3" t="s">
        <v>640</v>
      </c>
      <c r="I501" s="3" t="s">
        <v>655</v>
      </c>
      <c r="J501" s="3" t="s">
        <v>689</v>
      </c>
      <c r="K501" s="13" t="str">
        <f t="shared" si="172"/>
        <v>Africa &gt; South Africa &gt; Cape Town</v>
      </c>
      <c r="L501" s="3" t="s">
        <v>698</v>
      </c>
      <c r="M501" s="3" t="s">
        <v>704</v>
      </c>
      <c r="N501" s="13" t="str">
        <f t="shared" si="159"/>
        <v>Distributor</v>
      </c>
      <c r="O501" s="3" t="s">
        <v>717</v>
      </c>
      <c r="P501" s="3" t="s">
        <v>721</v>
      </c>
      <c r="Q501" s="13" t="str">
        <f t="shared" si="160"/>
        <v>Medium</v>
      </c>
      <c r="R501" s="3" t="s">
        <v>961</v>
      </c>
      <c r="S501" s="7">
        <v>1309.77</v>
      </c>
      <c r="T501" s="7">
        <f t="shared" si="173"/>
        <v>1506.2354999999998</v>
      </c>
      <c r="U501" s="7">
        <v>1589.07</v>
      </c>
      <c r="V501" s="7">
        <f t="shared" si="161"/>
        <v>1589.07</v>
      </c>
      <c r="W501" s="7">
        <f t="shared" si="174"/>
        <v>1827.4304999999997</v>
      </c>
      <c r="X501" s="16">
        <v>0.10199999999999999</v>
      </c>
      <c r="Y501" t="str">
        <f t="shared" si="162"/>
        <v>OK</v>
      </c>
      <c r="Z501" s="16">
        <f t="shared" si="163"/>
        <v>0.10199999999999999</v>
      </c>
      <c r="AA501" s="16">
        <f t="shared" si="175"/>
        <v>0.10199999999999999</v>
      </c>
      <c r="AB501" s="9">
        <v>10</v>
      </c>
      <c r="AC501" s="9">
        <f t="shared" si="176"/>
        <v>12</v>
      </c>
      <c r="AD501" s="9">
        <f t="shared" si="164"/>
        <v>14269.848599999999</v>
      </c>
      <c r="AE501" s="9">
        <f t="shared" si="177"/>
        <v>24165.940931999998</v>
      </c>
      <c r="AF501" s="9">
        <f t="shared" si="165"/>
        <v>13097.7</v>
      </c>
      <c r="AG501" s="9">
        <f t="shared" si="166"/>
        <v>1172.1485999999986</v>
      </c>
      <c r="AH501" s="9">
        <f t="shared" si="178"/>
        <v>11068.240931999997</v>
      </c>
      <c r="AI501">
        <f t="shared" si="167"/>
        <v>8.2141628328137886E-2</v>
      </c>
      <c r="AJ501" s="5">
        <f t="shared" si="168"/>
        <v>44928</v>
      </c>
      <c r="AK501" t="str">
        <f t="shared" si="169"/>
        <v>Jan-2023</v>
      </c>
      <c r="AL501">
        <v>0</v>
      </c>
      <c r="AM501">
        <v>0</v>
      </c>
      <c r="AN501">
        <v>0</v>
      </c>
    </row>
    <row r="502" spans="1:40" x14ac:dyDescent="0.45">
      <c r="A502" s="3" t="s">
        <v>271</v>
      </c>
      <c r="B502" s="5">
        <v>45829</v>
      </c>
      <c r="C502" s="9" t="str">
        <f t="shared" si="157"/>
        <v>Jun-2025</v>
      </c>
      <c r="D502" s="5" t="str">
        <f t="shared" si="158"/>
        <v>2025-Q2</v>
      </c>
      <c r="E502" s="5">
        <v>45835</v>
      </c>
      <c r="F502" s="9">
        <f t="shared" si="170"/>
        <v>6</v>
      </c>
      <c r="G502" s="9" t="str">
        <f t="shared" si="171"/>
        <v>ACHIEVED</v>
      </c>
      <c r="H502" s="3" t="s">
        <v>640</v>
      </c>
      <c r="I502" s="3" t="s">
        <v>655</v>
      </c>
      <c r="J502" s="3" t="s">
        <v>681</v>
      </c>
      <c r="K502" s="13" t="str">
        <f t="shared" si="172"/>
        <v>Africa &gt; South Africa &gt; Durban</v>
      </c>
      <c r="L502" s="3" t="s">
        <v>700</v>
      </c>
      <c r="M502" s="3" t="s">
        <v>704</v>
      </c>
      <c r="N502" s="13" t="str">
        <f t="shared" si="159"/>
        <v>Distributor</v>
      </c>
      <c r="O502" s="3" t="s">
        <v>719</v>
      </c>
      <c r="P502" s="3" t="s">
        <v>724</v>
      </c>
      <c r="Q502" s="13" t="str">
        <f t="shared" si="160"/>
        <v>Low</v>
      </c>
      <c r="R502" s="3" t="s">
        <v>990</v>
      </c>
      <c r="S502" s="7">
        <v>93.91</v>
      </c>
      <c r="T502" s="7">
        <f t="shared" si="173"/>
        <v>107.99649999999998</v>
      </c>
      <c r="U502" s="7">
        <v>99.04</v>
      </c>
      <c r="V502" s="7">
        <f t="shared" si="161"/>
        <v>99.04</v>
      </c>
      <c r="W502" s="7">
        <f t="shared" si="174"/>
        <v>113.896</v>
      </c>
      <c r="X502" s="16">
        <v>5.7000000000000002E-2</v>
      </c>
      <c r="Y502" t="str">
        <f t="shared" si="162"/>
        <v>OK</v>
      </c>
      <c r="Z502" s="16">
        <f t="shared" si="163"/>
        <v>5.7000000000000002E-2</v>
      </c>
      <c r="AA502" s="16">
        <f t="shared" si="175"/>
        <v>5.7000000000000002E-2</v>
      </c>
      <c r="AB502" s="9">
        <v>6</v>
      </c>
      <c r="AC502" s="9">
        <f t="shared" si="176"/>
        <v>7.1999999999999993</v>
      </c>
      <c r="AD502" s="9">
        <f t="shared" si="164"/>
        <v>560.36831999999993</v>
      </c>
      <c r="AE502" s="9">
        <f t="shared" si="177"/>
        <v>866.79411839999977</v>
      </c>
      <c r="AF502" s="9">
        <f t="shared" si="165"/>
        <v>563.46</v>
      </c>
      <c r="AG502" s="9">
        <f t="shared" si="166"/>
        <v>-3.0916800000001103</v>
      </c>
      <c r="AH502" s="9">
        <f t="shared" si="178"/>
        <v>303.33411839999974</v>
      </c>
      <c r="AI502">
        <f t="shared" si="167"/>
        <v>-5.5172283829323376E-3</v>
      </c>
      <c r="AJ502" s="5">
        <f t="shared" si="168"/>
        <v>44928</v>
      </c>
      <c r="AK502" t="str">
        <f t="shared" si="169"/>
        <v>Jan-2023</v>
      </c>
      <c r="AL502">
        <v>0</v>
      </c>
      <c r="AM502">
        <v>0</v>
      </c>
      <c r="AN502">
        <v>0</v>
      </c>
    </row>
    <row r="503" spans="1:40" x14ac:dyDescent="0.45">
      <c r="A503" s="3" t="s">
        <v>286</v>
      </c>
      <c r="B503" s="5">
        <v>45459</v>
      </c>
      <c r="C503" s="9" t="str">
        <f t="shared" si="157"/>
        <v>Jun-2024</v>
      </c>
      <c r="D503" s="5" t="str">
        <f t="shared" si="158"/>
        <v>2024-Q2</v>
      </c>
      <c r="E503" s="5">
        <v>45476</v>
      </c>
      <c r="F503" s="9">
        <f t="shared" si="170"/>
        <v>17</v>
      </c>
      <c r="G503" s="9" t="str">
        <f t="shared" si="171"/>
        <v>NOT ACHIEVED</v>
      </c>
      <c r="H503" s="3" t="s">
        <v>640</v>
      </c>
      <c r="I503" s="3" t="s">
        <v>655</v>
      </c>
      <c r="J503" s="3" t="s">
        <v>676</v>
      </c>
      <c r="K503" s="13" t="str">
        <f t="shared" si="172"/>
        <v>Africa &gt; South Africa &gt; Johannesburg</v>
      </c>
      <c r="L503" s="3" t="s">
        <v>700</v>
      </c>
      <c r="M503" s="3" t="s">
        <v>703</v>
      </c>
      <c r="N503" s="13" t="str">
        <f t="shared" si="159"/>
        <v>Marketplace</v>
      </c>
      <c r="O503" s="3" t="s">
        <v>715</v>
      </c>
      <c r="P503" s="3" t="s">
        <v>724</v>
      </c>
      <c r="Q503" s="13" t="str">
        <f t="shared" si="160"/>
        <v>High</v>
      </c>
      <c r="R503" s="3" t="s">
        <v>1005</v>
      </c>
      <c r="S503" s="7">
        <v>1173.83</v>
      </c>
      <c r="T503" s="7">
        <f t="shared" si="173"/>
        <v>1349.9044999999999</v>
      </c>
      <c r="U503" s="7">
        <v>2328.9</v>
      </c>
      <c r="V503" s="7">
        <f t="shared" si="161"/>
        <v>2328.9</v>
      </c>
      <c r="W503" s="7">
        <f t="shared" si="174"/>
        <v>2678.2349999999997</v>
      </c>
      <c r="X503" s="16">
        <v>0.12</v>
      </c>
      <c r="Y503" t="str">
        <f t="shared" si="162"/>
        <v>OK</v>
      </c>
      <c r="Z503" s="16">
        <f t="shared" si="163"/>
        <v>0.12</v>
      </c>
      <c r="AA503" s="16">
        <f t="shared" si="175"/>
        <v>0.12</v>
      </c>
      <c r="AB503" s="9">
        <v>17</v>
      </c>
      <c r="AC503" s="9">
        <f t="shared" si="176"/>
        <v>20.399999999999999</v>
      </c>
      <c r="AD503" s="9">
        <f t="shared" si="164"/>
        <v>34840.344000000005</v>
      </c>
      <c r="AE503" s="9">
        <f t="shared" si="177"/>
        <v>61192.313279999995</v>
      </c>
      <c r="AF503" s="9">
        <f t="shared" si="165"/>
        <v>19955.11</v>
      </c>
      <c r="AG503" s="9">
        <f t="shared" si="166"/>
        <v>14885.234000000004</v>
      </c>
      <c r="AH503" s="9">
        <f t="shared" si="178"/>
        <v>41237.203279999994</v>
      </c>
      <c r="AI503">
        <f t="shared" si="167"/>
        <v>0.42724130393201637</v>
      </c>
      <c r="AJ503" s="5">
        <f t="shared" si="168"/>
        <v>44928</v>
      </c>
      <c r="AK503" t="str">
        <f t="shared" si="169"/>
        <v>Jan-2023</v>
      </c>
      <c r="AL503">
        <v>0</v>
      </c>
      <c r="AM503">
        <v>0</v>
      </c>
      <c r="AN503">
        <v>0</v>
      </c>
    </row>
    <row r="504" spans="1:40" x14ac:dyDescent="0.45">
      <c r="A504" s="3" t="s">
        <v>296</v>
      </c>
      <c r="B504" s="5">
        <v>45319</v>
      </c>
      <c r="C504" s="9" t="str">
        <f t="shared" si="157"/>
        <v>Jan-2024</v>
      </c>
      <c r="D504" s="5" t="str">
        <f t="shared" si="158"/>
        <v>2024-Q1</v>
      </c>
      <c r="E504" s="5">
        <v>45321</v>
      </c>
      <c r="F504" s="9">
        <f t="shared" si="170"/>
        <v>2</v>
      </c>
      <c r="G504" s="9" t="str">
        <f t="shared" si="171"/>
        <v>ACHIEVED</v>
      </c>
      <c r="H504" s="3" t="s">
        <v>640</v>
      </c>
      <c r="I504" s="3" t="s">
        <v>655</v>
      </c>
      <c r="J504" s="3" t="s">
        <v>689</v>
      </c>
      <c r="K504" s="13" t="str">
        <f t="shared" si="172"/>
        <v>Africa &gt; South Africa &gt; Cape Town</v>
      </c>
      <c r="L504" s="3" t="s">
        <v>698</v>
      </c>
      <c r="M504" s="3" t="s">
        <v>705</v>
      </c>
      <c r="N504" s="13" t="str">
        <f t="shared" si="159"/>
        <v>Direct</v>
      </c>
      <c r="O504" s="3" t="s">
        <v>715</v>
      </c>
      <c r="P504" s="3" t="s">
        <v>727</v>
      </c>
      <c r="Q504" s="13" t="str">
        <f t="shared" si="160"/>
        <v>Medium</v>
      </c>
      <c r="R504" s="3" t="s">
        <v>1015</v>
      </c>
      <c r="S504" s="7">
        <v>798.45</v>
      </c>
      <c r="T504" s="7">
        <f t="shared" si="173"/>
        <v>918.21749999999997</v>
      </c>
      <c r="U504" s="7">
        <v>1592.02</v>
      </c>
      <c r="V504" s="7">
        <f t="shared" si="161"/>
        <v>1592.02</v>
      </c>
      <c r="W504" s="7">
        <f t="shared" si="174"/>
        <v>1830.8229999999999</v>
      </c>
      <c r="X504" s="16">
        <v>6.6000000000000003E-2</v>
      </c>
      <c r="Y504" t="str">
        <f t="shared" si="162"/>
        <v>OK</v>
      </c>
      <c r="Z504" s="16">
        <f t="shared" si="163"/>
        <v>6.6000000000000003E-2</v>
      </c>
      <c r="AA504" s="16">
        <f t="shared" si="175"/>
        <v>6.6000000000000003E-2</v>
      </c>
      <c r="AB504" s="9">
        <v>18</v>
      </c>
      <c r="AC504" s="9">
        <f t="shared" si="176"/>
        <v>21.599999999999998</v>
      </c>
      <c r="AD504" s="9">
        <f t="shared" si="164"/>
        <v>26765.040239999998</v>
      </c>
      <c r="AE504" s="9">
        <f t="shared" si="177"/>
        <v>42155.798068799995</v>
      </c>
      <c r="AF504" s="9">
        <f t="shared" si="165"/>
        <v>14372.1</v>
      </c>
      <c r="AG504" s="9">
        <f t="shared" si="166"/>
        <v>12392.940239999998</v>
      </c>
      <c r="AH504" s="9">
        <f t="shared" si="178"/>
        <v>27783.698068799997</v>
      </c>
      <c r="AI504">
        <f t="shared" si="167"/>
        <v>0.46302714768494585</v>
      </c>
      <c r="AJ504" s="5">
        <f t="shared" si="168"/>
        <v>44928</v>
      </c>
      <c r="AK504" t="str">
        <f t="shared" si="169"/>
        <v>Jan-2023</v>
      </c>
      <c r="AL504">
        <v>0</v>
      </c>
      <c r="AM504">
        <v>0</v>
      </c>
      <c r="AN504">
        <v>0</v>
      </c>
    </row>
    <row r="505" spans="1:40" x14ac:dyDescent="0.45">
      <c r="A505" s="3" t="s">
        <v>297</v>
      </c>
      <c r="B505" s="5">
        <v>45125</v>
      </c>
      <c r="C505" s="9" t="str">
        <f t="shared" si="157"/>
        <v>Jul-2023</v>
      </c>
      <c r="D505" s="5" t="str">
        <f t="shared" si="158"/>
        <v>2023-Q3</v>
      </c>
      <c r="E505" s="5">
        <v>45148</v>
      </c>
      <c r="F505" s="9">
        <f t="shared" si="170"/>
        <v>23</v>
      </c>
      <c r="G505" s="9" t="str">
        <f t="shared" si="171"/>
        <v>NOT ACHIEVED</v>
      </c>
      <c r="H505" s="3" t="s">
        <v>640</v>
      </c>
      <c r="I505" s="3" t="s">
        <v>655</v>
      </c>
      <c r="J505" s="3" t="s">
        <v>676</v>
      </c>
      <c r="K505" s="13" t="str">
        <f t="shared" si="172"/>
        <v>Africa &gt; South Africa &gt; Johannesburg</v>
      </c>
      <c r="L505" s="3" t="s">
        <v>699</v>
      </c>
      <c r="M505" s="3" t="s">
        <v>701</v>
      </c>
      <c r="N505" s="13" t="str">
        <f t="shared" si="159"/>
        <v>Retail</v>
      </c>
      <c r="O505" s="3" t="s">
        <v>710</v>
      </c>
      <c r="P505" s="3" t="s">
        <v>721</v>
      </c>
      <c r="Q505" s="13" t="str">
        <f t="shared" si="160"/>
        <v>Medium</v>
      </c>
      <c r="R505" s="3" t="s">
        <v>1016</v>
      </c>
      <c r="S505" s="7">
        <v>1271.56</v>
      </c>
      <c r="T505" s="7">
        <f t="shared" si="173"/>
        <v>1462.2939999999999</v>
      </c>
      <c r="U505" s="7">
        <v>995.47</v>
      </c>
      <c r="V505" s="7">
        <f t="shared" si="161"/>
        <v>995.47</v>
      </c>
      <c r="W505" s="7">
        <f t="shared" si="174"/>
        <v>1144.7904999999998</v>
      </c>
      <c r="X505" s="16">
        <v>0.192</v>
      </c>
      <c r="Y505" t="str">
        <f t="shared" si="162"/>
        <v>OK</v>
      </c>
      <c r="Z505" s="16">
        <f t="shared" si="163"/>
        <v>0.192</v>
      </c>
      <c r="AA505" s="16">
        <f t="shared" si="175"/>
        <v>0.192</v>
      </c>
      <c r="AB505" s="9">
        <v>13</v>
      </c>
      <c r="AC505" s="9">
        <f t="shared" si="176"/>
        <v>15.6</v>
      </c>
      <c r="AD505" s="9">
        <f t="shared" si="164"/>
        <v>10456.416880000001</v>
      </c>
      <c r="AE505" s="9">
        <f t="shared" si="177"/>
        <v>21287.608305599995</v>
      </c>
      <c r="AF505" s="9">
        <f t="shared" si="165"/>
        <v>16530.28</v>
      </c>
      <c r="AG505" s="9">
        <f t="shared" si="166"/>
        <v>-6073.8631199999982</v>
      </c>
      <c r="AH505" s="9">
        <f t="shared" si="178"/>
        <v>4757.3283055999964</v>
      </c>
      <c r="AI505">
        <f t="shared" si="167"/>
        <v>-0.58087423155607754</v>
      </c>
      <c r="AJ505" s="5">
        <f t="shared" si="168"/>
        <v>44928</v>
      </c>
      <c r="AK505" t="str">
        <f t="shared" si="169"/>
        <v>Jan-2023</v>
      </c>
      <c r="AL505">
        <v>0</v>
      </c>
      <c r="AM505">
        <v>0</v>
      </c>
      <c r="AN505">
        <v>0</v>
      </c>
    </row>
    <row r="506" spans="1:40" x14ac:dyDescent="0.45">
      <c r="A506" s="3" t="s">
        <v>322</v>
      </c>
      <c r="B506" s="5">
        <v>45451</v>
      </c>
      <c r="C506" s="9" t="str">
        <f t="shared" si="157"/>
        <v>Jun-2024</v>
      </c>
      <c r="D506" s="5" t="str">
        <f t="shared" si="158"/>
        <v>2024-Q2</v>
      </c>
      <c r="E506" s="5">
        <v>45467</v>
      </c>
      <c r="F506" s="9">
        <f t="shared" si="170"/>
        <v>16</v>
      </c>
      <c r="G506" s="9" t="str">
        <f t="shared" si="171"/>
        <v>NOT ACHIEVED</v>
      </c>
      <c r="H506" s="3" t="s">
        <v>640</v>
      </c>
      <c r="I506" s="3" t="s">
        <v>655</v>
      </c>
      <c r="J506" s="3" t="s">
        <v>681</v>
      </c>
      <c r="K506" s="13" t="str">
        <f t="shared" si="172"/>
        <v>Africa &gt; South Africa &gt; Durban</v>
      </c>
      <c r="L506" s="3" t="s">
        <v>696</v>
      </c>
      <c r="M506" s="3" t="s">
        <v>704</v>
      </c>
      <c r="N506" s="13" t="str">
        <f t="shared" si="159"/>
        <v>Distributor</v>
      </c>
      <c r="O506" s="3" t="s">
        <v>716</v>
      </c>
      <c r="P506" s="3" t="s">
        <v>726</v>
      </c>
      <c r="Q506" s="13" t="str">
        <f t="shared" si="160"/>
        <v>Low</v>
      </c>
      <c r="R506" s="3" t="s">
        <v>1041</v>
      </c>
      <c r="S506" s="7">
        <v>597.85</v>
      </c>
      <c r="T506" s="7">
        <f t="shared" si="173"/>
        <v>687.52749999999992</v>
      </c>
      <c r="U506" s="7">
        <v>741.92</v>
      </c>
      <c r="V506" s="7">
        <f t="shared" si="161"/>
        <v>741.92</v>
      </c>
      <c r="W506" s="7">
        <f t="shared" si="174"/>
        <v>853.20799999999986</v>
      </c>
      <c r="X506" s="16">
        <v>3.1E-2</v>
      </c>
      <c r="Y506" t="str">
        <f t="shared" si="162"/>
        <v>OK</v>
      </c>
      <c r="Z506" s="16">
        <f t="shared" si="163"/>
        <v>3.1E-2</v>
      </c>
      <c r="AA506" s="16">
        <f t="shared" si="175"/>
        <v>3.1E-2</v>
      </c>
      <c r="AB506" s="9">
        <v>7</v>
      </c>
      <c r="AC506" s="9">
        <f t="shared" si="176"/>
        <v>8.4</v>
      </c>
      <c r="AD506" s="9">
        <f t="shared" si="164"/>
        <v>5032.4433599999993</v>
      </c>
      <c r="AE506" s="9">
        <f t="shared" si="177"/>
        <v>7389.1225631999978</v>
      </c>
      <c r="AF506" s="9">
        <f t="shared" si="165"/>
        <v>4184.95</v>
      </c>
      <c r="AG506" s="9">
        <f t="shared" si="166"/>
        <v>847.49335999999948</v>
      </c>
      <c r="AH506" s="9">
        <f t="shared" si="178"/>
        <v>3204.172563199998</v>
      </c>
      <c r="AI506">
        <f t="shared" si="167"/>
        <v>0.16840594108544515</v>
      </c>
      <c r="AJ506" s="5">
        <f t="shared" si="168"/>
        <v>44928</v>
      </c>
      <c r="AK506" t="str">
        <f t="shared" si="169"/>
        <v>Jan-2023</v>
      </c>
      <c r="AL506">
        <v>0</v>
      </c>
      <c r="AM506">
        <v>0</v>
      </c>
      <c r="AN506">
        <v>0</v>
      </c>
    </row>
    <row r="507" spans="1:40" x14ac:dyDescent="0.45">
      <c r="A507" s="3" t="s">
        <v>333</v>
      </c>
      <c r="B507" s="5">
        <v>45053</v>
      </c>
      <c r="C507" s="9" t="str">
        <f t="shared" si="157"/>
        <v>May-2023</v>
      </c>
      <c r="D507" s="5" t="str">
        <f t="shared" si="158"/>
        <v>2023-Q2</v>
      </c>
      <c r="E507" s="5">
        <v>45075</v>
      </c>
      <c r="F507" s="9">
        <f t="shared" si="170"/>
        <v>22</v>
      </c>
      <c r="G507" s="9" t="str">
        <f t="shared" si="171"/>
        <v>NOT ACHIEVED</v>
      </c>
      <c r="H507" s="3" t="s">
        <v>640</v>
      </c>
      <c r="I507" s="3" t="s">
        <v>655</v>
      </c>
      <c r="J507" s="3" t="s">
        <v>681</v>
      </c>
      <c r="K507" s="13" t="str">
        <f t="shared" si="172"/>
        <v>Africa &gt; South Africa &gt; Durban</v>
      </c>
      <c r="L507" s="3" t="s">
        <v>696</v>
      </c>
      <c r="M507" s="3" t="s">
        <v>704</v>
      </c>
      <c r="N507" s="13" t="str">
        <f t="shared" si="159"/>
        <v>Distributor</v>
      </c>
      <c r="O507" s="3" t="s">
        <v>717</v>
      </c>
      <c r="P507" s="3" t="s">
        <v>727</v>
      </c>
      <c r="Q507" s="13" t="str">
        <f t="shared" si="160"/>
        <v>Medium</v>
      </c>
      <c r="R507" s="3" t="s">
        <v>1052</v>
      </c>
      <c r="S507" s="7">
        <v>653.86</v>
      </c>
      <c r="T507" s="7">
        <f t="shared" si="173"/>
        <v>751.93899999999996</v>
      </c>
      <c r="U507" s="7">
        <v>931.84</v>
      </c>
      <c r="V507" s="7">
        <f t="shared" si="161"/>
        <v>931.84</v>
      </c>
      <c r="W507" s="7">
        <f t="shared" si="174"/>
        <v>1071.616</v>
      </c>
      <c r="X507" s="16">
        <v>0.121</v>
      </c>
      <c r="Y507" t="str">
        <f t="shared" si="162"/>
        <v>OK</v>
      </c>
      <c r="Z507" s="16">
        <f t="shared" si="163"/>
        <v>0.121</v>
      </c>
      <c r="AA507" s="16">
        <f t="shared" si="175"/>
        <v>0.121</v>
      </c>
      <c r="AB507" s="9">
        <v>12</v>
      </c>
      <c r="AC507" s="9">
        <f t="shared" si="176"/>
        <v>14.399999999999999</v>
      </c>
      <c r="AD507" s="9">
        <f t="shared" si="164"/>
        <v>9829.0483199999999</v>
      </c>
      <c r="AE507" s="9">
        <f t="shared" si="177"/>
        <v>17298.454118399997</v>
      </c>
      <c r="AF507" s="9">
        <f t="shared" si="165"/>
        <v>7846.32</v>
      </c>
      <c r="AG507" s="9">
        <f t="shared" si="166"/>
        <v>1982.7283200000002</v>
      </c>
      <c r="AH507" s="9">
        <f t="shared" si="178"/>
        <v>9452.1341183999975</v>
      </c>
      <c r="AI507">
        <f t="shared" si="167"/>
        <v>0.20172129136506273</v>
      </c>
      <c r="AJ507" s="5">
        <f t="shared" si="168"/>
        <v>44928</v>
      </c>
      <c r="AK507" t="str">
        <f t="shared" si="169"/>
        <v>Jan-2023</v>
      </c>
      <c r="AL507">
        <v>0</v>
      </c>
      <c r="AM507">
        <v>0</v>
      </c>
      <c r="AN507">
        <v>0</v>
      </c>
    </row>
    <row r="508" spans="1:40" x14ac:dyDescent="0.45">
      <c r="A508" s="3" t="s">
        <v>347</v>
      </c>
      <c r="B508" s="5">
        <v>45121</v>
      </c>
      <c r="C508" s="9" t="str">
        <f t="shared" si="157"/>
        <v>Jul-2023</v>
      </c>
      <c r="D508" s="5" t="str">
        <f t="shared" si="158"/>
        <v>2023-Q3</v>
      </c>
      <c r="E508" s="5">
        <v>45128</v>
      </c>
      <c r="F508" s="9">
        <f t="shared" si="170"/>
        <v>7</v>
      </c>
      <c r="G508" s="9" t="str">
        <f t="shared" si="171"/>
        <v>ACHIEVED</v>
      </c>
      <c r="H508" s="3" t="s">
        <v>640</v>
      </c>
      <c r="I508" s="3" t="s">
        <v>655</v>
      </c>
      <c r="J508" s="3" t="s">
        <v>681</v>
      </c>
      <c r="K508" s="13" t="str">
        <f t="shared" si="172"/>
        <v>Africa &gt; South Africa &gt; Durban</v>
      </c>
      <c r="L508" s="3" t="s">
        <v>700</v>
      </c>
      <c r="M508" s="3" t="s">
        <v>703</v>
      </c>
      <c r="N508" s="13" t="str">
        <f t="shared" si="159"/>
        <v>Marketplace</v>
      </c>
      <c r="O508" s="3" t="s">
        <v>1443</v>
      </c>
      <c r="P508" s="3" t="s">
        <v>726</v>
      </c>
      <c r="Q508" s="13" t="str">
        <f t="shared" si="160"/>
        <v>Medium</v>
      </c>
      <c r="R508" s="3" t="s">
        <v>1066</v>
      </c>
      <c r="S508" s="7">
        <v>620.74</v>
      </c>
      <c r="T508" s="7">
        <f t="shared" si="173"/>
        <v>713.851</v>
      </c>
      <c r="U508" s="7">
        <v>1330.07</v>
      </c>
      <c r="V508" s="7">
        <f t="shared" si="161"/>
        <v>1330.07</v>
      </c>
      <c r="W508" s="7">
        <f t="shared" si="174"/>
        <v>1529.5804999999998</v>
      </c>
      <c r="X508" s="16">
        <v>0.29899999999999999</v>
      </c>
      <c r="Y508" t="str">
        <f t="shared" si="162"/>
        <v>OK</v>
      </c>
      <c r="Z508" s="16">
        <f t="shared" si="163"/>
        <v>0.29899999999999999</v>
      </c>
      <c r="AA508" s="16">
        <f t="shared" si="175"/>
        <v>0.25</v>
      </c>
      <c r="AB508" s="9">
        <v>28</v>
      </c>
      <c r="AC508" s="9">
        <f t="shared" si="176"/>
        <v>33.6</v>
      </c>
      <c r="AD508" s="9">
        <f t="shared" si="164"/>
        <v>26106.613960000002</v>
      </c>
      <c r="AE508" s="9">
        <f t="shared" si="177"/>
        <v>64242.380999999994</v>
      </c>
      <c r="AF508" s="9">
        <f t="shared" si="165"/>
        <v>17380.72</v>
      </c>
      <c r="AG508" s="9">
        <f t="shared" si="166"/>
        <v>8725.8939600000012</v>
      </c>
      <c r="AH508" s="9">
        <f t="shared" si="178"/>
        <v>46861.660999999993</v>
      </c>
      <c r="AI508">
        <f t="shared" si="167"/>
        <v>0.33424073965967516</v>
      </c>
      <c r="AJ508" s="5">
        <f t="shared" si="168"/>
        <v>44928</v>
      </c>
      <c r="AK508" t="str">
        <f t="shared" si="169"/>
        <v>Jan-2023</v>
      </c>
      <c r="AL508">
        <v>0</v>
      </c>
      <c r="AM508">
        <v>0</v>
      </c>
      <c r="AN508">
        <v>0</v>
      </c>
    </row>
    <row r="509" spans="1:40" x14ac:dyDescent="0.45">
      <c r="A509" s="3" t="s">
        <v>367</v>
      </c>
      <c r="B509" s="5">
        <v>45309</v>
      </c>
      <c r="C509" s="9" t="str">
        <f t="shared" si="157"/>
        <v>Jan-2024</v>
      </c>
      <c r="D509" s="5" t="str">
        <f t="shared" si="158"/>
        <v>2024-Q1</v>
      </c>
      <c r="E509" s="5">
        <v>45325</v>
      </c>
      <c r="F509" s="9">
        <f t="shared" si="170"/>
        <v>16</v>
      </c>
      <c r="G509" s="9" t="str">
        <f t="shared" si="171"/>
        <v>NOT ACHIEVED</v>
      </c>
      <c r="H509" s="3" t="s">
        <v>640</v>
      </c>
      <c r="I509" s="3" t="s">
        <v>655</v>
      </c>
      <c r="J509" s="3" t="s">
        <v>689</v>
      </c>
      <c r="K509" s="13" t="str">
        <f t="shared" si="172"/>
        <v>Africa &gt; South Africa &gt; Cape Town</v>
      </c>
      <c r="L509" s="3" t="s">
        <v>697</v>
      </c>
      <c r="M509" s="3" t="s">
        <v>704</v>
      </c>
      <c r="N509" s="13" t="str">
        <f t="shared" si="159"/>
        <v>Distributor</v>
      </c>
      <c r="O509" s="3" t="s">
        <v>710</v>
      </c>
      <c r="P509" s="3" t="s">
        <v>722</v>
      </c>
      <c r="Q509" s="13" t="str">
        <f t="shared" si="160"/>
        <v>Medium</v>
      </c>
      <c r="R509" s="3" t="s">
        <v>1086</v>
      </c>
      <c r="S509" s="7">
        <v>666.23</v>
      </c>
      <c r="T509" s="7">
        <f t="shared" si="173"/>
        <v>766.16449999999998</v>
      </c>
      <c r="U509" s="7">
        <v>1382.91</v>
      </c>
      <c r="V509" s="7">
        <f t="shared" si="161"/>
        <v>1382.91</v>
      </c>
      <c r="W509" s="7">
        <f t="shared" si="174"/>
        <v>1590.3464999999999</v>
      </c>
      <c r="X509" s="16">
        <v>0.17599999999999999</v>
      </c>
      <c r="Y509" t="str">
        <f t="shared" si="162"/>
        <v>OK</v>
      </c>
      <c r="Z509" s="16">
        <f t="shared" si="163"/>
        <v>0.17599999999999999</v>
      </c>
      <c r="AA509" s="16">
        <f t="shared" si="175"/>
        <v>0.17599999999999999</v>
      </c>
      <c r="AB509" s="9">
        <v>13</v>
      </c>
      <c r="AC509" s="9">
        <f t="shared" si="176"/>
        <v>15.6</v>
      </c>
      <c r="AD509" s="9">
        <f t="shared" si="164"/>
        <v>14813.731920000002</v>
      </c>
      <c r="AE509" s="9">
        <f t="shared" si="177"/>
        <v>29175.860750399992</v>
      </c>
      <c r="AF509" s="9">
        <f t="shared" si="165"/>
        <v>8660.99</v>
      </c>
      <c r="AG509" s="9">
        <f t="shared" si="166"/>
        <v>6152.7419200000022</v>
      </c>
      <c r="AH509" s="9">
        <f t="shared" si="178"/>
        <v>20514.87075039999</v>
      </c>
      <c r="AI509">
        <f t="shared" si="167"/>
        <v>0.41534043907553048</v>
      </c>
      <c r="AJ509" s="5">
        <f t="shared" si="168"/>
        <v>44928</v>
      </c>
      <c r="AK509" t="str">
        <f t="shared" si="169"/>
        <v>Jan-2023</v>
      </c>
      <c r="AL509">
        <v>0</v>
      </c>
      <c r="AM509">
        <v>0</v>
      </c>
      <c r="AN509">
        <v>0</v>
      </c>
    </row>
    <row r="510" spans="1:40" x14ac:dyDescent="0.45">
      <c r="A510" s="3" t="s">
        <v>385</v>
      </c>
      <c r="B510" s="5">
        <v>44998</v>
      </c>
      <c r="C510" s="9" t="str">
        <f t="shared" si="157"/>
        <v>Mar-2023</v>
      </c>
      <c r="D510" s="5" t="str">
        <f t="shared" si="158"/>
        <v>2023-Q1</v>
      </c>
      <c r="E510" s="5">
        <v>45020</v>
      </c>
      <c r="F510" s="9">
        <f t="shared" si="170"/>
        <v>22</v>
      </c>
      <c r="G510" s="9" t="str">
        <f t="shared" si="171"/>
        <v>NOT ACHIEVED</v>
      </c>
      <c r="H510" s="3" t="s">
        <v>640</v>
      </c>
      <c r="I510" s="3" t="s">
        <v>655</v>
      </c>
      <c r="J510" s="3" t="s">
        <v>681</v>
      </c>
      <c r="K510" s="13" t="str">
        <f t="shared" si="172"/>
        <v>Africa &gt; South Africa &gt; Durban</v>
      </c>
      <c r="L510" s="3" t="s">
        <v>699</v>
      </c>
      <c r="M510" s="3" t="s">
        <v>701</v>
      </c>
      <c r="N510" s="13" t="str">
        <f t="shared" si="159"/>
        <v>Retail</v>
      </c>
      <c r="O510" s="3" t="s">
        <v>714</v>
      </c>
      <c r="P510" s="3" t="s">
        <v>721</v>
      </c>
      <c r="Q510" s="13" t="str">
        <f t="shared" si="160"/>
        <v>High</v>
      </c>
      <c r="R510" s="3" t="s">
        <v>1104</v>
      </c>
      <c r="S510" s="7">
        <v>1113.7</v>
      </c>
      <c r="T510" s="7">
        <f t="shared" si="173"/>
        <v>1280.7549999999999</v>
      </c>
      <c r="U510" s="7">
        <v>1620.6</v>
      </c>
      <c r="V510" s="7">
        <f t="shared" si="161"/>
        <v>1620.6</v>
      </c>
      <c r="W510" s="7">
        <f t="shared" si="174"/>
        <v>1863.6899999999998</v>
      </c>
      <c r="X510" s="16">
        <v>0.13900000000000001</v>
      </c>
      <c r="Y510" t="str">
        <f t="shared" si="162"/>
        <v>OK</v>
      </c>
      <c r="Z510" s="16">
        <f t="shared" si="163"/>
        <v>0.13900000000000001</v>
      </c>
      <c r="AA510" s="16">
        <f t="shared" si="175"/>
        <v>0.13900000000000001</v>
      </c>
      <c r="AB510" s="9">
        <v>11</v>
      </c>
      <c r="AC510" s="9">
        <f t="shared" si="176"/>
        <v>13.2</v>
      </c>
      <c r="AD510" s="9">
        <f t="shared" si="164"/>
        <v>15348.702599999999</v>
      </c>
      <c r="AE510" s="9">
        <f t="shared" si="177"/>
        <v>28020.206411999996</v>
      </c>
      <c r="AF510" s="9">
        <f t="shared" si="165"/>
        <v>12250.7</v>
      </c>
      <c r="AG510" s="9">
        <f t="shared" si="166"/>
        <v>3098.002599999998</v>
      </c>
      <c r="AH510" s="9">
        <f t="shared" si="178"/>
        <v>15769.506411999995</v>
      </c>
      <c r="AI510">
        <f t="shared" si="167"/>
        <v>0.20184133348182787</v>
      </c>
      <c r="AJ510" s="5">
        <f t="shared" si="168"/>
        <v>44928</v>
      </c>
      <c r="AK510" t="str">
        <f t="shared" si="169"/>
        <v>Jan-2023</v>
      </c>
      <c r="AL510">
        <v>0</v>
      </c>
      <c r="AM510">
        <v>0</v>
      </c>
      <c r="AN510">
        <v>0</v>
      </c>
    </row>
    <row r="511" spans="1:40" x14ac:dyDescent="0.45">
      <c r="A511" s="3" t="s">
        <v>386</v>
      </c>
      <c r="B511" s="5">
        <v>45664</v>
      </c>
      <c r="C511" s="9" t="str">
        <f t="shared" si="157"/>
        <v>Jan-2025</v>
      </c>
      <c r="D511" s="5" t="str">
        <f t="shared" si="158"/>
        <v>2025-Q1</v>
      </c>
      <c r="E511" s="5">
        <v>45677</v>
      </c>
      <c r="F511" s="9">
        <f t="shared" si="170"/>
        <v>13</v>
      </c>
      <c r="G511" s="9" t="str">
        <f t="shared" si="171"/>
        <v>NOT ACHIEVED</v>
      </c>
      <c r="H511" s="3" t="s">
        <v>640</v>
      </c>
      <c r="I511" s="3" t="s">
        <v>655</v>
      </c>
      <c r="J511" s="3" t="s">
        <v>689</v>
      </c>
      <c r="K511" s="13" t="str">
        <f t="shared" si="172"/>
        <v>Africa &gt; South Africa &gt; Cape Town</v>
      </c>
      <c r="L511" s="3" t="s">
        <v>695</v>
      </c>
      <c r="M511" s="3" t="s">
        <v>705</v>
      </c>
      <c r="N511" s="13" t="str">
        <f t="shared" si="159"/>
        <v>Direct</v>
      </c>
      <c r="O511" s="3" t="s">
        <v>717</v>
      </c>
      <c r="P511" s="3" t="s">
        <v>723</v>
      </c>
      <c r="Q511" s="13" t="str">
        <f t="shared" si="160"/>
        <v>Medium</v>
      </c>
      <c r="R511" s="3" t="s">
        <v>1105</v>
      </c>
      <c r="S511" s="7">
        <v>432.13</v>
      </c>
      <c r="T511" s="7">
        <f t="shared" si="173"/>
        <v>496.94949999999994</v>
      </c>
      <c r="U511" s="7">
        <v>1034.6600000000001</v>
      </c>
      <c r="V511" s="7">
        <f t="shared" si="161"/>
        <v>1034.6600000000001</v>
      </c>
      <c r="W511" s="7">
        <f t="shared" si="174"/>
        <v>1189.8589999999999</v>
      </c>
      <c r="X511" s="16">
        <v>9.1999999999999998E-2</v>
      </c>
      <c r="Y511" t="str">
        <f t="shared" si="162"/>
        <v>OK</v>
      </c>
      <c r="Z511" s="16">
        <f t="shared" si="163"/>
        <v>9.1999999999999998E-2</v>
      </c>
      <c r="AA511" s="16">
        <f t="shared" si="175"/>
        <v>9.1999999999999998E-2</v>
      </c>
      <c r="AB511" s="9">
        <v>7</v>
      </c>
      <c r="AC511" s="9">
        <f t="shared" si="176"/>
        <v>8.4</v>
      </c>
      <c r="AD511" s="9">
        <f t="shared" si="164"/>
        <v>6576.298960000001</v>
      </c>
      <c r="AE511" s="9">
        <f t="shared" si="177"/>
        <v>10914.338635200002</v>
      </c>
      <c r="AF511" s="9">
        <f t="shared" si="165"/>
        <v>3024.91</v>
      </c>
      <c r="AG511" s="9">
        <f t="shared" si="166"/>
        <v>3551.3889600000011</v>
      </c>
      <c r="AH511" s="9">
        <f t="shared" si="178"/>
        <v>7889.4286352000017</v>
      </c>
      <c r="AI511">
        <f t="shared" si="167"/>
        <v>0.54002851476204794</v>
      </c>
      <c r="AJ511" s="5">
        <f t="shared" si="168"/>
        <v>44928</v>
      </c>
      <c r="AK511" t="str">
        <f t="shared" si="169"/>
        <v>Jan-2023</v>
      </c>
      <c r="AL511">
        <v>0</v>
      </c>
      <c r="AM511">
        <v>0</v>
      </c>
      <c r="AN511">
        <v>0</v>
      </c>
    </row>
    <row r="512" spans="1:40" x14ac:dyDescent="0.45">
      <c r="A512" s="3" t="s">
        <v>397</v>
      </c>
      <c r="B512" s="5">
        <v>45225</v>
      </c>
      <c r="C512" s="9" t="str">
        <f t="shared" si="157"/>
        <v>Oct-2023</v>
      </c>
      <c r="D512" s="5" t="str">
        <f t="shared" si="158"/>
        <v>2023-Q4</v>
      </c>
      <c r="E512" s="5">
        <v>45235</v>
      </c>
      <c r="F512" s="9">
        <f t="shared" si="170"/>
        <v>10</v>
      </c>
      <c r="G512" s="9" t="str">
        <f t="shared" si="171"/>
        <v>NOT ACHIEVED</v>
      </c>
      <c r="H512" s="3" t="s">
        <v>640</v>
      </c>
      <c r="I512" s="3" t="s">
        <v>655</v>
      </c>
      <c r="J512" s="3" t="s">
        <v>689</v>
      </c>
      <c r="K512" s="13" t="str">
        <f t="shared" si="172"/>
        <v>Africa &gt; South Africa &gt; Cape Town</v>
      </c>
      <c r="L512" s="3" t="s">
        <v>697</v>
      </c>
      <c r="M512" s="3" t="s">
        <v>702</v>
      </c>
      <c r="N512" s="13" t="str">
        <f t="shared" si="159"/>
        <v>Online</v>
      </c>
      <c r="O512" s="3" t="s">
        <v>708</v>
      </c>
      <c r="P512" s="3" t="s">
        <v>725</v>
      </c>
      <c r="Q512" s="13" t="str">
        <f t="shared" si="160"/>
        <v>Low</v>
      </c>
      <c r="R512" s="3" t="s">
        <v>1115</v>
      </c>
      <c r="S512" s="7">
        <v>20.38</v>
      </c>
      <c r="T512" s="7">
        <f t="shared" si="173"/>
        <v>23.436999999999998</v>
      </c>
      <c r="U512" s="7">
        <v>42.56</v>
      </c>
      <c r="V512" s="7">
        <f t="shared" si="161"/>
        <v>42.56</v>
      </c>
      <c r="W512" s="7">
        <f t="shared" si="174"/>
        <v>48.943999999999996</v>
      </c>
      <c r="X512" s="16">
        <v>7.1999999999999995E-2</v>
      </c>
      <c r="Y512" t="str">
        <f t="shared" si="162"/>
        <v>OK</v>
      </c>
      <c r="Z512" s="16">
        <f t="shared" si="163"/>
        <v>7.1999999999999995E-2</v>
      </c>
      <c r="AA512" s="16">
        <f t="shared" si="175"/>
        <v>7.1999999999999995E-2</v>
      </c>
      <c r="AB512" s="9">
        <v>11</v>
      </c>
      <c r="AC512" s="9">
        <f t="shared" si="176"/>
        <v>13.2</v>
      </c>
      <c r="AD512" s="9">
        <f t="shared" si="164"/>
        <v>434.45248000000004</v>
      </c>
      <c r="AE512" s="9">
        <f t="shared" si="177"/>
        <v>692.57717759999991</v>
      </c>
      <c r="AF512" s="9">
        <f t="shared" si="165"/>
        <v>224.17999999999998</v>
      </c>
      <c r="AG512" s="9">
        <f t="shared" si="166"/>
        <v>210.27248000000006</v>
      </c>
      <c r="AH512" s="9">
        <f t="shared" si="178"/>
        <v>468.39717759999996</v>
      </c>
      <c r="AI512">
        <f t="shared" si="167"/>
        <v>0.48399419885921713</v>
      </c>
      <c r="AJ512" s="5">
        <f t="shared" si="168"/>
        <v>44928</v>
      </c>
      <c r="AK512" t="str">
        <f t="shared" si="169"/>
        <v>Jan-2023</v>
      </c>
      <c r="AL512">
        <v>0</v>
      </c>
      <c r="AM512">
        <v>0</v>
      </c>
      <c r="AN512">
        <v>0</v>
      </c>
    </row>
    <row r="513" spans="1:40" x14ac:dyDescent="0.45">
      <c r="A513" s="3" t="s">
        <v>398</v>
      </c>
      <c r="B513" s="5">
        <v>45823</v>
      </c>
      <c r="C513" s="9" t="str">
        <f t="shared" si="157"/>
        <v>Jun-2025</v>
      </c>
      <c r="D513" s="5" t="str">
        <f t="shared" si="158"/>
        <v>2025-Q2</v>
      </c>
      <c r="E513" s="5">
        <v>45838</v>
      </c>
      <c r="F513" s="9">
        <f t="shared" si="170"/>
        <v>15</v>
      </c>
      <c r="G513" s="9" t="str">
        <f t="shared" si="171"/>
        <v>NOT ACHIEVED</v>
      </c>
      <c r="H513" s="3" t="s">
        <v>640</v>
      </c>
      <c r="I513" s="3" t="s">
        <v>655</v>
      </c>
      <c r="J513" s="3" t="s">
        <v>676</v>
      </c>
      <c r="K513" s="13" t="str">
        <f t="shared" si="172"/>
        <v>Africa &gt; South Africa &gt; Johannesburg</v>
      </c>
      <c r="L513" s="3" t="s">
        <v>699</v>
      </c>
      <c r="M513" s="3" t="s">
        <v>705</v>
      </c>
      <c r="N513" s="13" t="str">
        <f t="shared" si="159"/>
        <v>Direct</v>
      </c>
      <c r="O513" s="3" t="s">
        <v>706</v>
      </c>
      <c r="P513" s="3" t="s">
        <v>726</v>
      </c>
      <c r="Q513" s="13" t="str">
        <f t="shared" si="160"/>
        <v>Medium</v>
      </c>
      <c r="R513" s="3" t="s">
        <v>1116</v>
      </c>
      <c r="S513" s="7">
        <v>1487.59</v>
      </c>
      <c r="T513" s="7">
        <f t="shared" si="173"/>
        <v>1710.7284999999997</v>
      </c>
      <c r="U513" s="7">
        <v>1480.83</v>
      </c>
      <c r="V513" s="7">
        <f t="shared" si="161"/>
        <v>1480.83</v>
      </c>
      <c r="W513" s="7">
        <f t="shared" si="174"/>
        <v>1702.9544999999998</v>
      </c>
      <c r="X513" s="16">
        <v>8.9999999999999993E-3</v>
      </c>
      <c r="Y513" t="str">
        <f t="shared" si="162"/>
        <v>OK</v>
      </c>
      <c r="Z513" s="16">
        <f t="shared" si="163"/>
        <v>8.9999999999999993E-3</v>
      </c>
      <c r="AA513" s="16">
        <f t="shared" si="175"/>
        <v>8.9999999999999993E-3</v>
      </c>
      <c r="AB513" s="9">
        <v>11</v>
      </c>
      <c r="AC513" s="9">
        <f t="shared" si="176"/>
        <v>13.2</v>
      </c>
      <c r="AD513" s="9">
        <f t="shared" si="164"/>
        <v>16142.527829999999</v>
      </c>
      <c r="AE513" s="9">
        <f t="shared" si="177"/>
        <v>22681.310394599994</v>
      </c>
      <c r="AF513" s="9">
        <f t="shared" si="165"/>
        <v>16363.49</v>
      </c>
      <c r="AG513" s="9">
        <f t="shared" si="166"/>
        <v>-220.9621700000007</v>
      </c>
      <c r="AH513" s="9">
        <f t="shared" si="178"/>
        <v>6317.820394599994</v>
      </c>
      <c r="AI513">
        <f t="shared" si="167"/>
        <v>-1.3688201273492908E-2</v>
      </c>
      <c r="AJ513" s="5">
        <f t="shared" si="168"/>
        <v>44928</v>
      </c>
      <c r="AK513" t="str">
        <f t="shared" si="169"/>
        <v>Jan-2023</v>
      </c>
      <c r="AL513">
        <v>0</v>
      </c>
      <c r="AM513">
        <v>0</v>
      </c>
      <c r="AN513">
        <v>0</v>
      </c>
    </row>
    <row r="514" spans="1:40" x14ac:dyDescent="0.45">
      <c r="A514" s="3" t="s">
        <v>406</v>
      </c>
      <c r="B514" s="5">
        <v>45914</v>
      </c>
      <c r="C514" s="9" t="str">
        <f t="shared" ref="C514:C577" si="179">TEXT(B514,"MMM-YYYY")</f>
        <v>Sep-2025</v>
      </c>
      <c r="D514" s="5" t="str">
        <f t="shared" ref="D514:D577" si="180">YEAR(B514)&amp; "-Q"&amp;ROUNDUP(MONTH(B514)/3,0)</f>
        <v>2025-Q3</v>
      </c>
      <c r="E514" s="5">
        <v>45923</v>
      </c>
      <c r="F514" s="9">
        <f t="shared" si="170"/>
        <v>9</v>
      </c>
      <c r="G514" s="9" t="str">
        <f t="shared" si="171"/>
        <v>NOT ACHIEVED</v>
      </c>
      <c r="H514" s="3" t="s">
        <v>640</v>
      </c>
      <c r="I514" s="3" t="s">
        <v>655</v>
      </c>
      <c r="J514" s="3" t="s">
        <v>681</v>
      </c>
      <c r="K514" s="13" t="str">
        <f t="shared" si="172"/>
        <v>Africa &gt; South Africa &gt; Durban</v>
      </c>
      <c r="L514" s="3" t="s">
        <v>697</v>
      </c>
      <c r="M514" s="3" t="s">
        <v>702</v>
      </c>
      <c r="N514" s="13" t="str">
        <f t="shared" ref="N514:N577" si="181">IF(ISBLANK(M514),"Unknown",M514)</f>
        <v>Online</v>
      </c>
      <c r="O514" s="3" t="s">
        <v>720</v>
      </c>
      <c r="P514" s="3" t="s">
        <v>721</v>
      </c>
      <c r="Q514" s="13" t="str">
        <f t="shared" ref="Q514:Q577" si="182">IF(U514&lt;=$AM$2,"Low",IF(U514&lt;=$AM$3,"Medium","High"))</f>
        <v>High</v>
      </c>
      <c r="R514" s="3" t="s">
        <v>1124</v>
      </c>
      <c r="S514" s="7">
        <v>1310.3</v>
      </c>
      <c r="T514" s="7">
        <f t="shared" si="173"/>
        <v>1506.8449999999998</v>
      </c>
      <c r="U514" s="7">
        <v>2875.8</v>
      </c>
      <c r="V514" s="7">
        <f t="shared" ref="V514:V577" si="183">IF(U514&lt;0,"",U514)</f>
        <v>2875.8</v>
      </c>
      <c r="W514" s="7">
        <f t="shared" si="174"/>
        <v>3307.17</v>
      </c>
      <c r="X514" s="16">
        <v>8.3000000000000004E-2</v>
      </c>
      <c r="Y514" t="str">
        <f t="shared" ref="Y514:Y577" si="184">IF(X514&gt;0.3,"Excess dis","OK")</f>
        <v>OK</v>
      </c>
      <c r="Z514" s="16">
        <f t="shared" ref="Z514:Z578" si="185">IF(X514&gt;0.3,0.3,X514)</f>
        <v>8.3000000000000004E-2</v>
      </c>
      <c r="AA514" s="16">
        <f t="shared" si="175"/>
        <v>8.3000000000000004E-2</v>
      </c>
      <c r="AB514" s="9">
        <v>5</v>
      </c>
      <c r="AC514" s="9">
        <f t="shared" si="176"/>
        <v>6</v>
      </c>
      <c r="AD514" s="9">
        <f t="shared" ref="AD514:AD577" si="186">V514*AB514*(1-Z514)</f>
        <v>13185.543</v>
      </c>
      <c r="AE514" s="9">
        <f t="shared" si="177"/>
        <v>21489.990659999999</v>
      </c>
      <c r="AF514" s="9">
        <f t="shared" ref="AF514:AF577" si="187">S514*AB514</f>
        <v>6551.5</v>
      </c>
      <c r="AG514" s="9">
        <f t="shared" ref="AG514:AG577" si="188">AD514-AF514</f>
        <v>6634.0429999999997</v>
      </c>
      <c r="AH514" s="9">
        <f t="shared" si="178"/>
        <v>14938.490659999999</v>
      </c>
      <c r="AI514">
        <f t="shared" ref="AI514:AI577" si="189">IF(AD514=0,0,AG514/AD514)</f>
        <v>0.50313005691157353</v>
      </c>
      <c r="AJ514" s="5">
        <f t="shared" ref="AJ514:AJ577" si="190">MIN(IF($I$2:$I$632=I514, $B$2:$B$632))</f>
        <v>44928</v>
      </c>
      <c r="AK514" t="str">
        <f t="shared" ref="AK514:AK577" si="191">TEXT(AJ514,"MMM-YYYY")</f>
        <v>Jan-2023</v>
      </c>
      <c r="AL514">
        <v>0</v>
      </c>
      <c r="AM514">
        <v>0</v>
      </c>
      <c r="AN514">
        <v>0</v>
      </c>
    </row>
    <row r="515" spans="1:40" x14ac:dyDescent="0.45">
      <c r="A515" s="3" t="s">
        <v>407</v>
      </c>
      <c r="B515" s="5">
        <v>45541</v>
      </c>
      <c r="C515" s="9" t="str">
        <f t="shared" si="179"/>
        <v>Sep-2024</v>
      </c>
      <c r="D515" s="5" t="str">
        <f t="shared" si="180"/>
        <v>2024-Q3</v>
      </c>
      <c r="E515" s="5">
        <v>45569</v>
      </c>
      <c r="F515" s="9">
        <f t="shared" ref="F515:F578" si="192">E515-B515</f>
        <v>28</v>
      </c>
      <c r="G515" s="9" t="str">
        <f t="shared" ref="G515:G578" si="193">IF(F515&lt;=7,"ACHIEVED","NOT ACHIEVED")</f>
        <v>NOT ACHIEVED</v>
      </c>
      <c r="H515" s="3" t="s">
        <v>640</v>
      </c>
      <c r="I515" s="3" t="s">
        <v>655</v>
      </c>
      <c r="J515" s="3" t="s">
        <v>689</v>
      </c>
      <c r="K515" s="13" t="str">
        <f t="shared" ref="K515:K578" si="194">H515&amp;" &gt; "&amp;I515&amp;" &gt; "&amp;J515</f>
        <v>Africa &gt; South Africa &gt; Cape Town</v>
      </c>
      <c r="L515" s="3" t="s">
        <v>695</v>
      </c>
      <c r="M515" s="3" t="s">
        <v>703</v>
      </c>
      <c r="N515" s="13" t="str">
        <f t="shared" si="181"/>
        <v>Marketplace</v>
      </c>
      <c r="O515" s="3" t="s">
        <v>720</v>
      </c>
      <c r="P515" s="3" t="s">
        <v>726</v>
      </c>
      <c r="Q515" s="13" t="str">
        <f t="shared" si="182"/>
        <v>High</v>
      </c>
      <c r="R515" s="3" t="s">
        <v>1125</v>
      </c>
      <c r="S515" s="7">
        <v>1174.17</v>
      </c>
      <c r="T515" s="7">
        <f t="shared" ref="T515:T578" si="195">S515*(1+$AM$6)</f>
        <v>1350.2954999999999</v>
      </c>
      <c r="U515" s="7">
        <v>1641.61</v>
      </c>
      <c r="V515" s="7">
        <f t="shared" si="183"/>
        <v>1641.61</v>
      </c>
      <c r="W515" s="7">
        <f t="shared" ref="W515:W578" si="196">V515*(1+$AM$6)</f>
        <v>1887.8514999999998</v>
      </c>
      <c r="X515" s="16">
        <v>0.122</v>
      </c>
      <c r="Y515" t="str">
        <f t="shared" si="184"/>
        <v>OK</v>
      </c>
      <c r="Z515" s="16">
        <f t="shared" si="185"/>
        <v>0.122</v>
      </c>
      <c r="AA515" s="16">
        <f t="shared" ref="AA515:AA578" si="197">MIN(Z515,$AM$5)</f>
        <v>0.122</v>
      </c>
      <c r="AB515" s="9">
        <v>9</v>
      </c>
      <c r="AC515" s="9">
        <f t="shared" ref="AC515:AC578" si="198">AB515*(1+$AM$7)</f>
        <v>10.799999999999999</v>
      </c>
      <c r="AD515" s="9">
        <f t="shared" si="186"/>
        <v>12972.00222</v>
      </c>
      <c r="AE515" s="9">
        <f t="shared" ref="AE515:AE578" si="199">W515*AC515*(1+AA515)</f>
        <v>22876.229336399996</v>
      </c>
      <c r="AF515" s="9">
        <f t="shared" si="187"/>
        <v>10567.53</v>
      </c>
      <c r="AG515" s="9">
        <f t="shared" si="188"/>
        <v>2404.4722199999997</v>
      </c>
      <c r="AH515" s="9">
        <f t="shared" ref="AH515:AH578" si="200">AE515-AF515</f>
        <v>12308.699336399995</v>
      </c>
      <c r="AI515">
        <f t="shared" si="189"/>
        <v>0.18535860380079394</v>
      </c>
      <c r="AJ515" s="5">
        <f t="shared" si="190"/>
        <v>44928</v>
      </c>
      <c r="AK515" t="str">
        <f t="shared" si="191"/>
        <v>Jan-2023</v>
      </c>
      <c r="AL515">
        <v>0</v>
      </c>
      <c r="AM515">
        <v>0</v>
      </c>
      <c r="AN515">
        <v>0</v>
      </c>
    </row>
    <row r="516" spans="1:40" x14ac:dyDescent="0.45">
      <c r="A516" s="3" t="s">
        <v>455</v>
      </c>
      <c r="B516" s="5">
        <v>45746</v>
      </c>
      <c r="C516" s="9" t="str">
        <f t="shared" si="179"/>
        <v>Mar-2025</v>
      </c>
      <c r="D516" s="5" t="str">
        <f t="shared" si="180"/>
        <v>2025-Q1</v>
      </c>
      <c r="E516" s="5">
        <v>45776</v>
      </c>
      <c r="F516" s="9">
        <f t="shared" si="192"/>
        <v>30</v>
      </c>
      <c r="G516" s="9" t="str">
        <f t="shared" si="193"/>
        <v>NOT ACHIEVED</v>
      </c>
      <c r="H516" s="3" t="s">
        <v>640</v>
      </c>
      <c r="I516" s="3" t="s">
        <v>655</v>
      </c>
      <c r="J516" s="3" t="s">
        <v>681</v>
      </c>
      <c r="K516" s="13" t="str">
        <f t="shared" si="194"/>
        <v>Africa &gt; South Africa &gt; Durban</v>
      </c>
      <c r="L516" s="3" t="s">
        <v>698</v>
      </c>
      <c r="M516" s="3" t="s">
        <v>703</v>
      </c>
      <c r="N516" s="13" t="str">
        <f t="shared" si="181"/>
        <v>Marketplace</v>
      </c>
      <c r="O516" s="3" t="s">
        <v>707</v>
      </c>
      <c r="P516" s="3" t="s">
        <v>726</v>
      </c>
      <c r="Q516" s="13" t="str">
        <f t="shared" si="182"/>
        <v>Low</v>
      </c>
      <c r="R516" s="3" t="s">
        <v>1173</v>
      </c>
      <c r="S516" s="7">
        <v>194.6</v>
      </c>
      <c r="T516" s="7">
        <f t="shared" si="195"/>
        <v>223.78999999999996</v>
      </c>
      <c r="U516" s="7">
        <v>314.87</v>
      </c>
      <c r="V516" s="7">
        <f t="shared" si="183"/>
        <v>314.87</v>
      </c>
      <c r="W516" s="7">
        <f t="shared" si="196"/>
        <v>362.10049999999995</v>
      </c>
      <c r="X516" s="16">
        <v>0.29299999999999998</v>
      </c>
      <c r="Y516" t="str">
        <f t="shared" si="184"/>
        <v>OK</v>
      </c>
      <c r="Z516" s="16">
        <f t="shared" si="185"/>
        <v>0.29299999999999998</v>
      </c>
      <c r="AA516" s="16">
        <f t="shared" si="197"/>
        <v>0.25</v>
      </c>
      <c r="AB516" s="9">
        <v>25</v>
      </c>
      <c r="AC516" s="9">
        <f t="shared" si="198"/>
        <v>30</v>
      </c>
      <c r="AD516" s="9">
        <f t="shared" si="186"/>
        <v>5565.3272500000003</v>
      </c>
      <c r="AE516" s="9">
        <f t="shared" si="199"/>
        <v>13578.768749999999</v>
      </c>
      <c r="AF516" s="9">
        <f t="shared" si="187"/>
        <v>4865</v>
      </c>
      <c r="AG516" s="9">
        <f t="shared" si="188"/>
        <v>700.32725000000028</v>
      </c>
      <c r="AH516" s="9">
        <f t="shared" si="200"/>
        <v>8713.7687499999993</v>
      </c>
      <c r="AI516">
        <f t="shared" si="189"/>
        <v>0.1258375686712763</v>
      </c>
      <c r="AJ516" s="5">
        <f t="shared" si="190"/>
        <v>44928</v>
      </c>
      <c r="AK516" t="str">
        <f t="shared" si="191"/>
        <v>Jan-2023</v>
      </c>
      <c r="AL516">
        <v>0</v>
      </c>
      <c r="AM516">
        <v>0</v>
      </c>
      <c r="AN516">
        <v>0</v>
      </c>
    </row>
    <row r="517" spans="1:40" x14ac:dyDescent="0.45">
      <c r="A517" s="3" t="s">
        <v>469</v>
      </c>
      <c r="B517" s="5">
        <v>45063</v>
      </c>
      <c r="C517" s="9" t="str">
        <f t="shared" si="179"/>
        <v>May-2023</v>
      </c>
      <c r="D517" s="5" t="str">
        <f t="shared" si="180"/>
        <v>2023-Q2</v>
      </c>
      <c r="E517" s="5">
        <v>45092</v>
      </c>
      <c r="F517" s="9">
        <f t="shared" si="192"/>
        <v>29</v>
      </c>
      <c r="G517" s="9" t="str">
        <f t="shared" si="193"/>
        <v>NOT ACHIEVED</v>
      </c>
      <c r="H517" s="3" t="s">
        <v>640</v>
      </c>
      <c r="I517" s="3" t="s">
        <v>655</v>
      </c>
      <c r="J517" s="3" t="s">
        <v>681</v>
      </c>
      <c r="K517" s="13" t="str">
        <f t="shared" si="194"/>
        <v>Africa &gt; South Africa &gt; Durban</v>
      </c>
      <c r="L517" s="3" t="s">
        <v>700</v>
      </c>
      <c r="M517" s="3" t="s">
        <v>701</v>
      </c>
      <c r="N517" s="13" t="str">
        <f t="shared" si="181"/>
        <v>Retail</v>
      </c>
      <c r="O517" s="3" t="s">
        <v>717</v>
      </c>
      <c r="P517" s="3" t="s">
        <v>727</v>
      </c>
      <c r="Q517" s="13" t="str">
        <f t="shared" si="182"/>
        <v>Low</v>
      </c>
      <c r="R517" s="3" t="s">
        <v>1187</v>
      </c>
      <c r="S517" s="7">
        <v>40.89</v>
      </c>
      <c r="T517" s="7">
        <f t="shared" si="195"/>
        <v>47.023499999999999</v>
      </c>
      <c r="U517" s="7">
        <v>62.82</v>
      </c>
      <c r="V517" s="7">
        <f t="shared" si="183"/>
        <v>62.82</v>
      </c>
      <c r="W517" s="7">
        <f t="shared" si="196"/>
        <v>72.242999999999995</v>
      </c>
      <c r="X517" s="16">
        <v>0.129</v>
      </c>
      <c r="Y517" t="str">
        <f t="shared" si="184"/>
        <v>OK</v>
      </c>
      <c r="Z517" s="16">
        <f t="shared" si="185"/>
        <v>0.129</v>
      </c>
      <c r="AA517" s="16">
        <f t="shared" si="197"/>
        <v>0.129</v>
      </c>
      <c r="AB517" s="9">
        <v>17</v>
      </c>
      <c r="AC517" s="9">
        <f t="shared" si="198"/>
        <v>20.399999999999999</v>
      </c>
      <c r="AD517" s="9">
        <f t="shared" si="186"/>
        <v>930.17574000000002</v>
      </c>
      <c r="AE517" s="9">
        <f t="shared" si="199"/>
        <v>1663.8718787999996</v>
      </c>
      <c r="AF517" s="9">
        <f t="shared" si="187"/>
        <v>695.13</v>
      </c>
      <c r="AG517" s="9">
        <f t="shared" si="188"/>
        <v>235.04574000000002</v>
      </c>
      <c r="AH517" s="9">
        <f t="shared" si="200"/>
        <v>968.74187879999965</v>
      </c>
      <c r="AI517">
        <f t="shared" si="189"/>
        <v>0.25268960465470752</v>
      </c>
      <c r="AJ517" s="5">
        <f t="shared" si="190"/>
        <v>44928</v>
      </c>
      <c r="AK517" t="str">
        <f t="shared" si="191"/>
        <v>Jan-2023</v>
      </c>
      <c r="AL517">
        <v>0</v>
      </c>
      <c r="AM517">
        <v>0</v>
      </c>
      <c r="AN517">
        <v>0</v>
      </c>
    </row>
    <row r="518" spans="1:40" x14ac:dyDescent="0.45">
      <c r="A518" s="3" t="s">
        <v>471</v>
      </c>
      <c r="B518" s="5">
        <v>45757</v>
      </c>
      <c r="C518" s="9" t="str">
        <f t="shared" si="179"/>
        <v>Apr-2025</v>
      </c>
      <c r="D518" s="5" t="str">
        <f t="shared" si="180"/>
        <v>2025-Q2</v>
      </c>
      <c r="E518" s="5">
        <v>45766</v>
      </c>
      <c r="F518" s="9">
        <f t="shared" si="192"/>
        <v>9</v>
      </c>
      <c r="G518" s="9" t="str">
        <f t="shared" si="193"/>
        <v>NOT ACHIEVED</v>
      </c>
      <c r="H518" s="3" t="s">
        <v>640</v>
      </c>
      <c r="I518" s="3" t="s">
        <v>655</v>
      </c>
      <c r="J518" s="3" t="s">
        <v>681</v>
      </c>
      <c r="K518" s="13" t="str">
        <f t="shared" si="194"/>
        <v>Africa &gt; South Africa &gt; Durban</v>
      </c>
      <c r="L518" s="3" t="s">
        <v>700</v>
      </c>
      <c r="M518" s="3">
        <v>0</v>
      </c>
      <c r="N518" s="13">
        <f t="shared" si="181"/>
        <v>0</v>
      </c>
      <c r="O518" s="3" t="s">
        <v>709</v>
      </c>
      <c r="P518" s="3" t="s">
        <v>723</v>
      </c>
      <c r="Q518" s="13" t="str">
        <f t="shared" si="182"/>
        <v>Low</v>
      </c>
      <c r="R518" s="3" t="s">
        <v>1189</v>
      </c>
      <c r="S518" s="7">
        <v>113.74</v>
      </c>
      <c r="T518" s="7">
        <f t="shared" si="195"/>
        <v>130.80099999999999</v>
      </c>
      <c r="U518" s="7">
        <v>165.7</v>
      </c>
      <c r="V518" s="7">
        <f t="shared" si="183"/>
        <v>165.7</v>
      </c>
      <c r="W518" s="7">
        <f t="shared" si="196"/>
        <v>190.55499999999998</v>
      </c>
      <c r="X518" s="16">
        <v>0.124</v>
      </c>
      <c r="Y518" t="str">
        <f t="shared" si="184"/>
        <v>OK</v>
      </c>
      <c r="Z518" s="16">
        <f t="shared" si="185"/>
        <v>0.124</v>
      </c>
      <c r="AA518" s="16">
        <f t="shared" si="197"/>
        <v>0.124</v>
      </c>
      <c r="AB518" s="9">
        <v>13</v>
      </c>
      <c r="AC518" s="9">
        <f t="shared" si="198"/>
        <v>15.6</v>
      </c>
      <c r="AD518" s="9">
        <f t="shared" si="186"/>
        <v>1886.9915999999998</v>
      </c>
      <c r="AE518" s="9">
        <f t="shared" si="199"/>
        <v>3341.2675919999997</v>
      </c>
      <c r="AF518" s="9">
        <f t="shared" si="187"/>
        <v>1478.62</v>
      </c>
      <c r="AG518" s="9">
        <f t="shared" si="188"/>
        <v>408.37159999999994</v>
      </c>
      <c r="AH518" s="9">
        <f t="shared" si="200"/>
        <v>1862.6475919999998</v>
      </c>
      <c r="AI518">
        <f t="shared" si="189"/>
        <v>0.21641410592394794</v>
      </c>
      <c r="AJ518" s="5">
        <f t="shared" si="190"/>
        <v>44928</v>
      </c>
      <c r="AK518" t="str">
        <f t="shared" si="191"/>
        <v>Jan-2023</v>
      </c>
      <c r="AL518">
        <v>0</v>
      </c>
      <c r="AM518">
        <v>0</v>
      </c>
      <c r="AN518">
        <v>0</v>
      </c>
    </row>
    <row r="519" spans="1:40" x14ac:dyDescent="0.45">
      <c r="A519" s="3" t="s">
        <v>537</v>
      </c>
      <c r="B519" s="5">
        <v>45162</v>
      </c>
      <c r="C519" s="9" t="str">
        <f t="shared" si="179"/>
        <v>Aug-2023</v>
      </c>
      <c r="D519" s="5" t="str">
        <f t="shared" si="180"/>
        <v>2023-Q3</v>
      </c>
      <c r="E519" s="5">
        <v>45189</v>
      </c>
      <c r="F519" s="9">
        <f t="shared" si="192"/>
        <v>27</v>
      </c>
      <c r="G519" s="9" t="str">
        <f t="shared" si="193"/>
        <v>NOT ACHIEVED</v>
      </c>
      <c r="H519" s="3" t="s">
        <v>640</v>
      </c>
      <c r="I519" s="3" t="s">
        <v>655</v>
      </c>
      <c r="J519" s="3" t="s">
        <v>681</v>
      </c>
      <c r="K519" s="13" t="str">
        <f t="shared" si="194"/>
        <v>Africa &gt; South Africa &gt; Durban</v>
      </c>
      <c r="L519" s="3" t="s">
        <v>699</v>
      </c>
      <c r="M519" s="3" t="s">
        <v>703</v>
      </c>
      <c r="N519" s="13" t="str">
        <f t="shared" si="181"/>
        <v>Marketplace</v>
      </c>
      <c r="O519" s="3" t="s">
        <v>718</v>
      </c>
      <c r="P519" s="3" t="s">
        <v>722</v>
      </c>
      <c r="Q519" s="13" t="str">
        <f t="shared" si="182"/>
        <v>High</v>
      </c>
      <c r="R519" s="3" t="s">
        <v>1255</v>
      </c>
      <c r="S519" s="7">
        <v>1399.64</v>
      </c>
      <c r="T519" s="7">
        <f t="shared" si="195"/>
        <v>1609.586</v>
      </c>
      <c r="U519" s="7">
        <v>3342.11</v>
      </c>
      <c r="V519" s="7">
        <f t="shared" si="183"/>
        <v>3342.11</v>
      </c>
      <c r="W519" s="7">
        <f t="shared" si="196"/>
        <v>3843.4265</v>
      </c>
      <c r="X519" s="16">
        <v>0</v>
      </c>
      <c r="Y519" t="str">
        <f t="shared" si="184"/>
        <v>OK</v>
      </c>
      <c r="Z519" s="16">
        <f t="shared" si="185"/>
        <v>0</v>
      </c>
      <c r="AA519" s="16">
        <f t="shared" si="197"/>
        <v>0</v>
      </c>
      <c r="AB519" s="9">
        <v>10</v>
      </c>
      <c r="AC519" s="9">
        <f t="shared" si="198"/>
        <v>12</v>
      </c>
      <c r="AD519" s="9">
        <f t="shared" si="186"/>
        <v>33421.1</v>
      </c>
      <c r="AE519" s="9">
        <f t="shared" si="199"/>
        <v>46121.118000000002</v>
      </c>
      <c r="AF519" s="9">
        <f t="shared" si="187"/>
        <v>13996.400000000001</v>
      </c>
      <c r="AG519" s="9">
        <f t="shared" si="188"/>
        <v>19424.699999999997</v>
      </c>
      <c r="AH519" s="9">
        <f t="shared" si="200"/>
        <v>32124.718000000001</v>
      </c>
      <c r="AI519">
        <f t="shared" si="189"/>
        <v>0.58121067229983447</v>
      </c>
      <c r="AJ519" s="5">
        <f t="shared" si="190"/>
        <v>44928</v>
      </c>
      <c r="AK519" t="str">
        <f t="shared" si="191"/>
        <v>Jan-2023</v>
      </c>
      <c r="AL519">
        <v>0</v>
      </c>
      <c r="AM519">
        <v>0</v>
      </c>
      <c r="AN519">
        <v>0</v>
      </c>
    </row>
    <row r="520" spans="1:40" x14ac:dyDescent="0.45">
      <c r="A520" s="3" t="s">
        <v>541</v>
      </c>
      <c r="B520" s="5">
        <v>45155</v>
      </c>
      <c r="C520" s="9" t="str">
        <f t="shared" si="179"/>
        <v>Aug-2023</v>
      </c>
      <c r="D520" s="5" t="str">
        <f t="shared" si="180"/>
        <v>2023-Q3</v>
      </c>
      <c r="E520" s="5">
        <v>45172</v>
      </c>
      <c r="F520" s="9">
        <f t="shared" si="192"/>
        <v>17</v>
      </c>
      <c r="G520" s="9" t="str">
        <f t="shared" si="193"/>
        <v>NOT ACHIEVED</v>
      </c>
      <c r="H520" s="3" t="s">
        <v>640</v>
      </c>
      <c r="I520" s="3" t="s">
        <v>655</v>
      </c>
      <c r="J520" s="3" t="s">
        <v>681</v>
      </c>
      <c r="K520" s="13" t="str">
        <f t="shared" si="194"/>
        <v>Africa &gt; South Africa &gt; Durban</v>
      </c>
      <c r="L520" s="3" t="s">
        <v>700</v>
      </c>
      <c r="M520" s="3" t="s">
        <v>701</v>
      </c>
      <c r="N520" s="13" t="str">
        <f t="shared" si="181"/>
        <v>Retail</v>
      </c>
      <c r="O520" s="3" t="s">
        <v>714</v>
      </c>
      <c r="P520" s="3" t="s">
        <v>724</v>
      </c>
      <c r="Q520" s="13" t="str">
        <f t="shared" si="182"/>
        <v>Medium</v>
      </c>
      <c r="R520" s="3" t="s">
        <v>1259</v>
      </c>
      <c r="S520" s="7">
        <v>676.37</v>
      </c>
      <c r="T520" s="7">
        <f t="shared" si="195"/>
        <v>777.82549999999992</v>
      </c>
      <c r="U520" s="7">
        <v>1276.67</v>
      </c>
      <c r="V520" s="7">
        <f t="shared" si="183"/>
        <v>1276.67</v>
      </c>
      <c r="W520" s="7">
        <f t="shared" si="196"/>
        <v>1468.1704999999999</v>
      </c>
      <c r="X520" s="16">
        <v>6.6000000000000003E-2</v>
      </c>
      <c r="Y520" t="str">
        <f t="shared" si="184"/>
        <v>OK</v>
      </c>
      <c r="Z520" s="16">
        <f t="shared" si="185"/>
        <v>6.6000000000000003E-2</v>
      </c>
      <c r="AA520" s="16">
        <f t="shared" si="197"/>
        <v>6.6000000000000003E-2</v>
      </c>
      <c r="AB520" s="9">
        <v>10</v>
      </c>
      <c r="AC520" s="9">
        <f t="shared" si="198"/>
        <v>12</v>
      </c>
      <c r="AD520" s="9">
        <f t="shared" si="186"/>
        <v>11924.0978</v>
      </c>
      <c r="AE520" s="9">
        <f t="shared" si="199"/>
        <v>18780.837036000001</v>
      </c>
      <c r="AF520" s="9">
        <f t="shared" si="187"/>
        <v>6763.7</v>
      </c>
      <c r="AG520" s="9">
        <f t="shared" si="188"/>
        <v>5160.3977999999997</v>
      </c>
      <c r="AH520" s="9">
        <f t="shared" si="200"/>
        <v>12017.137036</v>
      </c>
      <c r="AI520">
        <f t="shared" si="189"/>
        <v>0.4327705027712872</v>
      </c>
      <c r="AJ520" s="5">
        <f t="shared" si="190"/>
        <v>44928</v>
      </c>
      <c r="AK520" t="str">
        <f t="shared" si="191"/>
        <v>Jan-2023</v>
      </c>
      <c r="AL520">
        <v>0</v>
      </c>
      <c r="AM520">
        <v>0</v>
      </c>
      <c r="AN520">
        <v>0</v>
      </c>
    </row>
    <row r="521" spans="1:40" x14ac:dyDescent="0.45">
      <c r="A521" s="3" t="s">
        <v>542</v>
      </c>
      <c r="B521" s="5">
        <v>45832</v>
      </c>
      <c r="C521" s="9" t="str">
        <f t="shared" si="179"/>
        <v>Jun-2025</v>
      </c>
      <c r="D521" s="5" t="str">
        <f t="shared" si="180"/>
        <v>2025-Q2</v>
      </c>
      <c r="E521" s="5">
        <v>45852</v>
      </c>
      <c r="F521" s="9">
        <f t="shared" si="192"/>
        <v>20</v>
      </c>
      <c r="G521" s="9" t="str">
        <f t="shared" si="193"/>
        <v>NOT ACHIEVED</v>
      </c>
      <c r="H521" s="3" t="s">
        <v>640</v>
      </c>
      <c r="I521" s="3" t="s">
        <v>655</v>
      </c>
      <c r="J521" s="3" t="s">
        <v>676</v>
      </c>
      <c r="K521" s="13" t="str">
        <f t="shared" si="194"/>
        <v>Africa &gt; South Africa &gt; Johannesburg</v>
      </c>
      <c r="L521" s="3" t="s">
        <v>700</v>
      </c>
      <c r="M521" s="3" t="s">
        <v>703</v>
      </c>
      <c r="N521" s="13" t="str">
        <f t="shared" si="181"/>
        <v>Marketplace</v>
      </c>
      <c r="O521" s="3" t="s">
        <v>707</v>
      </c>
      <c r="P521" s="3" t="s">
        <v>725</v>
      </c>
      <c r="Q521" s="13" t="str">
        <f t="shared" si="182"/>
        <v>High</v>
      </c>
      <c r="R521" s="3" t="s">
        <v>1260</v>
      </c>
      <c r="S521" s="7">
        <v>1151.06</v>
      </c>
      <c r="T521" s="7">
        <f t="shared" si="195"/>
        <v>1323.7189999999998</v>
      </c>
      <c r="U521" s="7">
        <v>2821.36</v>
      </c>
      <c r="V521" s="7">
        <f t="shared" si="183"/>
        <v>2821.36</v>
      </c>
      <c r="W521" s="7">
        <f t="shared" si="196"/>
        <v>3244.5639999999999</v>
      </c>
      <c r="X521" s="16">
        <v>0.248</v>
      </c>
      <c r="Y521" t="str">
        <f t="shared" si="184"/>
        <v>OK</v>
      </c>
      <c r="Z521" s="16">
        <f t="shared" si="185"/>
        <v>0.248</v>
      </c>
      <c r="AA521" s="16">
        <f t="shared" si="197"/>
        <v>0.248</v>
      </c>
      <c r="AB521" s="9">
        <v>20</v>
      </c>
      <c r="AC521" s="9">
        <f t="shared" si="198"/>
        <v>24</v>
      </c>
      <c r="AD521" s="9">
        <f t="shared" si="186"/>
        <v>42433.254400000005</v>
      </c>
      <c r="AE521" s="9">
        <f t="shared" si="199"/>
        <v>97181.180927999987</v>
      </c>
      <c r="AF521" s="9">
        <f t="shared" si="187"/>
        <v>23021.199999999997</v>
      </c>
      <c r="AG521" s="9">
        <f t="shared" si="188"/>
        <v>19412.054400000008</v>
      </c>
      <c r="AH521" s="9">
        <f t="shared" si="200"/>
        <v>74159.98092799999</v>
      </c>
      <c r="AI521">
        <f t="shared" si="189"/>
        <v>0.45747267501594235</v>
      </c>
      <c r="AJ521" s="5">
        <f t="shared" si="190"/>
        <v>44928</v>
      </c>
      <c r="AK521" t="str">
        <f t="shared" si="191"/>
        <v>Jan-2023</v>
      </c>
      <c r="AL521">
        <v>0</v>
      </c>
      <c r="AM521">
        <v>0</v>
      </c>
      <c r="AN521">
        <v>0</v>
      </c>
    </row>
    <row r="522" spans="1:40" x14ac:dyDescent="0.45">
      <c r="A522" s="3" t="s">
        <v>546</v>
      </c>
      <c r="B522" s="5">
        <v>45114</v>
      </c>
      <c r="C522" s="9" t="str">
        <f t="shared" si="179"/>
        <v>Jul-2023</v>
      </c>
      <c r="D522" s="5" t="str">
        <f t="shared" si="180"/>
        <v>2023-Q3</v>
      </c>
      <c r="E522" s="5">
        <v>45120</v>
      </c>
      <c r="F522" s="9">
        <f t="shared" si="192"/>
        <v>6</v>
      </c>
      <c r="G522" s="9" t="str">
        <f t="shared" si="193"/>
        <v>ACHIEVED</v>
      </c>
      <c r="H522" s="3" t="s">
        <v>640</v>
      </c>
      <c r="I522" s="3" t="s">
        <v>655</v>
      </c>
      <c r="J522" s="3" t="s">
        <v>689</v>
      </c>
      <c r="K522" s="13" t="str">
        <f t="shared" si="194"/>
        <v>Africa &gt; South Africa &gt; Cape Town</v>
      </c>
      <c r="L522" s="3" t="s">
        <v>699</v>
      </c>
      <c r="M522" s="3" t="s">
        <v>703</v>
      </c>
      <c r="N522" s="13" t="str">
        <f t="shared" si="181"/>
        <v>Marketplace</v>
      </c>
      <c r="O522" s="3" t="s">
        <v>711</v>
      </c>
      <c r="P522" s="3" t="s">
        <v>727</v>
      </c>
      <c r="Q522" s="13" t="str">
        <f t="shared" si="182"/>
        <v>Medium</v>
      </c>
      <c r="R522" s="3" t="s">
        <v>1263</v>
      </c>
      <c r="S522" s="7">
        <v>612.59</v>
      </c>
      <c r="T522" s="7">
        <f t="shared" si="195"/>
        <v>704.47849999999994</v>
      </c>
      <c r="U522" s="7">
        <v>1424.74</v>
      </c>
      <c r="V522" s="7">
        <f t="shared" si="183"/>
        <v>1424.74</v>
      </c>
      <c r="W522" s="7">
        <f t="shared" si="196"/>
        <v>1638.4509999999998</v>
      </c>
      <c r="X522" s="16">
        <v>4.3999999999999997E-2</v>
      </c>
      <c r="Y522" t="str">
        <f t="shared" si="184"/>
        <v>OK</v>
      </c>
      <c r="Z522" s="16">
        <f t="shared" si="185"/>
        <v>4.3999999999999997E-2</v>
      </c>
      <c r="AA522" s="16">
        <f t="shared" si="197"/>
        <v>4.3999999999999997E-2</v>
      </c>
      <c r="AB522" s="9">
        <v>15</v>
      </c>
      <c r="AC522" s="9">
        <f t="shared" si="198"/>
        <v>18</v>
      </c>
      <c r="AD522" s="9">
        <f t="shared" si="186"/>
        <v>20430.771599999996</v>
      </c>
      <c r="AE522" s="9">
        <f t="shared" si="199"/>
        <v>30789.771191999997</v>
      </c>
      <c r="AF522" s="9">
        <f t="shared" si="187"/>
        <v>9188.85</v>
      </c>
      <c r="AG522" s="9">
        <f t="shared" si="188"/>
        <v>11241.921599999996</v>
      </c>
      <c r="AH522" s="9">
        <f t="shared" si="200"/>
        <v>21600.921191999994</v>
      </c>
      <c r="AI522">
        <f t="shared" si="189"/>
        <v>0.55024459281802152</v>
      </c>
      <c r="AJ522" s="5">
        <f t="shared" si="190"/>
        <v>44928</v>
      </c>
      <c r="AK522" t="str">
        <f t="shared" si="191"/>
        <v>Jan-2023</v>
      </c>
      <c r="AL522">
        <v>0</v>
      </c>
      <c r="AM522">
        <v>0</v>
      </c>
      <c r="AN522">
        <v>0</v>
      </c>
    </row>
    <row r="523" spans="1:40" x14ac:dyDescent="0.45">
      <c r="A523" s="3" t="s">
        <v>547</v>
      </c>
      <c r="B523" s="5">
        <v>45288</v>
      </c>
      <c r="C523" s="9" t="str">
        <f t="shared" si="179"/>
        <v>Dec-2023</v>
      </c>
      <c r="D523" s="5" t="str">
        <f t="shared" si="180"/>
        <v>2023-Q4</v>
      </c>
      <c r="E523" s="5">
        <v>45292</v>
      </c>
      <c r="F523" s="9">
        <f t="shared" si="192"/>
        <v>4</v>
      </c>
      <c r="G523" s="9" t="str">
        <f t="shared" si="193"/>
        <v>ACHIEVED</v>
      </c>
      <c r="H523" s="3" t="s">
        <v>640</v>
      </c>
      <c r="I523" s="3" t="s">
        <v>655</v>
      </c>
      <c r="J523" s="3" t="s">
        <v>689</v>
      </c>
      <c r="K523" s="13" t="str">
        <f t="shared" si="194"/>
        <v>Africa &gt; South Africa &gt; Cape Town</v>
      </c>
      <c r="L523" s="3" t="s">
        <v>696</v>
      </c>
      <c r="M523" s="3" t="s">
        <v>704</v>
      </c>
      <c r="N523" s="13" t="str">
        <f t="shared" si="181"/>
        <v>Distributor</v>
      </c>
      <c r="O523" s="3" t="s">
        <v>714</v>
      </c>
      <c r="P523" s="3" t="s">
        <v>722</v>
      </c>
      <c r="Q523" s="13" t="str">
        <f t="shared" si="182"/>
        <v>High</v>
      </c>
      <c r="R523" s="3" t="s">
        <v>1264</v>
      </c>
      <c r="S523" s="7">
        <v>1141.8</v>
      </c>
      <c r="T523" s="7">
        <f t="shared" si="195"/>
        <v>1313.07</v>
      </c>
      <c r="U523" s="7">
        <v>2318.7399999999998</v>
      </c>
      <c r="V523" s="7">
        <f t="shared" si="183"/>
        <v>2318.7399999999998</v>
      </c>
      <c r="W523" s="7">
        <f t="shared" si="196"/>
        <v>2666.5509999999995</v>
      </c>
      <c r="X523" s="16">
        <v>0.107</v>
      </c>
      <c r="Y523" t="str">
        <f t="shared" si="184"/>
        <v>OK</v>
      </c>
      <c r="Z523" s="16">
        <f t="shared" si="185"/>
        <v>0.107</v>
      </c>
      <c r="AA523" s="16">
        <f t="shared" si="197"/>
        <v>0.107</v>
      </c>
      <c r="AB523" s="9">
        <v>32</v>
      </c>
      <c r="AC523" s="9">
        <f t="shared" si="198"/>
        <v>38.4</v>
      </c>
      <c r="AD523" s="9">
        <f t="shared" si="186"/>
        <v>66260.314239999992</v>
      </c>
      <c r="AE523" s="9">
        <f t="shared" si="199"/>
        <v>113351.88314879997</v>
      </c>
      <c r="AF523" s="9">
        <f t="shared" si="187"/>
        <v>36537.599999999999</v>
      </c>
      <c r="AG523" s="9">
        <f t="shared" si="188"/>
        <v>29722.714239999994</v>
      </c>
      <c r="AH523" s="9">
        <f t="shared" si="200"/>
        <v>76814.283148799965</v>
      </c>
      <c r="AI523">
        <f t="shared" si="189"/>
        <v>0.44857490612468304</v>
      </c>
      <c r="AJ523" s="5">
        <f t="shared" si="190"/>
        <v>44928</v>
      </c>
      <c r="AK523" t="str">
        <f t="shared" si="191"/>
        <v>Jan-2023</v>
      </c>
      <c r="AL523">
        <v>0</v>
      </c>
      <c r="AM523">
        <v>0</v>
      </c>
      <c r="AN523">
        <v>0</v>
      </c>
    </row>
    <row r="524" spans="1:40" x14ac:dyDescent="0.45">
      <c r="A524" s="3" t="s">
        <v>554</v>
      </c>
      <c r="B524" s="5">
        <v>45355</v>
      </c>
      <c r="C524" s="9" t="str">
        <f t="shared" si="179"/>
        <v>Mar-2024</v>
      </c>
      <c r="D524" s="5" t="str">
        <f t="shared" si="180"/>
        <v>2024-Q1</v>
      </c>
      <c r="E524" s="5">
        <v>45367</v>
      </c>
      <c r="F524" s="9">
        <f t="shared" si="192"/>
        <v>12</v>
      </c>
      <c r="G524" s="9" t="str">
        <f t="shared" si="193"/>
        <v>NOT ACHIEVED</v>
      </c>
      <c r="H524" s="3" t="s">
        <v>640</v>
      </c>
      <c r="I524" s="3" t="s">
        <v>655</v>
      </c>
      <c r="J524" s="3" t="s">
        <v>676</v>
      </c>
      <c r="K524" s="13" t="str">
        <f t="shared" si="194"/>
        <v>Africa &gt; South Africa &gt; Johannesburg</v>
      </c>
      <c r="L524" s="3" t="s">
        <v>700</v>
      </c>
      <c r="M524" s="3" t="s">
        <v>704</v>
      </c>
      <c r="N524" s="13" t="str">
        <f t="shared" si="181"/>
        <v>Distributor</v>
      </c>
      <c r="O524" s="3" t="s">
        <v>718</v>
      </c>
      <c r="P524" s="3" t="s">
        <v>726</v>
      </c>
      <c r="Q524" s="13" t="str">
        <f t="shared" si="182"/>
        <v>Medium</v>
      </c>
      <c r="R524" s="3" t="s">
        <v>1271</v>
      </c>
      <c r="S524" s="7">
        <v>441.08</v>
      </c>
      <c r="T524" s="7">
        <f t="shared" si="195"/>
        <v>507.24199999999996</v>
      </c>
      <c r="U524" s="7">
        <v>1054.29</v>
      </c>
      <c r="V524" s="7">
        <f t="shared" si="183"/>
        <v>1054.29</v>
      </c>
      <c r="W524" s="7">
        <f t="shared" si="196"/>
        <v>1212.4334999999999</v>
      </c>
      <c r="X524" s="16">
        <v>0.23699999999999999</v>
      </c>
      <c r="Y524" t="str">
        <f t="shared" si="184"/>
        <v>OK</v>
      </c>
      <c r="Z524" s="16">
        <f t="shared" si="185"/>
        <v>0.23699999999999999</v>
      </c>
      <c r="AA524" s="16">
        <f t="shared" si="197"/>
        <v>0.23699999999999999</v>
      </c>
      <c r="AB524" s="9">
        <v>6</v>
      </c>
      <c r="AC524" s="9">
        <f t="shared" si="198"/>
        <v>7.1999999999999993</v>
      </c>
      <c r="AD524" s="9">
        <f t="shared" si="186"/>
        <v>4826.5396199999996</v>
      </c>
      <c r="AE524" s="9">
        <f t="shared" si="199"/>
        <v>10798.417724399998</v>
      </c>
      <c r="AF524" s="9">
        <f t="shared" si="187"/>
        <v>2646.48</v>
      </c>
      <c r="AG524" s="9">
        <f t="shared" si="188"/>
        <v>2180.0596199999995</v>
      </c>
      <c r="AH524" s="9">
        <f t="shared" si="200"/>
        <v>8151.9377243999988</v>
      </c>
      <c r="AI524">
        <f t="shared" si="189"/>
        <v>0.45168169985932899</v>
      </c>
      <c r="AJ524" s="5">
        <f t="shared" si="190"/>
        <v>44928</v>
      </c>
      <c r="AK524" t="str">
        <f t="shared" si="191"/>
        <v>Jan-2023</v>
      </c>
      <c r="AL524">
        <v>0</v>
      </c>
      <c r="AM524">
        <v>0</v>
      </c>
      <c r="AN524">
        <v>0</v>
      </c>
    </row>
    <row r="525" spans="1:40" x14ac:dyDescent="0.45">
      <c r="A525" s="3" t="s">
        <v>605</v>
      </c>
      <c r="B525" s="5">
        <v>44933</v>
      </c>
      <c r="C525" s="9" t="str">
        <f t="shared" si="179"/>
        <v>Jan-2023</v>
      </c>
      <c r="D525" s="5" t="str">
        <f t="shared" si="180"/>
        <v>2023-Q1</v>
      </c>
      <c r="E525" s="5">
        <v>44956</v>
      </c>
      <c r="F525" s="9">
        <f t="shared" si="192"/>
        <v>23</v>
      </c>
      <c r="G525" s="9" t="str">
        <f t="shared" si="193"/>
        <v>NOT ACHIEVED</v>
      </c>
      <c r="H525" s="3" t="s">
        <v>640</v>
      </c>
      <c r="I525" s="3" t="s">
        <v>655</v>
      </c>
      <c r="J525" s="3" t="s">
        <v>689</v>
      </c>
      <c r="K525" s="13" t="str">
        <f t="shared" si="194"/>
        <v>Africa &gt; South Africa &gt; Cape Town</v>
      </c>
      <c r="L525" s="3" t="s">
        <v>698</v>
      </c>
      <c r="M525" s="3" t="s">
        <v>702</v>
      </c>
      <c r="N525" s="13" t="str">
        <f t="shared" si="181"/>
        <v>Online</v>
      </c>
      <c r="O525" s="3" t="s">
        <v>714</v>
      </c>
      <c r="P525" s="3" t="s">
        <v>722</v>
      </c>
      <c r="Q525" s="13" t="str">
        <f t="shared" si="182"/>
        <v>Low</v>
      </c>
      <c r="R525" s="3" t="s">
        <v>1322</v>
      </c>
      <c r="S525" s="7">
        <v>299.02</v>
      </c>
      <c r="T525" s="7">
        <f t="shared" si="195"/>
        <v>343.87299999999993</v>
      </c>
      <c r="U525" s="7">
        <v>724.7</v>
      </c>
      <c r="V525" s="7">
        <f t="shared" si="183"/>
        <v>724.7</v>
      </c>
      <c r="W525" s="7">
        <f t="shared" si="196"/>
        <v>833.40499999999997</v>
      </c>
      <c r="X525" s="16">
        <v>0.14000000000000001</v>
      </c>
      <c r="Y525" t="str">
        <f t="shared" si="184"/>
        <v>OK</v>
      </c>
      <c r="Z525" s="16">
        <f t="shared" si="185"/>
        <v>0.14000000000000001</v>
      </c>
      <c r="AA525" s="16">
        <f t="shared" si="197"/>
        <v>0.14000000000000001</v>
      </c>
      <c r="AB525" s="9">
        <v>5</v>
      </c>
      <c r="AC525" s="9">
        <f t="shared" si="198"/>
        <v>6</v>
      </c>
      <c r="AD525" s="9">
        <f t="shared" si="186"/>
        <v>3116.21</v>
      </c>
      <c r="AE525" s="9">
        <f t="shared" si="199"/>
        <v>5700.4902000000011</v>
      </c>
      <c r="AF525" s="9">
        <f t="shared" si="187"/>
        <v>1495.1</v>
      </c>
      <c r="AG525" s="9">
        <f t="shared" si="188"/>
        <v>1621.1100000000001</v>
      </c>
      <c r="AH525" s="9">
        <f t="shared" si="200"/>
        <v>4205.3902000000016</v>
      </c>
      <c r="AI525">
        <f t="shared" si="189"/>
        <v>0.52021847051386139</v>
      </c>
      <c r="AJ525" s="5">
        <f t="shared" si="190"/>
        <v>44928</v>
      </c>
      <c r="AK525" t="str">
        <f t="shared" si="191"/>
        <v>Jan-2023</v>
      </c>
      <c r="AL525">
        <v>0</v>
      </c>
      <c r="AM525">
        <v>0</v>
      </c>
      <c r="AN525">
        <v>0</v>
      </c>
    </row>
    <row r="526" spans="1:40" x14ac:dyDescent="0.45">
      <c r="A526" s="3" t="s">
        <v>615</v>
      </c>
      <c r="B526" s="5">
        <v>45827</v>
      </c>
      <c r="C526" s="9" t="str">
        <f t="shared" si="179"/>
        <v>Jun-2025</v>
      </c>
      <c r="D526" s="5" t="str">
        <f t="shared" si="180"/>
        <v>2025-Q2</v>
      </c>
      <c r="E526" s="5">
        <v>45829</v>
      </c>
      <c r="F526" s="9">
        <f t="shared" si="192"/>
        <v>2</v>
      </c>
      <c r="G526" s="9" t="str">
        <f t="shared" si="193"/>
        <v>ACHIEVED</v>
      </c>
      <c r="H526" s="3" t="s">
        <v>640</v>
      </c>
      <c r="I526" s="3" t="s">
        <v>655</v>
      </c>
      <c r="J526" s="3" t="s">
        <v>676</v>
      </c>
      <c r="K526" s="13" t="str">
        <f t="shared" si="194"/>
        <v>Africa &gt; South Africa &gt; Johannesburg</v>
      </c>
      <c r="L526" s="3" t="s">
        <v>699</v>
      </c>
      <c r="M526" s="3">
        <v>0</v>
      </c>
      <c r="N526" s="13">
        <f t="shared" si="181"/>
        <v>0</v>
      </c>
      <c r="O526" s="3" t="s">
        <v>716</v>
      </c>
      <c r="P526" s="3" t="s">
        <v>724</v>
      </c>
      <c r="Q526" s="13" t="str">
        <f t="shared" si="182"/>
        <v>High</v>
      </c>
      <c r="R526" s="3" t="s">
        <v>1332</v>
      </c>
      <c r="S526" s="7">
        <v>1466.27</v>
      </c>
      <c r="T526" s="7">
        <f t="shared" si="195"/>
        <v>1686.2104999999999</v>
      </c>
      <c r="U526" s="7">
        <v>3589.89</v>
      </c>
      <c r="V526" s="7">
        <f t="shared" si="183"/>
        <v>3589.89</v>
      </c>
      <c r="W526" s="7">
        <f t="shared" si="196"/>
        <v>4128.3734999999997</v>
      </c>
      <c r="X526" s="16">
        <v>9.7000000000000003E-2</v>
      </c>
      <c r="Y526" t="str">
        <f t="shared" si="184"/>
        <v>OK</v>
      </c>
      <c r="Z526" s="16">
        <f t="shared" si="185"/>
        <v>9.7000000000000003E-2</v>
      </c>
      <c r="AA526" s="16">
        <f t="shared" si="197"/>
        <v>9.7000000000000003E-2</v>
      </c>
      <c r="AB526" s="9">
        <v>9</v>
      </c>
      <c r="AC526" s="9">
        <f t="shared" si="198"/>
        <v>10.799999999999999</v>
      </c>
      <c r="AD526" s="9">
        <f t="shared" si="186"/>
        <v>29175.036029999999</v>
      </c>
      <c r="AE526" s="9">
        <f t="shared" si="199"/>
        <v>48911.317878599992</v>
      </c>
      <c r="AF526" s="9">
        <f t="shared" si="187"/>
        <v>13196.43</v>
      </c>
      <c r="AG526" s="9">
        <f t="shared" si="188"/>
        <v>15978.606029999999</v>
      </c>
      <c r="AH526" s="9">
        <f t="shared" si="200"/>
        <v>35714.887878599991</v>
      </c>
      <c r="AI526">
        <f t="shared" si="189"/>
        <v>0.54768076425234147</v>
      </c>
      <c r="AJ526" s="5">
        <f t="shared" si="190"/>
        <v>44928</v>
      </c>
      <c r="AK526" t="str">
        <f t="shared" si="191"/>
        <v>Jan-2023</v>
      </c>
      <c r="AL526">
        <v>0</v>
      </c>
      <c r="AM526">
        <v>0</v>
      </c>
      <c r="AN526">
        <v>0</v>
      </c>
    </row>
    <row r="527" spans="1:40" x14ac:dyDescent="0.45">
      <c r="A527" s="3" t="s">
        <v>617</v>
      </c>
      <c r="B527" s="5">
        <v>45319</v>
      </c>
      <c r="C527" s="9" t="str">
        <f t="shared" si="179"/>
        <v>Jan-2024</v>
      </c>
      <c r="D527" s="5" t="str">
        <f t="shared" si="180"/>
        <v>2024-Q1</v>
      </c>
      <c r="E527" s="5">
        <v>45324</v>
      </c>
      <c r="F527" s="9">
        <f t="shared" si="192"/>
        <v>5</v>
      </c>
      <c r="G527" s="9" t="str">
        <f t="shared" si="193"/>
        <v>ACHIEVED</v>
      </c>
      <c r="H527" s="3" t="s">
        <v>640</v>
      </c>
      <c r="I527" s="3" t="s">
        <v>655</v>
      </c>
      <c r="J527" s="3" t="s">
        <v>689</v>
      </c>
      <c r="K527" s="13" t="str">
        <f t="shared" si="194"/>
        <v>Africa &gt; South Africa &gt; Cape Town</v>
      </c>
      <c r="L527" s="3" t="s">
        <v>700</v>
      </c>
      <c r="M527" s="3" t="s">
        <v>705</v>
      </c>
      <c r="N527" s="13" t="str">
        <f t="shared" si="181"/>
        <v>Direct</v>
      </c>
      <c r="O527" s="3" t="s">
        <v>713</v>
      </c>
      <c r="P527" s="3" t="s">
        <v>721</v>
      </c>
      <c r="Q527" s="13" t="str">
        <f t="shared" si="182"/>
        <v>Low</v>
      </c>
      <c r="R527" s="3" t="s">
        <v>1334</v>
      </c>
      <c r="S527" s="7">
        <v>109.75</v>
      </c>
      <c r="T527" s="7">
        <f t="shared" si="195"/>
        <v>126.21249999999999</v>
      </c>
      <c r="U527" s="7">
        <v>124.25</v>
      </c>
      <c r="V527" s="7">
        <f t="shared" si="183"/>
        <v>124.25</v>
      </c>
      <c r="W527" s="7">
        <f t="shared" si="196"/>
        <v>142.88749999999999</v>
      </c>
      <c r="X527" s="16">
        <v>0.12</v>
      </c>
      <c r="Y527" t="str">
        <f t="shared" si="184"/>
        <v>OK</v>
      </c>
      <c r="Z527" s="16">
        <f t="shared" si="185"/>
        <v>0.12</v>
      </c>
      <c r="AA527" s="16">
        <f t="shared" si="197"/>
        <v>0.12</v>
      </c>
      <c r="AB527" s="9">
        <v>19</v>
      </c>
      <c r="AC527" s="9">
        <f t="shared" si="198"/>
        <v>22.8</v>
      </c>
      <c r="AD527" s="9">
        <f t="shared" si="186"/>
        <v>2077.46</v>
      </c>
      <c r="AE527" s="9">
        <f t="shared" si="199"/>
        <v>3648.7752000000005</v>
      </c>
      <c r="AF527" s="9">
        <f t="shared" si="187"/>
        <v>2085.25</v>
      </c>
      <c r="AG527" s="9">
        <f t="shared" si="188"/>
        <v>-7.7899999999999636</v>
      </c>
      <c r="AH527" s="9">
        <f t="shared" si="200"/>
        <v>1563.5252000000005</v>
      </c>
      <c r="AI527">
        <f t="shared" si="189"/>
        <v>-3.7497713554051405E-3</v>
      </c>
      <c r="AJ527" s="5">
        <f t="shared" si="190"/>
        <v>44928</v>
      </c>
      <c r="AK527" t="str">
        <f t="shared" si="191"/>
        <v>Jan-2023</v>
      </c>
      <c r="AL527">
        <v>0</v>
      </c>
      <c r="AM527">
        <v>0</v>
      </c>
      <c r="AN527">
        <v>0</v>
      </c>
    </row>
    <row r="528" spans="1:40" x14ac:dyDescent="0.45">
      <c r="A528" s="3" t="s">
        <v>28</v>
      </c>
      <c r="B528" s="5">
        <v>45798</v>
      </c>
      <c r="C528" s="9" t="str">
        <f t="shared" si="179"/>
        <v>May-2025</v>
      </c>
      <c r="D528" s="5" t="str">
        <f t="shared" si="180"/>
        <v>2025-Q2</v>
      </c>
      <c r="E528" s="5">
        <v>45803</v>
      </c>
      <c r="F528" s="9">
        <f t="shared" si="192"/>
        <v>5</v>
      </c>
      <c r="G528" s="9" t="str">
        <f t="shared" si="193"/>
        <v>ACHIEVED</v>
      </c>
      <c r="H528" s="3" t="s">
        <v>643</v>
      </c>
      <c r="I528" s="3" t="s">
        <v>652</v>
      </c>
      <c r="J528" s="3" t="s">
        <v>668</v>
      </c>
      <c r="K528" s="13" t="str">
        <f t="shared" si="194"/>
        <v>Europe &gt; United Kingdom &gt; Birmingham</v>
      </c>
      <c r="L528" s="3" t="s">
        <v>700</v>
      </c>
      <c r="M528" s="3" t="s">
        <v>702</v>
      </c>
      <c r="N528" s="13" t="str">
        <f t="shared" si="181"/>
        <v>Online</v>
      </c>
      <c r="O528" s="3" t="s">
        <v>718</v>
      </c>
      <c r="P528" s="3" t="s">
        <v>725</v>
      </c>
      <c r="Q528" s="13" t="str">
        <f t="shared" si="182"/>
        <v>High</v>
      </c>
      <c r="R528" s="3" t="s">
        <v>747</v>
      </c>
      <c r="S528" s="7">
        <v>1015.16</v>
      </c>
      <c r="T528" s="7">
        <f t="shared" si="195"/>
        <v>1167.434</v>
      </c>
      <c r="U528" s="7">
        <v>2148.14</v>
      </c>
      <c r="V528" s="7">
        <f t="shared" si="183"/>
        <v>2148.14</v>
      </c>
      <c r="W528" s="7">
        <f t="shared" si="196"/>
        <v>2470.3609999999999</v>
      </c>
      <c r="X528" s="16">
        <v>3.7999999999999999E-2</v>
      </c>
      <c r="Y528" t="str">
        <f t="shared" si="184"/>
        <v>OK</v>
      </c>
      <c r="Z528" s="16">
        <f t="shared" si="185"/>
        <v>3.7999999999999999E-2</v>
      </c>
      <c r="AA528" s="16">
        <f t="shared" si="197"/>
        <v>3.7999999999999999E-2</v>
      </c>
      <c r="AB528" s="9">
        <v>19</v>
      </c>
      <c r="AC528" s="9">
        <f t="shared" si="198"/>
        <v>22.8</v>
      </c>
      <c r="AD528" s="9">
        <f t="shared" si="186"/>
        <v>39263.702919999996</v>
      </c>
      <c r="AE528" s="9">
        <f t="shared" si="199"/>
        <v>58464.551570399999</v>
      </c>
      <c r="AF528" s="9">
        <f t="shared" si="187"/>
        <v>19288.04</v>
      </c>
      <c r="AG528" s="9">
        <f t="shared" si="188"/>
        <v>19975.662919999995</v>
      </c>
      <c r="AH528" s="9">
        <f t="shared" si="200"/>
        <v>39176.511570399998</v>
      </c>
      <c r="AI528">
        <f t="shared" si="189"/>
        <v>0.50875647059322227</v>
      </c>
      <c r="AJ528" s="5">
        <f t="shared" si="190"/>
        <v>44928</v>
      </c>
      <c r="AK528" t="str">
        <f t="shared" si="191"/>
        <v>Jan-2023</v>
      </c>
      <c r="AL528">
        <v>0</v>
      </c>
      <c r="AM528">
        <v>0</v>
      </c>
      <c r="AN528">
        <v>0</v>
      </c>
    </row>
    <row r="529" spans="1:40" x14ac:dyDescent="0.45">
      <c r="A529" s="3" t="s">
        <v>42</v>
      </c>
      <c r="B529" s="5">
        <v>45400</v>
      </c>
      <c r="C529" s="9" t="str">
        <f t="shared" si="179"/>
        <v>Apr-2024</v>
      </c>
      <c r="D529" s="5" t="str">
        <f t="shared" si="180"/>
        <v>2024-Q2</v>
      </c>
      <c r="E529" s="5">
        <v>45420</v>
      </c>
      <c r="F529" s="9">
        <f t="shared" si="192"/>
        <v>20</v>
      </c>
      <c r="G529" s="9" t="str">
        <f t="shared" si="193"/>
        <v>NOT ACHIEVED</v>
      </c>
      <c r="H529" s="3" t="s">
        <v>643</v>
      </c>
      <c r="I529" s="3" t="s">
        <v>652</v>
      </c>
      <c r="J529" s="3" t="s">
        <v>677</v>
      </c>
      <c r="K529" s="13" t="str">
        <f t="shared" si="194"/>
        <v>Europe &gt; United Kingdom &gt; London</v>
      </c>
      <c r="L529" s="3" t="s">
        <v>697</v>
      </c>
      <c r="M529" s="3">
        <v>0</v>
      </c>
      <c r="N529" s="13">
        <f t="shared" si="181"/>
        <v>0</v>
      </c>
      <c r="O529" s="3" t="s">
        <v>720</v>
      </c>
      <c r="P529" s="3" t="s">
        <v>725</v>
      </c>
      <c r="Q529" s="13" t="str">
        <f t="shared" si="182"/>
        <v>Medium</v>
      </c>
      <c r="R529" s="3" t="s">
        <v>761</v>
      </c>
      <c r="S529" s="7">
        <v>645.33000000000004</v>
      </c>
      <c r="T529" s="7">
        <f t="shared" si="195"/>
        <v>742.12950000000001</v>
      </c>
      <c r="U529" s="7">
        <v>1321.85</v>
      </c>
      <c r="V529" s="7">
        <f t="shared" si="183"/>
        <v>1321.85</v>
      </c>
      <c r="W529" s="7">
        <f t="shared" si="196"/>
        <v>1520.1274999999998</v>
      </c>
      <c r="X529" s="16">
        <v>0</v>
      </c>
      <c r="Y529" t="str">
        <f t="shared" si="184"/>
        <v>OK</v>
      </c>
      <c r="Z529" s="16">
        <f t="shared" si="185"/>
        <v>0</v>
      </c>
      <c r="AA529" s="16">
        <f t="shared" si="197"/>
        <v>0</v>
      </c>
      <c r="AB529" s="9">
        <v>10</v>
      </c>
      <c r="AC529" s="9">
        <f t="shared" si="198"/>
        <v>12</v>
      </c>
      <c r="AD529" s="9">
        <f t="shared" si="186"/>
        <v>13218.5</v>
      </c>
      <c r="AE529" s="9">
        <f t="shared" si="199"/>
        <v>18241.53</v>
      </c>
      <c r="AF529" s="9">
        <f t="shared" si="187"/>
        <v>6453.3</v>
      </c>
      <c r="AG529" s="9">
        <f t="shared" si="188"/>
        <v>6765.2</v>
      </c>
      <c r="AH529" s="9">
        <f t="shared" si="200"/>
        <v>11788.23</v>
      </c>
      <c r="AI529">
        <f t="shared" si="189"/>
        <v>0.51179785906116426</v>
      </c>
      <c r="AJ529" s="5">
        <f t="shared" si="190"/>
        <v>44928</v>
      </c>
      <c r="AK529" t="str">
        <f t="shared" si="191"/>
        <v>Jan-2023</v>
      </c>
      <c r="AL529">
        <v>0</v>
      </c>
      <c r="AM529">
        <v>0</v>
      </c>
      <c r="AN529">
        <v>0</v>
      </c>
    </row>
    <row r="530" spans="1:40" x14ac:dyDescent="0.45">
      <c r="A530" s="3" t="s">
        <v>56</v>
      </c>
      <c r="B530" s="5">
        <v>45426</v>
      </c>
      <c r="C530" s="9" t="str">
        <f t="shared" si="179"/>
        <v>May-2024</v>
      </c>
      <c r="D530" s="5" t="str">
        <f t="shared" si="180"/>
        <v>2024-Q2</v>
      </c>
      <c r="E530" s="5">
        <v>45440</v>
      </c>
      <c r="F530" s="9">
        <f t="shared" si="192"/>
        <v>14</v>
      </c>
      <c r="G530" s="9" t="str">
        <f t="shared" si="193"/>
        <v>NOT ACHIEVED</v>
      </c>
      <c r="H530" s="3" t="s">
        <v>643</v>
      </c>
      <c r="I530" s="3" t="s">
        <v>652</v>
      </c>
      <c r="J530" s="3" t="s">
        <v>668</v>
      </c>
      <c r="K530" s="13" t="str">
        <f t="shared" si="194"/>
        <v>Europe &gt; United Kingdom &gt; Birmingham</v>
      </c>
      <c r="L530" s="3" t="s">
        <v>698</v>
      </c>
      <c r="M530" s="3" t="s">
        <v>701</v>
      </c>
      <c r="N530" s="13" t="str">
        <f t="shared" si="181"/>
        <v>Retail</v>
      </c>
      <c r="O530" s="3" t="s">
        <v>711</v>
      </c>
      <c r="P530" s="3" t="s">
        <v>723</v>
      </c>
      <c r="Q530" s="13" t="str">
        <f t="shared" si="182"/>
        <v>High</v>
      </c>
      <c r="R530" s="3" t="s">
        <v>775</v>
      </c>
      <c r="S530" s="7">
        <v>1421.14</v>
      </c>
      <c r="T530" s="7">
        <f t="shared" si="195"/>
        <v>1634.3109999999999</v>
      </c>
      <c r="U530" s="7">
        <v>3524</v>
      </c>
      <c r="V530" s="7">
        <f t="shared" si="183"/>
        <v>3524</v>
      </c>
      <c r="W530" s="7">
        <f t="shared" si="196"/>
        <v>4052.6</v>
      </c>
      <c r="X530" s="16">
        <v>0</v>
      </c>
      <c r="Y530" t="str">
        <f t="shared" si="184"/>
        <v>OK</v>
      </c>
      <c r="Z530" s="16">
        <f t="shared" si="185"/>
        <v>0</v>
      </c>
      <c r="AA530" s="16">
        <f t="shared" si="197"/>
        <v>0</v>
      </c>
      <c r="AB530" s="9">
        <v>31</v>
      </c>
      <c r="AC530" s="9">
        <f t="shared" si="198"/>
        <v>37.199999999999996</v>
      </c>
      <c r="AD530" s="9">
        <f t="shared" si="186"/>
        <v>109244</v>
      </c>
      <c r="AE530" s="9">
        <f t="shared" si="199"/>
        <v>150756.71999999997</v>
      </c>
      <c r="AF530" s="9">
        <f t="shared" si="187"/>
        <v>44055.340000000004</v>
      </c>
      <c r="AG530" s="9">
        <f t="shared" si="188"/>
        <v>65188.659999999996</v>
      </c>
      <c r="AH530" s="9">
        <f t="shared" si="200"/>
        <v>106701.37999999998</v>
      </c>
      <c r="AI530">
        <f t="shared" si="189"/>
        <v>0.59672531214528945</v>
      </c>
      <c r="AJ530" s="5">
        <f t="shared" si="190"/>
        <v>44928</v>
      </c>
      <c r="AK530" t="str">
        <f t="shared" si="191"/>
        <v>Jan-2023</v>
      </c>
      <c r="AL530">
        <v>0</v>
      </c>
      <c r="AM530">
        <v>0</v>
      </c>
      <c r="AN530">
        <v>0</v>
      </c>
    </row>
    <row r="531" spans="1:40" x14ac:dyDescent="0.45">
      <c r="A531" s="3" t="s">
        <v>75</v>
      </c>
      <c r="B531" s="5">
        <v>45004</v>
      </c>
      <c r="C531" s="9" t="str">
        <f t="shared" si="179"/>
        <v>Mar-2023</v>
      </c>
      <c r="D531" s="5" t="str">
        <f t="shared" si="180"/>
        <v>2023-Q1</v>
      </c>
      <c r="E531" s="5">
        <v>45025</v>
      </c>
      <c r="F531" s="9">
        <f t="shared" si="192"/>
        <v>21</v>
      </c>
      <c r="G531" s="9" t="str">
        <f t="shared" si="193"/>
        <v>NOT ACHIEVED</v>
      </c>
      <c r="H531" s="3" t="s">
        <v>643</v>
      </c>
      <c r="I531" s="3" t="s">
        <v>652</v>
      </c>
      <c r="J531" s="3" t="s">
        <v>687</v>
      </c>
      <c r="K531" s="13" t="str">
        <f t="shared" si="194"/>
        <v>Europe &gt; United Kingdom &gt; Manchester</v>
      </c>
      <c r="L531" s="3" t="s">
        <v>698</v>
      </c>
      <c r="M531" s="3" t="s">
        <v>701</v>
      </c>
      <c r="N531" s="13" t="str">
        <f t="shared" si="181"/>
        <v>Retail</v>
      </c>
      <c r="O531" s="3" t="s">
        <v>710</v>
      </c>
      <c r="P531" s="3" t="s">
        <v>727</v>
      </c>
      <c r="Q531" s="13" t="str">
        <f t="shared" si="182"/>
        <v>Medium</v>
      </c>
      <c r="R531" s="3" t="s">
        <v>794</v>
      </c>
      <c r="S531" s="7">
        <v>1082.17</v>
      </c>
      <c r="T531" s="7">
        <f t="shared" si="195"/>
        <v>1244.4955</v>
      </c>
      <c r="U531" s="7">
        <v>1234.0999999999999</v>
      </c>
      <c r="V531" s="7">
        <f t="shared" si="183"/>
        <v>1234.0999999999999</v>
      </c>
      <c r="W531" s="7">
        <f t="shared" si="196"/>
        <v>1419.2149999999997</v>
      </c>
      <c r="X531" s="16">
        <v>0.189</v>
      </c>
      <c r="Y531" t="str">
        <f t="shared" si="184"/>
        <v>OK</v>
      </c>
      <c r="Z531" s="16">
        <f t="shared" si="185"/>
        <v>0.189</v>
      </c>
      <c r="AA531" s="16">
        <f t="shared" si="197"/>
        <v>0.189</v>
      </c>
      <c r="AB531" s="9">
        <v>16</v>
      </c>
      <c r="AC531" s="9">
        <f t="shared" si="198"/>
        <v>19.2</v>
      </c>
      <c r="AD531" s="9">
        <f t="shared" si="186"/>
        <v>16013.681599999998</v>
      </c>
      <c r="AE531" s="9">
        <f t="shared" si="199"/>
        <v>32398.975391999993</v>
      </c>
      <c r="AF531" s="9">
        <f t="shared" si="187"/>
        <v>17314.72</v>
      </c>
      <c r="AG531" s="9">
        <f t="shared" si="188"/>
        <v>-1301.0384000000031</v>
      </c>
      <c r="AH531" s="9">
        <f t="shared" si="200"/>
        <v>15084.255391999992</v>
      </c>
      <c r="AI531">
        <f t="shared" si="189"/>
        <v>-8.124542703534228E-2</v>
      </c>
      <c r="AJ531" s="5">
        <f t="shared" si="190"/>
        <v>44928</v>
      </c>
      <c r="AK531" t="str">
        <f t="shared" si="191"/>
        <v>Jan-2023</v>
      </c>
      <c r="AL531">
        <v>0</v>
      </c>
      <c r="AM531">
        <v>0</v>
      </c>
      <c r="AN531">
        <v>0</v>
      </c>
    </row>
    <row r="532" spans="1:40" x14ac:dyDescent="0.45">
      <c r="A532" s="3" t="s">
        <v>87</v>
      </c>
      <c r="B532" s="5">
        <v>45091</v>
      </c>
      <c r="C532" s="9" t="str">
        <f t="shared" si="179"/>
        <v>Jun-2023</v>
      </c>
      <c r="D532" s="5" t="str">
        <f t="shared" si="180"/>
        <v>2023-Q2</v>
      </c>
      <c r="E532" s="5">
        <v>45093</v>
      </c>
      <c r="F532" s="9">
        <f t="shared" si="192"/>
        <v>2</v>
      </c>
      <c r="G532" s="9" t="str">
        <f t="shared" si="193"/>
        <v>ACHIEVED</v>
      </c>
      <c r="H532" s="3" t="s">
        <v>643</v>
      </c>
      <c r="I532" s="3" t="s">
        <v>652</v>
      </c>
      <c r="J532" s="3" t="s">
        <v>687</v>
      </c>
      <c r="K532" s="13" t="str">
        <f t="shared" si="194"/>
        <v>Europe &gt; United Kingdom &gt; Manchester</v>
      </c>
      <c r="L532" s="3" t="s">
        <v>697</v>
      </c>
      <c r="M532" s="3" t="s">
        <v>705</v>
      </c>
      <c r="N532" s="13" t="str">
        <f t="shared" si="181"/>
        <v>Direct</v>
      </c>
      <c r="O532" s="3" t="s">
        <v>717</v>
      </c>
      <c r="P532" s="3" t="s">
        <v>721</v>
      </c>
      <c r="Q532" s="13" t="str">
        <f t="shared" si="182"/>
        <v>Low</v>
      </c>
      <c r="R532" s="3" t="s">
        <v>806</v>
      </c>
      <c r="S532" s="7">
        <v>357.36</v>
      </c>
      <c r="T532" s="7">
        <f t="shared" si="195"/>
        <v>410.964</v>
      </c>
      <c r="U532" s="7">
        <v>703.62</v>
      </c>
      <c r="V532" s="7">
        <f t="shared" si="183"/>
        <v>703.62</v>
      </c>
      <c r="W532" s="7">
        <f t="shared" si="196"/>
        <v>809.1629999999999</v>
      </c>
      <c r="X532" s="16">
        <v>0.25700000000000001</v>
      </c>
      <c r="Y532" t="str">
        <f t="shared" si="184"/>
        <v>OK</v>
      </c>
      <c r="Z532" s="16">
        <f t="shared" si="185"/>
        <v>0.25700000000000001</v>
      </c>
      <c r="AA532" s="16">
        <f t="shared" si="197"/>
        <v>0.25</v>
      </c>
      <c r="AB532" s="9">
        <v>20</v>
      </c>
      <c r="AC532" s="9">
        <f t="shared" si="198"/>
        <v>24</v>
      </c>
      <c r="AD532" s="9">
        <f t="shared" si="186"/>
        <v>10455.7932</v>
      </c>
      <c r="AE532" s="9">
        <f t="shared" si="199"/>
        <v>24274.889999999996</v>
      </c>
      <c r="AF532" s="9">
        <f t="shared" si="187"/>
        <v>7147.2000000000007</v>
      </c>
      <c r="AG532" s="9">
        <f t="shared" si="188"/>
        <v>3308.5931999999993</v>
      </c>
      <c r="AH532" s="9">
        <f t="shared" si="200"/>
        <v>17127.689999999995</v>
      </c>
      <c r="AI532">
        <f t="shared" si="189"/>
        <v>0.31643636563125593</v>
      </c>
      <c r="AJ532" s="5">
        <f t="shared" si="190"/>
        <v>44928</v>
      </c>
      <c r="AK532" t="str">
        <f t="shared" si="191"/>
        <v>Jan-2023</v>
      </c>
      <c r="AL532">
        <v>0</v>
      </c>
      <c r="AM532">
        <v>0</v>
      </c>
      <c r="AN532">
        <v>0</v>
      </c>
    </row>
    <row r="533" spans="1:40" x14ac:dyDescent="0.45">
      <c r="A533" s="3" t="s">
        <v>93</v>
      </c>
      <c r="B533" s="5">
        <v>45741</v>
      </c>
      <c r="C533" s="9" t="str">
        <f t="shared" si="179"/>
        <v>Mar-2025</v>
      </c>
      <c r="D533" s="5" t="str">
        <f t="shared" si="180"/>
        <v>2025-Q1</v>
      </c>
      <c r="E533" s="5">
        <v>45764</v>
      </c>
      <c r="F533" s="9">
        <f t="shared" si="192"/>
        <v>23</v>
      </c>
      <c r="G533" s="9" t="str">
        <f t="shared" si="193"/>
        <v>NOT ACHIEVED</v>
      </c>
      <c r="H533" s="3" t="s">
        <v>643</v>
      </c>
      <c r="I533" s="3" t="s">
        <v>652</v>
      </c>
      <c r="J533" s="3" t="s">
        <v>677</v>
      </c>
      <c r="K533" s="13" t="str">
        <f t="shared" si="194"/>
        <v>Europe &gt; United Kingdom &gt; London</v>
      </c>
      <c r="L533" s="3" t="s">
        <v>698</v>
      </c>
      <c r="M533" s="3" t="s">
        <v>701</v>
      </c>
      <c r="N533" s="13" t="str">
        <f t="shared" si="181"/>
        <v>Retail</v>
      </c>
      <c r="O533" s="3" t="s">
        <v>716</v>
      </c>
      <c r="P533" s="3" t="s">
        <v>723</v>
      </c>
      <c r="Q533" s="13" t="str">
        <f t="shared" si="182"/>
        <v>High</v>
      </c>
      <c r="R533" s="3" t="s">
        <v>812</v>
      </c>
      <c r="S533" s="7">
        <v>1421.19</v>
      </c>
      <c r="T533" s="7">
        <f t="shared" si="195"/>
        <v>1634.3685</v>
      </c>
      <c r="U533" s="7">
        <v>1808.26</v>
      </c>
      <c r="V533" s="7">
        <f t="shared" si="183"/>
        <v>1808.26</v>
      </c>
      <c r="W533" s="7">
        <f t="shared" si="196"/>
        <v>2079.4989999999998</v>
      </c>
      <c r="X533" s="16">
        <v>0.104</v>
      </c>
      <c r="Y533" t="str">
        <f t="shared" si="184"/>
        <v>OK</v>
      </c>
      <c r="Z533" s="16">
        <f t="shared" si="185"/>
        <v>0.104</v>
      </c>
      <c r="AA533" s="16">
        <f t="shared" si="197"/>
        <v>0.104</v>
      </c>
      <c r="AB533" s="9">
        <v>13</v>
      </c>
      <c r="AC533" s="9">
        <f t="shared" si="198"/>
        <v>15.6</v>
      </c>
      <c r="AD533" s="9">
        <f t="shared" si="186"/>
        <v>21062.61248</v>
      </c>
      <c r="AE533" s="9">
        <f t="shared" si="199"/>
        <v>35813.9635776</v>
      </c>
      <c r="AF533" s="9">
        <f t="shared" si="187"/>
        <v>18475.47</v>
      </c>
      <c r="AG533" s="9">
        <f t="shared" si="188"/>
        <v>2587.1424799999986</v>
      </c>
      <c r="AH533" s="9">
        <f t="shared" si="200"/>
        <v>17338.493577599998</v>
      </c>
      <c r="AI533">
        <f t="shared" si="189"/>
        <v>0.12283103449093123</v>
      </c>
      <c r="AJ533" s="5">
        <f t="shared" si="190"/>
        <v>44928</v>
      </c>
      <c r="AK533" t="str">
        <f t="shared" si="191"/>
        <v>Jan-2023</v>
      </c>
      <c r="AL533">
        <v>0</v>
      </c>
      <c r="AM533">
        <v>0</v>
      </c>
      <c r="AN533">
        <v>0</v>
      </c>
    </row>
    <row r="534" spans="1:40" x14ac:dyDescent="0.45">
      <c r="A534" s="3" t="s">
        <v>104</v>
      </c>
      <c r="B534" s="5">
        <v>45022</v>
      </c>
      <c r="C534" s="9" t="str">
        <f t="shared" si="179"/>
        <v>Apr-2023</v>
      </c>
      <c r="D534" s="5" t="str">
        <f t="shared" si="180"/>
        <v>2023-Q2</v>
      </c>
      <c r="E534" s="5">
        <v>45043</v>
      </c>
      <c r="F534" s="9">
        <f t="shared" si="192"/>
        <v>21</v>
      </c>
      <c r="G534" s="9" t="str">
        <f t="shared" si="193"/>
        <v>NOT ACHIEVED</v>
      </c>
      <c r="H534" s="3" t="s">
        <v>643</v>
      </c>
      <c r="I534" s="3" t="s">
        <v>652</v>
      </c>
      <c r="J534" s="3" t="s">
        <v>687</v>
      </c>
      <c r="K534" s="13" t="str">
        <f t="shared" si="194"/>
        <v>Europe &gt; United Kingdom &gt; Manchester</v>
      </c>
      <c r="L534" s="3" t="s">
        <v>700</v>
      </c>
      <c r="M534" s="3" t="s">
        <v>704</v>
      </c>
      <c r="N534" s="13" t="str">
        <f t="shared" si="181"/>
        <v>Distributor</v>
      </c>
      <c r="O534" s="3" t="s">
        <v>708</v>
      </c>
      <c r="P534" s="3" t="s">
        <v>722</v>
      </c>
      <c r="Q534" s="13" t="str">
        <f t="shared" si="182"/>
        <v>High</v>
      </c>
      <c r="R534" s="3" t="s">
        <v>823</v>
      </c>
      <c r="S534" s="7">
        <v>1084.79</v>
      </c>
      <c r="T534" s="7">
        <f t="shared" si="195"/>
        <v>1247.5084999999999</v>
      </c>
      <c r="U534" s="7">
        <v>2484.9899999999998</v>
      </c>
      <c r="V534" s="7">
        <f t="shared" si="183"/>
        <v>2484.9899999999998</v>
      </c>
      <c r="W534" s="7">
        <f t="shared" si="196"/>
        <v>2857.7384999999995</v>
      </c>
      <c r="X534" s="16">
        <v>3.4000000000000002E-2</v>
      </c>
      <c r="Y534" t="str">
        <f t="shared" si="184"/>
        <v>OK</v>
      </c>
      <c r="Z534" s="16">
        <f t="shared" si="185"/>
        <v>3.4000000000000002E-2</v>
      </c>
      <c r="AA534" s="16">
        <f t="shared" si="197"/>
        <v>3.4000000000000002E-2</v>
      </c>
      <c r="AB534" s="9">
        <v>18</v>
      </c>
      <c r="AC534" s="9">
        <f t="shared" si="198"/>
        <v>21.599999999999998</v>
      </c>
      <c r="AD534" s="9">
        <f t="shared" si="186"/>
        <v>43209.006119999991</v>
      </c>
      <c r="AE534" s="9">
        <f t="shared" si="199"/>
        <v>63825.874754399985</v>
      </c>
      <c r="AF534" s="9">
        <f t="shared" si="187"/>
        <v>19526.22</v>
      </c>
      <c r="AG534" s="9">
        <f t="shared" si="188"/>
        <v>23682.78611999999</v>
      </c>
      <c r="AH534" s="9">
        <f t="shared" si="200"/>
        <v>44299.654754399984</v>
      </c>
      <c r="AI534">
        <f t="shared" si="189"/>
        <v>0.54809837685755114</v>
      </c>
      <c r="AJ534" s="5">
        <f t="shared" si="190"/>
        <v>44928</v>
      </c>
      <c r="AK534" t="str">
        <f t="shared" si="191"/>
        <v>Jan-2023</v>
      </c>
      <c r="AL534">
        <v>0</v>
      </c>
      <c r="AM534">
        <v>0</v>
      </c>
      <c r="AN534">
        <v>0</v>
      </c>
    </row>
    <row r="535" spans="1:40" x14ac:dyDescent="0.45">
      <c r="A535" s="3" t="s">
        <v>116</v>
      </c>
      <c r="B535" s="5">
        <v>45518</v>
      </c>
      <c r="C535" s="9" t="str">
        <f t="shared" si="179"/>
        <v>Aug-2024</v>
      </c>
      <c r="D535" s="5" t="str">
        <f t="shared" si="180"/>
        <v>2024-Q3</v>
      </c>
      <c r="E535" s="5">
        <v>45539</v>
      </c>
      <c r="F535" s="9">
        <f t="shared" si="192"/>
        <v>21</v>
      </c>
      <c r="G535" s="9" t="str">
        <f t="shared" si="193"/>
        <v>NOT ACHIEVED</v>
      </c>
      <c r="H535" s="3" t="s">
        <v>643</v>
      </c>
      <c r="I535" s="3" t="s">
        <v>652</v>
      </c>
      <c r="J535" s="3" t="s">
        <v>687</v>
      </c>
      <c r="K535" s="13" t="str">
        <f t="shared" si="194"/>
        <v>Europe &gt; United Kingdom &gt; Manchester</v>
      </c>
      <c r="L535" s="3" t="s">
        <v>697</v>
      </c>
      <c r="M535" s="3" t="s">
        <v>702</v>
      </c>
      <c r="N535" s="13" t="str">
        <f t="shared" si="181"/>
        <v>Online</v>
      </c>
      <c r="O535" s="3" t="s">
        <v>707</v>
      </c>
      <c r="P535" s="3" t="s">
        <v>724</v>
      </c>
      <c r="Q535" s="13" t="str">
        <f t="shared" si="182"/>
        <v>High</v>
      </c>
      <c r="R535" s="3" t="s">
        <v>835</v>
      </c>
      <c r="S535" s="7">
        <v>1138.8</v>
      </c>
      <c r="T535" s="7">
        <f t="shared" si="195"/>
        <v>1309.6199999999999</v>
      </c>
      <c r="U535" s="7">
        <v>2250.81</v>
      </c>
      <c r="V535" s="7">
        <f t="shared" si="183"/>
        <v>2250.81</v>
      </c>
      <c r="W535" s="7">
        <f t="shared" si="196"/>
        <v>2588.4314999999997</v>
      </c>
      <c r="X535" s="16">
        <v>0.123</v>
      </c>
      <c r="Y535" t="str">
        <f t="shared" si="184"/>
        <v>OK</v>
      </c>
      <c r="Z535" s="16">
        <f t="shared" si="185"/>
        <v>0.123</v>
      </c>
      <c r="AA535" s="16">
        <f t="shared" si="197"/>
        <v>0.123</v>
      </c>
      <c r="AB535" s="9">
        <v>12</v>
      </c>
      <c r="AC535" s="9">
        <f t="shared" si="198"/>
        <v>14.399999999999999</v>
      </c>
      <c r="AD535" s="9">
        <f t="shared" si="186"/>
        <v>23687.524440000001</v>
      </c>
      <c r="AE535" s="9">
        <f t="shared" si="199"/>
        <v>41858.043472799989</v>
      </c>
      <c r="AF535" s="9">
        <f t="shared" si="187"/>
        <v>13665.599999999999</v>
      </c>
      <c r="AG535" s="9">
        <f t="shared" si="188"/>
        <v>10021.924440000003</v>
      </c>
      <c r="AH535" s="9">
        <f t="shared" si="200"/>
        <v>28192.443472799991</v>
      </c>
      <c r="AI535">
        <f t="shared" si="189"/>
        <v>0.42308872188756258</v>
      </c>
      <c r="AJ535" s="5">
        <f t="shared" si="190"/>
        <v>44928</v>
      </c>
      <c r="AK535" t="str">
        <f t="shared" si="191"/>
        <v>Jan-2023</v>
      </c>
      <c r="AL535">
        <v>0</v>
      </c>
      <c r="AM535">
        <v>0</v>
      </c>
      <c r="AN535">
        <v>0</v>
      </c>
    </row>
    <row r="536" spans="1:40" x14ac:dyDescent="0.45">
      <c r="A536" s="3" t="s">
        <v>120</v>
      </c>
      <c r="B536" s="5">
        <v>45453</v>
      </c>
      <c r="C536" s="9" t="str">
        <f t="shared" si="179"/>
        <v>Jun-2024</v>
      </c>
      <c r="D536" s="5" t="str">
        <f t="shared" si="180"/>
        <v>2024-Q2</v>
      </c>
      <c r="E536" s="5">
        <v>45454</v>
      </c>
      <c r="F536" s="9">
        <f t="shared" si="192"/>
        <v>1</v>
      </c>
      <c r="G536" s="9" t="str">
        <f t="shared" si="193"/>
        <v>ACHIEVED</v>
      </c>
      <c r="H536" s="3" t="s">
        <v>643</v>
      </c>
      <c r="I536" s="3" t="s">
        <v>652</v>
      </c>
      <c r="J536" s="3" t="s">
        <v>668</v>
      </c>
      <c r="K536" s="13" t="str">
        <f t="shared" si="194"/>
        <v>Europe &gt; United Kingdom &gt; Birmingham</v>
      </c>
      <c r="L536" s="3" t="s">
        <v>699</v>
      </c>
      <c r="M536" s="3" t="s">
        <v>703</v>
      </c>
      <c r="N536" s="13" t="str">
        <f t="shared" si="181"/>
        <v>Marketplace</v>
      </c>
      <c r="O536" s="3" t="s">
        <v>718</v>
      </c>
      <c r="P536" s="3" t="s">
        <v>725</v>
      </c>
      <c r="Q536" s="13" t="str">
        <f t="shared" si="182"/>
        <v>High</v>
      </c>
      <c r="R536" s="3" t="s">
        <v>839</v>
      </c>
      <c r="S536" s="7">
        <v>1187.1300000000001</v>
      </c>
      <c r="T536" s="7">
        <f t="shared" si="195"/>
        <v>1365.1994999999999</v>
      </c>
      <c r="U536" s="7">
        <v>1795.17</v>
      </c>
      <c r="V536" s="7">
        <f t="shared" si="183"/>
        <v>1795.17</v>
      </c>
      <c r="W536" s="7">
        <f t="shared" si="196"/>
        <v>2064.4454999999998</v>
      </c>
      <c r="X536" s="16">
        <v>1.2E-2</v>
      </c>
      <c r="Y536" t="str">
        <f t="shared" si="184"/>
        <v>OK</v>
      </c>
      <c r="Z536" s="16">
        <f t="shared" si="185"/>
        <v>1.2E-2</v>
      </c>
      <c r="AA536" s="16">
        <f t="shared" si="197"/>
        <v>1.2E-2</v>
      </c>
      <c r="AB536" s="9">
        <v>17</v>
      </c>
      <c r="AC536" s="9">
        <f t="shared" si="198"/>
        <v>20.399999999999999</v>
      </c>
      <c r="AD536" s="9">
        <f t="shared" si="186"/>
        <v>30151.675319999998</v>
      </c>
      <c r="AE536" s="9">
        <f t="shared" si="199"/>
        <v>42620.064458399989</v>
      </c>
      <c r="AF536" s="9">
        <f t="shared" si="187"/>
        <v>20181.210000000003</v>
      </c>
      <c r="AG536" s="9">
        <f t="shared" si="188"/>
        <v>9970.4653199999957</v>
      </c>
      <c r="AH536" s="9">
        <f t="shared" si="200"/>
        <v>22438.854458399986</v>
      </c>
      <c r="AI536">
        <f t="shared" si="189"/>
        <v>0.33067699271046663</v>
      </c>
      <c r="AJ536" s="5">
        <f t="shared" si="190"/>
        <v>44928</v>
      </c>
      <c r="AK536" t="str">
        <f t="shared" si="191"/>
        <v>Jan-2023</v>
      </c>
      <c r="AL536">
        <v>0</v>
      </c>
      <c r="AM536">
        <v>0</v>
      </c>
      <c r="AN536">
        <v>0</v>
      </c>
    </row>
    <row r="537" spans="1:40" x14ac:dyDescent="0.45">
      <c r="A537" s="3" t="s">
        <v>129</v>
      </c>
      <c r="B537" s="5">
        <v>45827</v>
      </c>
      <c r="C537" s="9" t="str">
        <f t="shared" si="179"/>
        <v>Jun-2025</v>
      </c>
      <c r="D537" s="5" t="str">
        <f t="shared" si="180"/>
        <v>2025-Q2</v>
      </c>
      <c r="E537" s="5">
        <v>45850</v>
      </c>
      <c r="F537" s="9">
        <f t="shared" si="192"/>
        <v>23</v>
      </c>
      <c r="G537" s="9" t="str">
        <f t="shared" si="193"/>
        <v>NOT ACHIEVED</v>
      </c>
      <c r="H537" s="3" t="s">
        <v>643</v>
      </c>
      <c r="I537" s="3" t="s">
        <v>652</v>
      </c>
      <c r="J537" s="3" t="s">
        <v>1444</v>
      </c>
      <c r="K537" s="13" t="str">
        <f t="shared" si="194"/>
        <v>Europe &gt; United Kingdom &gt; Unkown</v>
      </c>
      <c r="L537" s="3" t="s">
        <v>697</v>
      </c>
      <c r="M537" s="3" t="s">
        <v>705</v>
      </c>
      <c r="N537" s="13" t="str">
        <f t="shared" si="181"/>
        <v>Direct</v>
      </c>
      <c r="O537" s="3" t="s">
        <v>1443</v>
      </c>
      <c r="P537" s="3" t="s">
        <v>723</v>
      </c>
      <c r="Q537" s="13" t="str">
        <f t="shared" si="182"/>
        <v>High</v>
      </c>
      <c r="R537" s="3" t="s">
        <v>848</v>
      </c>
      <c r="S537" s="7">
        <v>801.24</v>
      </c>
      <c r="T537" s="7">
        <f t="shared" si="195"/>
        <v>921.42599999999993</v>
      </c>
      <c r="U537" s="7">
        <v>1959.09</v>
      </c>
      <c r="V537" s="7">
        <f t="shared" si="183"/>
        <v>1959.09</v>
      </c>
      <c r="W537" s="7">
        <f t="shared" si="196"/>
        <v>2252.9534999999996</v>
      </c>
      <c r="X537" s="16">
        <v>0.123</v>
      </c>
      <c r="Y537" t="str">
        <f t="shared" si="184"/>
        <v>OK</v>
      </c>
      <c r="Z537" s="16">
        <f t="shared" si="185"/>
        <v>0.123</v>
      </c>
      <c r="AA537" s="16">
        <f t="shared" si="197"/>
        <v>0.123</v>
      </c>
      <c r="AB537" s="9">
        <v>23</v>
      </c>
      <c r="AC537" s="9">
        <f t="shared" si="198"/>
        <v>27.599999999999998</v>
      </c>
      <c r="AD537" s="9">
        <f t="shared" si="186"/>
        <v>39516.804389999998</v>
      </c>
      <c r="AE537" s="9">
        <f t="shared" si="199"/>
        <v>69829.843141799982</v>
      </c>
      <c r="AF537" s="9">
        <f t="shared" si="187"/>
        <v>18428.52</v>
      </c>
      <c r="AG537" s="9">
        <f t="shared" si="188"/>
        <v>21088.284389999997</v>
      </c>
      <c r="AH537" s="9">
        <f t="shared" si="200"/>
        <v>51401.323141799978</v>
      </c>
      <c r="AI537">
        <f t="shared" si="189"/>
        <v>0.53365358650651762</v>
      </c>
      <c r="AJ537" s="5">
        <f t="shared" si="190"/>
        <v>44928</v>
      </c>
      <c r="AK537" t="str">
        <f t="shared" si="191"/>
        <v>Jan-2023</v>
      </c>
      <c r="AL537">
        <v>0</v>
      </c>
      <c r="AM537">
        <v>0</v>
      </c>
      <c r="AN537">
        <v>0</v>
      </c>
    </row>
    <row r="538" spans="1:40" x14ac:dyDescent="0.45">
      <c r="A538" s="3" t="s">
        <v>136</v>
      </c>
      <c r="B538" s="5">
        <v>45874</v>
      </c>
      <c r="C538" s="9" t="str">
        <f t="shared" si="179"/>
        <v>Aug-2025</v>
      </c>
      <c r="D538" s="5" t="str">
        <f t="shared" si="180"/>
        <v>2025-Q3</v>
      </c>
      <c r="E538" s="5">
        <v>45883</v>
      </c>
      <c r="F538" s="9">
        <f t="shared" si="192"/>
        <v>9</v>
      </c>
      <c r="G538" s="9" t="str">
        <f t="shared" si="193"/>
        <v>NOT ACHIEVED</v>
      </c>
      <c r="H538" s="3" t="s">
        <v>643</v>
      </c>
      <c r="I538" s="3" t="s">
        <v>652</v>
      </c>
      <c r="J538" s="3" t="s">
        <v>677</v>
      </c>
      <c r="K538" s="13" t="str">
        <f t="shared" si="194"/>
        <v>Europe &gt; United Kingdom &gt; London</v>
      </c>
      <c r="L538" s="3" t="s">
        <v>697</v>
      </c>
      <c r="M538" s="3" t="s">
        <v>705</v>
      </c>
      <c r="N538" s="13" t="str">
        <f t="shared" si="181"/>
        <v>Direct</v>
      </c>
      <c r="O538" s="3" t="s">
        <v>712</v>
      </c>
      <c r="P538" s="3" t="s">
        <v>721</v>
      </c>
      <c r="Q538" s="13" t="str">
        <f t="shared" si="182"/>
        <v>Low</v>
      </c>
      <c r="R538" s="3" t="s">
        <v>855</v>
      </c>
      <c r="S538" s="7">
        <v>41.76</v>
      </c>
      <c r="T538" s="7">
        <f t="shared" si="195"/>
        <v>48.023999999999994</v>
      </c>
      <c r="U538" s="7">
        <v>45.19</v>
      </c>
      <c r="V538" s="7">
        <f t="shared" si="183"/>
        <v>45.19</v>
      </c>
      <c r="W538" s="7">
        <f t="shared" si="196"/>
        <v>51.968499999999992</v>
      </c>
      <c r="X538" s="16">
        <v>0.17899999999999999</v>
      </c>
      <c r="Y538" t="str">
        <f t="shared" si="184"/>
        <v>OK</v>
      </c>
      <c r="Z538" s="16">
        <f t="shared" si="185"/>
        <v>0.17899999999999999</v>
      </c>
      <c r="AA538" s="16">
        <f t="shared" si="197"/>
        <v>0.17899999999999999</v>
      </c>
      <c r="AB538" s="9">
        <v>23</v>
      </c>
      <c r="AC538" s="9">
        <f t="shared" si="198"/>
        <v>27.599999999999998</v>
      </c>
      <c r="AD538" s="9">
        <f t="shared" si="186"/>
        <v>853.32276999999988</v>
      </c>
      <c r="AE538" s="9">
        <f t="shared" si="199"/>
        <v>1691.0757773999994</v>
      </c>
      <c r="AF538" s="9">
        <f t="shared" si="187"/>
        <v>960.4799999999999</v>
      </c>
      <c r="AG538" s="9">
        <f t="shared" si="188"/>
        <v>-107.15723000000003</v>
      </c>
      <c r="AH538" s="9">
        <f t="shared" si="200"/>
        <v>730.59577739999952</v>
      </c>
      <c r="AI538">
        <f t="shared" si="189"/>
        <v>-0.12557643340514638</v>
      </c>
      <c r="AJ538" s="5">
        <f t="shared" si="190"/>
        <v>44928</v>
      </c>
      <c r="AK538" t="str">
        <f t="shared" si="191"/>
        <v>Jan-2023</v>
      </c>
      <c r="AL538">
        <v>0</v>
      </c>
      <c r="AM538">
        <v>0</v>
      </c>
      <c r="AN538">
        <v>0</v>
      </c>
    </row>
    <row r="539" spans="1:40" x14ac:dyDescent="0.45">
      <c r="A539" s="3" t="s">
        <v>141</v>
      </c>
      <c r="B539" s="5">
        <v>44953</v>
      </c>
      <c r="C539" s="9" t="str">
        <f t="shared" si="179"/>
        <v>Jan-2023</v>
      </c>
      <c r="D539" s="5" t="str">
        <f t="shared" si="180"/>
        <v>2023-Q1</v>
      </c>
      <c r="E539" s="5">
        <v>44957</v>
      </c>
      <c r="F539" s="9">
        <f t="shared" si="192"/>
        <v>4</v>
      </c>
      <c r="G539" s="9" t="str">
        <f t="shared" si="193"/>
        <v>ACHIEVED</v>
      </c>
      <c r="H539" s="3" t="s">
        <v>643</v>
      </c>
      <c r="I539" s="3" t="s">
        <v>652</v>
      </c>
      <c r="J539" s="3" t="s">
        <v>687</v>
      </c>
      <c r="K539" s="13" t="str">
        <f t="shared" si="194"/>
        <v>Europe &gt; United Kingdom &gt; Manchester</v>
      </c>
      <c r="L539" s="3" t="s">
        <v>700</v>
      </c>
      <c r="M539" s="3" t="s">
        <v>702</v>
      </c>
      <c r="N539" s="13" t="str">
        <f t="shared" si="181"/>
        <v>Online</v>
      </c>
      <c r="O539" s="3" t="s">
        <v>719</v>
      </c>
      <c r="P539" s="3" t="s">
        <v>725</v>
      </c>
      <c r="Q539" s="13" t="str">
        <f t="shared" si="182"/>
        <v>Low</v>
      </c>
      <c r="R539" s="3" t="s">
        <v>860</v>
      </c>
      <c r="S539" s="7">
        <v>941.2</v>
      </c>
      <c r="T539" s="7">
        <f t="shared" si="195"/>
        <v>1082.3799999999999</v>
      </c>
      <c r="U539" s="7">
        <v>668.02</v>
      </c>
      <c r="V539" s="7">
        <f t="shared" si="183"/>
        <v>668.02</v>
      </c>
      <c r="W539" s="7">
        <f t="shared" si="196"/>
        <v>768.22299999999996</v>
      </c>
      <c r="X539" s="16">
        <v>0.22</v>
      </c>
      <c r="Y539" t="str">
        <f t="shared" si="184"/>
        <v>OK</v>
      </c>
      <c r="Z539" s="16">
        <f t="shared" si="185"/>
        <v>0.22</v>
      </c>
      <c r="AA539" s="16">
        <f t="shared" si="197"/>
        <v>0.22</v>
      </c>
      <c r="AB539" s="9">
        <v>16</v>
      </c>
      <c r="AC539" s="9">
        <f t="shared" si="198"/>
        <v>19.2</v>
      </c>
      <c r="AD539" s="9">
        <f t="shared" si="186"/>
        <v>8336.8896000000004</v>
      </c>
      <c r="AE539" s="9">
        <f t="shared" si="199"/>
        <v>17994.855551999997</v>
      </c>
      <c r="AF539" s="9">
        <f t="shared" si="187"/>
        <v>15059.2</v>
      </c>
      <c r="AG539" s="9">
        <f t="shared" si="188"/>
        <v>-6722.3104000000003</v>
      </c>
      <c r="AH539" s="9">
        <f t="shared" si="200"/>
        <v>2935.6555519999965</v>
      </c>
      <c r="AI539">
        <f t="shared" si="189"/>
        <v>-0.80633314371825193</v>
      </c>
      <c r="AJ539" s="5">
        <f t="shared" si="190"/>
        <v>44928</v>
      </c>
      <c r="AK539" t="str">
        <f t="shared" si="191"/>
        <v>Jan-2023</v>
      </c>
      <c r="AL539">
        <v>0</v>
      </c>
      <c r="AM539">
        <v>0</v>
      </c>
      <c r="AN539">
        <v>0</v>
      </c>
    </row>
    <row r="540" spans="1:40" x14ac:dyDescent="0.45">
      <c r="A540" s="3" t="s">
        <v>178</v>
      </c>
      <c r="B540" s="5">
        <v>45574</v>
      </c>
      <c r="C540" s="9" t="str">
        <f t="shared" si="179"/>
        <v>Oct-2024</v>
      </c>
      <c r="D540" s="5" t="str">
        <f t="shared" si="180"/>
        <v>2024-Q4</v>
      </c>
      <c r="E540" s="5">
        <v>45604</v>
      </c>
      <c r="F540" s="9">
        <f t="shared" si="192"/>
        <v>30</v>
      </c>
      <c r="G540" s="9" t="str">
        <f t="shared" si="193"/>
        <v>NOT ACHIEVED</v>
      </c>
      <c r="H540" s="3" t="s">
        <v>643</v>
      </c>
      <c r="I540" s="3" t="s">
        <v>652</v>
      </c>
      <c r="J540" s="3" t="s">
        <v>687</v>
      </c>
      <c r="K540" s="13" t="str">
        <f t="shared" si="194"/>
        <v>Europe &gt; United Kingdom &gt; Manchester</v>
      </c>
      <c r="L540" s="3" t="s">
        <v>699</v>
      </c>
      <c r="M540" s="3" t="s">
        <v>704</v>
      </c>
      <c r="N540" s="13" t="str">
        <f t="shared" si="181"/>
        <v>Distributor</v>
      </c>
      <c r="O540" s="3" t="s">
        <v>707</v>
      </c>
      <c r="P540" s="3" t="s">
        <v>721</v>
      </c>
      <c r="Q540" s="13" t="str">
        <f t="shared" si="182"/>
        <v>Low</v>
      </c>
      <c r="R540" s="3" t="s">
        <v>897</v>
      </c>
      <c r="S540" s="7">
        <v>343.85</v>
      </c>
      <c r="T540" s="7">
        <f t="shared" si="195"/>
        <v>395.42750000000001</v>
      </c>
      <c r="U540" s="7">
        <v>538.04</v>
      </c>
      <c r="V540" s="7">
        <f t="shared" si="183"/>
        <v>538.04</v>
      </c>
      <c r="W540" s="7">
        <f t="shared" si="196"/>
        <v>618.74599999999987</v>
      </c>
      <c r="X540" s="16">
        <v>0.13900000000000001</v>
      </c>
      <c r="Y540" t="str">
        <f t="shared" si="184"/>
        <v>OK</v>
      </c>
      <c r="Z540" s="16">
        <f t="shared" si="185"/>
        <v>0.13900000000000001</v>
      </c>
      <c r="AA540" s="16">
        <f t="shared" si="197"/>
        <v>0.13900000000000001</v>
      </c>
      <c r="AB540" s="9">
        <v>5</v>
      </c>
      <c r="AC540" s="9">
        <f t="shared" si="198"/>
        <v>6</v>
      </c>
      <c r="AD540" s="9">
        <f t="shared" si="186"/>
        <v>2316.2621999999997</v>
      </c>
      <c r="AE540" s="9">
        <f t="shared" si="199"/>
        <v>4228.5101639999993</v>
      </c>
      <c r="AF540" s="9">
        <f t="shared" si="187"/>
        <v>1719.25</v>
      </c>
      <c r="AG540" s="9">
        <f t="shared" si="188"/>
        <v>597.01219999999967</v>
      </c>
      <c r="AH540" s="9">
        <f t="shared" si="200"/>
        <v>2509.2601639999993</v>
      </c>
      <c r="AI540">
        <f t="shared" si="189"/>
        <v>0.25774810813732563</v>
      </c>
      <c r="AJ540" s="5">
        <f t="shared" si="190"/>
        <v>44928</v>
      </c>
      <c r="AK540" t="str">
        <f t="shared" si="191"/>
        <v>Jan-2023</v>
      </c>
      <c r="AL540">
        <v>0</v>
      </c>
      <c r="AM540">
        <v>0</v>
      </c>
      <c r="AN540">
        <v>0</v>
      </c>
    </row>
    <row r="541" spans="1:40" x14ac:dyDescent="0.45">
      <c r="A541" s="3" t="s">
        <v>184</v>
      </c>
      <c r="B541" s="5">
        <v>45761</v>
      </c>
      <c r="C541" s="9" t="str">
        <f t="shared" si="179"/>
        <v>Apr-2025</v>
      </c>
      <c r="D541" s="5" t="str">
        <f t="shared" si="180"/>
        <v>2025-Q2</v>
      </c>
      <c r="E541" s="5">
        <v>45781</v>
      </c>
      <c r="F541" s="9">
        <f t="shared" si="192"/>
        <v>20</v>
      </c>
      <c r="G541" s="9" t="str">
        <f t="shared" si="193"/>
        <v>NOT ACHIEVED</v>
      </c>
      <c r="H541" s="3" t="s">
        <v>643</v>
      </c>
      <c r="I541" s="3" t="s">
        <v>652</v>
      </c>
      <c r="J541" s="3" t="s">
        <v>668</v>
      </c>
      <c r="K541" s="13" t="str">
        <f t="shared" si="194"/>
        <v>Europe &gt; United Kingdom &gt; Birmingham</v>
      </c>
      <c r="L541" s="3" t="s">
        <v>700</v>
      </c>
      <c r="M541" s="3" t="s">
        <v>703</v>
      </c>
      <c r="N541" s="13" t="str">
        <f t="shared" si="181"/>
        <v>Marketplace</v>
      </c>
      <c r="O541" s="3" t="s">
        <v>717</v>
      </c>
      <c r="P541" s="3" t="s">
        <v>726</v>
      </c>
      <c r="Q541" s="13" t="str">
        <f t="shared" si="182"/>
        <v>High</v>
      </c>
      <c r="R541" s="3" t="s">
        <v>903</v>
      </c>
      <c r="S541" s="7">
        <v>1413.87</v>
      </c>
      <c r="T541" s="7">
        <f t="shared" si="195"/>
        <v>1625.9504999999997</v>
      </c>
      <c r="U541" s="7">
        <v>3275</v>
      </c>
      <c r="V541" s="7">
        <f t="shared" si="183"/>
        <v>3275</v>
      </c>
      <c r="W541" s="7">
        <f t="shared" si="196"/>
        <v>3766.2499999999995</v>
      </c>
      <c r="X541" s="16">
        <v>0.255</v>
      </c>
      <c r="Y541" t="str">
        <f t="shared" si="184"/>
        <v>OK</v>
      </c>
      <c r="Z541" s="16">
        <f t="shared" si="185"/>
        <v>0.255</v>
      </c>
      <c r="AA541" s="16">
        <f t="shared" si="197"/>
        <v>0.25</v>
      </c>
      <c r="AB541" s="9">
        <v>38</v>
      </c>
      <c r="AC541" s="9">
        <f t="shared" si="198"/>
        <v>45.6</v>
      </c>
      <c r="AD541" s="9">
        <f t="shared" si="186"/>
        <v>92715.25</v>
      </c>
      <c r="AE541" s="9">
        <f t="shared" si="199"/>
        <v>214676.24999999997</v>
      </c>
      <c r="AF541" s="9">
        <f t="shared" si="187"/>
        <v>53727.06</v>
      </c>
      <c r="AG541" s="9">
        <f t="shared" si="188"/>
        <v>38988.19</v>
      </c>
      <c r="AH541" s="9">
        <f t="shared" si="200"/>
        <v>160949.18999999997</v>
      </c>
      <c r="AI541">
        <f t="shared" si="189"/>
        <v>0.42051539525590453</v>
      </c>
      <c r="AJ541" s="5">
        <f t="shared" si="190"/>
        <v>44928</v>
      </c>
      <c r="AK541" t="str">
        <f t="shared" si="191"/>
        <v>Jan-2023</v>
      </c>
      <c r="AL541">
        <v>0</v>
      </c>
      <c r="AM541">
        <v>0</v>
      </c>
      <c r="AN541">
        <v>0</v>
      </c>
    </row>
    <row r="542" spans="1:40" x14ac:dyDescent="0.45">
      <c r="A542" s="3" t="s">
        <v>185</v>
      </c>
      <c r="B542" s="5">
        <v>45165</v>
      </c>
      <c r="C542" s="9" t="str">
        <f t="shared" si="179"/>
        <v>Aug-2023</v>
      </c>
      <c r="D542" s="5" t="str">
        <f t="shared" si="180"/>
        <v>2023-Q3</v>
      </c>
      <c r="E542" s="5">
        <v>45180</v>
      </c>
      <c r="F542" s="9">
        <f t="shared" si="192"/>
        <v>15</v>
      </c>
      <c r="G542" s="9" t="str">
        <f t="shared" si="193"/>
        <v>NOT ACHIEVED</v>
      </c>
      <c r="H542" s="3" t="s">
        <v>643</v>
      </c>
      <c r="I542" s="3" t="s">
        <v>652</v>
      </c>
      <c r="J542" s="3" t="s">
        <v>677</v>
      </c>
      <c r="K542" s="13" t="str">
        <f t="shared" si="194"/>
        <v>Europe &gt; United Kingdom &gt; London</v>
      </c>
      <c r="L542" s="3" t="s">
        <v>698</v>
      </c>
      <c r="M542" s="3" t="s">
        <v>703</v>
      </c>
      <c r="N542" s="13" t="str">
        <f t="shared" si="181"/>
        <v>Marketplace</v>
      </c>
      <c r="O542" s="3" t="s">
        <v>719</v>
      </c>
      <c r="P542" s="3" t="s">
        <v>722</v>
      </c>
      <c r="Q542" s="13" t="str">
        <f t="shared" si="182"/>
        <v>High</v>
      </c>
      <c r="R542" s="3" t="s">
        <v>904</v>
      </c>
      <c r="S542" s="7">
        <v>943.79</v>
      </c>
      <c r="T542" s="7">
        <f t="shared" si="195"/>
        <v>1085.3584999999998</v>
      </c>
      <c r="U542" s="7">
        <v>1913.76</v>
      </c>
      <c r="V542" s="7">
        <f t="shared" si="183"/>
        <v>1913.76</v>
      </c>
      <c r="W542" s="7">
        <f t="shared" si="196"/>
        <v>2200.8239999999996</v>
      </c>
      <c r="X542" s="16">
        <v>9.0999999999999998E-2</v>
      </c>
      <c r="Y542" t="str">
        <f t="shared" si="184"/>
        <v>OK</v>
      </c>
      <c r="Z542" s="16">
        <f t="shared" si="185"/>
        <v>9.0999999999999998E-2</v>
      </c>
      <c r="AA542" s="16">
        <f t="shared" si="197"/>
        <v>9.0999999999999998E-2</v>
      </c>
      <c r="AB542" s="9">
        <v>9</v>
      </c>
      <c r="AC542" s="9">
        <f t="shared" si="198"/>
        <v>10.799999999999999</v>
      </c>
      <c r="AD542" s="9">
        <f t="shared" si="186"/>
        <v>15656.47056</v>
      </c>
      <c r="AE542" s="9">
        <f t="shared" si="199"/>
        <v>25931.869027199991</v>
      </c>
      <c r="AF542" s="9">
        <f t="shared" si="187"/>
        <v>8494.11</v>
      </c>
      <c r="AG542" s="9">
        <f t="shared" si="188"/>
        <v>7162.3605599999992</v>
      </c>
      <c r="AH542" s="9">
        <f t="shared" si="200"/>
        <v>17437.759027199991</v>
      </c>
      <c r="AI542">
        <f t="shared" si="189"/>
        <v>0.45746967891338081</v>
      </c>
      <c r="AJ542" s="5">
        <f t="shared" si="190"/>
        <v>44928</v>
      </c>
      <c r="AK542" t="str">
        <f t="shared" si="191"/>
        <v>Jan-2023</v>
      </c>
      <c r="AL542">
        <v>0</v>
      </c>
      <c r="AM542">
        <v>0</v>
      </c>
      <c r="AN542">
        <v>0</v>
      </c>
    </row>
    <row r="543" spans="1:40" x14ac:dyDescent="0.45">
      <c r="A543" s="3" t="s">
        <v>199</v>
      </c>
      <c r="B543" s="5">
        <v>45146</v>
      </c>
      <c r="C543" s="9" t="str">
        <f t="shared" si="179"/>
        <v>Aug-2023</v>
      </c>
      <c r="D543" s="5" t="str">
        <f t="shared" si="180"/>
        <v>2023-Q3</v>
      </c>
      <c r="E543" s="5">
        <v>45160</v>
      </c>
      <c r="F543" s="9">
        <f t="shared" si="192"/>
        <v>14</v>
      </c>
      <c r="G543" s="9" t="str">
        <f t="shared" si="193"/>
        <v>NOT ACHIEVED</v>
      </c>
      <c r="H543" s="3" t="s">
        <v>643</v>
      </c>
      <c r="I543" s="3" t="s">
        <v>652</v>
      </c>
      <c r="J543" s="3" t="s">
        <v>668</v>
      </c>
      <c r="K543" s="13" t="str">
        <f t="shared" si="194"/>
        <v>Europe &gt; United Kingdom &gt; Birmingham</v>
      </c>
      <c r="L543" s="3" t="s">
        <v>697</v>
      </c>
      <c r="M543" s="3" t="s">
        <v>705</v>
      </c>
      <c r="N543" s="13" t="str">
        <f t="shared" si="181"/>
        <v>Direct</v>
      </c>
      <c r="O543" s="3" t="s">
        <v>719</v>
      </c>
      <c r="P543" s="3" t="s">
        <v>726</v>
      </c>
      <c r="Q543" s="13" t="str">
        <f t="shared" si="182"/>
        <v>Medium</v>
      </c>
      <c r="R543" s="3" t="s">
        <v>918</v>
      </c>
      <c r="S543" s="7">
        <v>446.69</v>
      </c>
      <c r="T543" s="7">
        <f t="shared" si="195"/>
        <v>513.69349999999997</v>
      </c>
      <c r="U543" s="7">
        <v>967.25</v>
      </c>
      <c r="V543" s="7">
        <f t="shared" si="183"/>
        <v>967.25</v>
      </c>
      <c r="W543" s="7">
        <f t="shared" si="196"/>
        <v>1112.3374999999999</v>
      </c>
      <c r="X543" s="16">
        <v>9.4E-2</v>
      </c>
      <c r="Y543" t="str">
        <f t="shared" si="184"/>
        <v>OK</v>
      </c>
      <c r="Z543" s="16">
        <f t="shared" si="185"/>
        <v>9.4E-2</v>
      </c>
      <c r="AA543" s="16">
        <f t="shared" si="197"/>
        <v>9.4E-2</v>
      </c>
      <c r="AB543" s="9">
        <v>10</v>
      </c>
      <c r="AC543" s="9">
        <f t="shared" si="198"/>
        <v>12</v>
      </c>
      <c r="AD543" s="9">
        <f t="shared" si="186"/>
        <v>8763.2849999999999</v>
      </c>
      <c r="AE543" s="9">
        <f t="shared" si="199"/>
        <v>14602.7667</v>
      </c>
      <c r="AF543" s="9">
        <f t="shared" si="187"/>
        <v>4466.8999999999996</v>
      </c>
      <c r="AG543" s="9">
        <f t="shared" si="188"/>
        <v>4296.3850000000002</v>
      </c>
      <c r="AH543" s="9">
        <f t="shared" si="200"/>
        <v>10135.8667</v>
      </c>
      <c r="AI543">
        <f t="shared" si="189"/>
        <v>0.49027105702941309</v>
      </c>
      <c r="AJ543" s="5">
        <f t="shared" si="190"/>
        <v>44928</v>
      </c>
      <c r="AK543" t="str">
        <f t="shared" si="191"/>
        <v>Jan-2023</v>
      </c>
      <c r="AL543">
        <v>0</v>
      </c>
      <c r="AM543">
        <v>0</v>
      </c>
      <c r="AN543">
        <v>0</v>
      </c>
    </row>
    <row r="544" spans="1:40" x14ac:dyDescent="0.45">
      <c r="A544" s="3" t="s">
        <v>212</v>
      </c>
      <c r="B544" s="5">
        <v>45692</v>
      </c>
      <c r="C544" s="9" t="str">
        <f t="shared" si="179"/>
        <v>Feb-2025</v>
      </c>
      <c r="D544" s="5" t="str">
        <f t="shared" si="180"/>
        <v>2025-Q1</v>
      </c>
      <c r="E544" s="5">
        <v>45713</v>
      </c>
      <c r="F544" s="9">
        <f t="shared" si="192"/>
        <v>21</v>
      </c>
      <c r="G544" s="9" t="str">
        <f t="shared" si="193"/>
        <v>NOT ACHIEVED</v>
      </c>
      <c r="H544" s="3" t="s">
        <v>643</v>
      </c>
      <c r="I544" s="3" t="s">
        <v>652</v>
      </c>
      <c r="J544" s="3" t="s">
        <v>668</v>
      </c>
      <c r="K544" s="13" t="str">
        <f t="shared" si="194"/>
        <v>Europe &gt; United Kingdom &gt; Birmingham</v>
      </c>
      <c r="L544" s="3" t="s">
        <v>695</v>
      </c>
      <c r="M544" s="3" t="s">
        <v>703</v>
      </c>
      <c r="N544" s="13" t="str">
        <f t="shared" si="181"/>
        <v>Marketplace</v>
      </c>
      <c r="O544" s="3" t="s">
        <v>720</v>
      </c>
      <c r="P544" s="3" t="s">
        <v>726</v>
      </c>
      <c r="Q544" s="13" t="str">
        <f t="shared" si="182"/>
        <v>High</v>
      </c>
      <c r="R544" s="3" t="s">
        <v>931</v>
      </c>
      <c r="S544" s="7">
        <v>1016.32</v>
      </c>
      <c r="T544" s="7">
        <f t="shared" si="195"/>
        <v>1168.768</v>
      </c>
      <c r="U544" s="7">
        <v>2253.42</v>
      </c>
      <c r="V544" s="7">
        <f t="shared" si="183"/>
        <v>2253.42</v>
      </c>
      <c r="W544" s="7">
        <f t="shared" si="196"/>
        <v>2591.433</v>
      </c>
      <c r="X544" s="16">
        <v>5.5E-2</v>
      </c>
      <c r="Y544" t="str">
        <f t="shared" si="184"/>
        <v>OK</v>
      </c>
      <c r="Z544" s="16">
        <f t="shared" si="185"/>
        <v>5.5E-2</v>
      </c>
      <c r="AA544" s="16">
        <f t="shared" si="197"/>
        <v>5.5E-2</v>
      </c>
      <c r="AB544" s="9">
        <v>12</v>
      </c>
      <c r="AC544" s="9">
        <f t="shared" si="198"/>
        <v>14.399999999999999</v>
      </c>
      <c r="AD544" s="9">
        <f t="shared" si="186"/>
        <v>25553.782800000001</v>
      </c>
      <c r="AE544" s="9">
        <f t="shared" si="199"/>
        <v>39369.050135999998</v>
      </c>
      <c r="AF544" s="9">
        <f t="shared" si="187"/>
        <v>12195.84</v>
      </c>
      <c r="AG544" s="9">
        <f t="shared" si="188"/>
        <v>13357.942800000001</v>
      </c>
      <c r="AH544" s="9">
        <f t="shared" si="200"/>
        <v>27173.210135999998</v>
      </c>
      <c r="AI544">
        <f t="shared" si="189"/>
        <v>0.52273837124419797</v>
      </c>
      <c r="AJ544" s="5">
        <f t="shared" si="190"/>
        <v>44928</v>
      </c>
      <c r="AK544" t="str">
        <f t="shared" si="191"/>
        <v>Jan-2023</v>
      </c>
      <c r="AL544">
        <v>0</v>
      </c>
      <c r="AM544">
        <v>0</v>
      </c>
      <c r="AN544">
        <v>0</v>
      </c>
    </row>
    <row r="545" spans="1:40" x14ac:dyDescent="0.45">
      <c r="A545" s="3" t="s">
        <v>214</v>
      </c>
      <c r="B545" s="5">
        <v>45109</v>
      </c>
      <c r="C545" s="9" t="str">
        <f t="shared" si="179"/>
        <v>Jul-2023</v>
      </c>
      <c r="D545" s="5" t="str">
        <f t="shared" si="180"/>
        <v>2023-Q3</v>
      </c>
      <c r="E545" s="5">
        <v>45139</v>
      </c>
      <c r="F545" s="9">
        <f t="shared" si="192"/>
        <v>30</v>
      </c>
      <c r="G545" s="9" t="str">
        <f t="shared" si="193"/>
        <v>NOT ACHIEVED</v>
      </c>
      <c r="H545" s="3" t="s">
        <v>643</v>
      </c>
      <c r="I545" s="3" t="s">
        <v>652</v>
      </c>
      <c r="J545" s="3" t="s">
        <v>668</v>
      </c>
      <c r="K545" s="13" t="str">
        <f t="shared" si="194"/>
        <v>Europe &gt; United Kingdom &gt; Birmingham</v>
      </c>
      <c r="L545" s="3" t="s">
        <v>699</v>
      </c>
      <c r="M545" s="3" t="s">
        <v>701</v>
      </c>
      <c r="N545" s="13" t="str">
        <f t="shared" si="181"/>
        <v>Retail</v>
      </c>
      <c r="O545" s="3" t="s">
        <v>711</v>
      </c>
      <c r="P545" s="3" t="s">
        <v>721</v>
      </c>
      <c r="Q545" s="13" t="str">
        <f t="shared" si="182"/>
        <v>Low</v>
      </c>
      <c r="R545" s="3" t="s">
        <v>933</v>
      </c>
      <c r="S545" s="7">
        <v>137.46</v>
      </c>
      <c r="T545" s="7">
        <f t="shared" si="195"/>
        <v>158.07900000000001</v>
      </c>
      <c r="U545" s="7">
        <v>188.3</v>
      </c>
      <c r="V545" s="7">
        <f t="shared" si="183"/>
        <v>188.3</v>
      </c>
      <c r="W545" s="7">
        <f t="shared" si="196"/>
        <v>216.54499999999999</v>
      </c>
      <c r="X545" s="16">
        <v>3.7999999999999999E-2</v>
      </c>
      <c r="Y545" t="str">
        <f t="shared" si="184"/>
        <v>OK</v>
      </c>
      <c r="Z545" s="16">
        <f t="shared" si="185"/>
        <v>3.7999999999999999E-2</v>
      </c>
      <c r="AA545" s="16">
        <f t="shared" si="197"/>
        <v>3.7999999999999999E-2</v>
      </c>
      <c r="AB545" s="9">
        <v>37</v>
      </c>
      <c r="AC545" s="9">
        <f t="shared" si="198"/>
        <v>44.4</v>
      </c>
      <c r="AD545" s="9">
        <f t="shared" si="186"/>
        <v>6702.3501999999999</v>
      </c>
      <c r="AE545" s="9">
        <f t="shared" si="199"/>
        <v>9979.9527240000007</v>
      </c>
      <c r="AF545" s="9">
        <f t="shared" si="187"/>
        <v>5086.0200000000004</v>
      </c>
      <c r="AG545" s="9">
        <f t="shared" si="188"/>
        <v>1616.3301999999994</v>
      </c>
      <c r="AH545" s="9">
        <f t="shared" si="200"/>
        <v>4893.9327240000002</v>
      </c>
      <c r="AI545">
        <f t="shared" si="189"/>
        <v>0.24115872071262398</v>
      </c>
      <c r="AJ545" s="5">
        <f t="shared" si="190"/>
        <v>44928</v>
      </c>
      <c r="AK545" t="str">
        <f t="shared" si="191"/>
        <v>Jan-2023</v>
      </c>
      <c r="AL545">
        <v>0</v>
      </c>
      <c r="AM545">
        <v>0</v>
      </c>
      <c r="AN545">
        <v>0</v>
      </c>
    </row>
    <row r="546" spans="1:40" x14ac:dyDescent="0.45">
      <c r="A546" s="3" t="s">
        <v>232</v>
      </c>
      <c r="B546" s="5">
        <v>45035</v>
      </c>
      <c r="C546" s="9" t="str">
        <f t="shared" si="179"/>
        <v>Apr-2023</v>
      </c>
      <c r="D546" s="5" t="str">
        <f t="shared" si="180"/>
        <v>2023-Q2</v>
      </c>
      <c r="E546" s="5">
        <v>45053</v>
      </c>
      <c r="F546" s="9">
        <f t="shared" si="192"/>
        <v>18</v>
      </c>
      <c r="G546" s="9" t="str">
        <f t="shared" si="193"/>
        <v>NOT ACHIEVED</v>
      </c>
      <c r="H546" s="3" t="s">
        <v>643</v>
      </c>
      <c r="I546" s="3" t="s">
        <v>652</v>
      </c>
      <c r="J546" s="3" t="s">
        <v>668</v>
      </c>
      <c r="K546" s="13" t="str">
        <f t="shared" si="194"/>
        <v>Europe &gt; United Kingdom &gt; Birmingham</v>
      </c>
      <c r="L546" s="3" t="s">
        <v>700</v>
      </c>
      <c r="M546" s="3" t="s">
        <v>701</v>
      </c>
      <c r="N546" s="13" t="str">
        <f t="shared" si="181"/>
        <v>Retail</v>
      </c>
      <c r="O546" s="3" t="s">
        <v>719</v>
      </c>
      <c r="P546" s="3" t="s">
        <v>725</v>
      </c>
      <c r="Q546" s="13" t="str">
        <f t="shared" si="182"/>
        <v>Medium</v>
      </c>
      <c r="R546" s="3" t="s">
        <v>951</v>
      </c>
      <c r="S546" s="7">
        <v>1089.1500000000001</v>
      </c>
      <c r="T546" s="7">
        <f t="shared" si="195"/>
        <v>1252.5225</v>
      </c>
      <c r="U546" s="7">
        <v>1088.2</v>
      </c>
      <c r="V546" s="7">
        <f t="shared" si="183"/>
        <v>1088.2</v>
      </c>
      <c r="W546" s="7">
        <f t="shared" si="196"/>
        <v>1251.43</v>
      </c>
      <c r="X546" s="16">
        <v>5.0999999999999997E-2</v>
      </c>
      <c r="Y546" t="str">
        <f t="shared" si="184"/>
        <v>OK</v>
      </c>
      <c r="Z546" s="16">
        <f t="shared" si="185"/>
        <v>5.0999999999999997E-2</v>
      </c>
      <c r="AA546" s="16">
        <f t="shared" si="197"/>
        <v>5.0999999999999997E-2</v>
      </c>
      <c r="AB546" s="9">
        <v>15</v>
      </c>
      <c r="AC546" s="9">
        <f t="shared" si="198"/>
        <v>18</v>
      </c>
      <c r="AD546" s="9">
        <f t="shared" si="186"/>
        <v>15490.527</v>
      </c>
      <c r="AE546" s="9">
        <f t="shared" si="199"/>
        <v>23674.552739999999</v>
      </c>
      <c r="AF546" s="9">
        <f t="shared" si="187"/>
        <v>16337.250000000002</v>
      </c>
      <c r="AG546" s="9">
        <f t="shared" si="188"/>
        <v>-846.72300000000178</v>
      </c>
      <c r="AH546" s="9">
        <f t="shared" si="200"/>
        <v>7337.3027399999974</v>
      </c>
      <c r="AI546">
        <f t="shared" si="189"/>
        <v>-5.4660696824582002E-2</v>
      </c>
      <c r="AJ546" s="5">
        <f t="shared" si="190"/>
        <v>44928</v>
      </c>
      <c r="AK546" t="str">
        <f t="shared" si="191"/>
        <v>Jan-2023</v>
      </c>
      <c r="AL546">
        <v>0</v>
      </c>
      <c r="AM546">
        <v>0</v>
      </c>
      <c r="AN546">
        <v>0</v>
      </c>
    </row>
    <row r="547" spans="1:40" x14ac:dyDescent="0.45">
      <c r="A547" s="3" t="s">
        <v>265</v>
      </c>
      <c r="B547" s="5">
        <v>45035</v>
      </c>
      <c r="C547" s="9" t="str">
        <f t="shared" si="179"/>
        <v>Apr-2023</v>
      </c>
      <c r="D547" s="5" t="str">
        <f t="shared" si="180"/>
        <v>2023-Q2</v>
      </c>
      <c r="E547" s="5">
        <v>45053</v>
      </c>
      <c r="F547" s="9">
        <f t="shared" si="192"/>
        <v>18</v>
      </c>
      <c r="G547" s="9" t="str">
        <f t="shared" si="193"/>
        <v>NOT ACHIEVED</v>
      </c>
      <c r="H547" s="3" t="s">
        <v>643</v>
      </c>
      <c r="I547" s="3" t="s">
        <v>652</v>
      </c>
      <c r="J547" s="3" t="s">
        <v>677</v>
      </c>
      <c r="K547" s="13" t="str">
        <f t="shared" si="194"/>
        <v>Europe &gt; United Kingdom &gt; London</v>
      </c>
      <c r="L547" s="3" t="s">
        <v>697</v>
      </c>
      <c r="M547" s="3" t="s">
        <v>705</v>
      </c>
      <c r="N547" s="13" t="str">
        <f t="shared" si="181"/>
        <v>Direct</v>
      </c>
      <c r="O547" s="3" t="s">
        <v>716</v>
      </c>
      <c r="P547" s="3" t="s">
        <v>723</v>
      </c>
      <c r="Q547" s="13" t="str">
        <f t="shared" si="182"/>
        <v>Low</v>
      </c>
      <c r="R547" s="3" t="s">
        <v>984</v>
      </c>
      <c r="S547" s="7">
        <v>516.96</v>
      </c>
      <c r="T547" s="7">
        <f t="shared" si="195"/>
        <v>594.50400000000002</v>
      </c>
      <c r="U547" s="7">
        <v>745.38</v>
      </c>
      <c r="V547" s="7">
        <f t="shared" si="183"/>
        <v>745.38</v>
      </c>
      <c r="W547" s="7">
        <f t="shared" si="196"/>
        <v>857.1869999999999</v>
      </c>
      <c r="X547" s="16">
        <v>0.19700000000000001</v>
      </c>
      <c r="Y547" t="str">
        <f t="shared" si="184"/>
        <v>OK</v>
      </c>
      <c r="Z547" s="16">
        <f t="shared" si="185"/>
        <v>0.19700000000000001</v>
      </c>
      <c r="AA547" s="16">
        <f t="shared" si="197"/>
        <v>0.19700000000000001</v>
      </c>
      <c r="AB547" s="9">
        <v>4</v>
      </c>
      <c r="AC547" s="9">
        <f t="shared" si="198"/>
        <v>4.8</v>
      </c>
      <c r="AD547" s="9">
        <f t="shared" si="186"/>
        <v>2394.1605599999998</v>
      </c>
      <c r="AE547" s="9">
        <f t="shared" si="199"/>
        <v>4925.0536271999999</v>
      </c>
      <c r="AF547" s="9">
        <f t="shared" si="187"/>
        <v>2067.84</v>
      </c>
      <c r="AG547" s="9">
        <f t="shared" si="188"/>
        <v>326.32055999999966</v>
      </c>
      <c r="AH547" s="9">
        <f t="shared" si="200"/>
        <v>2857.2136271999998</v>
      </c>
      <c r="AI547">
        <f t="shared" si="189"/>
        <v>0.13629852794835101</v>
      </c>
      <c r="AJ547" s="5">
        <f t="shared" si="190"/>
        <v>44928</v>
      </c>
      <c r="AK547" t="str">
        <f t="shared" si="191"/>
        <v>Jan-2023</v>
      </c>
      <c r="AL547">
        <v>0</v>
      </c>
      <c r="AM547">
        <v>0</v>
      </c>
      <c r="AN547">
        <v>0</v>
      </c>
    </row>
    <row r="548" spans="1:40" x14ac:dyDescent="0.45">
      <c r="A548" s="3" t="s">
        <v>274</v>
      </c>
      <c r="B548" s="5">
        <v>45573</v>
      </c>
      <c r="C548" s="9" t="str">
        <f t="shared" si="179"/>
        <v>Oct-2024</v>
      </c>
      <c r="D548" s="5" t="str">
        <f t="shared" si="180"/>
        <v>2024-Q4</v>
      </c>
      <c r="E548" s="5">
        <v>45573</v>
      </c>
      <c r="F548" s="9">
        <f t="shared" si="192"/>
        <v>0</v>
      </c>
      <c r="G548" s="9" t="str">
        <f t="shared" si="193"/>
        <v>ACHIEVED</v>
      </c>
      <c r="H548" s="3" t="s">
        <v>643</v>
      </c>
      <c r="I548" s="3" t="s">
        <v>652</v>
      </c>
      <c r="J548" s="3" t="s">
        <v>677</v>
      </c>
      <c r="K548" s="13" t="str">
        <f t="shared" si="194"/>
        <v>Europe &gt; United Kingdom &gt; London</v>
      </c>
      <c r="L548" s="3" t="s">
        <v>695</v>
      </c>
      <c r="M548" s="3" t="s">
        <v>702</v>
      </c>
      <c r="N548" s="13" t="str">
        <f t="shared" si="181"/>
        <v>Online</v>
      </c>
      <c r="O548" s="3" t="s">
        <v>712</v>
      </c>
      <c r="P548" s="3" t="s">
        <v>726</v>
      </c>
      <c r="Q548" s="13" t="str">
        <f t="shared" si="182"/>
        <v>High</v>
      </c>
      <c r="R548" s="3" t="s">
        <v>993</v>
      </c>
      <c r="S548" s="7">
        <v>1108.1099999999999</v>
      </c>
      <c r="T548" s="7">
        <f t="shared" si="195"/>
        <v>1274.3264999999999</v>
      </c>
      <c r="U548" s="7">
        <v>2503.79</v>
      </c>
      <c r="V548" s="7">
        <f t="shared" si="183"/>
        <v>2503.79</v>
      </c>
      <c r="W548" s="7">
        <f t="shared" si="196"/>
        <v>2879.3584999999998</v>
      </c>
      <c r="X548" s="16">
        <v>0.184</v>
      </c>
      <c r="Y548" t="str">
        <f t="shared" si="184"/>
        <v>OK</v>
      </c>
      <c r="Z548" s="16">
        <f t="shared" si="185"/>
        <v>0.184</v>
      </c>
      <c r="AA548" s="16">
        <f t="shared" si="197"/>
        <v>0.184</v>
      </c>
      <c r="AB548" s="9">
        <v>19</v>
      </c>
      <c r="AC548" s="9">
        <f t="shared" si="198"/>
        <v>22.8</v>
      </c>
      <c r="AD548" s="9">
        <f t="shared" si="186"/>
        <v>38818.760160000005</v>
      </c>
      <c r="AE548" s="9">
        <f t="shared" si="199"/>
        <v>77728.858579199994</v>
      </c>
      <c r="AF548" s="9">
        <f t="shared" si="187"/>
        <v>21054.089999999997</v>
      </c>
      <c r="AG548" s="9">
        <f t="shared" si="188"/>
        <v>17764.670160000009</v>
      </c>
      <c r="AH548" s="9">
        <f t="shared" si="200"/>
        <v>56674.768579199997</v>
      </c>
      <c r="AI548">
        <f t="shared" si="189"/>
        <v>0.45763105485025896</v>
      </c>
      <c r="AJ548" s="5">
        <f t="shared" si="190"/>
        <v>44928</v>
      </c>
      <c r="AK548" t="str">
        <f t="shared" si="191"/>
        <v>Jan-2023</v>
      </c>
      <c r="AL548">
        <v>0</v>
      </c>
      <c r="AM548">
        <v>0</v>
      </c>
      <c r="AN548">
        <v>0</v>
      </c>
    </row>
    <row r="549" spans="1:40" x14ac:dyDescent="0.45">
      <c r="A549" s="3" t="s">
        <v>300</v>
      </c>
      <c r="B549" s="5">
        <v>45220</v>
      </c>
      <c r="C549" s="9" t="str">
        <f t="shared" si="179"/>
        <v>Oct-2023</v>
      </c>
      <c r="D549" s="5" t="str">
        <f t="shared" si="180"/>
        <v>2023-Q4</v>
      </c>
      <c r="E549" s="5">
        <v>45239</v>
      </c>
      <c r="F549" s="9">
        <f t="shared" si="192"/>
        <v>19</v>
      </c>
      <c r="G549" s="9" t="str">
        <f t="shared" si="193"/>
        <v>NOT ACHIEVED</v>
      </c>
      <c r="H549" s="3" t="s">
        <v>643</v>
      </c>
      <c r="I549" s="3" t="s">
        <v>652</v>
      </c>
      <c r="J549" s="3" t="s">
        <v>677</v>
      </c>
      <c r="K549" s="13" t="str">
        <f t="shared" si="194"/>
        <v>Europe &gt; United Kingdom &gt; London</v>
      </c>
      <c r="L549" s="3" t="s">
        <v>697</v>
      </c>
      <c r="M549" s="3" t="s">
        <v>705</v>
      </c>
      <c r="N549" s="13" t="str">
        <f t="shared" si="181"/>
        <v>Direct</v>
      </c>
      <c r="O549" s="3" t="s">
        <v>714</v>
      </c>
      <c r="P549" s="3" t="s">
        <v>727</v>
      </c>
      <c r="Q549" s="13" t="str">
        <f t="shared" si="182"/>
        <v>High</v>
      </c>
      <c r="R549" s="3" t="s">
        <v>1019</v>
      </c>
      <c r="S549" s="7">
        <v>1142.48</v>
      </c>
      <c r="T549" s="7">
        <f t="shared" si="195"/>
        <v>1313.8519999999999</v>
      </c>
      <c r="U549" s="7">
        <v>2105.5300000000002</v>
      </c>
      <c r="V549" s="7">
        <f t="shared" si="183"/>
        <v>2105.5300000000002</v>
      </c>
      <c r="W549" s="7">
        <f t="shared" si="196"/>
        <v>2421.3595</v>
      </c>
      <c r="X549" s="16">
        <v>0.20699999999999999</v>
      </c>
      <c r="Y549" t="str">
        <f t="shared" si="184"/>
        <v>OK</v>
      </c>
      <c r="Z549" s="16">
        <f t="shared" si="185"/>
        <v>0.20699999999999999</v>
      </c>
      <c r="AA549" s="16">
        <f t="shared" si="197"/>
        <v>0.20699999999999999</v>
      </c>
      <c r="AB549" s="9">
        <v>14</v>
      </c>
      <c r="AC549" s="9">
        <f t="shared" si="198"/>
        <v>16.8</v>
      </c>
      <c r="AD549" s="9">
        <f t="shared" si="186"/>
        <v>23375.594060000003</v>
      </c>
      <c r="AE549" s="9">
        <f t="shared" si="199"/>
        <v>49099.359397200002</v>
      </c>
      <c r="AF549" s="9">
        <f t="shared" si="187"/>
        <v>15994.720000000001</v>
      </c>
      <c r="AG549" s="9">
        <f t="shared" si="188"/>
        <v>7380.8740600000019</v>
      </c>
      <c r="AH549" s="9">
        <f t="shared" si="200"/>
        <v>33104.639397200001</v>
      </c>
      <c r="AI549">
        <f t="shared" si="189"/>
        <v>0.31575129346680658</v>
      </c>
      <c r="AJ549" s="5">
        <f t="shared" si="190"/>
        <v>44928</v>
      </c>
      <c r="AK549" t="str">
        <f t="shared" si="191"/>
        <v>Jan-2023</v>
      </c>
      <c r="AL549">
        <v>0</v>
      </c>
      <c r="AM549">
        <v>0</v>
      </c>
      <c r="AN549">
        <v>0</v>
      </c>
    </row>
    <row r="550" spans="1:40" x14ac:dyDescent="0.45">
      <c r="A550" s="3" t="s">
        <v>301</v>
      </c>
      <c r="B550" s="5">
        <v>45161</v>
      </c>
      <c r="C550" s="9" t="str">
        <f t="shared" si="179"/>
        <v>Aug-2023</v>
      </c>
      <c r="D550" s="5" t="str">
        <f t="shared" si="180"/>
        <v>2023-Q3</v>
      </c>
      <c r="E550" s="5">
        <v>45191</v>
      </c>
      <c r="F550" s="9">
        <f t="shared" si="192"/>
        <v>30</v>
      </c>
      <c r="G550" s="9" t="str">
        <f t="shared" si="193"/>
        <v>NOT ACHIEVED</v>
      </c>
      <c r="H550" s="3" t="s">
        <v>643</v>
      </c>
      <c r="I550" s="3" t="s">
        <v>652</v>
      </c>
      <c r="J550" s="3" t="s">
        <v>677</v>
      </c>
      <c r="K550" s="13" t="str">
        <f t="shared" si="194"/>
        <v>Europe &gt; United Kingdom &gt; London</v>
      </c>
      <c r="L550" s="3" t="s">
        <v>698</v>
      </c>
      <c r="M550" s="3" t="s">
        <v>704</v>
      </c>
      <c r="N550" s="13" t="str">
        <f t="shared" si="181"/>
        <v>Distributor</v>
      </c>
      <c r="O550" s="3" t="s">
        <v>713</v>
      </c>
      <c r="P550" s="3" t="s">
        <v>727</v>
      </c>
      <c r="Q550" s="13" t="str">
        <f t="shared" si="182"/>
        <v>Low</v>
      </c>
      <c r="R550" s="3" t="s">
        <v>1020</v>
      </c>
      <c r="S550" s="7">
        <v>209.81</v>
      </c>
      <c r="T550" s="7">
        <f t="shared" si="195"/>
        <v>241.28149999999999</v>
      </c>
      <c r="U550" s="7">
        <v>523</v>
      </c>
      <c r="V550" s="7">
        <f t="shared" si="183"/>
        <v>523</v>
      </c>
      <c r="W550" s="7">
        <f t="shared" si="196"/>
        <v>601.44999999999993</v>
      </c>
      <c r="X550" s="16">
        <v>5.8999999999999997E-2</v>
      </c>
      <c r="Y550" t="str">
        <f t="shared" si="184"/>
        <v>OK</v>
      </c>
      <c r="Z550" s="16">
        <f t="shared" si="185"/>
        <v>5.8999999999999997E-2</v>
      </c>
      <c r="AA550" s="16">
        <f t="shared" si="197"/>
        <v>5.8999999999999997E-2</v>
      </c>
      <c r="AB550" s="9">
        <v>15</v>
      </c>
      <c r="AC550" s="9">
        <f t="shared" si="198"/>
        <v>18</v>
      </c>
      <c r="AD550" s="9">
        <f t="shared" si="186"/>
        <v>7382.1450000000004</v>
      </c>
      <c r="AE550" s="9">
        <f t="shared" si="199"/>
        <v>11464.839899999997</v>
      </c>
      <c r="AF550" s="9">
        <f t="shared" si="187"/>
        <v>3147.15</v>
      </c>
      <c r="AG550" s="9">
        <f t="shared" si="188"/>
        <v>4234.9950000000008</v>
      </c>
      <c r="AH550" s="9">
        <f t="shared" si="200"/>
        <v>8317.6898999999976</v>
      </c>
      <c r="AI550">
        <f t="shared" si="189"/>
        <v>0.57368082041195356</v>
      </c>
      <c r="AJ550" s="5">
        <f t="shared" si="190"/>
        <v>44928</v>
      </c>
      <c r="AK550" t="str">
        <f t="shared" si="191"/>
        <v>Jan-2023</v>
      </c>
      <c r="AL550">
        <v>0</v>
      </c>
      <c r="AM550">
        <v>0</v>
      </c>
      <c r="AN550">
        <v>0</v>
      </c>
    </row>
    <row r="551" spans="1:40" x14ac:dyDescent="0.45">
      <c r="A551" s="3" t="s">
        <v>311</v>
      </c>
      <c r="B551" s="5">
        <v>45830</v>
      </c>
      <c r="C551" s="9" t="str">
        <f t="shared" si="179"/>
        <v>Jun-2025</v>
      </c>
      <c r="D551" s="5" t="str">
        <f t="shared" si="180"/>
        <v>2025-Q2</v>
      </c>
      <c r="E551" s="5">
        <v>45846</v>
      </c>
      <c r="F551" s="9">
        <f t="shared" si="192"/>
        <v>16</v>
      </c>
      <c r="G551" s="9" t="str">
        <f t="shared" si="193"/>
        <v>NOT ACHIEVED</v>
      </c>
      <c r="H551" s="3" t="s">
        <v>643</v>
      </c>
      <c r="I551" s="3" t="s">
        <v>652</v>
      </c>
      <c r="J551" s="3" t="s">
        <v>677</v>
      </c>
      <c r="K551" s="13" t="str">
        <f t="shared" si="194"/>
        <v>Europe &gt; United Kingdom &gt; London</v>
      </c>
      <c r="L551" s="3" t="s">
        <v>696</v>
      </c>
      <c r="M551" s="3" t="s">
        <v>705</v>
      </c>
      <c r="N551" s="13" t="str">
        <f t="shared" si="181"/>
        <v>Direct</v>
      </c>
      <c r="O551" s="3" t="s">
        <v>714</v>
      </c>
      <c r="P551" s="3" t="s">
        <v>724</v>
      </c>
      <c r="Q551" s="13" t="str">
        <f t="shared" si="182"/>
        <v>Medium</v>
      </c>
      <c r="R551" s="3" t="s">
        <v>1030</v>
      </c>
      <c r="S551" s="7">
        <v>892.73</v>
      </c>
      <c r="T551" s="7">
        <f t="shared" si="195"/>
        <v>1026.6395</v>
      </c>
      <c r="U551" s="7">
        <v>979.84</v>
      </c>
      <c r="V551" s="7">
        <f t="shared" si="183"/>
        <v>979.84</v>
      </c>
      <c r="W551" s="7">
        <f t="shared" si="196"/>
        <v>1126.816</v>
      </c>
      <c r="X551" s="16">
        <v>0.17399999999999999</v>
      </c>
      <c r="Y551" t="str">
        <f t="shared" si="184"/>
        <v>OK</v>
      </c>
      <c r="Z551" s="16">
        <f t="shared" si="185"/>
        <v>0.17399999999999999</v>
      </c>
      <c r="AA551" s="16">
        <f t="shared" si="197"/>
        <v>0.17399999999999999</v>
      </c>
      <c r="AB551" s="9">
        <v>10</v>
      </c>
      <c r="AC551" s="9">
        <f t="shared" si="198"/>
        <v>12</v>
      </c>
      <c r="AD551" s="9">
        <f t="shared" si="186"/>
        <v>8093.4784</v>
      </c>
      <c r="AE551" s="9">
        <f t="shared" si="199"/>
        <v>15874.583808000001</v>
      </c>
      <c r="AF551" s="9">
        <f t="shared" si="187"/>
        <v>8927.2999999999993</v>
      </c>
      <c r="AG551" s="9">
        <f t="shared" si="188"/>
        <v>-833.82159999999931</v>
      </c>
      <c r="AH551" s="9">
        <f t="shared" si="200"/>
        <v>6947.283808000002</v>
      </c>
      <c r="AI551">
        <f t="shared" si="189"/>
        <v>-0.10302388649112838</v>
      </c>
      <c r="AJ551" s="5">
        <f t="shared" si="190"/>
        <v>44928</v>
      </c>
      <c r="AK551" t="str">
        <f t="shared" si="191"/>
        <v>Jan-2023</v>
      </c>
      <c r="AL551">
        <v>0</v>
      </c>
      <c r="AM551">
        <v>0</v>
      </c>
      <c r="AN551">
        <v>0</v>
      </c>
    </row>
    <row r="552" spans="1:40" x14ac:dyDescent="0.45">
      <c r="A552" s="3" t="s">
        <v>318</v>
      </c>
      <c r="B552" s="5">
        <v>45655</v>
      </c>
      <c r="C552" s="9" t="str">
        <f t="shared" si="179"/>
        <v>Dec-2024</v>
      </c>
      <c r="D552" s="5" t="str">
        <f t="shared" si="180"/>
        <v>2024-Q4</v>
      </c>
      <c r="E552" s="5">
        <v>45669</v>
      </c>
      <c r="F552" s="9">
        <f t="shared" si="192"/>
        <v>14</v>
      </c>
      <c r="G552" s="9" t="str">
        <f t="shared" si="193"/>
        <v>NOT ACHIEVED</v>
      </c>
      <c r="H552" s="3" t="s">
        <v>643</v>
      </c>
      <c r="I552" s="3" t="s">
        <v>652</v>
      </c>
      <c r="J552" s="3" t="s">
        <v>687</v>
      </c>
      <c r="K552" s="13" t="str">
        <f t="shared" si="194"/>
        <v>Europe &gt; United Kingdom &gt; Manchester</v>
      </c>
      <c r="L552" s="3" t="s">
        <v>695</v>
      </c>
      <c r="M552" s="3" t="s">
        <v>705</v>
      </c>
      <c r="N552" s="13" t="str">
        <f t="shared" si="181"/>
        <v>Direct</v>
      </c>
      <c r="O552" s="3" t="s">
        <v>711</v>
      </c>
      <c r="P552" s="3" t="s">
        <v>726</v>
      </c>
      <c r="Q552" s="13" t="str">
        <f t="shared" si="182"/>
        <v>High</v>
      </c>
      <c r="R552" s="3" t="s">
        <v>1037</v>
      </c>
      <c r="S552" s="7">
        <v>1399.72</v>
      </c>
      <c r="T552" s="7">
        <f t="shared" si="195"/>
        <v>1609.6779999999999</v>
      </c>
      <c r="U552" s="7">
        <v>3149.21</v>
      </c>
      <c r="V552" s="7">
        <f t="shared" si="183"/>
        <v>3149.21</v>
      </c>
      <c r="W552" s="7">
        <f t="shared" si="196"/>
        <v>3621.5914999999995</v>
      </c>
      <c r="X552" s="16">
        <v>0.185</v>
      </c>
      <c r="Y552" t="str">
        <f t="shared" si="184"/>
        <v>OK</v>
      </c>
      <c r="Z552" s="16">
        <f t="shared" si="185"/>
        <v>0.185</v>
      </c>
      <c r="AA552" s="16">
        <f t="shared" si="197"/>
        <v>0.185</v>
      </c>
      <c r="AB552" s="9">
        <v>12</v>
      </c>
      <c r="AC552" s="9">
        <f t="shared" si="198"/>
        <v>14.399999999999999</v>
      </c>
      <c r="AD552" s="9">
        <f t="shared" si="186"/>
        <v>30799.273800000003</v>
      </c>
      <c r="AE552" s="9">
        <f t="shared" si="199"/>
        <v>61798.837355999989</v>
      </c>
      <c r="AF552" s="9">
        <f t="shared" si="187"/>
        <v>16796.64</v>
      </c>
      <c r="AG552" s="9">
        <f t="shared" si="188"/>
        <v>14002.633800000003</v>
      </c>
      <c r="AH552" s="9">
        <f t="shared" si="200"/>
        <v>45002.19735599999</v>
      </c>
      <c r="AI552">
        <f t="shared" si="189"/>
        <v>0.45464168703873797</v>
      </c>
      <c r="AJ552" s="5">
        <f t="shared" si="190"/>
        <v>44928</v>
      </c>
      <c r="AK552" t="str">
        <f t="shared" si="191"/>
        <v>Jan-2023</v>
      </c>
      <c r="AL552">
        <v>0</v>
      </c>
      <c r="AM552">
        <v>0</v>
      </c>
      <c r="AN552">
        <v>0</v>
      </c>
    </row>
    <row r="553" spans="1:40" x14ac:dyDescent="0.45">
      <c r="A553" s="3" t="s">
        <v>321</v>
      </c>
      <c r="B553" s="5">
        <v>45600</v>
      </c>
      <c r="C553" s="9" t="str">
        <f t="shared" si="179"/>
        <v>Nov-2024</v>
      </c>
      <c r="D553" s="5" t="str">
        <f t="shared" si="180"/>
        <v>2024-Q4</v>
      </c>
      <c r="E553" s="5">
        <v>45601</v>
      </c>
      <c r="F553" s="9">
        <f t="shared" si="192"/>
        <v>1</v>
      </c>
      <c r="G553" s="9" t="str">
        <f t="shared" si="193"/>
        <v>ACHIEVED</v>
      </c>
      <c r="H553" s="3" t="s">
        <v>643</v>
      </c>
      <c r="I553" s="3" t="s">
        <v>652</v>
      </c>
      <c r="J553" s="3" t="s">
        <v>677</v>
      </c>
      <c r="K553" s="13" t="str">
        <f t="shared" si="194"/>
        <v>Europe &gt; United Kingdom &gt; London</v>
      </c>
      <c r="L553" s="3" t="s">
        <v>695</v>
      </c>
      <c r="M553" s="3" t="s">
        <v>701</v>
      </c>
      <c r="N553" s="13" t="str">
        <f t="shared" si="181"/>
        <v>Retail</v>
      </c>
      <c r="O553" s="3" t="s">
        <v>718</v>
      </c>
      <c r="P553" s="3" t="s">
        <v>722</v>
      </c>
      <c r="Q553" s="13" t="str">
        <f t="shared" si="182"/>
        <v>Medium</v>
      </c>
      <c r="R553" s="3" t="s">
        <v>1040</v>
      </c>
      <c r="S553" s="7">
        <v>840.68</v>
      </c>
      <c r="T553" s="7">
        <f t="shared" si="195"/>
        <v>966.78199999999981</v>
      </c>
      <c r="U553" s="7">
        <v>1493.53</v>
      </c>
      <c r="V553" s="7">
        <f t="shared" si="183"/>
        <v>1493.53</v>
      </c>
      <c r="W553" s="7">
        <f t="shared" si="196"/>
        <v>1717.5594999999998</v>
      </c>
      <c r="X553" s="16">
        <v>0</v>
      </c>
      <c r="Y553" t="str">
        <f t="shared" si="184"/>
        <v>OK</v>
      </c>
      <c r="Z553" s="16">
        <f t="shared" si="185"/>
        <v>0</v>
      </c>
      <c r="AA553" s="16">
        <f t="shared" si="197"/>
        <v>0</v>
      </c>
      <c r="AB553" s="9">
        <v>27</v>
      </c>
      <c r="AC553" s="9">
        <f t="shared" si="198"/>
        <v>32.4</v>
      </c>
      <c r="AD553" s="9">
        <f t="shared" si="186"/>
        <v>40325.31</v>
      </c>
      <c r="AE553" s="9">
        <f t="shared" si="199"/>
        <v>55648.92779999999</v>
      </c>
      <c r="AF553" s="9">
        <f t="shared" si="187"/>
        <v>22698.359999999997</v>
      </c>
      <c r="AG553" s="9">
        <f t="shared" si="188"/>
        <v>17626.95</v>
      </c>
      <c r="AH553" s="9">
        <f t="shared" si="200"/>
        <v>32950.56779999999</v>
      </c>
      <c r="AI553">
        <f t="shared" si="189"/>
        <v>0.43711877230454027</v>
      </c>
      <c r="AJ553" s="5">
        <f t="shared" si="190"/>
        <v>44928</v>
      </c>
      <c r="AK553" t="str">
        <f t="shared" si="191"/>
        <v>Jan-2023</v>
      </c>
      <c r="AL553">
        <v>0</v>
      </c>
      <c r="AM553">
        <v>0</v>
      </c>
      <c r="AN553">
        <v>0</v>
      </c>
    </row>
    <row r="554" spans="1:40" x14ac:dyDescent="0.45">
      <c r="A554" s="3" t="s">
        <v>339</v>
      </c>
      <c r="B554" s="5">
        <v>45914</v>
      </c>
      <c r="C554" s="9" t="str">
        <f t="shared" si="179"/>
        <v>Sep-2025</v>
      </c>
      <c r="D554" s="5" t="str">
        <f t="shared" si="180"/>
        <v>2025-Q3</v>
      </c>
      <c r="E554" s="5">
        <v>45926</v>
      </c>
      <c r="F554" s="9">
        <f t="shared" si="192"/>
        <v>12</v>
      </c>
      <c r="G554" s="9" t="str">
        <f t="shared" si="193"/>
        <v>NOT ACHIEVED</v>
      </c>
      <c r="H554" s="3" t="s">
        <v>643</v>
      </c>
      <c r="I554" s="3" t="s">
        <v>652</v>
      </c>
      <c r="J554" s="3" t="s">
        <v>677</v>
      </c>
      <c r="K554" s="13" t="str">
        <f t="shared" si="194"/>
        <v>Europe &gt; United Kingdom &gt; London</v>
      </c>
      <c r="L554" s="3" t="s">
        <v>699</v>
      </c>
      <c r="M554" s="3" t="s">
        <v>705</v>
      </c>
      <c r="N554" s="13" t="str">
        <f t="shared" si="181"/>
        <v>Direct</v>
      </c>
      <c r="O554" s="3" t="s">
        <v>719</v>
      </c>
      <c r="P554" s="3" t="s">
        <v>723</v>
      </c>
      <c r="Q554" s="13" t="str">
        <f t="shared" si="182"/>
        <v>Medium</v>
      </c>
      <c r="R554" s="3" t="s">
        <v>1058</v>
      </c>
      <c r="S554" s="7">
        <v>425.15</v>
      </c>
      <c r="T554" s="7">
        <f t="shared" si="195"/>
        <v>488.92249999999996</v>
      </c>
      <c r="U554" s="7">
        <v>885.92</v>
      </c>
      <c r="V554" s="7">
        <f t="shared" si="183"/>
        <v>885.92</v>
      </c>
      <c r="W554" s="7">
        <f t="shared" si="196"/>
        <v>1018.8079999999999</v>
      </c>
      <c r="X554" s="16">
        <v>0.23899999999999999</v>
      </c>
      <c r="Y554" t="str">
        <f t="shared" si="184"/>
        <v>OK</v>
      </c>
      <c r="Z554" s="16">
        <f t="shared" si="185"/>
        <v>0.23899999999999999</v>
      </c>
      <c r="AA554" s="16">
        <f t="shared" si="197"/>
        <v>0.23899999999999999</v>
      </c>
      <c r="AB554" s="9">
        <v>13</v>
      </c>
      <c r="AC554" s="9">
        <f t="shared" si="198"/>
        <v>15.6</v>
      </c>
      <c r="AD554" s="9">
        <f t="shared" si="186"/>
        <v>8764.4065599999994</v>
      </c>
      <c r="AE554" s="9">
        <f t="shared" si="199"/>
        <v>19691.928547199997</v>
      </c>
      <c r="AF554" s="9">
        <f t="shared" si="187"/>
        <v>5526.95</v>
      </c>
      <c r="AG554" s="9">
        <f t="shared" si="188"/>
        <v>3237.4565599999996</v>
      </c>
      <c r="AH554" s="9">
        <f t="shared" si="200"/>
        <v>14164.978547199997</v>
      </c>
      <c r="AI554">
        <f t="shared" si="189"/>
        <v>0.3693868532725848</v>
      </c>
      <c r="AJ554" s="5">
        <f t="shared" si="190"/>
        <v>44928</v>
      </c>
      <c r="AK554" t="str">
        <f t="shared" si="191"/>
        <v>Jan-2023</v>
      </c>
      <c r="AL554">
        <v>0</v>
      </c>
      <c r="AM554">
        <v>0</v>
      </c>
      <c r="AN554">
        <v>0</v>
      </c>
    </row>
    <row r="555" spans="1:40" x14ac:dyDescent="0.45">
      <c r="A555" s="3" t="s">
        <v>341</v>
      </c>
      <c r="B555" s="5">
        <v>45245</v>
      </c>
      <c r="C555" s="9" t="str">
        <f t="shared" si="179"/>
        <v>Nov-2023</v>
      </c>
      <c r="D555" s="5" t="str">
        <f t="shared" si="180"/>
        <v>2023-Q4</v>
      </c>
      <c r="E555" s="5">
        <v>45266</v>
      </c>
      <c r="F555" s="9">
        <f t="shared" si="192"/>
        <v>21</v>
      </c>
      <c r="G555" s="9" t="str">
        <f t="shared" si="193"/>
        <v>NOT ACHIEVED</v>
      </c>
      <c r="H555" s="3" t="s">
        <v>643</v>
      </c>
      <c r="I555" s="3" t="s">
        <v>652</v>
      </c>
      <c r="J555" s="3" t="s">
        <v>687</v>
      </c>
      <c r="K555" s="13" t="str">
        <f t="shared" si="194"/>
        <v>Europe &gt; United Kingdom &gt; Manchester</v>
      </c>
      <c r="L555" s="3" t="s">
        <v>696</v>
      </c>
      <c r="M555" s="3" t="s">
        <v>705</v>
      </c>
      <c r="N555" s="13" t="str">
        <f t="shared" si="181"/>
        <v>Direct</v>
      </c>
      <c r="O555" s="3" t="s">
        <v>716</v>
      </c>
      <c r="P555" s="3" t="s">
        <v>727</v>
      </c>
      <c r="Q555" s="13" t="str">
        <f t="shared" si="182"/>
        <v>Medium</v>
      </c>
      <c r="R555" s="3" t="s">
        <v>1060</v>
      </c>
      <c r="S555" s="7">
        <v>1184.99</v>
      </c>
      <c r="T555" s="7">
        <f t="shared" si="195"/>
        <v>1362.7384999999999</v>
      </c>
      <c r="U555" s="7">
        <v>1154.3399999999999</v>
      </c>
      <c r="V555" s="7">
        <f t="shared" si="183"/>
        <v>1154.3399999999999</v>
      </c>
      <c r="W555" s="7">
        <f t="shared" si="196"/>
        <v>1327.4909999999998</v>
      </c>
      <c r="X555" s="16">
        <v>2.8000000000000001E-2</v>
      </c>
      <c r="Y555" t="str">
        <f t="shared" si="184"/>
        <v>OK</v>
      </c>
      <c r="Z555" s="16">
        <f t="shared" si="185"/>
        <v>2.8000000000000001E-2</v>
      </c>
      <c r="AA555" s="16">
        <f t="shared" si="197"/>
        <v>2.8000000000000001E-2</v>
      </c>
      <c r="AB555" s="9">
        <v>5</v>
      </c>
      <c r="AC555" s="9">
        <f t="shared" si="198"/>
        <v>6</v>
      </c>
      <c r="AD555" s="9">
        <f t="shared" si="186"/>
        <v>5610.0923999999995</v>
      </c>
      <c r="AE555" s="9">
        <f t="shared" si="199"/>
        <v>8187.9644879999978</v>
      </c>
      <c r="AF555" s="9">
        <f t="shared" si="187"/>
        <v>5924.95</v>
      </c>
      <c r="AG555" s="9">
        <f t="shared" si="188"/>
        <v>-314.85760000000028</v>
      </c>
      <c r="AH555" s="9">
        <f t="shared" si="200"/>
        <v>2263.014487999998</v>
      </c>
      <c r="AI555">
        <f t="shared" si="189"/>
        <v>-5.6123424990290764E-2</v>
      </c>
      <c r="AJ555" s="5">
        <f t="shared" si="190"/>
        <v>44928</v>
      </c>
      <c r="AK555" t="str">
        <f t="shared" si="191"/>
        <v>Jan-2023</v>
      </c>
      <c r="AL555">
        <v>0</v>
      </c>
      <c r="AM555">
        <v>0</v>
      </c>
      <c r="AN555">
        <v>0</v>
      </c>
    </row>
    <row r="556" spans="1:40" x14ac:dyDescent="0.45">
      <c r="A556" s="3" t="s">
        <v>358</v>
      </c>
      <c r="B556" s="5">
        <v>44980</v>
      </c>
      <c r="C556" s="9" t="str">
        <f t="shared" si="179"/>
        <v>Feb-2023</v>
      </c>
      <c r="D556" s="5" t="str">
        <f t="shared" si="180"/>
        <v>2023-Q1</v>
      </c>
      <c r="E556" s="5">
        <v>44993</v>
      </c>
      <c r="F556" s="9">
        <f t="shared" si="192"/>
        <v>13</v>
      </c>
      <c r="G556" s="9" t="str">
        <f t="shared" si="193"/>
        <v>NOT ACHIEVED</v>
      </c>
      <c r="H556" s="3" t="s">
        <v>643</v>
      </c>
      <c r="I556" s="3" t="s">
        <v>652</v>
      </c>
      <c r="J556" s="3" t="s">
        <v>687</v>
      </c>
      <c r="K556" s="13" t="str">
        <f t="shared" si="194"/>
        <v>Europe &gt; United Kingdom &gt; Manchester</v>
      </c>
      <c r="L556" s="3" t="s">
        <v>699</v>
      </c>
      <c r="M556" s="3" t="s">
        <v>705</v>
      </c>
      <c r="N556" s="13" t="str">
        <f t="shared" si="181"/>
        <v>Direct</v>
      </c>
      <c r="O556" s="3" t="s">
        <v>706</v>
      </c>
      <c r="P556" s="3" t="s">
        <v>722</v>
      </c>
      <c r="Q556" s="13" t="str">
        <f t="shared" si="182"/>
        <v>Low</v>
      </c>
      <c r="R556" s="3" t="s">
        <v>1077</v>
      </c>
      <c r="S556" s="7">
        <v>307.37</v>
      </c>
      <c r="T556" s="7">
        <f t="shared" si="195"/>
        <v>353.47549999999995</v>
      </c>
      <c r="U556" s="7">
        <v>462.61</v>
      </c>
      <c r="V556" s="7">
        <f t="shared" si="183"/>
        <v>462.61</v>
      </c>
      <c r="W556" s="7">
        <f t="shared" si="196"/>
        <v>532.00149999999996</v>
      </c>
      <c r="X556" s="16">
        <v>0.188</v>
      </c>
      <c r="Y556" t="str">
        <f t="shared" si="184"/>
        <v>OK</v>
      </c>
      <c r="Z556" s="16">
        <f t="shared" si="185"/>
        <v>0.188</v>
      </c>
      <c r="AA556" s="16">
        <f t="shared" si="197"/>
        <v>0.188</v>
      </c>
      <c r="AB556" s="9">
        <v>11</v>
      </c>
      <c r="AC556" s="9">
        <f t="shared" si="198"/>
        <v>13.2</v>
      </c>
      <c r="AD556" s="9">
        <f t="shared" si="186"/>
        <v>4132.0325200000007</v>
      </c>
      <c r="AE556" s="9">
        <f t="shared" si="199"/>
        <v>8342.6347223999983</v>
      </c>
      <c r="AF556" s="9">
        <f t="shared" si="187"/>
        <v>3381.07</v>
      </c>
      <c r="AG556" s="9">
        <f t="shared" si="188"/>
        <v>750.9625200000005</v>
      </c>
      <c r="AH556" s="9">
        <f t="shared" si="200"/>
        <v>4961.5647223999986</v>
      </c>
      <c r="AI556">
        <f t="shared" si="189"/>
        <v>0.18174167709599739</v>
      </c>
      <c r="AJ556" s="5">
        <f t="shared" si="190"/>
        <v>44928</v>
      </c>
      <c r="AK556" t="str">
        <f t="shared" si="191"/>
        <v>Jan-2023</v>
      </c>
      <c r="AL556">
        <v>0</v>
      </c>
      <c r="AM556">
        <v>0</v>
      </c>
      <c r="AN556">
        <v>0</v>
      </c>
    </row>
    <row r="557" spans="1:40" x14ac:dyDescent="0.45">
      <c r="A557" s="3" t="s">
        <v>363</v>
      </c>
      <c r="B557" s="5">
        <v>45292</v>
      </c>
      <c r="C557" s="9" t="str">
        <f t="shared" si="179"/>
        <v>Jan-2024</v>
      </c>
      <c r="D557" s="5" t="str">
        <f t="shared" si="180"/>
        <v>2024-Q1</v>
      </c>
      <c r="E557" s="5">
        <v>45318</v>
      </c>
      <c r="F557" s="9">
        <f t="shared" si="192"/>
        <v>26</v>
      </c>
      <c r="G557" s="9" t="str">
        <f t="shared" si="193"/>
        <v>NOT ACHIEVED</v>
      </c>
      <c r="H557" s="3" t="s">
        <v>643</v>
      </c>
      <c r="I557" s="3" t="s">
        <v>652</v>
      </c>
      <c r="J557" s="3" t="s">
        <v>687</v>
      </c>
      <c r="K557" s="13" t="str">
        <f t="shared" si="194"/>
        <v>Europe &gt; United Kingdom &gt; Manchester</v>
      </c>
      <c r="L557" s="3" t="s">
        <v>696</v>
      </c>
      <c r="M557" s="3" t="s">
        <v>704</v>
      </c>
      <c r="N557" s="13" t="str">
        <f t="shared" si="181"/>
        <v>Distributor</v>
      </c>
      <c r="O557" s="3" t="s">
        <v>720</v>
      </c>
      <c r="P557" s="3" t="s">
        <v>727</v>
      </c>
      <c r="Q557" s="13" t="str">
        <f t="shared" si="182"/>
        <v>Medium</v>
      </c>
      <c r="R557" s="3" t="s">
        <v>1082</v>
      </c>
      <c r="S557" s="7">
        <v>657.45</v>
      </c>
      <c r="T557" s="7">
        <f t="shared" si="195"/>
        <v>756.0675</v>
      </c>
      <c r="U557" s="7">
        <v>1325.96</v>
      </c>
      <c r="V557" s="7">
        <f t="shared" si="183"/>
        <v>1325.96</v>
      </c>
      <c r="W557" s="7">
        <f t="shared" si="196"/>
        <v>1524.8539999999998</v>
      </c>
      <c r="X557" s="16">
        <v>0.16700000000000001</v>
      </c>
      <c r="Y557" t="str">
        <f t="shared" si="184"/>
        <v>OK</v>
      </c>
      <c r="Z557" s="16">
        <f t="shared" si="185"/>
        <v>0.16700000000000001</v>
      </c>
      <c r="AA557" s="16">
        <f t="shared" si="197"/>
        <v>0.16700000000000001</v>
      </c>
      <c r="AB557" s="9">
        <v>21</v>
      </c>
      <c r="AC557" s="9">
        <f t="shared" si="198"/>
        <v>25.2</v>
      </c>
      <c r="AD557" s="9">
        <f t="shared" si="186"/>
        <v>23195.01828</v>
      </c>
      <c r="AE557" s="9">
        <f t="shared" si="199"/>
        <v>44843.516373599996</v>
      </c>
      <c r="AF557" s="9">
        <f t="shared" si="187"/>
        <v>13806.45</v>
      </c>
      <c r="AG557" s="9">
        <f t="shared" si="188"/>
        <v>9388.5682799999995</v>
      </c>
      <c r="AH557" s="9">
        <f t="shared" si="200"/>
        <v>31037.066373599995</v>
      </c>
      <c r="AI557">
        <f t="shared" si="189"/>
        <v>0.40476658249048808</v>
      </c>
      <c r="AJ557" s="5">
        <f t="shared" si="190"/>
        <v>44928</v>
      </c>
      <c r="AK557" t="str">
        <f t="shared" si="191"/>
        <v>Jan-2023</v>
      </c>
      <c r="AL557">
        <v>0</v>
      </c>
      <c r="AM557">
        <v>0</v>
      </c>
      <c r="AN557">
        <v>0</v>
      </c>
    </row>
    <row r="558" spans="1:40" x14ac:dyDescent="0.45">
      <c r="A558" s="3" t="s">
        <v>368</v>
      </c>
      <c r="B558" s="5">
        <v>45466</v>
      </c>
      <c r="C558" s="9" t="str">
        <f t="shared" si="179"/>
        <v>Jun-2024</v>
      </c>
      <c r="D558" s="5" t="str">
        <f t="shared" si="180"/>
        <v>2024-Q2</v>
      </c>
      <c r="E558" s="5">
        <v>45468</v>
      </c>
      <c r="F558" s="9">
        <f t="shared" si="192"/>
        <v>2</v>
      </c>
      <c r="G558" s="9" t="str">
        <f t="shared" si="193"/>
        <v>ACHIEVED</v>
      </c>
      <c r="H558" s="3" t="s">
        <v>643</v>
      </c>
      <c r="I558" s="3" t="s">
        <v>652</v>
      </c>
      <c r="J558" s="3" t="s">
        <v>668</v>
      </c>
      <c r="K558" s="13" t="str">
        <f t="shared" si="194"/>
        <v>Europe &gt; United Kingdom &gt; Birmingham</v>
      </c>
      <c r="L558" s="3" t="s">
        <v>699</v>
      </c>
      <c r="M558" s="3" t="s">
        <v>703</v>
      </c>
      <c r="N558" s="13" t="str">
        <f t="shared" si="181"/>
        <v>Marketplace</v>
      </c>
      <c r="O558" s="3" t="s">
        <v>710</v>
      </c>
      <c r="P558" s="3" t="s">
        <v>727</v>
      </c>
      <c r="Q558" s="13" t="str">
        <f t="shared" si="182"/>
        <v>High</v>
      </c>
      <c r="R558" s="3" t="s">
        <v>1087</v>
      </c>
      <c r="S558" s="7">
        <v>951.44</v>
      </c>
      <c r="T558" s="7">
        <f t="shared" si="195"/>
        <v>1094.1559999999999</v>
      </c>
      <c r="U558" s="7">
        <v>1646.43</v>
      </c>
      <c r="V558" s="7">
        <f t="shared" si="183"/>
        <v>1646.43</v>
      </c>
      <c r="W558" s="7">
        <f t="shared" si="196"/>
        <v>1893.3944999999999</v>
      </c>
      <c r="X558" s="16">
        <v>0.11</v>
      </c>
      <c r="Y558" t="str">
        <f t="shared" si="184"/>
        <v>OK</v>
      </c>
      <c r="Z558" s="16">
        <f t="shared" si="185"/>
        <v>0.11</v>
      </c>
      <c r="AA558" s="16">
        <f t="shared" si="197"/>
        <v>0.11</v>
      </c>
      <c r="AB558" s="9">
        <v>24</v>
      </c>
      <c r="AC558" s="9">
        <f t="shared" si="198"/>
        <v>28.799999999999997</v>
      </c>
      <c r="AD558" s="9">
        <f t="shared" si="186"/>
        <v>35167.7448</v>
      </c>
      <c r="AE558" s="9">
        <f t="shared" si="199"/>
        <v>60528.035375999993</v>
      </c>
      <c r="AF558" s="9">
        <f t="shared" si="187"/>
        <v>22834.560000000001</v>
      </c>
      <c r="AG558" s="9">
        <f t="shared" si="188"/>
        <v>12333.184799999999</v>
      </c>
      <c r="AH558" s="9">
        <f t="shared" si="200"/>
        <v>37693.475375999988</v>
      </c>
      <c r="AI558">
        <f t="shared" si="189"/>
        <v>0.35069592520473475</v>
      </c>
      <c r="AJ558" s="5">
        <f t="shared" si="190"/>
        <v>44928</v>
      </c>
      <c r="AK558" t="str">
        <f t="shared" si="191"/>
        <v>Jan-2023</v>
      </c>
      <c r="AL558">
        <v>0</v>
      </c>
      <c r="AM558">
        <v>0</v>
      </c>
      <c r="AN558">
        <v>0</v>
      </c>
    </row>
    <row r="559" spans="1:40" x14ac:dyDescent="0.45">
      <c r="A559" s="3" t="s">
        <v>369</v>
      </c>
      <c r="B559" s="5">
        <v>45833</v>
      </c>
      <c r="C559" s="9" t="str">
        <f t="shared" si="179"/>
        <v>Jun-2025</v>
      </c>
      <c r="D559" s="5" t="str">
        <f t="shared" si="180"/>
        <v>2025-Q2</v>
      </c>
      <c r="E559" s="5">
        <v>45848</v>
      </c>
      <c r="F559" s="9">
        <f t="shared" si="192"/>
        <v>15</v>
      </c>
      <c r="G559" s="9" t="str">
        <f t="shared" si="193"/>
        <v>NOT ACHIEVED</v>
      </c>
      <c r="H559" s="3" t="s">
        <v>643</v>
      </c>
      <c r="I559" s="3" t="s">
        <v>652</v>
      </c>
      <c r="J559" s="3" t="s">
        <v>668</v>
      </c>
      <c r="K559" s="13" t="str">
        <f t="shared" si="194"/>
        <v>Europe &gt; United Kingdom &gt; Birmingham</v>
      </c>
      <c r="L559" s="3" t="s">
        <v>697</v>
      </c>
      <c r="M559" s="3" t="s">
        <v>703</v>
      </c>
      <c r="N559" s="13" t="str">
        <f t="shared" si="181"/>
        <v>Marketplace</v>
      </c>
      <c r="O559" s="3" t="s">
        <v>720</v>
      </c>
      <c r="P559" s="3" t="s">
        <v>724</v>
      </c>
      <c r="Q559" s="13" t="str">
        <f t="shared" si="182"/>
        <v>Low</v>
      </c>
      <c r="R559" s="3" t="s">
        <v>1088</v>
      </c>
      <c r="S559" s="7">
        <v>546.83000000000004</v>
      </c>
      <c r="T559" s="7">
        <f t="shared" si="195"/>
        <v>628.85450000000003</v>
      </c>
      <c r="U559" s="7">
        <v>400.84</v>
      </c>
      <c r="V559" s="7">
        <f t="shared" si="183"/>
        <v>400.84</v>
      </c>
      <c r="W559" s="7">
        <f t="shared" si="196"/>
        <v>460.96599999999995</v>
      </c>
      <c r="X559" s="16">
        <v>7.8E-2</v>
      </c>
      <c r="Y559" t="str">
        <f t="shared" si="184"/>
        <v>OK</v>
      </c>
      <c r="Z559" s="16">
        <f t="shared" si="185"/>
        <v>7.8E-2</v>
      </c>
      <c r="AA559" s="16">
        <f t="shared" si="197"/>
        <v>7.8E-2</v>
      </c>
      <c r="AB559" s="9">
        <v>13</v>
      </c>
      <c r="AC559" s="9">
        <f t="shared" si="198"/>
        <v>15.6</v>
      </c>
      <c r="AD559" s="9">
        <f t="shared" si="186"/>
        <v>4804.4682400000002</v>
      </c>
      <c r="AE559" s="9">
        <f t="shared" si="199"/>
        <v>7751.9730287999992</v>
      </c>
      <c r="AF559" s="9">
        <f t="shared" si="187"/>
        <v>7108.7900000000009</v>
      </c>
      <c r="AG559" s="9">
        <f t="shared" si="188"/>
        <v>-2304.3217600000007</v>
      </c>
      <c r="AH559" s="9">
        <f t="shared" si="200"/>
        <v>643.18302879999828</v>
      </c>
      <c r="AI559">
        <f t="shared" si="189"/>
        <v>-0.47962056254533608</v>
      </c>
      <c r="AJ559" s="5">
        <f t="shared" si="190"/>
        <v>44928</v>
      </c>
      <c r="AK559" t="str">
        <f t="shared" si="191"/>
        <v>Jan-2023</v>
      </c>
      <c r="AL559">
        <v>0</v>
      </c>
      <c r="AM559">
        <v>0</v>
      </c>
      <c r="AN559">
        <v>0</v>
      </c>
    </row>
    <row r="560" spans="1:40" x14ac:dyDescent="0.45">
      <c r="A560" s="3" t="s">
        <v>372</v>
      </c>
      <c r="B560" s="5">
        <v>45082</v>
      </c>
      <c r="C560" s="9" t="str">
        <f t="shared" si="179"/>
        <v>Jun-2023</v>
      </c>
      <c r="D560" s="5" t="str">
        <f t="shared" si="180"/>
        <v>2023-Q2</v>
      </c>
      <c r="E560" s="5">
        <v>45105</v>
      </c>
      <c r="F560" s="9">
        <f t="shared" si="192"/>
        <v>23</v>
      </c>
      <c r="G560" s="9" t="str">
        <f t="shared" si="193"/>
        <v>NOT ACHIEVED</v>
      </c>
      <c r="H560" s="3" t="s">
        <v>643</v>
      </c>
      <c r="I560" s="3" t="s">
        <v>652</v>
      </c>
      <c r="J560" s="3" t="s">
        <v>668</v>
      </c>
      <c r="K560" s="13" t="str">
        <f t="shared" si="194"/>
        <v>Europe &gt; United Kingdom &gt; Birmingham</v>
      </c>
      <c r="L560" s="3" t="s">
        <v>695</v>
      </c>
      <c r="M560" s="3" t="s">
        <v>705</v>
      </c>
      <c r="N560" s="13" t="str">
        <f t="shared" si="181"/>
        <v>Direct</v>
      </c>
      <c r="O560" s="3" t="s">
        <v>717</v>
      </c>
      <c r="P560" s="3" t="s">
        <v>722</v>
      </c>
      <c r="Q560" s="13" t="str">
        <f t="shared" si="182"/>
        <v>Low</v>
      </c>
      <c r="R560" s="3" t="s">
        <v>1091</v>
      </c>
      <c r="S560" s="7">
        <v>605.82000000000005</v>
      </c>
      <c r="T560" s="7">
        <f t="shared" si="195"/>
        <v>696.69299999999998</v>
      </c>
      <c r="U560" s="7">
        <v>771.12</v>
      </c>
      <c r="V560" s="7">
        <f t="shared" si="183"/>
        <v>771.12</v>
      </c>
      <c r="W560" s="7">
        <f t="shared" si="196"/>
        <v>886.7879999999999</v>
      </c>
      <c r="X560" s="16">
        <v>0.13200000000000001</v>
      </c>
      <c r="Y560" t="str">
        <f t="shared" si="184"/>
        <v>OK</v>
      </c>
      <c r="Z560" s="16">
        <f t="shared" si="185"/>
        <v>0.13200000000000001</v>
      </c>
      <c r="AA560" s="16">
        <f t="shared" si="197"/>
        <v>0.13200000000000001</v>
      </c>
      <c r="AB560" s="9">
        <v>19</v>
      </c>
      <c r="AC560" s="9">
        <f t="shared" si="198"/>
        <v>22.8</v>
      </c>
      <c r="AD560" s="9">
        <f t="shared" si="186"/>
        <v>12717.311040000001</v>
      </c>
      <c r="AE560" s="9">
        <f t="shared" si="199"/>
        <v>22887.643564799997</v>
      </c>
      <c r="AF560" s="9">
        <f t="shared" si="187"/>
        <v>11510.580000000002</v>
      </c>
      <c r="AG560" s="9">
        <f t="shared" si="188"/>
        <v>1206.7310399999988</v>
      </c>
      <c r="AH560" s="9">
        <f t="shared" si="200"/>
        <v>11377.063564799995</v>
      </c>
      <c r="AI560">
        <f t="shared" si="189"/>
        <v>9.4888851597986767E-2</v>
      </c>
      <c r="AJ560" s="5">
        <f t="shared" si="190"/>
        <v>44928</v>
      </c>
      <c r="AK560" t="str">
        <f t="shared" si="191"/>
        <v>Jan-2023</v>
      </c>
      <c r="AL560">
        <v>0</v>
      </c>
      <c r="AM560">
        <v>0</v>
      </c>
      <c r="AN560">
        <v>0</v>
      </c>
    </row>
    <row r="561" spans="1:40" x14ac:dyDescent="0.45">
      <c r="A561" s="3" t="s">
        <v>381</v>
      </c>
      <c r="B561" s="5">
        <v>45751</v>
      </c>
      <c r="C561" s="9" t="str">
        <f t="shared" si="179"/>
        <v>Apr-2025</v>
      </c>
      <c r="D561" s="5" t="str">
        <f t="shared" si="180"/>
        <v>2025-Q2</v>
      </c>
      <c r="E561" s="5">
        <v>45757</v>
      </c>
      <c r="F561" s="9">
        <f t="shared" si="192"/>
        <v>6</v>
      </c>
      <c r="G561" s="9" t="str">
        <f t="shared" si="193"/>
        <v>ACHIEVED</v>
      </c>
      <c r="H561" s="3" t="s">
        <v>643</v>
      </c>
      <c r="I561" s="3" t="s">
        <v>652</v>
      </c>
      <c r="J561" s="3" t="s">
        <v>668</v>
      </c>
      <c r="K561" s="13" t="str">
        <f t="shared" si="194"/>
        <v>Europe &gt; United Kingdom &gt; Birmingham</v>
      </c>
      <c r="L561" s="3" t="s">
        <v>697</v>
      </c>
      <c r="M561" s="3" t="s">
        <v>705</v>
      </c>
      <c r="N561" s="13" t="str">
        <f t="shared" si="181"/>
        <v>Direct</v>
      </c>
      <c r="O561" s="3" t="s">
        <v>719</v>
      </c>
      <c r="P561" s="3" t="s">
        <v>722</v>
      </c>
      <c r="Q561" s="13" t="str">
        <f t="shared" si="182"/>
        <v>Low</v>
      </c>
      <c r="R561" s="3" t="s">
        <v>1100</v>
      </c>
      <c r="S561" s="7">
        <v>290.14</v>
      </c>
      <c r="T561" s="7">
        <f t="shared" si="195"/>
        <v>333.66099999999994</v>
      </c>
      <c r="U561" s="7">
        <v>250.73</v>
      </c>
      <c r="V561" s="7">
        <f t="shared" si="183"/>
        <v>250.73</v>
      </c>
      <c r="W561" s="7">
        <f t="shared" si="196"/>
        <v>288.33949999999999</v>
      </c>
      <c r="X561" s="16">
        <v>3.4000000000000002E-2</v>
      </c>
      <c r="Y561" t="str">
        <f t="shared" si="184"/>
        <v>OK</v>
      </c>
      <c r="Z561" s="16">
        <f t="shared" si="185"/>
        <v>3.4000000000000002E-2</v>
      </c>
      <c r="AA561" s="16">
        <f t="shared" si="197"/>
        <v>3.4000000000000002E-2</v>
      </c>
      <c r="AB561" s="9">
        <v>17</v>
      </c>
      <c r="AC561" s="9">
        <f t="shared" si="198"/>
        <v>20.399999999999999</v>
      </c>
      <c r="AD561" s="9">
        <f t="shared" si="186"/>
        <v>4117.4880599999997</v>
      </c>
      <c r="AE561" s="9">
        <f t="shared" si="199"/>
        <v>6082.1180771999989</v>
      </c>
      <c r="AF561" s="9">
        <f t="shared" si="187"/>
        <v>4932.38</v>
      </c>
      <c r="AG561" s="9">
        <f t="shared" si="188"/>
        <v>-814.89194000000043</v>
      </c>
      <c r="AH561" s="9">
        <f t="shared" si="200"/>
        <v>1149.7380771999988</v>
      </c>
      <c r="AI561">
        <f t="shared" si="189"/>
        <v>-0.19790997038131072</v>
      </c>
      <c r="AJ561" s="5">
        <f t="shared" si="190"/>
        <v>44928</v>
      </c>
      <c r="AK561" t="str">
        <f t="shared" si="191"/>
        <v>Jan-2023</v>
      </c>
      <c r="AL561">
        <v>0</v>
      </c>
      <c r="AM561">
        <v>0</v>
      </c>
      <c r="AN561">
        <v>0</v>
      </c>
    </row>
    <row r="562" spans="1:40" x14ac:dyDescent="0.45">
      <c r="A562" s="3" t="s">
        <v>388</v>
      </c>
      <c r="B562" s="5">
        <v>45688</v>
      </c>
      <c r="C562" s="9" t="str">
        <f t="shared" si="179"/>
        <v>Jan-2025</v>
      </c>
      <c r="D562" s="5" t="str">
        <f t="shared" si="180"/>
        <v>2025-Q1</v>
      </c>
      <c r="E562" s="5">
        <v>45705</v>
      </c>
      <c r="F562" s="9">
        <f t="shared" si="192"/>
        <v>17</v>
      </c>
      <c r="G562" s="9" t="str">
        <f t="shared" si="193"/>
        <v>NOT ACHIEVED</v>
      </c>
      <c r="H562" s="3" t="s">
        <v>643</v>
      </c>
      <c r="I562" s="3" t="s">
        <v>652</v>
      </c>
      <c r="J562" s="3" t="s">
        <v>677</v>
      </c>
      <c r="K562" s="13" t="str">
        <f t="shared" si="194"/>
        <v>Europe &gt; United Kingdom &gt; London</v>
      </c>
      <c r="L562" s="3" t="s">
        <v>700</v>
      </c>
      <c r="M562" s="3" t="s">
        <v>701</v>
      </c>
      <c r="N562" s="13" t="str">
        <f t="shared" si="181"/>
        <v>Retail</v>
      </c>
      <c r="O562" s="3" t="s">
        <v>716</v>
      </c>
      <c r="P562" s="3" t="s">
        <v>721</v>
      </c>
      <c r="Q562" s="13" t="str">
        <f t="shared" si="182"/>
        <v>Low</v>
      </c>
      <c r="R562" s="3" t="s">
        <v>806</v>
      </c>
      <c r="S562" s="7">
        <v>378.26</v>
      </c>
      <c r="T562" s="7">
        <f t="shared" si="195"/>
        <v>434.99899999999997</v>
      </c>
      <c r="U562" s="7">
        <v>541.55999999999995</v>
      </c>
      <c r="V562" s="7">
        <f t="shared" si="183"/>
        <v>541.55999999999995</v>
      </c>
      <c r="W562" s="7">
        <f t="shared" si="196"/>
        <v>622.79399999999987</v>
      </c>
      <c r="X562" s="16">
        <v>0.16300000000000001</v>
      </c>
      <c r="Y562" t="str">
        <f t="shared" si="184"/>
        <v>OK</v>
      </c>
      <c r="Z562" s="16">
        <f t="shared" si="185"/>
        <v>0.16300000000000001</v>
      </c>
      <c r="AA562" s="16">
        <f t="shared" si="197"/>
        <v>0.16300000000000001</v>
      </c>
      <c r="AB562" s="9">
        <v>25</v>
      </c>
      <c r="AC562" s="9">
        <f t="shared" si="198"/>
        <v>30</v>
      </c>
      <c r="AD562" s="9">
        <f t="shared" si="186"/>
        <v>11332.142999999998</v>
      </c>
      <c r="AE562" s="9">
        <f t="shared" si="199"/>
        <v>21729.282659999997</v>
      </c>
      <c r="AF562" s="9">
        <f t="shared" si="187"/>
        <v>9456.5</v>
      </c>
      <c r="AG562" s="9">
        <f t="shared" si="188"/>
        <v>1875.6429999999982</v>
      </c>
      <c r="AH562" s="9">
        <f t="shared" si="200"/>
        <v>12272.782659999997</v>
      </c>
      <c r="AI562">
        <f t="shared" si="189"/>
        <v>0.16551529573885526</v>
      </c>
      <c r="AJ562" s="5">
        <f t="shared" si="190"/>
        <v>44928</v>
      </c>
      <c r="AK562" t="str">
        <f t="shared" si="191"/>
        <v>Jan-2023</v>
      </c>
      <c r="AL562">
        <v>0</v>
      </c>
      <c r="AM562">
        <v>0</v>
      </c>
      <c r="AN562">
        <v>0</v>
      </c>
    </row>
    <row r="563" spans="1:40" x14ac:dyDescent="0.45">
      <c r="A563" s="3" t="s">
        <v>390</v>
      </c>
      <c r="B563" s="5">
        <v>45861</v>
      </c>
      <c r="C563" s="9" t="str">
        <f t="shared" si="179"/>
        <v>Jul-2025</v>
      </c>
      <c r="D563" s="5" t="str">
        <f t="shared" si="180"/>
        <v>2025-Q3</v>
      </c>
      <c r="E563" s="5">
        <v>45886</v>
      </c>
      <c r="F563" s="9">
        <f t="shared" si="192"/>
        <v>25</v>
      </c>
      <c r="G563" s="9" t="str">
        <f t="shared" si="193"/>
        <v>NOT ACHIEVED</v>
      </c>
      <c r="H563" s="3" t="s">
        <v>643</v>
      </c>
      <c r="I563" s="3" t="s">
        <v>652</v>
      </c>
      <c r="J563" s="3" t="s">
        <v>668</v>
      </c>
      <c r="K563" s="13" t="str">
        <f t="shared" si="194"/>
        <v>Europe &gt; United Kingdom &gt; Birmingham</v>
      </c>
      <c r="L563" s="3" t="s">
        <v>696</v>
      </c>
      <c r="M563" s="3" t="s">
        <v>702</v>
      </c>
      <c r="N563" s="13" t="str">
        <f t="shared" si="181"/>
        <v>Online</v>
      </c>
      <c r="O563" s="3" t="s">
        <v>708</v>
      </c>
      <c r="P563" s="3" t="s">
        <v>722</v>
      </c>
      <c r="Q563" s="13" t="str">
        <f t="shared" si="182"/>
        <v>Medium</v>
      </c>
      <c r="R563" s="3" t="s">
        <v>1108</v>
      </c>
      <c r="S563" s="7">
        <v>1142.06</v>
      </c>
      <c r="T563" s="7">
        <f t="shared" si="195"/>
        <v>1313.3689999999999</v>
      </c>
      <c r="U563" s="7">
        <v>1455</v>
      </c>
      <c r="V563" s="7">
        <f t="shared" si="183"/>
        <v>1455</v>
      </c>
      <c r="W563" s="7">
        <f t="shared" si="196"/>
        <v>1673.2499999999998</v>
      </c>
      <c r="X563" s="16">
        <v>7.8E-2</v>
      </c>
      <c r="Y563" t="str">
        <f t="shared" si="184"/>
        <v>OK</v>
      </c>
      <c r="Z563" s="16">
        <f t="shared" si="185"/>
        <v>7.8E-2</v>
      </c>
      <c r="AA563" s="16">
        <f t="shared" si="197"/>
        <v>7.8E-2</v>
      </c>
      <c r="AB563" s="9">
        <v>28</v>
      </c>
      <c r="AC563" s="9">
        <f t="shared" si="198"/>
        <v>33.6</v>
      </c>
      <c r="AD563" s="9">
        <f t="shared" si="186"/>
        <v>37562.28</v>
      </c>
      <c r="AE563" s="9">
        <f t="shared" si="199"/>
        <v>60606.453600000001</v>
      </c>
      <c r="AF563" s="9">
        <f t="shared" si="187"/>
        <v>31977.68</v>
      </c>
      <c r="AG563" s="9">
        <f t="shared" si="188"/>
        <v>5584.5999999999985</v>
      </c>
      <c r="AH563" s="9">
        <f t="shared" si="200"/>
        <v>28628.7736</v>
      </c>
      <c r="AI563">
        <f t="shared" si="189"/>
        <v>0.1486757459877302</v>
      </c>
      <c r="AJ563" s="5">
        <f t="shared" si="190"/>
        <v>44928</v>
      </c>
      <c r="AK563" t="str">
        <f t="shared" si="191"/>
        <v>Jan-2023</v>
      </c>
      <c r="AL563">
        <v>0</v>
      </c>
      <c r="AM563">
        <v>0</v>
      </c>
      <c r="AN563">
        <v>0</v>
      </c>
    </row>
    <row r="564" spans="1:40" x14ac:dyDescent="0.45">
      <c r="A564" s="3" t="s">
        <v>402</v>
      </c>
      <c r="B564" s="5">
        <v>45075</v>
      </c>
      <c r="C564" s="9" t="str">
        <f t="shared" si="179"/>
        <v>May-2023</v>
      </c>
      <c r="D564" s="5" t="str">
        <f t="shared" si="180"/>
        <v>2023-Q2</v>
      </c>
      <c r="E564" s="5">
        <v>45097</v>
      </c>
      <c r="F564" s="9">
        <f t="shared" si="192"/>
        <v>22</v>
      </c>
      <c r="G564" s="9" t="str">
        <f t="shared" si="193"/>
        <v>NOT ACHIEVED</v>
      </c>
      <c r="H564" s="3" t="s">
        <v>643</v>
      </c>
      <c r="I564" s="3" t="s">
        <v>652</v>
      </c>
      <c r="J564" s="3" t="s">
        <v>677</v>
      </c>
      <c r="K564" s="13" t="str">
        <f t="shared" si="194"/>
        <v>Europe &gt; United Kingdom &gt; London</v>
      </c>
      <c r="L564" s="3" t="s">
        <v>699</v>
      </c>
      <c r="M564" s="3" t="s">
        <v>705</v>
      </c>
      <c r="N564" s="13" t="str">
        <f t="shared" si="181"/>
        <v>Direct</v>
      </c>
      <c r="O564" s="3" t="s">
        <v>717</v>
      </c>
      <c r="P564" s="3" t="s">
        <v>721</v>
      </c>
      <c r="Q564" s="13" t="str">
        <f t="shared" si="182"/>
        <v>High</v>
      </c>
      <c r="R564" s="3" t="s">
        <v>1120</v>
      </c>
      <c r="S564" s="7">
        <v>1295.3900000000001</v>
      </c>
      <c r="T564" s="7">
        <f t="shared" si="195"/>
        <v>1489.6985</v>
      </c>
      <c r="U564" s="7">
        <v>2905.06</v>
      </c>
      <c r="V564" s="7">
        <f t="shared" si="183"/>
        <v>2905.06</v>
      </c>
      <c r="W564" s="7">
        <f t="shared" si="196"/>
        <v>3340.8189999999995</v>
      </c>
      <c r="X564" s="16">
        <v>0.14799999999999999</v>
      </c>
      <c r="Y564" t="str">
        <f t="shared" si="184"/>
        <v>OK</v>
      </c>
      <c r="Z564" s="16">
        <f t="shared" si="185"/>
        <v>0.14799999999999999</v>
      </c>
      <c r="AA564" s="16">
        <f t="shared" si="197"/>
        <v>0.14799999999999999</v>
      </c>
      <c r="AB564" s="9">
        <v>8</v>
      </c>
      <c r="AC564" s="9">
        <f t="shared" si="198"/>
        <v>9.6</v>
      </c>
      <c r="AD564" s="9">
        <f t="shared" si="186"/>
        <v>19800.88896</v>
      </c>
      <c r="AE564" s="9">
        <f t="shared" si="199"/>
        <v>36818.498035199991</v>
      </c>
      <c r="AF564" s="9">
        <f t="shared" si="187"/>
        <v>10363.120000000001</v>
      </c>
      <c r="AG564" s="9">
        <f t="shared" si="188"/>
        <v>9437.7689599999994</v>
      </c>
      <c r="AH564" s="9">
        <f t="shared" si="200"/>
        <v>26455.378035199989</v>
      </c>
      <c r="AI564">
        <f t="shared" si="189"/>
        <v>0.47663359857556614</v>
      </c>
      <c r="AJ564" s="5">
        <f t="shared" si="190"/>
        <v>44928</v>
      </c>
      <c r="AK564" t="str">
        <f t="shared" si="191"/>
        <v>Jan-2023</v>
      </c>
      <c r="AL564">
        <v>0</v>
      </c>
      <c r="AM564">
        <v>0</v>
      </c>
      <c r="AN564">
        <v>0</v>
      </c>
    </row>
    <row r="565" spans="1:40" x14ac:dyDescent="0.45">
      <c r="A565" s="3" t="s">
        <v>440</v>
      </c>
      <c r="B565" s="5">
        <v>45220</v>
      </c>
      <c r="C565" s="9" t="str">
        <f t="shared" si="179"/>
        <v>Oct-2023</v>
      </c>
      <c r="D565" s="5" t="str">
        <f t="shared" si="180"/>
        <v>2023-Q4</v>
      </c>
      <c r="E565" s="5">
        <v>45220</v>
      </c>
      <c r="F565" s="9">
        <f t="shared" si="192"/>
        <v>0</v>
      </c>
      <c r="G565" s="9" t="str">
        <f t="shared" si="193"/>
        <v>ACHIEVED</v>
      </c>
      <c r="H565" s="3" t="s">
        <v>643</v>
      </c>
      <c r="I565" s="3" t="s">
        <v>652</v>
      </c>
      <c r="J565" s="3" t="s">
        <v>687</v>
      </c>
      <c r="K565" s="13" t="str">
        <f t="shared" si="194"/>
        <v>Europe &gt; United Kingdom &gt; Manchester</v>
      </c>
      <c r="L565" s="3" t="s">
        <v>700</v>
      </c>
      <c r="M565" s="3" t="s">
        <v>704</v>
      </c>
      <c r="N565" s="13" t="str">
        <f t="shared" si="181"/>
        <v>Distributor</v>
      </c>
      <c r="O565" s="3" t="s">
        <v>707</v>
      </c>
      <c r="P565" s="3" t="s">
        <v>726</v>
      </c>
      <c r="Q565" s="13" t="str">
        <f t="shared" si="182"/>
        <v>Low</v>
      </c>
      <c r="R565" s="3" t="s">
        <v>1158</v>
      </c>
      <c r="S565" s="7">
        <v>384.19</v>
      </c>
      <c r="T565" s="7">
        <f t="shared" si="195"/>
        <v>441.81849999999997</v>
      </c>
      <c r="U565" s="7">
        <v>278.35000000000002</v>
      </c>
      <c r="V565" s="7">
        <f t="shared" si="183"/>
        <v>278.35000000000002</v>
      </c>
      <c r="W565" s="7">
        <f t="shared" si="196"/>
        <v>320.10250000000002</v>
      </c>
      <c r="X565" s="16">
        <v>5.6000000000000001E-2</v>
      </c>
      <c r="Y565" t="str">
        <f t="shared" si="184"/>
        <v>OK</v>
      </c>
      <c r="Z565" s="16">
        <f t="shared" si="185"/>
        <v>5.6000000000000001E-2</v>
      </c>
      <c r="AA565" s="16">
        <f t="shared" si="197"/>
        <v>5.6000000000000001E-2</v>
      </c>
      <c r="AB565" s="9">
        <v>10</v>
      </c>
      <c r="AC565" s="9">
        <f t="shared" si="198"/>
        <v>12</v>
      </c>
      <c r="AD565" s="9">
        <f t="shared" si="186"/>
        <v>2627.6239999999998</v>
      </c>
      <c r="AE565" s="9">
        <f t="shared" si="199"/>
        <v>4056.3388800000007</v>
      </c>
      <c r="AF565" s="9">
        <f t="shared" si="187"/>
        <v>3841.9</v>
      </c>
      <c r="AG565" s="9">
        <f t="shared" si="188"/>
        <v>-1214.2760000000003</v>
      </c>
      <c r="AH565" s="9">
        <f t="shared" si="200"/>
        <v>214.43888000000061</v>
      </c>
      <c r="AI565">
        <f t="shared" si="189"/>
        <v>-0.46211938998882657</v>
      </c>
      <c r="AJ565" s="5">
        <f t="shared" si="190"/>
        <v>44928</v>
      </c>
      <c r="AK565" t="str">
        <f t="shared" si="191"/>
        <v>Jan-2023</v>
      </c>
      <c r="AL565">
        <v>0</v>
      </c>
      <c r="AM565">
        <v>0</v>
      </c>
      <c r="AN565">
        <v>0</v>
      </c>
    </row>
    <row r="566" spans="1:40" x14ac:dyDescent="0.45">
      <c r="A566" s="3" t="s">
        <v>459</v>
      </c>
      <c r="B566" s="5">
        <v>44945</v>
      </c>
      <c r="C566" s="9" t="str">
        <f t="shared" si="179"/>
        <v>Jan-2023</v>
      </c>
      <c r="D566" s="5" t="str">
        <f t="shared" si="180"/>
        <v>2023-Q1</v>
      </c>
      <c r="E566" s="5">
        <v>44960</v>
      </c>
      <c r="F566" s="9">
        <f t="shared" si="192"/>
        <v>15</v>
      </c>
      <c r="G566" s="9" t="str">
        <f t="shared" si="193"/>
        <v>NOT ACHIEVED</v>
      </c>
      <c r="H566" s="3" t="s">
        <v>643</v>
      </c>
      <c r="I566" s="3" t="s">
        <v>652</v>
      </c>
      <c r="J566" s="3" t="s">
        <v>677</v>
      </c>
      <c r="K566" s="13" t="str">
        <f t="shared" si="194"/>
        <v>Europe &gt; United Kingdom &gt; London</v>
      </c>
      <c r="L566" s="3" t="s">
        <v>700</v>
      </c>
      <c r="M566" s="3" t="s">
        <v>704</v>
      </c>
      <c r="N566" s="13" t="str">
        <f t="shared" si="181"/>
        <v>Distributor</v>
      </c>
      <c r="O566" s="3" t="s">
        <v>709</v>
      </c>
      <c r="P566" s="3" t="s">
        <v>727</v>
      </c>
      <c r="Q566" s="13" t="str">
        <f t="shared" si="182"/>
        <v>High</v>
      </c>
      <c r="R566" s="3" t="s">
        <v>1177</v>
      </c>
      <c r="S566" s="7">
        <v>873.06</v>
      </c>
      <c r="T566" s="7">
        <f t="shared" si="195"/>
        <v>1004.0189999999999</v>
      </c>
      <c r="U566" s="7">
        <v>2101.5500000000002</v>
      </c>
      <c r="V566" s="7">
        <f t="shared" si="183"/>
        <v>2101.5500000000002</v>
      </c>
      <c r="W566" s="7">
        <f t="shared" si="196"/>
        <v>2416.7824999999998</v>
      </c>
      <c r="X566" s="16">
        <v>6.6000000000000003E-2</v>
      </c>
      <c r="Y566" t="str">
        <f t="shared" si="184"/>
        <v>OK</v>
      </c>
      <c r="Z566" s="16">
        <f t="shared" si="185"/>
        <v>6.6000000000000003E-2</v>
      </c>
      <c r="AA566" s="16">
        <f t="shared" si="197"/>
        <v>6.6000000000000003E-2</v>
      </c>
      <c r="AB566" s="9">
        <v>10</v>
      </c>
      <c r="AC566" s="9">
        <f t="shared" si="198"/>
        <v>12</v>
      </c>
      <c r="AD566" s="9">
        <f t="shared" si="186"/>
        <v>19628.476999999999</v>
      </c>
      <c r="AE566" s="9">
        <f t="shared" si="199"/>
        <v>30915.481739999999</v>
      </c>
      <c r="AF566" s="9">
        <f t="shared" si="187"/>
        <v>8730.5999999999985</v>
      </c>
      <c r="AG566" s="9">
        <f t="shared" si="188"/>
        <v>10897.877</v>
      </c>
      <c r="AH566" s="9">
        <f t="shared" si="200"/>
        <v>22184.881740000001</v>
      </c>
      <c r="AI566">
        <f t="shared" si="189"/>
        <v>0.55520746719167269</v>
      </c>
      <c r="AJ566" s="5">
        <f t="shared" si="190"/>
        <v>44928</v>
      </c>
      <c r="AK566" t="str">
        <f t="shared" si="191"/>
        <v>Jan-2023</v>
      </c>
      <c r="AL566">
        <v>0</v>
      </c>
      <c r="AM566">
        <v>0</v>
      </c>
      <c r="AN566">
        <v>0</v>
      </c>
    </row>
    <row r="567" spans="1:40" x14ac:dyDescent="0.45">
      <c r="A567" s="3" t="s">
        <v>484</v>
      </c>
      <c r="B567" s="5">
        <v>45422</v>
      </c>
      <c r="C567" s="9" t="str">
        <f t="shared" si="179"/>
        <v>May-2024</v>
      </c>
      <c r="D567" s="5" t="str">
        <f t="shared" si="180"/>
        <v>2024-Q2</v>
      </c>
      <c r="E567" s="5">
        <v>45428</v>
      </c>
      <c r="F567" s="9">
        <f t="shared" si="192"/>
        <v>6</v>
      </c>
      <c r="G567" s="9" t="str">
        <f t="shared" si="193"/>
        <v>ACHIEVED</v>
      </c>
      <c r="H567" s="3" t="s">
        <v>643</v>
      </c>
      <c r="I567" s="3" t="s">
        <v>652</v>
      </c>
      <c r="J567" s="3" t="s">
        <v>668</v>
      </c>
      <c r="K567" s="13" t="str">
        <f t="shared" si="194"/>
        <v>Europe &gt; United Kingdom &gt; Birmingham</v>
      </c>
      <c r="L567" s="3" t="s">
        <v>697</v>
      </c>
      <c r="M567" s="3" t="s">
        <v>705</v>
      </c>
      <c r="N567" s="13" t="str">
        <f t="shared" si="181"/>
        <v>Direct</v>
      </c>
      <c r="O567" s="3" t="s">
        <v>709</v>
      </c>
      <c r="P567" s="3" t="s">
        <v>725</v>
      </c>
      <c r="Q567" s="13" t="str">
        <f t="shared" si="182"/>
        <v>Low</v>
      </c>
      <c r="R567" s="3" t="s">
        <v>1202</v>
      </c>
      <c r="S567" s="7">
        <v>210.76</v>
      </c>
      <c r="T567" s="7">
        <f t="shared" si="195"/>
        <v>242.37399999999997</v>
      </c>
      <c r="U567" s="7">
        <v>221.58</v>
      </c>
      <c r="V567" s="7">
        <f t="shared" si="183"/>
        <v>221.58</v>
      </c>
      <c r="W567" s="7">
        <f t="shared" si="196"/>
        <v>254.81700000000001</v>
      </c>
      <c r="X567" s="16">
        <v>8.8999999999999996E-2</v>
      </c>
      <c r="Y567" t="str">
        <f t="shared" si="184"/>
        <v>OK</v>
      </c>
      <c r="Z567" s="16">
        <f t="shared" si="185"/>
        <v>8.8999999999999996E-2</v>
      </c>
      <c r="AA567" s="16">
        <f t="shared" si="197"/>
        <v>8.8999999999999996E-2</v>
      </c>
      <c r="AB567" s="9">
        <v>5</v>
      </c>
      <c r="AC567" s="9">
        <f t="shared" si="198"/>
        <v>6</v>
      </c>
      <c r="AD567" s="9">
        <f t="shared" si="186"/>
        <v>1009.2969000000002</v>
      </c>
      <c r="AE567" s="9">
        <f t="shared" si="199"/>
        <v>1664.9742779999999</v>
      </c>
      <c r="AF567" s="9">
        <f t="shared" si="187"/>
        <v>1053.8</v>
      </c>
      <c r="AG567" s="9">
        <f t="shared" si="188"/>
        <v>-44.50309999999979</v>
      </c>
      <c r="AH567" s="9">
        <f t="shared" si="200"/>
        <v>611.17427799999996</v>
      </c>
      <c r="AI567">
        <f t="shared" si="189"/>
        <v>-4.4093170205912434E-2</v>
      </c>
      <c r="AJ567" s="5">
        <f t="shared" si="190"/>
        <v>44928</v>
      </c>
      <c r="AK567" t="str">
        <f t="shared" si="191"/>
        <v>Jan-2023</v>
      </c>
      <c r="AL567">
        <v>0</v>
      </c>
      <c r="AM567">
        <v>0</v>
      </c>
      <c r="AN567">
        <v>0</v>
      </c>
    </row>
    <row r="568" spans="1:40" x14ac:dyDescent="0.45">
      <c r="A568" s="3" t="s">
        <v>486</v>
      </c>
      <c r="B568" s="5">
        <v>45123</v>
      </c>
      <c r="C568" s="9" t="str">
        <f t="shared" si="179"/>
        <v>Jul-2023</v>
      </c>
      <c r="D568" s="5" t="str">
        <f t="shared" si="180"/>
        <v>2023-Q3</v>
      </c>
      <c r="E568" s="5">
        <v>45151</v>
      </c>
      <c r="F568" s="9">
        <f t="shared" si="192"/>
        <v>28</v>
      </c>
      <c r="G568" s="9" t="str">
        <f t="shared" si="193"/>
        <v>NOT ACHIEVED</v>
      </c>
      <c r="H568" s="3" t="s">
        <v>643</v>
      </c>
      <c r="I568" s="3" t="s">
        <v>652</v>
      </c>
      <c r="J568" s="3" t="s">
        <v>687</v>
      </c>
      <c r="K568" s="13" t="str">
        <f t="shared" si="194"/>
        <v>Europe &gt; United Kingdom &gt; Manchester</v>
      </c>
      <c r="L568" s="3" t="s">
        <v>697</v>
      </c>
      <c r="M568" s="3" t="s">
        <v>702</v>
      </c>
      <c r="N568" s="13" t="str">
        <f t="shared" si="181"/>
        <v>Online</v>
      </c>
      <c r="O568" s="3" t="s">
        <v>707</v>
      </c>
      <c r="P568" s="3" t="s">
        <v>725</v>
      </c>
      <c r="Q568" s="13" t="str">
        <f t="shared" si="182"/>
        <v>High</v>
      </c>
      <c r="R568" s="3" t="s">
        <v>1204</v>
      </c>
      <c r="S568" s="7">
        <v>1039.03</v>
      </c>
      <c r="T568" s="7">
        <f t="shared" si="195"/>
        <v>1194.8844999999999</v>
      </c>
      <c r="U568" s="7">
        <v>2545.81</v>
      </c>
      <c r="V568" s="7">
        <f t="shared" si="183"/>
        <v>2545.81</v>
      </c>
      <c r="W568" s="7">
        <f t="shared" si="196"/>
        <v>2927.6814999999997</v>
      </c>
      <c r="X568" s="16">
        <v>0.216</v>
      </c>
      <c r="Y568" t="str">
        <f t="shared" si="184"/>
        <v>OK</v>
      </c>
      <c r="Z568" s="16">
        <f t="shared" si="185"/>
        <v>0.216</v>
      </c>
      <c r="AA568" s="16">
        <f t="shared" si="197"/>
        <v>0.216</v>
      </c>
      <c r="AB568" s="9">
        <v>21</v>
      </c>
      <c r="AC568" s="9">
        <f t="shared" si="198"/>
        <v>25.2</v>
      </c>
      <c r="AD568" s="9">
        <f t="shared" si="186"/>
        <v>41914.215840000004</v>
      </c>
      <c r="AE568" s="9">
        <f t="shared" si="199"/>
        <v>89713.529740799975</v>
      </c>
      <c r="AF568" s="9">
        <f t="shared" si="187"/>
        <v>21819.63</v>
      </c>
      <c r="AG568" s="9">
        <f t="shared" si="188"/>
        <v>20094.585840000003</v>
      </c>
      <c r="AH568" s="9">
        <f t="shared" si="200"/>
        <v>67893.89974079997</v>
      </c>
      <c r="AI568">
        <f t="shared" si="189"/>
        <v>0.47942172929364774</v>
      </c>
      <c r="AJ568" s="5">
        <f t="shared" si="190"/>
        <v>44928</v>
      </c>
      <c r="AK568" t="str">
        <f t="shared" si="191"/>
        <v>Jan-2023</v>
      </c>
      <c r="AL568">
        <v>0</v>
      </c>
      <c r="AM568">
        <v>0</v>
      </c>
      <c r="AN568">
        <v>0</v>
      </c>
    </row>
    <row r="569" spans="1:40" x14ac:dyDescent="0.45">
      <c r="A569" s="3" t="s">
        <v>496</v>
      </c>
      <c r="B569" s="5">
        <v>45424</v>
      </c>
      <c r="C569" s="9" t="str">
        <f t="shared" si="179"/>
        <v>May-2024</v>
      </c>
      <c r="D569" s="5" t="str">
        <f t="shared" si="180"/>
        <v>2024-Q2</v>
      </c>
      <c r="E569" s="5">
        <v>45436</v>
      </c>
      <c r="F569" s="9">
        <f t="shared" si="192"/>
        <v>12</v>
      </c>
      <c r="G569" s="9" t="str">
        <f t="shared" si="193"/>
        <v>NOT ACHIEVED</v>
      </c>
      <c r="H569" s="3" t="s">
        <v>643</v>
      </c>
      <c r="I569" s="3" t="s">
        <v>652</v>
      </c>
      <c r="J569" s="3" t="s">
        <v>687</v>
      </c>
      <c r="K569" s="13" t="str">
        <f t="shared" si="194"/>
        <v>Europe &gt; United Kingdom &gt; Manchester</v>
      </c>
      <c r="L569" s="3" t="s">
        <v>696</v>
      </c>
      <c r="M569" s="3" t="s">
        <v>703</v>
      </c>
      <c r="N569" s="13" t="str">
        <f t="shared" si="181"/>
        <v>Marketplace</v>
      </c>
      <c r="O569" s="3" t="s">
        <v>717</v>
      </c>
      <c r="P569" s="3" t="s">
        <v>722</v>
      </c>
      <c r="Q569" s="13" t="str">
        <f t="shared" si="182"/>
        <v>Low</v>
      </c>
      <c r="R569" s="3" t="s">
        <v>1214</v>
      </c>
      <c r="S569" s="7">
        <v>111.02</v>
      </c>
      <c r="T569" s="7">
        <f t="shared" si="195"/>
        <v>127.67299999999999</v>
      </c>
      <c r="U569" s="7">
        <v>172.88</v>
      </c>
      <c r="V569" s="7">
        <f t="shared" si="183"/>
        <v>172.88</v>
      </c>
      <c r="W569" s="7">
        <f t="shared" si="196"/>
        <v>198.81199999999998</v>
      </c>
      <c r="X569" s="16">
        <v>0.19700000000000001</v>
      </c>
      <c r="Y569" t="str">
        <f t="shared" si="184"/>
        <v>OK</v>
      </c>
      <c r="Z569" s="16">
        <f t="shared" si="185"/>
        <v>0.19700000000000001</v>
      </c>
      <c r="AA569" s="16">
        <f t="shared" si="197"/>
        <v>0.19700000000000001</v>
      </c>
      <c r="AB569" s="9">
        <v>29</v>
      </c>
      <c r="AC569" s="9">
        <f t="shared" si="198"/>
        <v>34.799999999999997</v>
      </c>
      <c r="AD569" s="9">
        <f t="shared" si="186"/>
        <v>4025.8565599999993</v>
      </c>
      <c r="AE569" s="9">
        <f t="shared" si="199"/>
        <v>8281.6331471999983</v>
      </c>
      <c r="AF569" s="9">
        <f t="shared" si="187"/>
        <v>3219.58</v>
      </c>
      <c r="AG569" s="9">
        <f t="shared" si="188"/>
        <v>806.27655999999934</v>
      </c>
      <c r="AH569" s="9">
        <f t="shared" si="200"/>
        <v>5062.0531471999984</v>
      </c>
      <c r="AI569">
        <f t="shared" si="189"/>
        <v>0.20027453735212053</v>
      </c>
      <c r="AJ569" s="5">
        <f t="shared" si="190"/>
        <v>44928</v>
      </c>
      <c r="AK569" t="str">
        <f t="shared" si="191"/>
        <v>Jan-2023</v>
      </c>
      <c r="AL569">
        <v>0</v>
      </c>
      <c r="AM569">
        <v>0</v>
      </c>
      <c r="AN569">
        <v>0</v>
      </c>
    </row>
    <row r="570" spans="1:40" x14ac:dyDescent="0.45">
      <c r="A570" s="3" t="s">
        <v>505</v>
      </c>
      <c r="B570" s="5">
        <v>45544</v>
      </c>
      <c r="C570" s="9" t="str">
        <f t="shared" si="179"/>
        <v>Sep-2024</v>
      </c>
      <c r="D570" s="5" t="str">
        <f t="shared" si="180"/>
        <v>2024-Q3</v>
      </c>
      <c r="E570" s="5">
        <v>45548</v>
      </c>
      <c r="F570" s="9">
        <f t="shared" si="192"/>
        <v>4</v>
      </c>
      <c r="G570" s="9" t="str">
        <f t="shared" si="193"/>
        <v>ACHIEVED</v>
      </c>
      <c r="H570" s="3" t="s">
        <v>643</v>
      </c>
      <c r="I570" s="3" t="s">
        <v>652</v>
      </c>
      <c r="J570" s="3" t="s">
        <v>677</v>
      </c>
      <c r="K570" s="13" t="str">
        <f t="shared" si="194"/>
        <v>Europe &gt; United Kingdom &gt; London</v>
      </c>
      <c r="L570" s="3" t="s">
        <v>698</v>
      </c>
      <c r="M570" s="3" t="s">
        <v>703</v>
      </c>
      <c r="N570" s="13" t="str">
        <f t="shared" si="181"/>
        <v>Marketplace</v>
      </c>
      <c r="O570" s="3" t="s">
        <v>715</v>
      </c>
      <c r="P570" s="3" t="s">
        <v>723</v>
      </c>
      <c r="Q570" s="13" t="str">
        <f t="shared" si="182"/>
        <v>Medium</v>
      </c>
      <c r="R570" s="3" t="s">
        <v>1223</v>
      </c>
      <c r="S570" s="7">
        <v>1133.08</v>
      </c>
      <c r="T570" s="7">
        <f t="shared" si="195"/>
        <v>1303.0419999999999</v>
      </c>
      <c r="U570" s="7">
        <v>976.17</v>
      </c>
      <c r="V570" s="7">
        <f t="shared" si="183"/>
        <v>976.17</v>
      </c>
      <c r="W570" s="7">
        <f t="shared" si="196"/>
        <v>1122.5954999999999</v>
      </c>
      <c r="X570" s="16">
        <v>4.2000000000000003E-2</v>
      </c>
      <c r="Y570" t="str">
        <f t="shared" si="184"/>
        <v>OK</v>
      </c>
      <c r="Z570" s="16">
        <f t="shared" si="185"/>
        <v>4.2000000000000003E-2</v>
      </c>
      <c r="AA570" s="16">
        <f t="shared" si="197"/>
        <v>4.2000000000000003E-2</v>
      </c>
      <c r="AB570" s="9">
        <v>27</v>
      </c>
      <c r="AC570" s="9">
        <f t="shared" si="198"/>
        <v>32.4</v>
      </c>
      <c r="AD570" s="9">
        <f t="shared" si="186"/>
        <v>25249.613219999999</v>
      </c>
      <c r="AE570" s="9">
        <f t="shared" si="199"/>
        <v>37899.722156399992</v>
      </c>
      <c r="AF570" s="9">
        <f t="shared" si="187"/>
        <v>30593.159999999996</v>
      </c>
      <c r="AG570" s="9">
        <f t="shared" si="188"/>
        <v>-5343.5467799999969</v>
      </c>
      <c r="AH570" s="9">
        <f t="shared" si="200"/>
        <v>7306.5621563999957</v>
      </c>
      <c r="AI570">
        <f t="shared" si="189"/>
        <v>-0.21162885678452373</v>
      </c>
      <c r="AJ570" s="5">
        <f t="shared" si="190"/>
        <v>44928</v>
      </c>
      <c r="AK570" t="str">
        <f t="shared" si="191"/>
        <v>Jan-2023</v>
      </c>
      <c r="AL570">
        <v>0</v>
      </c>
      <c r="AM570">
        <v>0</v>
      </c>
      <c r="AN570">
        <v>0</v>
      </c>
    </row>
    <row r="571" spans="1:40" x14ac:dyDescent="0.45">
      <c r="A571" s="3" t="s">
        <v>509</v>
      </c>
      <c r="B571" s="5">
        <v>45408</v>
      </c>
      <c r="C571" s="9" t="str">
        <f t="shared" si="179"/>
        <v>Apr-2024</v>
      </c>
      <c r="D571" s="5" t="str">
        <f t="shared" si="180"/>
        <v>2024-Q2</v>
      </c>
      <c r="E571" s="5">
        <v>45413</v>
      </c>
      <c r="F571" s="9">
        <f t="shared" si="192"/>
        <v>5</v>
      </c>
      <c r="G571" s="9" t="str">
        <f t="shared" si="193"/>
        <v>ACHIEVED</v>
      </c>
      <c r="H571" s="3" t="s">
        <v>643</v>
      </c>
      <c r="I571" s="3" t="s">
        <v>652</v>
      </c>
      <c r="J571" s="3" t="s">
        <v>677</v>
      </c>
      <c r="K571" s="13" t="str">
        <f t="shared" si="194"/>
        <v>Europe &gt; United Kingdom &gt; London</v>
      </c>
      <c r="L571" s="3" t="s">
        <v>697</v>
      </c>
      <c r="M571" s="3" t="s">
        <v>704</v>
      </c>
      <c r="N571" s="13" t="str">
        <f t="shared" si="181"/>
        <v>Distributor</v>
      </c>
      <c r="O571" s="3" t="s">
        <v>719</v>
      </c>
      <c r="P571" s="3" t="s">
        <v>724</v>
      </c>
      <c r="Q571" s="13" t="str">
        <f t="shared" si="182"/>
        <v>Medium</v>
      </c>
      <c r="R571" s="3" t="s">
        <v>1227</v>
      </c>
      <c r="S571" s="7">
        <v>1232.77</v>
      </c>
      <c r="T571" s="7">
        <f t="shared" si="195"/>
        <v>1417.6854999999998</v>
      </c>
      <c r="U571" s="7">
        <v>891.73</v>
      </c>
      <c r="V571" s="7">
        <f t="shared" si="183"/>
        <v>891.73</v>
      </c>
      <c r="W571" s="7">
        <f t="shared" si="196"/>
        <v>1025.4894999999999</v>
      </c>
      <c r="X571" s="16">
        <v>0.16700000000000001</v>
      </c>
      <c r="Y571" t="str">
        <f t="shared" si="184"/>
        <v>OK</v>
      </c>
      <c r="Z571" s="16">
        <f t="shared" si="185"/>
        <v>0.16700000000000001</v>
      </c>
      <c r="AA571" s="16">
        <f t="shared" si="197"/>
        <v>0.16700000000000001</v>
      </c>
      <c r="AB571" s="9">
        <v>10</v>
      </c>
      <c r="AC571" s="9">
        <f t="shared" si="198"/>
        <v>12</v>
      </c>
      <c r="AD571" s="9">
        <f t="shared" si="186"/>
        <v>7428.1108999999988</v>
      </c>
      <c r="AE571" s="9">
        <f t="shared" si="199"/>
        <v>14360.954958</v>
      </c>
      <c r="AF571" s="9">
        <f t="shared" si="187"/>
        <v>12327.7</v>
      </c>
      <c r="AG571" s="9">
        <f t="shared" si="188"/>
        <v>-4899.589100000002</v>
      </c>
      <c r="AH571" s="9">
        <f t="shared" si="200"/>
        <v>2033.2549579999995</v>
      </c>
      <c r="AI571">
        <f t="shared" si="189"/>
        <v>-0.65960096260813805</v>
      </c>
      <c r="AJ571" s="5">
        <f t="shared" si="190"/>
        <v>44928</v>
      </c>
      <c r="AK571" t="str">
        <f t="shared" si="191"/>
        <v>Jan-2023</v>
      </c>
      <c r="AL571">
        <v>0</v>
      </c>
      <c r="AM571">
        <v>0</v>
      </c>
      <c r="AN571">
        <v>0</v>
      </c>
    </row>
    <row r="572" spans="1:40" x14ac:dyDescent="0.45">
      <c r="A572" s="3" t="s">
        <v>520</v>
      </c>
      <c r="B572" s="5">
        <v>45575</v>
      </c>
      <c r="C572" s="9" t="str">
        <f t="shared" si="179"/>
        <v>Oct-2024</v>
      </c>
      <c r="D572" s="5" t="str">
        <f t="shared" si="180"/>
        <v>2024-Q4</v>
      </c>
      <c r="E572" s="5">
        <v>45576</v>
      </c>
      <c r="F572" s="9">
        <f t="shared" si="192"/>
        <v>1</v>
      </c>
      <c r="G572" s="9" t="str">
        <f t="shared" si="193"/>
        <v>ACHIEVED</v>
      </c>
      <c r="H572" s="3" t="s">
        <v>643</v>
      </c>
      <c r="I572" s="3" t="s">
        <v>652</v>
      </c>
      <c r="J572" s="3" t="s">
        <v>687</v>
      </c>
      <c r="K572" s="13" t="str">
        <f t="shared" si="194"/>
        <v>Europe &gt; United Kingdom &gt; Manchester</v>
      </c>
      <c r="L572" s="3" t="s">
        <v>697</v>
      </c>
      <c r="M572" s="3" t="s">
        <v>704</v>
      </c>
      <c r="N572" s="13" t="str">
        <f t="shared" si="181"/>
        <v>Distributor</v>
      </c>
      <c r="O572" s="3" t="s">
        <v>710</v>
      </c>
      <c r="P572" s="3" t="s">
        <v>721</v>
      </c>
      <c r="Q572" s="13" t="str">
        <f t="shared" si="182"/>
        <v>High</v>
      </c>
      <c r="R572" s="3" t="s">
        <v>1238</v>
      </c>
      <c r="S572" s="7">
        <v>1389.46</v>
      </c>
      <c r="T572" s="7">
        <f t="shared" si="195"/>
        <v>1597.8789999999999</v>
      </c>
      <c r="U572" s="7">
        <v>1784.7</v>
      </c>
      <c r="V572" s="7">
        <f t="shared" si="183"/>
        <v>1784.7</v>
      </c>
      <c r="W572" s="7">
        <f t="shared" si="196"/>
        <v>2052.4049999999997</v>
      </c>
      <c r="X572" s="16">
        <v>0.14599999999999999</v>
      </c>
      <c r="Y572" t="str">
        <f t="shared" si="184"/>
        <v>OK</v>
      </c>
      <c r="Z572" s="16">
        <f t="shared" si="185"/>
        <v>0.14599999999999999</v>
      </c>
      <c r="AA572" s="16">
        <f t="shared" si="197"/>
        <v>0.14599999999999999</v>
      </c>
      <c r="AB572" s="9">
        <v>33</v>
      </c>
      <c r="AC572" s="9">
        <f t="shared" si="198"/>
        <v>39.6</v>
      </c>
      <c r="AD572" s="9">
        <f t="shared" si="186"/>
        <v>50296.415399999998</v>
      </c>
      <c r="AE572" s="9">
        <f t="shared" si="199"/>
        <v>93141.422747999983</v>
      </c>
      <c r="AF572" s="9">
        <f t="shared" si="187"/>
        <v>45852.18</v>
      </c>
      <c r="AG572" s="9">
        <f t="shared" si="188"/>
        <v>4444.2353999999978</v>
      </c>
      <c r="AH572" s="9">
        <f t="shared" si="200"/>
        <v>47289.242747999982</v>
      </c>
      <c r="AI572">
        <f t="shared" si="189"/>
        <v>8.8360877503011831E-2</v>
      </c>
      <c r="AJ572" s="5">
        <f t="shared" si="190"/>
        <v>44928</v>
      </c>
      <c r="AK572" t="str">
        <f t="shared" si="191"/>
        <v>Jan-2023</v>
      </c>
      <c r="AL572">
        <v>0</v>
      </c>
      <c r="AM572">
        <v>0</v>
      </c>
      <c r="AN572">
        <v>0</v>
      </c>
    </row>
    <row r="573" spans="1:40" x14ac:dyDescent="0.45">
      <c r="A573" s="3" t="s">
        <v>558</v>
      </c>
      <c r="B573" s="5">
        <v>45633</v>
      </c>
      <c r="C573" s="9" t="str">
        <f t="shared" si="179"/>
        <v>Dec-2024</v>
      </c>
      <c r="D573" s="5" t="str">
        <f t="shared" si="180"/>
        <v>2024-Q4</v>
      </c>
      <c r="E573" s="5">
        <v>45652</v>
      </c>
      <c r="F573" s="9">
        <f t="shared" si="192"/>
        <v>19</v>
      </c>
      <c r="G573" s="9" t="str">
        <f t="shared" si="193"/>
        <v>NOT ACHIEVED</v>
      </c>
      <c r="H573" s="3" t="s">
        <v>643</v>
      </c>
      <c r="I573" s="3" t="s">
        <v>652</v>
      </c>
      <c r="J573" s="3" t="s">
        <v>677</v>
      </c>
      <c r="K573" s="13" t="str">
        <f t="shared" si="194"/>
        <v>Europe &gt; United Kingdom &gt; London</v>
      </c>
      <c r="L573" s="3" t="s">
        <v>700</v>
      </c>
      <c r="M573" s="3" t="s">
        <v>702</v>
      </c>
      <c r="N573" s="13" t="str">
        <f t="shared" si="181"/>
        <v>Online</v>
      </c>
      <c r="O573" s="3" t="s">
        <v>720</v>
      </c>
      <c r="P573" s="3" t="s">
        <v>723</v>
      </c>
      <c r="Q573" s="13" t="str">
        <f t="shared" si="182"/>
        <v>High</v>
      </c>
      <c r="R573" s="3" t="s">
        <v>1275</v>
      </c>
      <c r="S573" s="7">
        <v>1035.24</v>
      </c>
      <c r="T573" s="7">
        <f t="shared" si="195"/>
        <v>1190.5259999999998</v>
      </c>
      <c r="U573" s="7">
        <v>2383.41</v>
      </c>
      <c r="V573" s="7">
        <f t="shared" si="183"/>
        <v>2383.41</v>
      </c>
      <c r="W573" s="7">
        <f t="shared" si="196"/>
        <v>2740.9214999999995</v>
      </c>
      <c r="X573" s="16">
        <v>0.17</v>
      </c>
      <c r="Y573" t="str">
        <f t="shared" si="184"/>
        <v>OK</v>
      </c>
      <c r="Z573" s="16">
        <f t="shared" si="185"/>
        <v>0.17</v>
      </c>
      <c r="AA573" s="16">
        <f t="shared" si="197"/>
        <v>0.17</v>
      </c>
      <c r="AB573" s="9">
        <v>15</v>
      </c>
      <c r="AC573" s="9">
        <f t="shared" si="198"/>
        <v>18</v>
      </c>
      <c r="AD573" s="9">
        <f t="shared" si="186"/>
        <v>29673.454499999993</v>
      </c>
      <c r="AE573" s="9">
        <f t="shared" si="199"/>
        <v>57723.806789999988</v>
      </c>
      <c r="AF573" s="9">
        <f t="shared" si="187"/>
        <v>15528.6</v>
      </c>
      <c r="AG573" s="9">
        <f t="shared" si="188"/>
        <v>14144.854499999992</v>
      </c>
      <c r="AH573" s="9">
        <f t="shared" si="200"/>
        <v>42195.206789999989</v>
      </c>
      <c r="AI573">
        <f t="shared" si="189"/>
        <v>0.47668378145860962</v>
      </c>
      <c r="AJ573" s="5">
        <f t="shared" si="190"/>
        <v>44928</v>
      </c>
      <c r="AK573" t="str">
        <f t="shared" si="191"/>
        <v>Jan-2023</v>
      </c>
      <c r="AL573">
        <v>0</v>
      </c>
      <c r="AM573">
        <v>0</v>
      </c>
      <c r="AN573">
        <v>0</v>
      </c>
    </row>
    <row r="574" spans="1:40" x14ac:dyDescent="0.45">
      <c r="A574" s="3" t="s">
        <v>572</v>
      </c>
      <c r="B574" s="5">
        <v>45692</v>
      </c>
      <c r="C574" s="9" t="str">
        <f t="shared" si="179"/>
        <v>Feb-2025</v>
      </c>
      <c r="D574" s="5" t="str">
        <f t="shared" si="180"/>
        <v>2025-Q1</v>
      </c>
      <c r="E574" s="5">
        <v>45696</v>
      </c>
      <c r="F574" s="9">
        <f t="shared" si="192"/>
        <v>4</v>
      </c>
      <c r="G574" s="9" t="str">
        <f t="shared" si="193"/>
        <v>ACHIEVED</v>
      </c>
      <c r="H574" s="3" t="s">
        <v>643</v>
      </c>
      <c r="I574" s="3" t="s">
        <v>652</v>
      </c>
      <c r="J574" s="3" t="s">
        <v>687</v>
      </c>
      <c r="K574" s="13" t="str">
        <f t="shared" si="194"/>
        <v>Europe &gt; United Kingdom &gt; Manchester</v>
      </c>
      <c r="L574" s="3" t="s">
        <v>700</v>
      </c>
      <c r="M574" s="3" t="s">
        <v>703</v>
      </c>
      <c r="N574" s="13" t="str">
        <f t="shared" si="181"/>
        <v>Marketplace</v>
      </c>
      <c r="O574" s="3" t="s">
        <v>710</v>
      </c>
      <c r="P574" s="3" t="s">
        <v>723</v>
      </c>
      <c r="Q574" s="13" t="str">
        <f t="shared" si="182"/>
        <v>Low</v>
      </c>
      <c r="R574" s="3" t="s">
        <v>1289</v>
      </c>
      <c r="S574" s="7">
        <v>586.21</v>
      </c>
      <c r="T574" s="7">
        <f t="shared" si="195"/>
        <v>674.14149999999995</v>
      </c>
      <c r="U574" s="7">
        <v>727.22</v>
      </c>
      <c r="V574" s="7">
        <f t="shared" si="183"/>
        <v>727.22</v>
      </c>
      <c r="W574" s="7">
        <f t="shared" si="196"/>
        <v>836.303</v>
      </c>
      <c r="X574" s="16">
        <v>6.8000000000000005E-2</v>
      </c>
      <c r="Y574" t="str">
        <f t="shared" si="184"/>
        <v>OK</v>
      </c>
      <c r="Z574" s="16">
        <f t="shared" si="185"/>
        <v>6.8000000000000005E-2</v>
      </c>
      <c r="AA574" s="16">
        <f t="shared" si="197"/>
        <v>6.8000000000000005E-2</v>
      </c>
      <c r="AB574" s="9">
        <v>15</v>
      </c>
      <c r="AC574" s="9">
        <f t="shared" si="198"/>
        <v>18</v>
      </c>
      <c r="AD574" s="9">
        <f t="shared" si="186"/>
        <v>10166.535600000001</v>
      </c>
      <c r="AE574" s="9">
        <f t="shared" si="199"/>
        <v>16077.088872</v>
      </c>
      <c r="AF574" s="9">
        <f t="shared" si="187"/>
        <v>8793.1500000000015</v>
      </c>
      <c r="AG574" s="9">
        <f t="shared" si="188"/>
        <v>1373.3855999999996</v>
      </c>
      <c r="AH574" s="9">
        <f t="shared" si="200"/>
        <v>7283.9388719999988</v>
      </c>
      <c r="AI574">
        <f t="shared" si="189"/>
        <v>0.13508884973559721</v>
      </c>
      <c r="AJ574" s="5">
        <f t="shared" si="190"/>
        <v>44928</v>
      </c>
      <c r="AK574" t="str">
        <f t="shared" si="191"/>
        <v>Jan-2023</v>
      </c>
      <c r="AL574">
        <v>0</v>
      </c>
      <c r="AM574">
        <v>0</v>
      </c>
      <c r="AN574">
        <v>0</v>
      </c>
    </row>
    <row r="575" spans="1:40" x14ac:dyDescent="0.45">
      <c r="A575" s="3" t="s">
        <v>573</v>
      </c>
      <c r="B575" s="5">
        <v>45315</v>
      </c>
      <c r="C575" s="9" t="str">
        <f t="shared" si="179"/>
        <v>Jan-2024</v>
      </c>
      <c r="D575" s="5" t="str">
        <f t="shared" si="180"/>
        <v>2024-Q1</v>
      </c>
      <c r="E575" s="5">
        <v>45326</v>
      </c>
      <c r="F575" s="9">
        <f t="shared" si="192"/>
        <v>11</v>
      </c>
      <c r="G575" s="9" t="str">
        <f t="shared" si="193"/>
        <v>NOT ACHIEVED</v>
      </c>
      <c r="H575" s="3" t="s">
        <v>643</v>
      </c>
      <c r="I575" s="3" t="s">
        <v>652</v>
      </c>
      <c r="J575" s="3" t="s">
        <v>687</v>
      </c>
      <c r="K575" s="13" t="str">
        <f t="shared" si="194"/>
        <v>Europe &gt; United Kingdom &gt; Manchester</v>
      </c>
      <c r="L575" s="3" t="s">
        <v>698</v>
      </c>
      <c r="M575" s="3" t="s">
        <v>701</v>
      </c>
      <c r="N575" s="13" t="str">
        <f t="shared" si="181"/>
        <v>Retail</v>
      </c>
      <c r="O575" s="3" t="s">
        <v>711</v>
      </c>
      <c r="P575" s="3" t="s">
        <v>725</v>
      </c>
      <c r="Q575" s="13" t="str">
        <f t="shared" si="182"/>
        <v>Medium</v>
      </c>
      <c r="R575" s="3" t="s">
        <v>1290</v>
      </c>
      <c r="S575" s="7">
        <v>525.34</v>
      </c>
      <c r="T575" s="7">
        <f t="shared" si="195"/>
        <v>604.14099999999996</v>
      </c>
      <c r="U575" s="7">
        <v>1233.79</v>
      </c>
      <c r="V575" s="7">
        <f t="shared" si="183"/>
        <v>1233.79</v>
      </c>
      <c r="W575" s="7">
        <f t="shared" si="196"/>
        <v>1418.8584999999998</v>
      </c>
      <c r="X575" s="16">
        <v>0.14299999999999999</v>
      </c>
      <c r="Y575" t="str">
        <f t="shared" si="184"/>
        <v>OK</v>
      </c>
      <c r="Z575" s="16">
        <f t="shared" si="185"/>
        <v>0.14299999999999999</v>
      </c>
      <c r="AA575" s="16">
        <f t="shared" si="197"/>
        <v>0.14299999999999999</v>
      </c>
      <c r="AB575" s="9">
        <v>4</v>
      </c>
      <c r="AC575" s="9">
        <f t="shared" si="198"/>
        <v>4.8</v>
      </c>
      <c r="AD575" s="9">
        <f t="shared" si="186"/>
        <v>4229.4321199999995</v>
      </c>
      <c r="AE575" s="9">
        <f t="shared" si="199"/>
        <v>7784.4252743999996</v>
      </c>
      <c r="AF575" s="9">
        <f t="shared" si="187"/>
        <v>2101.36</v>
      </c>
      <c r="AG575" s="9">
        <f t="shared" si="188"/>
        <v>2128.0721199999994</v>
      </c>
      <c r="AH575" s="9">
        <f t="shared" si="200"/>
        <v>5683.0652743999999</v>
      </c>
      <c r="AI575">
        <f t="shared" si="189"/>
        <v>0.50315788494082736</v>
      </c>
      <c r="AJ575" s="5">
        <f t="shared" si="190"/>
        <v>44928</v>
      </c>
      <c r="AK575" t="str">
        <f t="shared" si="191"/>
        <v>Jan-2023</v>
      </c>
      <c r="AL575">
        <v>0</v>
      </c>
      <c r="AM575">
        <v>0</v>
      </c>
      <c r="AN575">
        <v>0</v>
      </c>
    </row>
    <row r="576" spans="1:40" x14ac:dyDescent="0.45">
      <c r="A576" s="3" t="s">
        <v>586</v>
      </c>
      <c r="B576" s="5">
        <v>45092</v>
      </c>
      <c r="C576" s="9" t="str">
        <f t="shared" si="179"/>
        <v>Jun-2023</v>
      </c>
      <c r="D576" s="5" t="str">
        <f t="shared" si="180"/>
        <v>2023-Q2</v>
      </c>
      <c r="E576" s="5">
        <v>45119</v>
      </c>
      <c r="F576" s="9">
        <f t="shared" si="192"/>
        <v>27</v>
      </c>
      <c r="G576" s="9" t="str">
        <f t="shared" si="193"/>
        <v>NOT ACHIEVED</v>
      </c>
      <c r="H576" s="3" t="s">
        <v>643</v>
      </c>
      <c r="I576" s="3" t="s">
        <v>652</v>
      </c>
      <c r="J576" s="3" t="s">
        <v>687</v>
      </c>
      <c r="K576" s="13" t="str">
        <f t="shared" si="194"/>
        <v>Europe &gt; United Kingdom &gt; Manchester</v>
      </c>
      <c r="L576" s="3" t="s">
        <v>698</v>
      </c>
      <c r="M576" s="3" t="s">
        <v>705</v>
      </c>
      <c r="N576" s="13" t="str">
        <f t="shared" si="181"/>
        <v>Direct</v>
      </c>
      <c r="O576" s="3" t="s">
        <v>708</v>
      </c>
      <c r="P576" s="3" t="s">
        <v>727</v>
      </c>
      <c r="Q576" s="13" t="str">
        <f t="shared" si="182"/>
        <v>Medium</v>
      </c>
      <c r="R576" s="3" t="s">
        <v>1303</v>
      </c>
      <c r="S576" s="7">
        <v>751.28</v>
      </c>
      <c r="T576" s="7">
        <f t="shared" si="195"/>
        <v>863.97199999999987</v>
      </c>
      <c r="U576" s="7">
        <v>1111.8800000000001</v>
      </c>
      <c r="V576" s="7">
        <f t="shared" si="183"/>
        <v>1111.8800000000001</v>
      </c>
      <c r="W576" s="7">
        <f t="shared" si="196"/>
        <v>1278.662</v>
      </c>
      <c r="X576" s="16">
        <v>0.13500000000000001</v>
      </c>
      <c r="Y576" t="str">
        <f t="shared" si="184"/>
        <v>OK</v>
      </c>
      <c r="Z576" s="16">
        <f t="shared" si="185"/>
        <v>0.13500000000000001</v>
      </c>
      <c r="AA576" s="16">
        <f t="shared" si="197"/>
        <v>0.13500000000000001</v>
      </c>
      <c r="AB576" s="9">
        <v>7</v>
      </c>
      <c r="AC576" s="9">
        <f t="shared" si="198"/>
        <v>8.4</v>
      </c>
      <c r="AD576" s="9">
        <f t="shared" si="186"/>
        <v>6732.4334000000008</v>
      </c>
      <c r="AE576" s="9">
        <f t="shared" si="199"/>
        <v>12190.763508</v>
      </c>
      <c r="AF576" s="9">
        <f t="shared" si="187"/>
        <v>5258.96</v>
      </c>
      <c r="AG576" s="9">
        <f t="shared" si="188"/>
        <v>1473.4734000000008</v>
      </c>
      <c r="AH576" s="9">
        <f t="shared" si="200"/>
        <v>6931.803508</v>
      </c>
      <c r="AI576">
        <f t="shared" si="189"/>
        <v>0.21886193482433863</v>
      </c>
      <c r="AJ576" s="5">
        <f t="shared" si="190"/>
        <v>44928</v>
      </c>
      <c r="AK576" t="str">
        <f t="shared" si="191"/>
        <v>Jan-2023</v>
      </c>
      <c r="AL576">
        <v>0</v>
      </c>
      <c r="AM576">
        <v>0</v>
      </c>
      <c r="AN576">
        <v>0</v>
      </c>
    </row>
    <row r="577" spans="1:40" x14ac:dyDescent="0.45">
      <c r="A577" s="3" t="s">
        <v>587</v>
      </c>
      <c r="B577" s="5">
        <v>45607</v>
      </c>
      <c r="C577" s="9" t="str">
        <f t="shared" si="179"/>
        <v>Nov-2024</v>
      </c>
      <c r="D577" s="5" t="str">
        <f t="shared" si="180"/>
        <v>2024-Q4</v>
      </c>
      <c r="E577" s="5">
        <v>45620</v>
      </c>
      <c r="F577" s="9">
        <f t="shared" si="192"/>
        <v>13</v>
      </c>
      <c r="G577" s="9" t="str">
        <f t="shared" si="193"/>
        <v>NOT ACHIEVED</v>
      </c>
      <c r="H577" s="3" t="s">
        <v>643</v>
      </c>
      <c r="I577" s="3" t="s">
        <v>652</v>
      </c>
      <c r="J577" s="3" t="s">
        <v>677</v>
      </c>
      <c r="K577" s="13" t="str">
        <f t="shared" si="194"/>
        <v>Europe &gt; United Kingdom &gt; London</v>
      </c>
      <c r="L577" s="3" t="s">
        <v>695</v>
      </c>
      <c r="M577" s="3" t="s">
        <v>701</v>
      </c>
      <c r="N577" s="13" t="str">
        <f t="shared" si="181"/>
        <v>Retail</v>
      </c>
      <c r="O577" s="3" t="s">
        <v>712</v>
      </c>
      <c r="P577" s="3" t="s">
        <v>723</v>
      </c>
      <c r="Q577" s="13" t="str">
        <f t="shared" si="182"/>
        <v>Low</v>
      </c>
      <c r="R577" s="3" t="s">
        <v>1304</v>
      </c>
      <c r="S577" s="7">
        <v>164.53</v>
      </c>
      <c r="T577" s="7">
        <f t="shared" si="195"/>
        <v>189.20949999999999</v>
      </c>
      <c r="U577" s="7">
        <v>327.72</v>
      </c>
      <c r="V577" s="7">
        <f t="shared" si="183"/>
        <v>327.72</v>
      </c>
      <c r="W577" s="7">
        <f t="shared" si="196"/>
        <v>376.87799999999999</v>
      </c>
      <c r="X577" s="16">
        <v>6.7000000000000004E-2</v>
      </c>
      <c r="Y577" t="str">
        <f t="shared" si="184"/>
        <v>OK</v>
      </c>
      <c r="Z577" s="16">
        <f t="shared" si="185"/>
        <v>6.7000000000000004E-2</v>
      </c>
      <c r="AA577" s="16">
        <f t="shared" si="197"/>
        <v>6.7000000000000004E-2</v>
      </c>
      <c r="AB577" s="9">
        <v>14</v>
      </c>
      <c r="AC577" s="9">
        <f t="shared" si="198"/>
        <v>16.8</v>
      </c>
      <c r="AD577" s="9">
        <f t="shared" si="186"/>
        <v>4280.6786400000001</v>
      </c>
      <c r="AE577" s="9">
        <f t="shared" si="199"/>
        <v>6755.7642767999996</v>
      </c>
      <c r="AF577" s="9">
        <f t="shared" si="187"/>
        <v>2303.42</v>
      </c>
      <c r="AG577" s="9">
        <f t="shared" si="188"/>
        <v>1977.25864</v>
      </c>
      <c r="AH577" s="9">
        <f t="shared" si="200"/>
        <v>4452.3442767999995</v>
      </c>
      <c r="AI577">
        <f t="shared" si="189"/>
        <v>0.46190307805960412</v>
      </c>
      <c r="AJ577" s="5">
        <f t="shared" si="190"/>
        <v>44928</v>
      </c>
      <c r="AK577" t="str">
        <f t="shared" si="191"/>
        <v>Jan-2023</v>
      </c>
      <c r="AL577">
        <v>0</v>
      </c>
      <c r="AM577">
        <v>0</v>
      </c>
      <c r="AN577">
        <v>0</v>
      </c>
    </row>
    <row r="578" spans="1:40" x14ac:dyDescent="0.45">
      <c r="A578" s="3" t="s">
        <v>608</v>
      </c>
      <c r="B578" s="5">
        <v>45360</v>
      </c>
      <c r="C578" s="9" t="str">
        <f t="shared" ref="C578:C632" si="201">TEXT(B578,"MMM-YYYY")</f>
        <v>Mar-2024</v>
      </c>
      <c r="D578" s="5" t="str">
        <f t="shared" ref="D578:D632" si="202">YEAR(B578)&amp; "-Q"&amp;ROUNDUP(MONTH(B578)/3,0)</f>
        <v>2024-Q1</v>
      </c>
      <c r="E578" s="5">
        <v>45373</v>
      </c>
      <c r="F578" s="9">
        <f t="shared" si="192"/>
        <v>13</v>
      </c>
      <c r="G578" s="9" t="str">
        <f t="shared" si="193"/>
        <v>NOT ACHIEVED</v>
      </c>
      <c r="H578" s="3" t="s">
        <v>643</v>
      </c>
      <c r="I578" s="3" t="s">
        <v>652</v>
      </c>
      <c r="J578" s="3" t="s">
        <v>687</v>
      </c>
      <c r="K578" s="13" t="str">
        <f t="shared" si="194"/>
        <v>Europe &gt; United Kingdom &gt; Manchester</v>
      </c>
      <c r="L578" s="3" t="s">
        <v>698</v>
      </c>
      <c r="M578" s="3" t="s">
        <v>702</v>
      </c>
      <c r="N578" s="13" t="str">
        <f t="shared" ref="N578:N632" si="203">IF(ISBLANK(M578),"Unknown",M578)</f>
        <v>Online</v>
      </c>
      <c r="O578" s="3" t="s">
        <v>712</v>
      </c>
      <c r="P578" s="3" t="s">
        <v>725</v>
      </c>
      <c r="Q578" s="13" t="str">
        <f t="shared" ref="Q578:Q632" si="204">IF(U578&lt;=$AM$2,"Low",IF(U578&lt;=$AM$3,"Medium","High"))</f>
        <v>High</v>
      </c>
      <c r="R578" s="3" t="s">
        <v>1325</v>
      </c>
      <c r="S578" s="7">
        <v>985.45</v>
      </c>
      <c r="T578" s="7">
        <f t="shared" si="195"/>
        <v>1133.2674999999999</v>
      </c>
      <c r="U578" s="7">
        <v>1802.44</v>
      </c>
      <c r="V578" s="7">
        <f t="shared" ref="V578:V632" si="205">IF(U578&lt;0,"",U578)</f>
        <v>1802.44</v>
      </c>
      <c r="W578" s="7">
        <f t="shared" si="196"/>
        <v>2072.806</v>
      </c>
      <c r="X578" s="16">
        <v>8.9999999999999993E-3</v>
      </c>
      <c r="Y578" t="str">
        <f t="shared" ref="Y578:Y632" si="206">IF(X578&gt;0.3,"Excess dis","OK")</f>
        <v>OK</v>
      </c>
      <c r="Z578" s="16">
        <f t="shared" si="185"/>
        <v>8.9999999999999993E-3</v>
      </c>
      <c r="AA578" s="16">
        <f t="shared" si="197"/>
        <v>8.9999999999999993E-3</v>
      </c>
      <c r="AB578" s="9">
        <v>19</v>
      </c>
      <c r="AC578" s="9">
        <f t="shared" si="198"/>
        <v>22.8</v>
      </c>
      <c r="AD578" s="9">
        <f t="shared" ref="AD578:AD632" si="207">V578*AB578*(1-Z578)</f>
        <v>33938.142760000002</v>
      </c>
      <c r="AE578" s="9">
        <f t="shared" si="199"/>
        <v>47685.316591199997</v>
      </c>
      <c r="AF578" s="9">
        <f t="shared" ref="AF578:AF632" si="208">S578*AB578</f>
        <v>18723.55</v>
      </c>
      <c r="AG578" s="9">
        <f t="shared" ref="AG578:AG632" si="209">AD578-AF578</f>
        <v>15214.592760000003</v>
      </c>
      <c r="AH578" s="9">
        <f t="shared" si="200"/>
        <v>28961.766591199997</v>
      </c>
      <c r="AI578">
        <f t="shared" ref="AI578:AI632" si="210">IF(AD578=0,0,AG578/AD578)</f>
        <v>0.44830363486867486</v>
      </c>
      <c r="AJ578" s="5">
        <f t="shared" ref="AJ578:AJ632" si="211">MIN(IF($I$2:$I$632=I578, $B$2:$B$632))</f>
        <v>44928</v>
      </c>
      <c r="AK578" t="str">
        <f t="shared" ref="AK578:AK632" si="212">TEXT(AJ578,"MMM-YYYY")</f>
        <v>Jan-2023</v>
      </c>
      <c r="AL578">
        <v>0</v>
      </c>
      <c r="AM578">
        <v>0</v>
      </c>
      <c r="AN578">
        <v>0</v>
      </c>
    </row>
    <row r="579" spans="1:40" x14ac:dyDescent="0.45">
      <c r="A579" s="3" t="s">
        <v>612</v>
      </c>
      <c r="B579" s="5">
        <v>45026</v>
      </c>
      <c r="C579" s="9" t="str">
        <f t="shared" si="201"/>
        <v>Apr-2023</v>
      </c>
      <c r="D579" s="5" t="str">
        <f t="shared" si="202"/>
        <v>2023-Q2</v>
      </c>
      <c r="E579" s="5">
        <v>45041</v>
      </c>
      <c r="F579" s="9">
        <f t="shared" ref="F579:F632" si="213">E579-B579</f>
        <v>15</v>
      </c>
      <c r="G579" s="9" t="str">
        <f t="shared" ref="G579:G632" si="214">IF(F579&lt;=7,"ACHIEVED","NOT ACHIEVED")</f>
        <v>NOT ACHIEVED</v>
      </c>
      <c r="H579" s="3" t="s">
        <v>643</v>
      </c>
      <c r="I579" s="3" t="s">
        <v>652</v>
      </c>
      <c r="J579" s="3" t="s">
        <v>677</v>
      </c>
      <c r="K579" s="13" t="str">
        <f t="shared" ref="K579:K632" si="215">H579&amp;" &gt; "&amp;I579&amp;" &gt; "&amp;J579</f>
        <v>Europe &gt; United Kingdom &gt; London</v>
      </c>
      <c r="L579" s="3" t="s">
        <v>699</v>
      </c>
      <c r="M579" s="3" t="s">
        <v>701</v>
      </c>
      <c r="N579" s="13" t="str">
        <f t="shared" si="203"/>
        <v>Retail</v>
      </c>
      <c r="O579" s="3" t="s">
        <v>720</v>
      </c>
      <c r="P579" s="3" t="s">
        <v>722</v>
      </c>
      <c r="Q579" s="13" t="str">
        <f t="shared" si="204"/>
        <v>Medium</v>
      </c>
      <c r="R579" s="3" t="s">
        <v>1329</v>
      </c>
      <c r="S579" s="7">
        <v>405.66</v>
      </c>
      <c r="T579" s="7">
        <f t="shared" ref="T579:T632" si="216">S579*(1+$AM$6)</f>
        <v>466.50900000000001</v>
      </c>
      <c r="U579" s="7">
        <v>962.51</v>
      </c>
      <c r="V579" s="7">
        <f t="shared" si="205"/>
        <v>962.51</v>
      </c>
      <c r="W579" s="7">
        <f t="shared" ref="W579:W632" si="217">V579*(1+$AM$6)</f>
        <v>1106.8864999999998</v>
      </c>
      <c r="X579" s="16">
        <v>0.19</v>
      </c>
      <c r="Y579" t="str">
        <f t="shared" si="206"/>
        <v>OK</v>
      </c>
      <c r="Z579" s="16">
        <f t="shared" ref="Z579:Z632" si="218">IF(X579&gt;0.3,0.3,X579)</f>
        <v>0.19</v>
      </c>
      <c r="AA579" s="16">
        <f t="shared" ref="AA579:AA632" si="219">MIN(Z579,$AM$5)</f>
        <v>0.19</v>
      </c>
      <c r="AB579" s="9">
        <v>7</v>
      </c>
      <c r="AC579" s="9">
        <f t="shared" ref="AC579:AC632" si="220">AB579*(1+$AM$7)</f>
        <v>8.4</v>
      </c>
      <c r="AD579" s="9">
        <f t="shared" si="207"/>
        <v>5457.4317000000001</v>
      </c>
      <c r="AE579" s="9">
        <f t="shared" ref="AE579:AE632" si="221">W579*AC579*(1+AA579)</f>
        <v>11064.437453999999</v>
      </c>
      <c r="AF579" s="9">
        <f t="shared" si="208"/>
        <v>2839.6200000000003</v>
      </c>
      <c r="AG579" s="9">
        <f t="shared" si="209"/>
        <v>2617.8116999999997</v>
      </c>
      <c r="AH579" s="9">
        <f t="shared" ref="AH579:AH632" si="222">AE579-AF579</f>
        <v>8224.8174539999982</v>
      </c>
      <c r="AI579">
        <f t="shared" si="210"/>
        <v>0.47967832561239376</v>
      </c>
      <c r="AJ579" s="5">
        <f t="shared" si="211"/>
        <v>44928</v>
      </c>
      <c r="AK579" t="str">
        <f t="shared" si="212"/>
        <v>Jan-2023</v>
      </c>
      <c r="AL579">
        <v>0</v>
      </c>
      <c r="AM579">
        <v>0</v>
      </c>
      <c r="AN579">
        <v>0</v>
      </c>
    </row>
    <row r="580" spans="1:40" x14ac:dyDescent="0.45">
      <c r="A580" s="3" t="s">
        <v>625</v>
      </c>
      <c r="B580" s="5">
        <v>45643</v>
      </c>
      <c r="C580" s="9" t="str">
        <f t="shared" si="201"/>
        <v>Dec-2024</v>
      </c>
      <c r="D580" s="5" t="str">
        <f t="shared" si="202"/>
        <v>2024-Q4</v>
      </c>
      <c r="E580" s="5">
        <v>45673</v>
      </c>
      <c r="F580" s="9">
        <f t="shared" si="213"/>
        <v>30</v>
      </c>
      <c r="G580" s="9" t="str">
        <f t="shared" si="214"/>
        <v>NOT ACHIEVED</v>
      </c>
      <c r="H580" s="3" t="s">
        <v>643</v>
      </c>
      <c r="I580" s="3" t="s">
        <v>652</v>
      </c>
      <c r="J580" s="3" t="s">
        <v>687</v>
      </c>
      <c r="K580" s="13" t="str">
        <f t="shared" si="215"/>
        <v>Europe &gt; United Kingdom &gt; Manchester</v>
      </c>
      <c r="L580" s="3" t="s">
        <v>695</v>
      </c>
      <c r="M580" s="3" t="s">
        <v>701</v>
      </c>
      <c r="N580" s="13" t="str">
        <f t="shared" si="203"/>
        <v>Retail</v>
      </c>
      <c r="O580" s="3" t="s">
        <v>720</v>
      </c>
      <c r="P580" s="3" t="s">
        <v>726</v>
      </c>
      <c r="Q580" s="13" t="str">
        <f t="shared" si="204"/>
        <v>Low</v>
      </c>
      <c r="R580" s="3" t="s">
        <v>1342</v>
      </c>
      <c r="S580" s="7">
        <v>722.87</v>
      </c>
      <c r="T580" s="7">
        <f t="shared" si="216"/>
        <v>831.30049999999994</v>
      </c>
      <c r="U580" s="7">
        <v>0</v>
      </c>
      <c r="V580" s="7">
        <f t="shared" si="205"/>
        <v>0</v>
      </c>
      <c r="W580" s="7">
        <f t="shared" si="217"/>
        <v>0</v>
      </c>
      <c r="X580" s="16">
        <v>0.10199999999999999</v>
      </c>
      <c r="Y580" t="str">
        <f t="shared" si="206"/>
        <v>OK</v>
      </c>
      <c r="Z580" s="16">
        <f t="shared" si="218"/>
        <v>0.10199999999999999</v>
      </c>
      <c r="AA580" s="16">
        <f t="shared" si="219"/>
        <v>0.10199999999999999</v>
      </c>
      <c r="AB580" s="9">
        <v>28</v>
      </c>
      <c r="AC580" s="9">
        <f t="shared" si="220"/>
        <v>33.6</v>
      </c>
      <c r="AD580" s="9">
        <f t="shared" si="207"/>
        <v>0</v>
      </c>
      <c r="AE580" s="9">
        <f t="shared" si="221"/>
        <v>0</v>
      </c>
      <c r="AF580" s="9">
        <f t="shared" si="208"/>
        <v>20240.36</v>
      </c>
      <c r="AG580" s="9">
        <f t="shared" si="209"/>
        <v>-20240.36</v>
      </c>
      <c r="AH580" s="9">
        <f t="shared" si="222"/>
        <v>-20240.36</v>
      </c>
      <c r="AI580">
        <f t="shared" si="210"/>
        <v>0</v>
      </c>
      <c r="AJ580" s="5">
        <f t="shared" si="211"/>
        <v>44928</v>
      </c>
      <c r="AK580" t="str">
        <f t="shared" si="212"/>
        <v>Jan-2023</v>
      </c>
      <c r="AL580">
        <v>0</v>
      </c>
      <c r="AM580">
        <v>0</v>
      </c>
      <c r="AN580">
        <v>0</v>
      </c>
    </row>
    <row r="581" spans="1:40" x14ac:dyDescent="0.45">
      <c r="A581" s="3" t="s">
        <v>626</v>
      </c>
      <c r="B581" s="5">
        <v>45849</v>
      </c>
      <c r="C581" s="9" t="str">
        <f t="shared" si="201"/>
        <v>Jul-2025</v>
      </c>
      <c r="D581" s="5" t="str">
        <f t="shared" si="202"/>
        <v>2025-Q3</v>
      </c>
      <c r="E581" s="5">
        <v>45854</v>
      </c>
      <c r="F581" s="9">
        <f t="shared" si="213"/>
        <v>5</v>
      </c>
      <c r="G581" s="9" t="str">
        <f t="shared" si="214"/>
        <v>ACHIEVED</v>
      </c>
      <c r="H581" s="3" t="s">
        <v>643</v>
      </c>
      <c r="I581" s="3" t="s">
        <v>652</v>
      </c>
      <c r="J581" s="3" t="s">
        <v>677</v>
      </c>
      <c r="K581" s="13" t="str">
        <f t="shared" si="215"/>
        <v>Europe &gt; United Kingdom &gt; London</v>
      </c>
      <c r="L581" s="3" t="s">
        <v>700</v>
      </c>
      <c r="M581" s="3" t="s">
        <v>702</v>
      </c>
      <c r="N581" s="13" t="str">
        <f t="shared" si="203"/>
        <v>Online</v>
      </c>
      <c r="O581" s="3" t="s">
        <v>717</v>
      </c>
      <c r="P581" s="3" t="s">
        <v>722</v>
      </c>
      <c r="Q581" s="13" t="str">
        <f t="shared" si="204"/>
        <v>Medium</v>
      </c>
      <c r="R581" s="3" t="s">
        <v>1343</v>
      </c>
      <c r="S581" s="7">
        <v>930.03</v>
      </c>
      <c r="T581" s="7">
        <f t="shared" si="216"/>
        <v>1069.5345</v>
      </c>
      <c r="U581" s="7">
        <v>1086.68</v>
      </c>
      <c r="V581" s="7">
        <f t="shared" si="205"/>
        <v>1086.68</v>
      </c>
      <c r="W581" s="7">
        <f t="shared" si="217"/>
        <v>1249.682</v>
      </c>
      <c r="X581" s="16">
        <v>0.109</v>
      </c>
      <c r="Y581" t="str">
        <f t="shared" si="206"/>
        <v>OK</v>
      </c>
      <c r="Z581" s="16">
        <f t="shared" si="218"/>
        <v>0.109</v>
      </c>
      <c r="AA581" s="16">
        <f t="shared" si="219"/>
        <v>0.109</v>
      </c>
      <c r="AB581" s="9">
        <v>26</v>
      </c>
      <c r="AC581" s="9">
        <f t="shared" si="220"/>
        <v>31.2</v>
      </c>
      <c r="AD581" s="9">
        <f t="shared" si="207"/>
        <v>25174.028880000002</v>
      </c>
      <c r="AE581" s="9">
        <f t="shared" si="221"/>
        <v>43239.996945599996</v>
      </c>
      <c r="AF581" s="9">
        <f t="shared" si="208"/>
        <v>24180.78</v>
      </c>
      <c r="AG581" s="9">
        <f t="shared" si="209"/>
        <v>993.24888000000283</v>
      </c>
      <c r="AH581" s="9">
        <f t="shared" si="222"/>
        <v>19059.216945599997</v>
      </c>
      <c r="AI581">
        <f t="shared" si="210"/>
        <v>3.9455300728168656E-2</v>
      </c>
      <c r="AJ581" s="5">
        <f t="shared" si="211"/>
        <v>44928</v>
      </c>
      <c r="AK581" t="str">
        <f t="shared" si="212"/>
        <v>Jan-2023</v>
      </c>
      <c r="AL581">
        <v>0</v>
      </c>
      <c r="AM581">
        <v>0</v>
      </c>
      <c r="AN581">
        <v>0</v>
      </c>
    </row>
    <row r="582" spans="1:40" x14ac:dyDescent="0.45">
      <c r="A582" s="3" t="s">
        <v>32</v>
      </c>
      <c r="B582" s="5">
        <v>45430</v>
      </c>
      <c r="C582" s="9" t="str">
        <f t="shared" si="201"/>
        <v>May-2024</v>
      </c>
      <c r="D582" s="5" t="str">
        <f t="shared" si="202"/>
        <v>2024-Q2</v>
      </c>
      <c r="E582" s="5">
        <v>45435</v>
      </c>
      <c r="F582" s="9">
        <f t="shared" si="213"/>
        <v>5</v>
      </c>
      <c r="G582" s="9" t="str">
        <f t="shared" si="214"/>
        <v>ACHIEVED</v>
      </c>
      <c r="H582" s="3" t="s">
        <v>642</v>
      </c>
      <c r="I582" s="3" t="s">
        <v>654</v>
      </c>
      <c r="J582" s="3" t="s">
        <v>671</v>
      </c>
      <c r="K582" s="13" t="str">
        <f t="shared" si="215"/>
        <v>Americas &gt; USA &gt; Chicago</v>
      </c>
      <c r="L582" s="3" t="s">
        <v>700</v>
      </c>
      <c r="M582" s="3" t="s">
        <v>701</v>
      </c>
      <c r="N582" s="13" t="str">
        <f t="shared" si="203"/>
        <v>Retail</v>
      </c>
      <c r="O582" s="3" t="s">
        <v>716</v>
      </c>
      <c r="P582" s="3" t="s">
        <v>725</v>
      </c>
      <c r="Q582" s="13" t="str">
        <f t="shared" si="204"/>
        <v>High</v>
      </c>
      <c r="R582" s="3" t="s">
        <v>751</v>
      </c>
      <c r="S582" s="7">
        <v>1274.5899999999999</v>
      </c>
      <c r="T582" s="7">
        <f t="shared" si="216"/>
        <v>1465.7784999999999</v>
      </c>
      <c r="U582" s="7">
        <v>2553.69</v>
      </c>
      <c r="V582" s="7">
        <f t="shared" si="205"/>
        <v>2553.69</v>
      </c>
      <c r="W582" s="7">
        <f t="shared" si="217"/>
        <v>2936.7435</v>
      </c>
      <c r="X582" s="16">
        <v>0.01</v>
      </c>
      <c r="Y582" t="str">
        <f t="shared" si="206"/>
        <v>OK</v>
      </c>
      <c r="Z582" s="16">
        <f t="shared" si="218"/>
        <v>0.01</v>
      </c>
      <c r="AA582" s="16">
        <f t="shared" si="219"/>
        <v>0.01</v>
      </c>
      <c r="AB582" s="9">
        <v>8</v>
      </c>
      <c r="AC582" s="9">
        <f t="shared" si="220"/>
        <v>9.6</v>
      </c>
      <c r="AD582" s="9">
        <f t="shared" si="207"/>
        <v>20225.2248</v>
      </c>
      <c r="AE582" s="9">
        <f t="shared" si="221"/>
        <v>28474.664976</v>
      </c>
      <c r="AF582" s="9">
        <f t="shared" si="208"/>
        <v>10196.719999999999</v>
      </c>
      <c r="AG582" s="9">
        <f t="shared" si="209"/>
        <v>10028.504800000001</v>
      </c>
      <c r="AH582" s="9">
        <f t="shared" si="222"/>
        <v>18277.944975999999</v>
      </c>
      <c r="AI582">
        <f t="shared" si="210"/>
        <v>0.49584145042481803</v>
      </c>
      <c r="AJ582" s="5">
        <f t="shared" si="211"/>
        <v>44928</v>
      </c>
      <c r="AK582" t="str">
        <f t="shared" si="212"/>
        <v>Jan-2023</v>
      </c>
      <c r="AL582">
        <v>0</v>
      </c>
      <c r="AM582">
        <v>0</v>
      </c>
      <c r="AN582">
        <v>0</v>
      </c>
    </row>
    <row r="583" spans="1:40" x14ac:dyDescent="0.45">
      <c r="A583" s="3" t="s">
        <v>48</v>
      </c>
      <c r="B583" s="5">
        <v>45094</v>
      </c>
      <c r="C583" s="9" t="str">
        <f t="shared" si="201"/>
        <v>Jun-2023</v>
      </c>
      <c r="D583" s="5" t="str">
        <f t="shared" si="202"/>
        <v>2023-Q2</v>
      </c>
      <c r="E583" s="5">
        <v>45101</v>
      </c>
      <c r="F583" s="9">
        <f t="shared" si="213"/>
        <v>7</v>
      </c>
      <c r="G583" s="9" t="str">
        <f t="shared" si="214"/>
        <v>ACHIEVED</v>
      </c>
      <c r="H583" s="3" t="s">
        <v>642</v>
      </c>
      <c r="I583" s="3" t="s">
        <v>654</v>
      </c>
      <c r="J583" s="3" t="s">
        <v>680</v>
      </c>
      <c r="K583" s="13" t="str">
        <f t="shared" si="215"/>
        <v>Americas &gt; USA &gt; San Francisco</v>
      </c>
      <c r="L583" s="3" t="s">
        <v>695</v>
      </c>
      <c r="M583" s="3" t="s">
        <v>701</v>
      </c>
      <c r="N583" s="13" t="str">
        <f t="shared" si="203"/>
        <v>Retail</v>
      </c>
      <c r="O583" s="3" t="s">
        <v>708</v>
      </c>
      <c r="P583" s="3" t="s">
        <v>722</v>
      </c>
      <c r="Q583" s="13" t="str">
        <f t="shared" si="204"/>
        <v>Low</v>
      </c>
      <c r="R583" s="3" t="s">
        <v>767</v>
      </c>
      <c r="S583" s="7">
        <v>313.99</v>
      </c>
      <c r="T583" s="7">
        <f t="shared" si="216"/>
        <v>361.08850000000001</v>
      </c>
      <c r="U583" s="7">
        <v>454.42</v>
      </c>
      <c r="V583" s="7">
        <f t="shared" si="205"/>
        <v>454.42</v>
      </c>
      <c r="W583" s="7">
        <f t="shared" si="217"/>
        <v>522.58299999999997</v>
      </c>
      <c r="X583" s="16">
        <v>0.129</v>
      </c>
      <c r="Y583" t="str">
        <f t="shared" si="206"/>
        <v>OK</v>
      </c>
      <c r="Z583" s="16">
        <f t="shared" si="218"/>
        <v>0.129</v>
      </c>
      <c r="AA583" s="16">
        <f t="shared" si="219"/>
        <v>0.129</v>
      </c>
      <c r="AB583" s="9">
        <v>9</v>
      </c>
      <c r="AC583" s="9">
        <f t="shared" si="220"/>
        <v>10.799999999999999</v>
      </c>
      <c r="AD583" s="9">
        <f t="shared" si="207"/>
        <v>3562.1983800000003</v>
      </c>
      <c r="AE583" s="9">
        <f t="shared" si="221"/>
        <v>6371.959035599999</v>
      </c>
      <c r="AF583" s="9">
        <f t="shared" si="208"/>
        <v>2825.91</v>
      </c>
      <c r="AG583" s="9">
        <f t="shared" si="209"/>
        <v>736.28838000000042</v>
      </c>
      <c r="AH583" s="9">
        <f t="shared" si="222"/>
        <v>3546.0490355999991</v>
      </c>
      <c r="AI583">
        <f t="shared" si="210"/>
        <v>0.20669493988147858</v>
      </c>
      <c r="AJ583" s="5">
        <f t="shared" si="211"/>
        <v>44928</v>
      </c>
      <c r="AK583" t="str">
        <f t="shared" si="212"/>
        <v>Jan-2023</v>
      </c>
      <c r="AL583">
        <v>0</v>
      </c>
      <c r="AM583">
        <v>0</v>
      </c>
      <c r="AN583">
        <v>0</v>
      </c>
    </row>
    <row r="584" spans="1:40" x14ac:dyDescent="0.45">
      <c r="A584" s="3" t="s">
        <v>92</v>
      </c>
      <c r="B584" s="5">
        <v>45770</v>
      </c>
      <c r="C584" s="9" t="str">
        <f t="shared" si="201"/>
        <v>Apr-2025</v>
      </c>
      <c r="D584" s="5" t="str">
        <f t="shared" si="202"/>
        <v>2025-Q2</v>
      </c>
      <c r="E584" s="5">
        <v>45775</v>
      </c>
      <c r="F584" s="9">
        <f t="shared" si="213"/>
        <v>5</v>
      </c>
      <c r="G584" s="9" t="str">
        <f t="shared" si="214"/>
        <v>ACHIEVED</v>
      </c>
      <c r="H584" s="3" t="s">
        <v>642</v>
      </c>
      <c r="I584" s="3" t="s">
        <v>654</v>
      </c>
      <c r="J584" s="3" t="s">
        <v>680</v>
      </c>
      <c r="K584" s="13" t="str">
        <f t="shared" si="215"/>
        <v>Americas &gt; USA &gt; San Francisco</v>
      </c>
      <c r="L584" s="3" t="s">
        <v>697</v>
      </c>
      <c r="M584" s="3" t="s">
        <v>704</v>
      </c>
      <c r="N584" s="13" t="str">
        <f t="shared" si="203"/>
        <v>Distributor</v>
      </c>
      <c r="O584" s="3" t="s">
        <v>720</v>
      </c>
      <c r="P584" s="3" t="s">
        <v>726</v>
      </c>
      <c r="Q584" s="13" t="str">
        <f t="shared" si="204"/>
        <v>Low</v>
      </c>
      <c r="R584" s="3" t="s">
        <v>811</v>
      </c>
      <c r="S584" s="7">
        <v>23.24</v>
      </c>
      <c r="T584" s="7">
        <f t="shared" si="216"/>
        <v>26.725999999999996</v>
      </c>
      <c r="U584" s="7">
        <v>44.57</v>
      </c>
      <c r="V584" s="7">
        <f t="shared" si="205"/>
        <v>44.57</v>
      </c>
      <c r="W584" s="7">
        <f t="shared" si="217"/>
        <v>51.255499999999998</v>
      </c>
      <c r="X584" s="16">
        <v>0.215</v>
      </c>
      <c r="Y584" t="str">
        <f t="shared" si="206"/>
        <v>OK</v>
      </c>
      <c r="Z584" s="16">
        <f t="shared" si="218"/>
        <v>0.215</v>
      </c>
      <c r="AA584" s="16">
        <f t="shared" si="219"/>
        <v>0.215</v>
      </c>
      <c r="AB584" s="9">
        <v>15</v>
      </c>
      <c r="AC584" s="9">
        <f t="shared" si="220"/>
        <v>18</v>
      </c>
      <c r="AD584" s="9">
        <f t="shared" si="207"/>
        <v>524.81174999999996</v>
      </c>
      <c r="AE584" s="9">
        <f t="shared" si="221"/>
        <v>1120.9577850000001</v>
      </c>
      <c r="AF584" s="9">
        <f t="shared" si="208"/>
        <v>348.59999999999997</v>
      </c>
      <c r="AG584" s="9">
        <f t="shared" si="209"/>
        <v>176.21174999999999</v>
      </c>
      <c r="AH584" s="9">
        <f t="shared" si="222"/>
        <v>772.35778500000015</v>
      </c>
      <c r="AI584">
        <f t="shared" si="210"/>
        <v>0.33576182316802167</v>
      </c>
      <c r="AJ584" s="5">
        <f t="shared" si="211"/>
        <v>44928</v>
      </c>
      <c r="AK584" t="str">
        <f t="shared" si="212"/>
        <v>Jan-2023</v>
      </c>
      <c r="AL584">
        <v>0</v>
      </c>
      <c r="AM584">
        <v>0</v>
      </c>
      <c r="AN584">
        <v>0</v>
      </c>
    </row>
    <row r="585" spans="1:40" x14ac:dyDescent="0.45">
      <c r="A585" s="3" t="s">
        <v>122</v>
      </c>
      <c r="B585" s="5">
        <v>45674</v>
      </c>
      <c r="C585" s="9" t="str">
        <f t="shared" si="201"/>
        <v>Jan-2025</v>
      </c>
      <c r="D585" s="5" t="str">
        <f t="shared" si="202"/>
        <v>2025-Q1</v>
      </c>
      <c r="E585" s="5">
        <v>45681</v>
      </c>
      <c r="F585" s="9">
        <f t="shared" si="213"/>
        <v>7</v>
      </c>
      <c r="G585" s="9" t="str">
        <f t="shared" si="214"/>
        <v>ACHIEVED</v>
      </c>
      <c r="H585" s="3" t="s">
        <v>642</v>
      </c>
      <c r="I585" s="3" t="s">
        <v>654</v>
      </c>
      <c r="J585" s="3" t="s">
        <v>691</v>
      </c>
      <c r="K585" s="13" t="str">
        <f t="shared" si="215"/>
        <v>Americas &gt; USA &gt; Austin</v>
      </c>
      <c r="L585" s="3" t="s">
        <v>700</v>
      </c>
      <c r="M585" s="3" t="s">
        <v>702</v>
      </c>
      <c r="N585" s="13" t="str">
        <f t="shared" si="203"/>
        <v>Online</v>
      </c>
      <c r="O585" s="3" t="s">
        <v>709</v>
      </c>
      <c r="P585" s="3" t="s">
        <v>727</v>
      </c>
      <c r="Q585" s="13" t="str">
        <f t="shared" si="204"/>
        <v>Low</v>
      </c>
      <c r="R585" s="3" t="s">
        <v>841</v>
      </c>
      <c r="S585" s="7">
        <v>142.09</v>
      </c>
      <c r="T585" s="7">
        <f t="shared" si="216"/>
        <v>163.40349999999998</v>
      </c>
      <c r="U585" s="7">
        <v>218.5</v>
      </c>
      <c r="V585" s="7">
        <f t="shared" si="205"/>
        <v>218.5</v>
      </c>
      <c r="W585" s="7">
        <f t="shared" si="217"/>
        <v>251.27499999999998</v>
      </c>
      <c r="X585" s="16">
        <v>0.11899999999999999</v>
      </c>
      <c r="Y585" t="str">
        <f t="shared" si="206"/>
        <v>OK</v>
      </c>
      <c r="Z585" s="16">
        <f t="shared" si="218"/>
        <v>0.11899999999999999</v>
      </c>
      <c r="AA585" s="16">
        <f t="shared" si="219"/>
        <v>0.11899999999999999</v>
      </c>
      <c r="AB585" s="9">
        <v>11</v>
      </c>
      <c r="AC585" s="9">
        <f t="shared" si="220"/>
        <v>13.2</v>
      </c>
      <c r="AD585" s="9">
        <f t="shared" si="207"/>
        <v>2117.4834999999998</v>
      </c>
      <c r="AE585" s="9">
        <f t="shared" si="221"/>
        <v>3711.5327699999993</v>
      </c>
      <c r="AF585" s="9">
        <f t="shared" si="208"/>
        <v>1562.99</v>
      </c>
      <c r="AG585" s="9">
        <f t="shared" si="209"/>
        <v>554.49349999999981</v>
      </c>
      <c r="AH585" s="9">
        <f t="shared" si="222"/>
        <v>2148.5427699999991</v>
      </c>
      <c r="AI585">
        <f t="shared" si="210"/>
        <v>0.26186437816398561</v>
      </c>
      <c r="AJ585" s="5">
        <f t="shared" si="211"/>
        <v>44928</v>
      </c>
      <c r="AK585" t="str">
        <f t="shared" si="212"/>
        <v>Jan-2023</v>
      </c>
      <c r="AL585">
        <v>0</v>
      </c>
      <c r="AM585">
        <v>0</v>
      </c>
      <c r="AN585">
        <v>0</v>
      </c>
    </row>
    <row r="586" spans="1:40" x14ac:dyDescent="0.45">
      <c r="A586" s="3" t="s">
        <v>137</v>
      </c>
      <c r="B586" s="5">
        <v>45442</v>
      </c>
      <c r="C586" s="9" t="str">
        <f t="shared" si="201"/>
        <v>May-2024</v>
      </c>
      <c r="D586" s="5" t="str">
        <f t="shared" si="202"/>
        <v>2024-Q2</v>
      </c>
      <c r="E586" s="5">
        <v>45456</v>
      </c>
      <c r="F586" s="9">
        <f t="shared" si="213"/>
        <v>14</v>
      </c>
      <c r="G586" s="9" t="str">
        <f t="shared" si="214"/>
        <v>NOT ACHIEVED</v>
      </c>
      <c r="H586" s="3" t="s">
        <v>642</v>
      </c>
      <c r="I586" s="3" t="s">
        <v>654</v>
      </c>
      <c r="J586" s="3" t="s">
        <v>680</v>
      </c>
      <c r="K586" s="13" t="str">
        <f t="shared" si="215"/>
        <v>Americas &gt; USA &gt; San Francisco</v>
      </c>
      <c r="L586" s="3" t="s">
        <v>699</v>
      </c>
      <c r="M586" s="3" t="s">
        <v>701</v>
      </c>
      <c r="N586" s="13" t="str">
        <f t="shared" si="203"/>
        <v>Retail</v>
      </c>
      <c r="O586" s="3" t="s">
        <v>715</v>
      </c>
      <c r="P586" s="3" t="s">
        <v>724</v>
      </c>
      <c r="Q586" s="13" t="str">
        <f t="shared" si="204"/>
        <v>Low</v>
      </c>
      <c r="R586" s="3" t="s">
        <v>856</v>
      </c>
      <c r="S586" s="7">
        <v>157.78</v>
      </c>
      <c r="T586" s="7">
        <f t="shared" si="216"/>
        <v>181.44699999999997</v>
      </c>
      <c r="U586" s="7">
        <v>361.1</v>
      </c>
      <c r="V586" s="7">
        <f t="shared" si="205"/>
        <v>361.1</v>
      </c>
      <c r="W586" s="7">
        <f t="shared" si="217"/>
        <v>415.26499999999999</v>
      </c>
      <c r="X586" s="16">
        <v>0.187</v>
      </c>
      <c r="Y586" t="str">
        <f t="shared" si="206"/>
        <v>OK</v>
      </c>
      <c r="Z586" s="16">
        <f t="shared" si="218"/>
        <v>0.187</v>
      </c>
      <c r="AA586" s="16">
        <f t="shared" si="219"/>
        <v>0.187</v>
      </c>
      <c r="AB586" s="9">
        <v>9</v>
      </c>
      <c r="AC586" s="9">
        <f t="shared" si="220"/>
        <v>10.799999999999999</v>
      </c>
      <c r="AD586" s="9">
        <f t="shared" si="207"/>
        <v>2642.1686999999997</v>
      </c>
      <c r="AE586" s="9">
        <f t="shared" si="221"/>
        <v>5323.5311939999992</v>
      </c>
      <c r="AF586" s="9">
        <f t="shared" si="208"/>
        <v>1420.02</v>
      </c>
      <c r="AG586" s="9">
        <f t="shared" si="209"/>
        <v>1222.1486999999997</v>
      </c>
      <c r="AH586" s="9">
        <f t="shared" si="222"/>
        <v>3903.5111939999993</v>
      </c>
      <c r="AI586">
        <f t="shared" si="210"/>
        <v>0.46255513510549112</v>
      </c>
      <c r="AJ586" s="5">
        <f t="shared" si="211"/>
        <v>44928</v>
      </c>
      <c r="AK586" t="str">
        <f t="shared" si="212"/>
        <v>Jan-2023</v>
      </c>
      <c r="AL586">
        <v>0</v>
      </c>
      <c r="AM586">
        <v>0</v>
      </c>
      <c r="AN586">
        <v>0</v>
      </c>
    </row>
    <row r="587" spans="1:40" x14ac:dyDescent="0.45">
      <c r="A587" s="3" t="s">
        <v>138</v>
      </c>
      <c r="B587" s="5">
        <v>44948</v>
      </c>
      <c r="C587" s="9" t="str">
        <f t="shared" si="201"/>
        <v>Jan-2023</v>
      </c>
      <c r="D587" s="5" t="str">
        <f t="shared" si="202"/>
        <v>2023-Q1</v>
      </c>
      <c r="E587" s="5">
        <v>44956</v>
      </c>
      <c r="F587" s="9">
        <f t="shared" si="213"/>
        <v>8</v>
      </c>
      <c r="G587" s="9" t="str">
        <f t="shared" si="214"/>
        <v>NOT ACHIEVED</v>
      </c>
      <c r="H587" s="3" t="s">
        <v>642</v>
      </c>
      <c r="I587" s="3" t="s">
        <v>654</v>
      </c>
      <c r="J587" s="3" t="s">
        <v>680</v>
      </c>
      <c r="K587" s="13" t="str">
        <f t="shared" si="215"/>
        <v>Americas &gt; USA &gt; San Francisco</v>
      </c>
      <c r="L587" s="3" t="s">
        <v>699</v>
      </c>
      <c r="M587" s="3" t="s">
        <v>702</v>
      </c>
      <c r="N587" s="13" t="str">
        <f t="shared" si="203"/>
        <v>Online</v>
      </c>
      <c r="O587" s="3" t="s">
        <v>714</v>
      </c>
      <c r="P587" s="3" t="s">
        <v>723</v>
      </c>
      <c r="Q587" s="13" t="str">
        <f t="shared" si="204"/>
        <v>Medium</v>
      </c>
      <c r="R587" s="3" t="s">
        <v>857</v>
      </c>
      <c r="S587" s="7">
        <v>413.52</v>
      </c>
      <c r="T587" s="7">
        <f t="shared" si="216"/>
        <v>475.54799999999994</v>
      </c>
      <c r="U587" s="7">
        <v>1004.34</v>
      </c>
      <c r="V587" s="7">
        <f t="shared" si="205"/>
        <v>1004.34</v>
      </c>
      <c r="W587" s="7">
        <f t="shared" si="217"/>
        <v>1154.991</v>
      </c>
      <c r="X587" s="16">
        <v>0.111</v>
      </c>
      <c r="Y587" t="str">
        <f t="shared" si="206"/>
        <v>OK</v>
      </c>
      <c r="Z587" s="16">
        <f t="shared" si="218"/>
        <v>0.111</v>
      </c>
      <c r="AA587" s="16">
        <f t="shared" si="219"/>
        <v>0.111</v>
      </c>
      <c r="AB587" s="9">
        <v>18</v>
      </c>
      <c r="AC587" s="9">
        <f t="shared" si="220"/>
        <v>21.599999999999998</v>
      </c>
      <c r="AD587" s="9">
        <f t="shared" si="207"/>
        <v>16071.44868</v>
      </c>
      <c r="AE587" s="9">
        <f t="shared" si="221"/>
        <v>27717.012021599996</v>
      </c>
      <c r="AF587" s="9">
        <f t="shared" si="208"/>
        <v>7443.36</v>
      </c>
      <c r="AG587" s="9">
        <f t="shared" si="209"/>
        <v>8628.0886800000007</v>
      </c>
      <c r="AH587" s="9">
        <f t="shared" si="222"/>
        <v>20273.652021599995</v>
      </c>
      <c r="AI587">
        <f t="shared" si="210"/>
        <v>0.53685817948304593</v>
      </c>
      <c r="AJ587" s="5">
        <f t="shared" si="211"/>
        <v>44928</v>
      </c>
      <c r="AK587" t="str">
        <f t="shared" si="212"/>
        <v>Jan-2023</v>
      </c>
      <c r="AL587">
        <v>0</v>
      </c>
      <c r="AM587">
        <v>0</v>
      </c>
      <c r="AN587">
        <v>0</v>
      </c>
    </row>
    <row r="588" spans="1:40" x14ac:dyDescent="0.45">
      <c r="A588" s="3" t="s">
        <v>143</v>
      </c>
      <c r="B588" s="5">
        <v>45647</v>
      </c>
      <c r="C588" s="9" t="str">
        <f t="shared" si="201"/>
        <v>Dec-2024</v>
      </c>
      <c r="D588" s="5" t="str">
        <f t="shared" si="202"/>
        <v>2024-Q4</v>
      </c>
      <c r="E588" s="5">
        <v>45652</v>
      </c>
      <c r="F588" s="9">
        <f t="shared" si="213"/>
        <v>5</v>
      </c>
      <c r="G588" s="9" t="str">
        <f t="shared" si="214"/>
        <v>ACHIEVED</v>
      </c>
      <c r="H588" s="3" t="s">
        <v>642</v>
      </c>
      <c r="I588" s="3" t="s">
        <v>654</v>
      </c>
      <c r="J588" s="3" t="s">
        <v>680</v>
      </c>
      <c r="K588" s="13" t="str">
        <f t="shared" si="215"/>
        <v>Americas &gt; USA &gt; San Francisco</v>
      </c>
      <c r="L588" s="3" t="s">
        <v>698</v>
      </c>
      <c r="M588" s="3" t="s">
        <v>703</v>
      </c>
      <c r="N588" s="13" t="str">
        <f t="shared" si="203"/>
        <v>Marketplace</v>
      </c>
      <c r="O588" s="3" t="s">
        <v>718</v>
      </c>
      <c r="P588" s="3" t="s">
        <v>722</v>
      </c>
      <c r="Q588" s="13" t="str">
        <f t="shared" si="204"/>
        <v>Low</v>
      </c>
      <c r="R588" s="3" t="s">
        <v>862</v>
      </c>
      <c r="S588" s="7">
        <v>699.57</v>
      </c>
      <c r="T588" s="7">
        <f t="shared" si="216"/>
        <v>804.50549999999998</v>
      </c>
      <c r="U588" s="7">
        <v>572.71</v>
      </c>
      <c r="V588" s="7">
        <f t="shared" si="205"/>
        <v>572.71</v>
      </c>
      <c r="W588" s="7">
        <f t="shared" si="217"/>
        <v>658.61649999999997</v>
      </c>
      <c r="X588" s="16">
        <v>0.192</v>
      </c>
      <c r="Y588" t="str">
        <f t="shared" si="206"/>
        <v>OK</v>
      </c>
      <c r="Z588" s="16">
        <f t="shared" si="218"/>
        <v>0.192</v>
      </c>
      <c r="AA588" s="16">
        <f t="shared" si="219"/>
        <v>0.192</v>
      </c>
      <c r="AB588" s="9">
        <v>26</v>
      </c>
      <c r="AC588" s="9">
        <f t="shared" si="220"/>
        <v>31.2</v>
      </c>
      <c r="AD588" s="9">
        <f t="shared" si="207"/>
        <v>12031.491680000001</v>
      </c>
      <c r="AE588" s="9">
        <f t="shared" si="221"/>
        <v>24494.211081599995</v>
      </c>
      <c r="AF588" s="9">
        <f t="shared" si="208"/>
        <v>18188.82</v>
      </c>
      <c r="AG588" s="9">
        <f t="shared" si="209"/>
        <v>-6157.3283199999987</v>
      </c>
      <c r="AH588" s="9">
        <f t="shared" si="222"/>
        <v>6305.3910815999952</v>
      </c>
      <c r="AI588">
        <f t="shared" si="210"/>
        <v>-0.51176765805651114</v>
      </c>
      <c r="AJ588" s="5">
        <f t="shared" si="211"/>
        <v>44928</v>
      </c>
      <c r="AK588" t="str">
        <f t="shared" si="212"/>
        <v>Jan-2023</v>
      </c>
      <c r="AL588">
        <v>0</v>
      </c>
      <c r="AM588">
        <v>0</v>
      </c>
      <c r="AN588">
        <v>0</v>
      </c>
    </row>
    <row r="589" spans="1:40" x14ac:dyDescent="0.45">
      <c r="A589" s="3" t="s">
        <v>151</v>
      </c>
      <c r="B589" s="5">
        <v>45133</v>
      </c>
      <c r="C589" s="9" t="str">
        <f t="shared" si="201"/>
        <v>Jul-2023</v>
      </c>
      <c r="D589" s="5" t="str">
        <f t="shared" si="202"/>
        <v>2023-Q3</v>
      </c>
      <c r="E589" s="5">
        <v>45163</v>
      </c>
      <c r="F589" s="9">
        <f t="shared" si="213"/>
        <v>30</v>
      </c>
      <c r="G589" s="9" t="str">
        <f t="shared" si="214"/>
        <v>NOT ACHIEVED</v>
      </c>
      <c r="H589" s="3" t="s">
        <v>642</v>
      </c>
      <c r="I589" s="3" t="s">
        <v>654</v>
      </c>
      <c r="J589" s="3" t="s">
        <v>694</v>
      </c>
      <c r="K589" s="13" t="str">
        <f t="shared" si="215"/>
        <v>Americas &gt; USA &gt; New York</v>
      </c>
      <c r="L589" s="3" t="s">
        <v>698</v>
      </c>
      <c r="M589" s="3" t="s">
        <v>701</v>
      </c>
      <c r="N589" s="13" t="str">
        <f t="shared" si="203"/>
        <v>Retail</v>
      </c>
      <c r="O589" s="3" t="s">
        <v>718</v>
      </c>
      <c r="P589" s="3" t="s">
        <v>727</v>
      </c>
      <c r="Q589" s="13" t="str">
        <f t="shared" si="204"/>
        <v>High</v>
      </c>
      <c r="R589" s="3" t="s">
        <v>870</v>
      </c>
      <c r="S589" s="7">
        <v>1261.48</v>
      </c>
      <c r="T589" s="7">
        <f t="shared" si="216"/>
        <v>1450.702</v>
      </c>
      <c r="U589" s="7">
        <v>1643.18</v>
      </c>
      <c r="V589" s="7">
        <f t="shared" si="205"/>
        <v>1643.18</v>
      </c>
      <c r="W589" s="7">
        <f t="shared" si="217"/>
        <v>1889.6569999999999</v>
      </c>
      <c r="X589" s="16">
        <v>0.151</v>
      </c>
      <c r="Y589" t="str">
        <f t="shared" si="206"/>
        <v>OK</v>
      </c>
      <c r="Z589" s="16">
        <f t="shared" si="218"/>
        <v>0.151</v>
      </c>
      <c r="AA589" s="16">
        <f t="shared" si="219"/>
        <v>0.151</v>
      </c>
      <c r="AB589" s="9">
        <v>23</v>
      </c>
      <c r="AC589" s="9">
        <f t="shared" si="220"/>
        <v>27.599999999999998</v>
      </c>
      <c r="AD589" s="9">
        <f t="shared" si="207"/>
        <v>32086.37586</v>
      </c>
      <c r="AE589" s="9">
        <f t="shared" si="221"/>
        <v>60029.867713199994</v>
      </c>
      <c r="AF589" s="9">
        <f t="shared" si="208"/>
        <v>29014.04</v>
      </c>
      <c r="AG589" s="9">
        <f t="shared" si="209"/>
        <v>3072.3358599999992</v>
      </c>
      <c r="AH589" s="9">
        <f t="shared" si="222"/>
        <v>31015.827713199993</v>
      </c>
      <c r="AI589">
        <f t="shared" si="210"/>
        <v>9.5752037357079045E-2</v>
      </c>
      <c r="AJ589" s="5">
        <f t="shared" si="211"/>
        <v>44928</v>
      </c>
      <c r="AK589" t="str">
        <f t="shared" si="212"/>
        <v>Jan-2023</v>
      </c>
      <c r="AL589">
        <v>0</v>
      </c>
      <c r="AM589">
        <v>0</v>
      </c>
      <c r="AN589">
        <v>0</v>
      </c>
    </row>
    <row r="590" spans="1:40" x14ac:dyDescent="0.45">
      <c r="A590" s="3" t="s">
        <v>181</v>
      </c>
      <c r="B590" s="5">
        <v>44981</v>
      </c>
      <c r="C590" s="9" t="str">
        <f t="shared" si="201"/>
        <v>Feb-2023</v>
      </c>
      <c r="D590" s="5" t="str">
        <f t="shared" si="202"/>
        <v>2023-Q1</v>
      </c>
      <c r="E590" s="5">
        <v>44994</v>
      </c>
      <c r="F590" s="9">
        <f t="shared" si="213"/>
        <v>13</v>
      </c>
      <c r="G590" s="9" t="str">
        <f t="shared" si="214"/>
        <v>NOT ACHIEVED</v>
      </c>
      <c r="H590" s="3" t="s">
        <v>642</v>
      </c>
      <c r="I590" s="3" t="s">
        <v>654</v>
      </c>
      <c r="J590" s="3" t="s">
        <v>694</v>
      </c>
      <c r="K590" s="13" t="str">
        <f t="shared" si="215"/>
        <v>Americas &gt; USA &gt; New York</v>
      </c>
      <c r="L590" s="3" t="s">
        <v>700</v>
      </c>
      <c r="M590" s="3" t="s">
        <v>702</v>
      </c>
      <c r="N590" s="13" t="str">
        <f t="shared" si="203"/>
        <v>Online</v>
      </c>
      <c r="O590" s="3" t="s">
        <v>718</v>
      </c>
      <c r="P590" s="3" t="s">
        <v>721</v>
      </c>
      <c r="Q590" s="13" t="str">
        <f t="shared" si="204"/>
        <v>Low</v>
      </c>
      <c r="R590" s="3" t="s">
        <v>900</v>
      </c>
      <c r="S590" s="7">
        <v>6.85</v>
      </c>
      <c r="T590" s="7">
        <f t="shared" si="216"/>
        <v>7.8774999999999986</v>
      </c>
      <c r="U590" s="7">
        <v>10.18</v>
      </c>
      <c r="V590" s="7">
        <f t="shared" si="205"/>
        <v>10.18</v>
      </c>
      <c r="W590" s="7">
        <f t="shared" si="217"/>
        <v>11.706999999999999</v>
      </c>
      <c r="X590" s="16">
        <v>4.7E-2</v>
      </c>
      <c r="Y590" t="str">
        <f t="shared" si="206"/>
        <v>OK</v>
      </c>
      <c r="Z590" s="16">
        <f t="shared" si="218"/>
        <v>4.7E-2</v>
      </c>
      <c r="AA590" s="16">
        <f t="shared" si="219"/>
        <v>4.7E-2</v>
      </c>
      <c r="AB590" s="9">
        <v>10</v>
      </c>
      <c r="AC590" s="9">
        <f t="shared" si="220"/>
        <v>12</v>
      </c>
      <c r="AD590" s="9">
        <f t="shared" si="207"/>
        <v>97.0154</v>
      </c>
      <c r="AE590" s="9">
        <f t="shared" si="221"/>
        <v>147.08674799999997</v>
      </c>
      <c r="AF590" s="9">
        <f t="shared" si="208"/>
        <v>68.5</v>
      </c>
      <c r="AG590" s="9">
        <f t="shared" si="209"/>
        <v>28.5154</v>
      </c>
      <c r="AH590" s="9">
        <f t="shared" si="222"/>
        <v>78.586747999999972</v>
      </c>
      <c r="AI590">
        <f t="shared" si="210"/>
        <v>0.2939265312517394</v>
      </c>
      <c r="AJ590" s="5">
        <f t="shared" si="211"/>
        <v>44928</v>
      </c>
      <c r="AK590" t="str">
        <f t="shared" si="212"/>
        <v>Jan-2023</v>
      </c>
      <c r="AL590">
        <v>0</v>
      </c>
      <c r="AM590">
        <v>0</v>
      </c>
      <c r="AN590">
        <v>0</v>
      </c>
    </row>
    <row r="591" spans="1:40" x14ac:dyDescent="0.45">
      <c r="A591" s="3" t="s">
        <v>200</v>
      </c>
      <c r="B591" s="5">
        <v>45516</v>
      </c>
      <c r="C591" s="9" t="str">
        <f t="shared" si="201"/>
        <v>Aug-2024</v>
      </c>
      <c r="D591" s="5" t="str">
        <f t="shared" si="202"/>
        <v>2024-Q3</v>
      </c>
      <c r="E591" s="5">
        <v>45538</v>
      </c>
      <c r="F591" s="9">
        <f t="shared" si="213"/>
        <v>22</v>
      </c>
      <c r="G591" s="9" t="str">
        <f t="shared" si="214"/>
        <v>NOT ACHIEVED</v>
      </c>
      <c r="H591" s="3" t="s">
        <v>642</v>
      </c>
      <c r="I591" s="3" t="s">
        <v>654</v>
      </c>
      <c r="J591" s="3" t="s">
        <v>691</v>
      </c>
      <c r="K591" s="13" t="str">
        <f t="shared" si="215"/>
        <v>Americas &gt; USA &gt; Austin</v>
      </c>
      <c r="L591" s="3" t="s">
        <v>698</v>
      </c>
      <c r="M591" s="3" t="s">
        <v>704</v>
      </c>
      <c r="N591" s="13" t="str">
        <f t="shared" si="203"/>
        <v>Distributor</v>
      </c>
      <c r="O591" s="3" t="s">
        <v>708</v>
      </c>
      <c r="P591" s="3" t="s">
        <v>725</v>
      </c>
      <c r="Q591" s="13" t="str">
        <f t="shared" si="204"/>
        <v>Medium</v>
      </c>
      <c r="R591" s="3" t="s">
        <v>919</v>
      </c>
      <c r="S591" s="7">
        <v>797.8</v>
      </c>
      <c r="T591" s="7">
        <f t="shared" si="216"/>
        <v>917.46999999999991</v>
      </c>
      <c r="U591" s="7">
        <v>886.22</v>
      </c>
      <c r="V591" s="7">
        <f t="shared" si="205"/>
        <v>886.22</v>
      </c>
      <c r="W591" s="7">
        <f t="shared" si="217"/>
        <v>1019.1529999999999</v>
      </c>
      <c r="X591" s="16">
        <v>0.23599999999999999</v>
      </c>
      <c r="Y591" t="str">
        <f t="shared" si="206"/>
        <v>OK</v>
      </c>
      <c r="Z591" s="16">
        <f t="shared" si="218"/>
        <v>0.23599999999999999</v>
      </c>
      <c r="AA591" s="16">
        <f t="shared" si="219"/>
        <v>0.23599999999999999</v>
      </c>
      <c r="AB591" s="9">
        <v>36</v>
      </c>
      <c r="AC591" s="9">
        <f t="shared" si="220"/>
        <v>43.199999999999996</v>
      </c>
      <c r="AD591" s="9">
        <f t="shared" si="207"/>
        <v>24374.594880000001</v>
      </c>
      <c r="AE591" s="9">
        <f t="shared" si="221"/>
        <v>54417.878265599989</v>
      </c>
      <c r="AF591" s="9">
        <f t="shared" si="208"/>
        <v>28720.799999999999</v>
      </c>
      <c r="AG591" s="9">
        <f t="shared" si="209"/>
        <v>-4346.2051199999987</v>
      </c>
      <c r="AH591" s="9">
        <f t="shared" si="222"/>
        <v>25697.07826559999</v>
      </c>
      <c r="AI591">
        <f t="shared" si="210"/>
        <v>-0.17830881462428633</v>
      </c>
      <c r="AJ591" s="5">
        <f t="shared" si="211"/>
        <v>44928</v>
      </c>
      <c r="AK591" t="str">
        <f t="shared" si="212"/>
        <v>Jan-2023</v>
      </c>
      <c r="AL591">
        <v>0</v>
      </c>
      <c r="AM591">
        <v>0</v>
      </c>
      <c r="AN591">
        <v>0</v>
      </c>
    </row>
    <row r="592" spans="1:40" x14ac:dyDescent="0.45">
      <c r="A592" s="3" t="s">
        <v>202</v>
      </c>
      <c r="B592" s="5">
        <v>45050</v>
      </c>
      <c r="C592" s="9" t="str">
        <f t="shared" si="201"/>
        <v>May-2023</v>
      </c>
      <c r="D592" s="5" t="str">
        <f t="shared" si="202"/>
        <v>2023-Q2</v>
      </c>
      <c r="E592" s="5">
        <v>45072</v>
      </c>
      <c r="F592" s="9">
        <f t="shared" si="213"/>
        <v>22</v>
      </c>
      <c r="G592" s="9" t="str">
        <f t="shared" si="214"/>
        <v>NOT ACHIEVED</v>
      </c>
      <c r="H592" s="3" t="s">
        <v>642</v>
      </c>
      <c r="I592" s="3" t="s">
        <v>654</v>
      </c>
      <c r="J592" s="3" t="s">
        <v>680</v>
      </c>
      <c r="K592" s="13" t="str">
        <f t="shared" si="215"/>
        <v>Americas &gt; USA &gt; San Francisco</v>
      </c>
      <c r="L592" s="3" t="s">
        <v>700</v>
      </c>
      <c r="M592" s="3" t="s">
        <v>702</v>
      </c>
      <c r="N592" s="13" t="str">
        <f t="shared" si="203"/>
        <v>Online</v>
      </c>
      <c r="O592" s="3" t="s">
        <v>707</v>
      </c>
      <c r="P592" s="3" t="s">
        <v>723</v>
      </c>
      <c r="Q592" s="13" t="str">
        <f t="shared" si="204"/>
        <v>Low</v>
      </c>
      <c r="R592" s="3" t="s">
        <v>921</v>
      </c>
      <c r="S592" s="7">
        <v>249.71</v>
      </c>
      <c r="T592" s="7">
        <f t="shared" si="216"/>
        <v>287.16649999999998</v>
      </c>
      <c r="U592" s="7">
        <v>361.33</v>
      </c>
      <c r="V592" s="7">
        <f t="shared" si="205"/>
        <v>361.33</v>
      </c>
      <c r="W592" s="7">
        <f t="shared" si="217"/>
        <v>415.52949999999993</v>
      </c>
      <c r="X592" s="16">
        <v>9.4E-2</v>
      </c>
      <c r="Y592" t="str">
        <f t="shared" si="206"/>
        <v>OK</v>
      </c>
      <c r="Z592" s="16">
        <f t="shared" si="218"/>
        <v>9.4E-2</v>
      </c>
      <c r="AA592" s="16">
        <f t="shared" si="219"/>
        <v>9.4E-2</v>
      </c>
      <c r="AB592" s="9">
        <v>12</v>
      </c>
      <c r="AC592" s="9">
        <f t="shared" si="220"/>
        <v>14.399999999999999</v>
      </c>
      <c r="AD592" s="9">
        <f t="shared" si="207"/>
        <v>3928.3797600000003</v>
      </c>
      <c r="AE592" s="9">
        <f t="shared" si="221"/>
        <v>6546.0855311999994</v>
      </c>
      <c r="AF592" s="9">
        <f t="shared" si="208"/>
        <v>2996.52</v>
      </c>
      <c r="AG592" s="9">
        <f t="shared" si="209"/>
        <v>931.85976000000028</v>
      </c>
      <c r="AH592" s="9">
        <f t="shared" si="222"/>
        <v>3549.5655311999994</v>
      </c>
      <c r="AI592">
        <f t="shared" si="210"/>
        <v>0.23721223937881206</v>
      </c>
      <c r="AJ592" s="5">
        <f t="shared" si="211"/>
        <v>44928</v>
      </c>
      <c r="AK592" t="str">
        <f t="shared" si="212"/>
        <v>Jan-2023</v>
      </c>
      <c r="AL592">
        <v>0</v>
      </c>
      <c r="AM592">
        <v>0</v>
      </c>
      <c r="AN592">
        <v>0</v>
      </c>
    </row>
    <row r="593" spans="1:40" x14ac:dyDescent="0.45">
      <c r="A593" s="3" t="s">
        <v>208</v>
      </c>
      <c r="B593" s="5">
        <v>44939</v>
      </c>
      <c r="C593" s="9" t="str">
        <f t="shared" si="201"/>
        <v>Jan-2023</v>
      </c>
      <c r="D593" s="5" t="str">
        <f t="shared" si="202"/>
        <v>2023-Q1</v>
      </c>
      <c r="E593" s="5">
        <v>44945</v>
      </c>
      <c r="F593" s="9">
        <f t="shared" si="213"/>
        <v>6</v>
      </c>
      <c r="G593" s="9" t="str">
        <f t="shared" si="214"/>
        <v>ACHIEVED</v>
      </c>
      <c r="H593" s="3" t="s">
        <v>642</v>
      </c>
      <c r="I593" s="3" t="s">
        <v>654</v>
      </c>
      <c r="J593" s="3" t="s">
        <v>671</v>
      </c>
      <c r="K593" s="13" t="str">
        <f t="shared" si="215"/>
        <v>Americas &gt; USA &gt; Chicago</v>
      </c>
      <c r="L593" s="3" t="s">
        <v>695</v>
      </c>
      <c r="M593" s="3" t="s">
        <v>705</v>
      </c>
      <c r="N593" s="13" t="str">
        <f t="shared" si="203"/>
        <v>Direct</v>
      </c>
      <c r="O593" s="3" t="s">
        <v>716</v>
      </c>
      <c r="P593" s="3" t="s">
        <v>724</v>
      </c>
      <c r="Q593" s="13" t="str">
        <f t="shared" si="204"/>
        <v>Medium</v>
      </c>
      <c r="R593" s="3" t="s">
        <v>927</v>
      </c>
      <c r="S593" s="7">
        <v>833.57</v>
      </c>
      <c r="T593" s="7">
        <f t="shared" si="216"/>
        <v>958.60550000000001</v>
      </c>
      <c r="U593" s="7">
        <v>881.57</v>
      </c>
      <c r="V593" s="7">
        <f t="shared" si="205"/>
        <v>881.57</v>
      </c>
      <c r="W593" s="7">
        <f t="shared" si="217"/>
        <v>1013.8054999999999</v>
      </c>
      <c r="X593" s="16">
        <v>5.7000000000000002E-2</v>
      </c>
      <c r="Y593" t="str">
        <f t="shared" si="206"/>
        <v>OK</v>
      </c>
      <c r="Z593" s="16">
        <f t="shared" si="218"/>
        <v>5.7000000000000002E-2</v>
      </c>
      <c r="AA593" s="16">
        <f t="shared" si="219"/>
        <v>5.7000000000000002E-2</v>
      </c>
      <c r="AB593" s="9">
        <v>18</v>
      </c>
      <c r="AC593" s="9">
        <f t="shared" si="220"/>
        <v>21.599999999999998</v>
      </c>
      <c r="AD593" s="9">
        <f t="shared" si="207"/>
        <v>14963.769179999999</v>
      </c>
      <c r="AE593" s="9">
        <f t="shared" si="221"/>
        <v>23146.396131599999</v>
      </c>
      <c r="AF593" s="9">
        <f t="shared" si="208"/>
        <v>15004.26</v>
      </c>
      <c r="AG593" s="9">
        <f t="shared" si="209"/>
        <v>-40.490820000000895</v>
      </c>
      <c r="AH593" s="9">
        <f t="shared" si="222"/>
        <v>8142.1361315999984</v>
      </c>
      <c r="AI593">
        <f t="shared" si="210"/>
        <v>-2.7059238560107821E-3</v>
      </c>
      <c r="AJ593" s="5">
        <f t="shared" si="211"/>
        <v>44928</v>
      </c>
      <c r="AK593" t="str">
        <f t="shared" si="212"/>
        <v>Jan-2023</v>
      </c>
      <c r="AL593">
        <v>0</v>
      </c>
      <c r="AM593">
        <v>0</v>
      </c>
      <c r="AN593">
        <v>0</v>
      </c>
    </row>
    <row r="594" spans="1:40" x14ac:dyDescent="0.45">
      <c r="A594" s="3" t="s">
        <v>209</v>
      </c>
      <c r="B594" s="5">
        <v>45303</v>
      </c>
      <c r="C594" s="9" t="str">
        <f t="shared" si="201"/>
        <v>Jan-2024</v>
      </c>
      <c r="D594" s="5" t="str">
        <f t="shared" si="202"/>
        <v>2024-Q1</v>
      </c>
      <c r="E594" s="5">
        <v>45320</v>
      </c>
      <c r="F594" s="9">
        <f t="shared" si="213"/>
        <v>17</v>
      </c>
      <c r="G594" s="9" t="str">
        <f t="shared" si="214"/>
        <v>NOT ACHIEVED</v>
      </c>
      <c r="H594" s="3" t="s">
        <v>642</v>
      </c>
      <c r="I594" s="3" t="s">
        <v>654</v>
      </c>
      <c r="J594" s="3" t="s">
        <v>671</v>
      </c>
      <c r="K594" s="13" t="str">
        <f t="shared" si="215"/>
        <v>Americas &gt; USA &gt; Chicago</v>
      </c>
      <c r="L594" s="3" t="s">
        <v>696</v>
      </c>
      <c r="M594" s="3" t="s">
        <v>704</v>
      </c>
      <c r="N594" s="13" t="str">
        <f t="shared" si="203"/>
        <v>Distributor</v>
      </c>
      <c r="O594" s="3" t="s">
        <v>714</v>
      </c>
      <c r="P594" s="3" t="s">
        <v>722</v>
      </c>
      <c r="Q594" s="13" t="str">
        <f t="shared" si="204"/>
        <v>Low</v>
      </c>
      <c r="R594" s="3" t="s">
        <v>928</v>
      </c>
      <c r="S594" s="7">
        <v>493.76</v>
      </c>
      <c r="T594" s="7">
        <f t="shared" si="216"/>
        <v>567.82399999999996</v>
      </c>
      <c r="U594" s="7">
        <v>625.04</v>
      </c>
      <c r="V594" s="7">
        <f t="shared" si="205"/>
        <v>625.04</v>
      </c>
      <c r="W594" s="7">
        <f t="shared" si="217"/>
        <v>718.79599999999994</v>
      </c>
      <c r="X594" s="16">
        <v>0.25800000000000001</v>
      </c>
      <c r="Y594" t="str">
        <f t="shared" si="206"/>
        <v>OK</v>
      </c>
      <c r="Z594" s="16">
        <f t="shared" si="218"/>
        <v>0.25800000000000001</v>
      </c>
      <c r="AA594" s="16">
        <f t="shared" si="219"/>
        <v>0.25</v>
      </c>
      <c r="AB594" s="9">
        <v>10</v>
      </c>
      <c r="AC594" s="9">
        <f t="shared" si="220"/>
        <v>12</v>
      </c>
      <c r="AD594" s="9">
        <f t="shared" si="207"/>
        <v>4637.7968000000001</v>
      </c>
      <c r="AE594" s="9">
        <f t="shared" si="221"/>
        <v>10781.939999999999</v>
      </c>
      <c r="AF594" s="9">
        <f t="shared" si="208"/>
        <v>4937.6000000000004</v>
      </c>
      <c r="AG594" s="9">
        <f t="shared" si="209"/>
        <v>-299.80320000000029</v>
      </c>
      <c r="AH594" s="9">
        <f t="shared" si="222"/>
        <v>5844.3399999999983</v>
      </c>
      <c r="AI594">
        <f t="shared" si="210"/>
        <v>-6.464345311549663E-2</v>
      </c>
      <c r="AJ594" s="5">
        <f t="shared" si="211"/>
        <v>44928</v>
      </c>
      <c r="AK594" t="str">
        <f t="shared" si="212"/>
        <v>Jan-2023</v>
      </c>
      <c r="AL594">
        <v>0</v>
      </c>
      <c r="AM594">
        <v>0</v>
      </c>
      <c r="AN594">
        <v>0</v>
      </c>
    </row>
    <row r="595" spans="1:40" x14ac:dyDescent="0.45">
      <c r="A595" s="3" t="s">
        <v>210</v>
      </c>
      <c r="B595" s="5">
        <v>45153</v>
      </c>
      <c r="C595" s="9" t="str">
        <f t="shared" si="201"/>
        <v>Aug-2023</v>
      </c>
      <c r="D595" s="5" t="str">
        <f t="shared" si="202"/>
        <v>2023-Q3</v>
      </c>
      <c r="E595" s="5">
        <v>45176</v>
      </c>
      <c r="F595" s="9">
        <f t="shared" si="213"/>
        <v>23</v>
      </c>
      <c r="G595" s="9" t="str">
        <f t="shared" si="214"/>
        <v>NOT ACHIEVED</v>
      </c>
      <c r="H595" s="3" t="s">
        <v>642</v>
      </c>
      <c r="I595" s="3" t="s">
        <v>654</v>
      </c>
      <c r="J595" s="3" t="s">
        <v>694</v>
      </c>
      <c r="K595" s="13" t="str">
        <f t="shared" si="215"/>
        <v>Americas &gt; USA &gt; New York</v>
      </c>
      <c r="L595" s="3" t="s">
        <v>700</v>
      </c>
      <c r="M595" s="3" t="s">
        <v>702</v>
      </c>
      <c r="N595" s="13" t="str">
        <f t="shared" si="203"/>
        <v>Online</v>
      </c>
      <c r="O595" s="3" t="s">
        <v>717</v>
      </c>
      <c r="P595" s="3" t="s">
        <v>724</v>
      </c>
      <c r="Q595" s="13" t="str">
        <f t="shared" si="204"/>
        <v>Medium</v>
      </c>
      <c r="R595" s="3" t="s">
        <v>929</v>
      </c>
      <c r="S595" s="7">
        <v>590.33000000000004</v>
      </c>
      <c r="T595" s="7">
        <f t="shared" si="216"/>
        <v>678.87950000000001</v>
      </c>
      <c r="U595" s="7">
        <v>973.04</v>
      </c>
      <c r="V595" s="7">
        <f t="shared" si="205"/>
        <v>973.04</v>
      </c>
      <c r="W595" s="7">
        <f t="shared" si="217"/>
        <v>1118.9959999999999</v>
      </c>
      <c r="X595" s="16">
        <v>0</v>
      </c>
      <c r="Y595" t="str">
        <f t="shared" si="206"/>
        <v>OK</v>
      </c>
      <c r="Z595" s="16">
        <f t="shared" si="218"/>
        <v>0</v>
      </c>
      <c r="AA595" s="16">
        <f t="shared" si="219"/>
        <v>0</v>
      </c>
      <c r="AB595" s="9">
        <v>26</v>
      </c>
      <c r="AC595" s="9">
        <f t="shared" si="220"/>
        <v>31.2</v>
      </c>
      <c r="AD595" s="9">
        <f t="shared" si="207"/>
        <v>25299.040000000001</v>
      </c>
      <c r="AE595" s="9">
        <f t="shared" si="221"/>
        <v>34912.675199999998</v>
      </c>
      <c r="AF595" s="9">
        <f t="shared" si="208"/>
        <v>15348.580000000002</v>
      </c>
      <c r="AG595" s="9">
        <f t="shared" si="209"/>
        <v>9950.4599999999991</v>
      </c>
      <c r="AH595" s="9">
        <f t="shared" si="222"/>
        <v>19564.095199999996</v>
      </c>
      <c r="AI595">
        <f t="shared" si="210"/>
        <v>0.39331373838691108</v>
      </c>
      <c r="AJ595" s="5">
        <f t="shared" si="211"/>
        <v>44928</v>
      </c>
      <c r="AK595" t="str">
        <f t="shared" si="212"/>
        <v>Jan-2023</v>
      </c>
      <c r="AL595">
        <v>0</v>
      </c>
      <c r="AM595">
        <v>0</v>
      </c>
      <c r="AN595">
        <v>0</v>
      </c>
    </row>
    <row r="596" spans="1:40" x14ac:dyDescent="0.45">
      <c r="A596" s="3" t="s">
        <v>229</v>
      </c>
      <c r="B596" s="5">
        <v>45194</v>
      </c>
      <c r="C596" s="9" t="str">
        <f t="shared" si="201"/>
        <v>Sep-2023</v>
      </c>
      <c r="D596" s="5" t="str">
        <f t="shared" si="202"/>
        <v>2023-Q3</v>
      </c>
      <c r="E596" s="5">
        <v>45201</v>
      </c>
      <c r="F596" s="9">
        <f t="shared" si="213"/>
        <v>7</v>
      </c>
      <c r="G596" s="9" t="str">
        <f t="shared" si="214"/>
        <v>ACHIEVED</v>
      </c>
      <c r="H596" s="3" t="s">
        <v>642</v>
      </c>
      <c r="I596" s="3" t="s">
        <v>654</v>
      </c>
      <c r="J596" s="3" t="s">
        <v>694</v>
      </c>
      <c r="K596" s="13" t="str">
        <f t="shared" si="215"/>
        <v>Americas &gt; USA &gt; New York</v>
      </c>
      <c r="L596" s="3" t="s">
        <v>696</v>
      </c>
      <c r="M596" s="3" t="s">
        <v>703</v>
      </c>
      <c r="N596" s="13" t="str">
        <f t="shared" si="203"/>
        <v>Marketplace</v>
      </c>
      <c r="O596" s="3" t="s">
        <v>708</v>
      </c>
      <c r="P596" s="3" t="s">
        <v>727</v>
      </c>
      <c r="Q596" s="13" t="str">
        <f t="shared" si="204"/>
        <v>Low</v>
      </c>
      <c r="R596" s="3" t="s">
        <v>948</v>
      </c>
      <c r="S596" s="7">
        <v>145.58000000000001</v>
      </c>
      <c r="T596" s="7">
        <f t="shared" si="216"/>
        <v>167.417</v>
      </c>
      <c r="U596" s="7">
        <v>228.15</v>
      </c>
      <c r="V596" s="7">
        <f t="shared" si="205"/>
        <v>228.15</v>
      </c>
      <c r="W596" s="7">
        <f t="shared" si="217"/>
        <v>262.3725</v>
      </c>
      <c r="X596" s="16">
        <v>0.20399999999999999</v>
      </c>
      <c r="Y596" t="str">
        <f t="shared" si="206"/>
        <v>OK</v>
      </c>
      <c r="Z596" s="16">
        <f t="shared" si="218"/>
        <v>0.20399999999999999</v>
      </c>
      <c r="AA596" s="16">
        <f t="shared" si="219"/>
        <v>0.20399999999999999</v>
      </c>
      <c r="AB596" s="9">
        <v>5</v>
      </c>
      <c r="AC596" s="9">
        <f t="shared" si="220"/>
        <v>6</v>
      </c>
      <c r="AD596" s="9">
        <f t="shared" si="207"/>
        <v>908.03700000000003</v>
      </c>
      <c r="AE596" s="9">
        <f t="shared" si="221"/>
        <v>1895.3789400000001</v>
      </c>
      <c r="AF596" s="9">
        <f t="shared" si="208"/>
        <v>727.90000000000009</v>
      </c>
      <c r="AG596" s="9">
        <f t="shared" si="209"/>
        <v>180.13699999999994</v>
      </c>
      <c r="AH596" s="9">
        <f t="shared" si="222"/>
        <v>1167.47894</v>
      </c>
      <c r="AI596">
        <f t="shared" si="210"/>
        <v>0.19838068272548359</v>
      </c>
      <c r="AJ596" s="5">
        <f t="shared" si="211"/>
        <v>44928</v>
      </c>
      <c r="AK596" t="str">
        <f t="shared" si="212"/>
        <v>Jan-2023</v>
      </c>
      <c r="AL596">
        <v>0</v>
      </c>
      <c r="AM596">
        <v>0</v>
      </c>
      <c r="AN596">
        <v>0</v>
      </c>
    </row>
    <row r="597" spans="1:40" x14ac:dyDescent="0.45">
      <c r="A597" s="3" t="s">
        <v>235</v>
      </c>
      <c r="B597" s="5">
        <v>45203</v>
      </c>
      <c r="C597" s="9" t="str">
        <f t="shared" si="201"/>
        <v>Oct-2023</v>
      </c>
      <c r="D597" s="5" t="str">
        <f t="shared" si="202"/>
        <v>2023-Q4</v>
      </c>
      <c r="E597" s="5">
        <v>45228</v>
      </c>
      <c r="F597" s="9">
        <f t="shared" si="213"/>
        <v>25</v>
      </c>
      <c r="G597" s="9" t="str">
        <f t="shared" si="214"/>
        <v>NOT ACHIEVED</v>
      </c>
      <c r="H597" s="3" t="s">
        <v>642</v>
      </c>
      <c r="I597" s="3" t="s">
        <v>654</v>
      </c>
      <c r="J597" s="3" t="s">
        <v>680</v>
      </c>
      <c r="K597" s="13" t="str">
        <f t="shared" si="215"/>
        <v>Americas &gt; USA &gt; San Francisco</v>
      </c>
      <c r="L597" s="3" t="s">
        <v>699</v>
      </c>
      <c r="M597" s="3" t="s">
        <v>704</v>
      </c>
      <c r="N597" s="13" t="str">
        <f t="shared" si="203"/>
        <v>Distributor</v>
      </c>
      <c r="O597" s="3" t="s">
        <v>713</v>
      </c>
      <c r="P597" s="3" t="s">
        <v>727</v>
      </c>
      <c r="Q597" s="13" t="str">
        <f t="shared" si="204"/>
        <v>Medium</v>
      </c>
      <c r="R597" s="3" t="s">
        <v>954</v>
      </c>
      <c r="S597" s="7">
        <v>1239.8399999999999</v>
      </c>
      <c r="T597" s="7">
        <f t="shared" si="216"/>
        <v>1425.8159999999998</v>
      </c>
      <c r="U597" s="7">
        <v>1482.75</v>
      </c>
      <c r="V597" s="7">
        <f t="shared" si="205"/>
        <v>1482.75</v>
      </c>
      <c r="W597" s="7">
        <f t="shared" si="217"/>
        <v>1705.1624999999999</v>
      </c>
      <c r="X597" s="16">
        <v>6.7000000000000004E-2</v>
      </c>
      <c r="Y597" t="str">
        <f t="shared" si="206"/>
        <v>OK</v>
      </c>
      <c r="Z597" s="16">
        <f t="shared" si="218"/>
        <v>6.7000000000000004E-2</v>
      </c>
      <c r="AA597" s="16">
        <f t="shared" si="219"/>
        <v>6.7000000000000004E-2</v>
      </c>
      <c r="AB597" s="9">
        <v>4</v>
      </c>
      <c r="AC597" s="9">
        <f t="shared" si="220"/>
        <v>4.8</v>
      </c>
      <c r="AD597" s="9">
        <f t="shared" si="207"/>
        <v>5533.6230000000005</v>
      </c>
      <c r="AE597" s="9">
        <f t="shared" si="221"/>
        <v>8733.1602599999987</v>
      </c>
      <c r="AF597" s="9">
        <f t="shared" si="208"/>
        <v>4959.3599999999997</v>
      </c>
      <c r="AG597" s="9">
        <f t="shared" si="209"/>
        <v>574.26300000000083</v>
      </c>
      <c r="AH597" s="9">
        <f t="shared" si="222"/>
        <v>3773.8002599999991</v>
      </c>
      <c r="AI597">
        <f t="shared" si="210"/>
        <v>0.10377703721413634</v>
      </c>
      <c r="AJ597" s="5">
        <f t="shared" si="211"/>
        <v>44928</v>
      </c>
      <c r="AK597" t="str">
        <f t="shared" si="212"/>
        <v>Jan-2023</v>
      </c>
      <c r="AL597">
        <v>0</v>
      </c>
      <c r="AM597">
        <v>0</v>
      </c>
      <c r="AN597">
        <v>0</v>
      </c>
    </row>
    <row r="598" spans="1:40" x14ac:dyDescent="0.45">
      <c r="A598" s="3" t="s">
        <v>236</v>
      </c>
      <c r="B598" s="5">
        <v>45879</v>
      </c>
      <c r="C598" s="9" t="str">
        <f t="shared" si="201"/>
        <v>Aug-2025</v>
      </c>
      <c r="D598" s="5" t="str">
        <f t="shared" si="202"/>
        <v>2025-Q3</v>
      </c>
      <c r="E598" s="5">
        <v>45899</v>
      </c>
      <c r="F598" s="9">
        <f t="shared" si="213"/>
        <v>20</v>
      </c>
      <c r="G598" s="9" t="str">
        <f t="shared" si="214"/>
        <v>NOT ACHIEVED</v>
      </c>
      <c r="H598" s="3" t="s">
        <v>642</v>
      </c>
      <c r="I598" s="3" t="s">
        <v>654</v>
      </c>
      <c r="J598" s="3" t="s">
        <v>680</v>
      </c>
      <c r="K598" s="13" t="str">
        <f t="shared" si="215"/>
        <v>Americas &gt; USA &gt; San Francisco</v>
      </c>
      <c r="L598" s="3" t="s">
        <v>695</v>
      </c>
      <c r="M598" s="3" t="s">
        <v>703</v>
      </c>
      <c r="N598" s="13" t="str">
        <f t="shared" si="203"/>
        <v>Marketplace</v>
      </c>
      <c r="O598" s="3" t="s">
        <v>717</v>
      </c>
      <c r="P598" s="3" t="s">
        <v>722</v>
      </c>
      <c r="Q598" s="13" t="str">
        <f t="shared" si="204"/>
        <v>Medium</v>
      </c>
      <c r="R598" s="3" t="s">
        <v>955</v>
      </c>
      <c r="S598" s="7">
        <v>933.29</v>
      </c>
      <c r="T598" s="7">
        <f t="shared" si="216"/>
        <v>1073.2834999999998</v>
      </c>
      <c r="U598" s="7">
        <v>1456.81</v>
      </c>
      <c r="V598" s="7">
        <f t="shared" si="205"/>
        <v>1456.81</v>
      </c>
      <c r="W598" s="7">
        <f t="shared" si="217"/>
        <v>1675.3314999999998</v>
      </c>
      <c r="X598" s="16">
        <v>0.123</v>
      </c>
      <c r="Y598" t="str">
        <f t="shared" si="206"/>
        <v>OK</v>
      </c>
      <c r="Z598" s="16">
        <f t="shared" si="218"/>
        <v>0.123</v>
      </c>
      <c r="AA598" s="16">
        <f t="shared" si="219"/>
        <v>0.123</v>
      </c>
      <c r="AB598" s="9">
        <v>13</v>
      </c>
      <c r="AC598" s="9">
        <f t="shared" si="220"/>
        <v>15.6</v>
      </c>
      <c r="AD598" s="9">
        <f t="shared" si="207"/>
        <v>16609.090809999998</v>
      </c>
      <c r="AE598" s="9">
        <f t="shared" si="221"/>
        <v>29349.797482199996</v>
      </c>
      <c r="AF598" s="9">
        <f t="shared" si="208"/>
        <v>12132.77</v>
      </c>
      <c r="AG598" s="9">
        <f t="shared" si="209"/>
        <v>4476.3208099999974</v>
      </c>
      <c r="AH598" s="9">
        <f t="shared" si="222"/>
        <v>17217.027482199996</v>
      </c>
      <c r="AI598">
        <f t="shared" si="210"/>
        <v>0.26951028573489977</v>
      </c>
      <c r="AJ598" s="5">
        <f t="shared" si="211"/>
        <v>44928</v>
      </c>
      <c r="AK598" t="str">
        <f t="shared" si="212"/>
        <v>Jan-2023</v>
      </c>
      <c r="AL598">
        <v>0</v>
      </c>
      <c r="AM598">
        <v>0</v>
      </c>
      <c r="AN598">
        <v>0</v>
      </c>
    </row>
    <row r="599" spans="1:40" x14ac:dyDescent="0.45">
      <c r="A599" s="3" t="s">
        <v>247</v>
      </c>
      <c r="B599" s="5">
        <v>45381</v>
      </c>
      <c r="C599" s="9" t="str">
        <f t="shared" si="201"/>
        <v>Mar-2024</v>
      </c>
      <c r="D599" s="5" t="str">
        <f t="shared" si="202"/>
        <v>2024-Q1</v>
      </c>
      <c r="E599" s="5">
        <v>45406</v>
      </c>
      <c r="F599" s="9">
        <f t="shared" si="213"/>
        <v>25</v>
      </c>
      <c r="G599" s="9" t="str">
        <f t="shared" si="214"/>
        <v>NOT ACHIEVED</v>
      </c>
      <c r="H599" s="3" t="s">
        <v>642</v>
      </c>
      <c r="I599" s="3" t="s">
        <v>654</v>
      </c>
      <c r="J599" s="3" t="s">
        <v>691</v>
      </c>
      <c r="K599" s="13" t="str">
        <f t="shared" si="215"/>
        <v>Americas &gt; USA &gt; Austin</v>
      </c>
      <c r="L599" s="3" t="s">
        <v>697</v>
      </c>
      <c r="M599" s="3" t="s">
        <v>702</v>
      </c>
      <c r="N599" s="13" t="str">
        <f t="shared" si="203"/>
        <v>Online</v>
      </c>
      <c r="O599" s="3" t="s">
        <v>709</v>
      </c>
      <c r="P599" s="3" t="s">
        <v>725</v>
      </c>
      <c r="Q599" s="13" t="str">
        <f t="shared" si="204"/>
        <v>Low</v>
      </c>
      <c r="R599" s="3" t="s">
        <v>966</v>
      </c>
      <c r="S599" s="7">
        <v>160.82</v>
      </c>
      <c r="T599" s="7">
        <f t="shared" si="216"/>
        <v>184.94299999999998</v>
      </c>
      <c r="U599" s="7">
        <v>258.52</v>
      </c>
      <c r="V599" s="7">
        <f t="shared" si="205"/>
        <v>258.52</v>
      </c>
      <c r="W599" s="7">
        <f t="shared" si="217"/>
        <v>297.29799999999994</v>
      </c>
      <c r="X599" s="16">
        <v>0.13</v>
      </c>
      <c r="Y599" t="str">
        <f t="shared" si="206"/>
        <v>OK</v>
      </c>
      <c r="Z599" s="16">
        <f t="shared" si="218"/>
        <v>0.13</v>
      </c>
      <c r="AA599" s="16">
        <f t="shared" si="219"/>
        <v>0.13</v>
      </c>
      <c r="AB599" s="9">
        <v>17</v>
      </c>
      <c r="AC599" s="9">
        <f t="shared" si="220"/>
        <v>20.399999999999999</v>
      </c>
      <c r="AD599" s="9">
        <f t="shared" si="207"/>
        <v>3823.5108</v>
      </c>
      <c r="AE599" s="9">
        <f t="shared" si="221"/>
        <v>6853.3134959999979</v>
      </c>
      <c r="AF599" s="9">
        <f t="shared" si="208"/>
        <v>2733.94</v>
      </c>
      <c r="AG599" s="9">
        <f t="shared" si="209"/>
        <v>1089.5708</v>
      </c>
      <c r="AH599" s="9">
        <f t="shared" si="222"/>
        <v>4119.3734959999983</v>
      </c>
      <c r="AI599">
        <f t="shared" si="210"/>
        <v>0.28496605789631874</v>
      </c>
      <c r="AJ599" s="5">
        <f t="shared" si="211"/>
        <v>44928</v>
      </c>
      <c r="AK599" t="str">
        <f t="shared" si="212"/>
        <v>Jan-2023</v>
      </c>
      <c r="AL599">
        <v>0</v>
      </c>
      <c r="AM599">
        <v>0</v>
      </c>
      <c r="AN599">
        <v>0</v>
      </c>
    </row>
    <row r="600" spans="1:40" x14ac:dyDescent="0.45">
      <c r="A600" s="3" t="s">
        <v>258</v>
      </c>
      <c r="B600" s="5">
        <v>45537</v>
      </c>
      <c r="C600" s="9" t="str">
        <f t="shared" si="201"/>
        <v>Sep-2024</v>
      </c>
      <c r="D600" s="5" t="str">
        <f t="shared" si="202"/>
        <v>2024-Q3</v>
      </c>
      <c r="E600" s="5">
        <v>45543</v>
      </c>
      <c r="F600" s="9">
        <f t="shared" si="213"/>
        <v>6</v>
      </c>
      <c r="G600" s="9" t="str">
        <f t="shared" si="214"/>
        <v>ACHIEVED</v>
      </c>
      <c r="H600" s="3" t="s">
        <v>642</v>
      </c>
      <c r="I600" s="3" t="s">
        <v>654</v>
      </c>
      <c r="J600" s="3" t="s">
        <v>691</v>
      </c>
      <c r="K600" s="13" t="str">
        <f t="shared" si="215"/>
        <v>Americas &gt; USA &gt; Austin</v>
      </c>
      <c r="L600" s="3" t="s">
        <v>698</v>
      </c>
      <c r="M600" s="3" t="s">
        <v>705</v>
      </c>
      <c r="N600" s="13" t="str">
        <f t="shared" si="203"/>
        <v>Direct</v>
      </c>
      <c r="O600" s="3" t="s">
        <v>716</v>
      </c>
      <c r="P600" s="3" t="s">
        <v>721</v>
      </c>
      <c r="Q600" s="13" t="str">
        <f t="shared" si="204"/>
        <v>Medium</v>
      </c>
      <c r="R600" s="3" t="s">
        <v>977</v>
      </c>
      <c r="S600" s="7">
        <v>462.94</v>
      </c>
      <c r="T600" s="7">
        <f t="shared" si="216"/>
        <v>532.38099999999997</v>
      </c>
      <c r="U600" s="7">
        <v>1015.7</v>
      </c>
      <c r="V600" s="7">
        <f t="shared" si="205"/>
        <v>1015.7</v>
      </c>
      <c r="W600" s="7">
        <f t="shared" si="217"/>
        <v>1168.0550000000001</v>
      </c>
      <c r="X600" s="16">
        <v>0.14299999999999999</v>
      </c>
      <c r="Y600" t="str">
        <f t="shared" si="206"/>
        <v>OK</v>
      </c>
      <c r="Z600" s="16">
        <f t="shared" si="218"/>
        <v>0.14299999999999999</v>
      </c>
      <c r="AA600" s="16">
        <f t="shared" si="219"/>
        <v>0.14299999999999999</v>
      </c>
      <c r="AB600" s="9">
        <v>14</v>
      </c>
      <c r="AC600" s="9">
        <f t="shared" si="220"/>
        <v>16.8</v>
      </c>
      <c r="AD600" s="9">
        <f t="shared" si="207"/>
        <v>12186.368600000002</v>
      </c>
      <c r="AE600" s="9">
        <f t="shared" si="221"/>
        <v>22429.459332000002</v>
      </c>
      <c r="AF600" s="9">
        <f t="shared" si="208"/>
        <v>6481.16</v>
      </c>
      <c r="AG600" s="9">
        <f t="shared" si="209"/>
        <v>5705.2086000000018</v>
      </c>
      <c r="AH600" s="9">
        <f t="shared" si="222"/>
        <v>15948.299332000002</v>
      </c>
      <c r="AI600">
        <f t="shared" si="210"/>
        <v>0.46816314090483041</v>
      </c>
      <c r="AJ600" s="5">
        <f t="shared" si="211"/>
        <v>44928</v>
      </c>
      <c r="AK600" t="str">
        <f t="shared" si="212"/>
        <v>Jan-2023</v>
      </c>
      <c r="AL600">
        <v>0</v>
      </c>
      <c r="AM600">
        <v>0</v>
      </c>
      <c r="AN600">
        <v>0</v>
      </c>
    </row>
    <row r="601" spans="1:40" x14ac:dyDescent="0.45">
      <c r="A601" s="3" t="s">
        <v>261</v>
      </c>
      <c r="B601" s="5">
        <v>45502</v>
      </c>
      <c r="C601" s="9" t="str">
        <f t="shared" si="201"/>
        <v>Jul-2024</v>
      </c>
      <c r="D601" s="5" t="str">
        <f t="shared" si="202"/>
        <v>2024-Q3</v>
      </c>
      <c r="E601" s="5">
        <v>45504</v>
      </c>
      <c r="F601" s="9">
        <f t="shared" si="213"/>
        <v>2</v>
      </c>
      <c r="G601" s="9" t="str">
        <f t="shared" si="214"/>
        <v>ACHIEVED</v>
      </c>
      <c r="H601" s="3" t="s">
        <v>642</v>
      </c>
      <c r="I601" s="3" t="s">
        <v>654</v>
      </c>
      <c r="J601" s="3" t="s">
        <v>694</v>
      </c>
      <c r="K601" s="13" t="str">
        <f t="shared" si="215"/>
        <v>Americas &gt; USA &gt; New York</v>
      </c>
      <c r="L601" s="3" t="s">
        <v>696</v>
      </c>
      <c r="M601" s="3" t="s">
        <v>703</v>
      </c>
      <c r="N601" s="13" t="str">
        <f t="shared" si="203"/>
        <v>Marketplace</v>
      </c>
      <c r="O601" s="3" t="s">
        <v>708</v>
      </c>
      <c r="P601" s="3" t="s">
        <v>722</v>
      </c>
      <c r="Q601" s="13" t="str">
        <f t="shared" si="204"/>
        <v>High</v>
      </c>
      <c r="R601" s="3" t="s">
        <v>980</v>
      </c>
      <c r="S601" s="7">
        <v>798.97</v>
      </c>
      <c r="T601" s="7">
        <f t="shared" si="216"/>
        <v>918.81549999999993</v>
      </c>
      <c r="U601" s="7">
        <v>1814.06</v>
      </c>
      <c r="V601" s="7">
        <f t="shared" si="205"/>
        <v>1814.06</v>
      </c>
      <c r="W601" s="7">
        <f t="shared" si="217"/>
        <v>2086.1689999999999</v>
      </c>
      <c r="X601" s="16">
        <v>0.122</v>
      </c>
      <c r="Y601" t="str">
        <f t="shared" si="206"/>
        <v>OK</v>
      </c>
      <c r="Z601" s="16">
        <f t="shared" si="218"/>
        <v>0.122</v>
      </c>
      <c r="AA601" s="16">
        <f t="shared" si="219"/>
        <v>0.122</v>
      </c>
      <c r="AB601" s="9">
        <v>16</v>
      </c>
      <c r="AC601" s="9">
        <f t="shared" si="220"/>
        <v>19.2</v>
      </c>
      <c r="AD601" s="9">
        <f t="shared" si="207"/>
        <v>25483.91488</v>
      </c>
      <c r="AE601" s="9">
        <f t="shared" si="221"/>
        <v>44941.08706559999</v>
      </c>
      <c r="AF601" s="9">
        <f t="shared" si="208"/>
        <v>12783.52</v>
      </c>
      <c r="AG601" s="9">
        <f t="shared" si="209"/>
        <v>12700.39488</v>
      </c>
      <c r="AH601" s="9">
        <f t="shared" si="222"/>
        <v>32157.567065599989</v>
      </c>
      <c r="AI601">
        <f t="shared" si="210"/>
        <v>0.49836906691159061</v>
      </c>
      <c r="AJ601" s="5">
        <f t="shared" si="211"/>
        <v>44928</v>
      </c>
      <c r="AK601" t="str">
        <f t="shared" si="212"/>
        <v>Jan-2023</v>
      </c>
      <c r="AL601">
        <v>0</v>
      </c>
      <c r="AM601">
        <v>0</v>
      </c>
      <c r="AN601">
        <v>0</v>
      </c>
    </row>
    <row r="602" spans="1:40" x14ac:dyDescent="0.45">
      <c r="A602" s="3" t="s">
        <v>284</v>
      </c>
      <c r="B602" s="5">
        <v>45378</v>
      </c>
      <c r="C602" s="9" t="str">
        <f t="shared" si="201"/>
        <v>Mar-2024</v>
      </c>
      <c r="D602" s="5" t="str">
        <f t="shared" si="202"/>
        <v>2024-Q1</v>
      </c>
      <c r="E602" s="5">
        <v>45393</v>
      </c>
      <c r="F602" s="9">
        <f t="shared" si="213"/>
        <v>15</v>
      </c>
      <c r="G602" s="9" t="str">
        <f t="shared" si="214"/>
        <v>NOT ACHIEVED</v>
      </c>
      <c r="H602" s="3" t="s">
        <v>642</v>
      </c>
      <c r="I602" s="3" t="s">
        <v>654</v>
      </c>
      <c r="J602" s="3" t="s">
        <v>680</v>
      </c>
      <c r="K602" s="13" t="str">
        <f t="shared" si="215"/>
        <v>Americas &gt; USA &gt; San Francisco</v>
      </c>
      <c r="L602" s="3" t="s">
        <v>699</v>
      </c>
      <c r="M602" s="3" t="s">
        <v>705</v>
      </c>
      <c r="N602" s="13" t="str">
        <f t="shared" si="203"/>
        <v>Direct</v>
      </c>
      <c r="O602" s="3" t="s">
        <v>713</v>
      </c>
      <c r="P602" s="3" t="s">
        <v>723</v>
      </c>
      <c r="Q602" s="13" t="str">
        <f t="shared" si="204"/>
        <v>High</v>
      </c>
      <c r="R602" s="3" t="s">
        <v>1003</v>
      </c>
      <c r="S602" s="7">
        <v>1338.35</v>
      </c>
      <c r="T602" s="7">
        <f t="shared" si="216"/>
        <v>1539.1024999999997</v>
      </c>
      <c r="U602" s="7">
        <v>2247.14</v>
      </c>
      <c r="V602" s="7">
        <f t="shared" si="205"/>
        <v>2247.14</v>
      </c>
      <c r="W602" s="7">
        <f t="shared" si="217"/>
        <v>2584.2109999999998</v>
      </c>
      <c r="X602" s="16">
        <v>0.115</v>
      </c>
      <c r="Y602" t="str">
        <f t="shared" si="206"/>
        <v>OK</v>
      </c>
      <c r="Z602" s="16">
        <f t="shared" si="218"/>
        <v>0.115</v>
      </c>
      <c r="AA602" s="16">
        <f t="shared" si="219"/>
        <v>0.115</v>
      </c>
      <c r="AB602" s="9">
        <v>40</v>
      </c>
      <c r="AC602" s="9">
        <f t="shared" si="220"/>
        <v>48</v>
      </c>
      <c r="AD602" s="9">
        <f t="shared" si="207"/>
        <v>79548.755999999994</v>
      </c>
      <c r="AE602" s="9">
        <f t="shared" si="221"/>
        <v>138306.97271999999</v>
      </c>
      <c r="AF602" s="9">
        <f t="shared" si="208"/>
        <v>53534</v>
      </c>
      <c r="AG602" s="9">
        <f t="shared" si="209"/>
        <v>26014.755999999994</v>
      </c>
      <c r="AH602" s="9">
        <f t="shared" si="222"/>
        <v>84772.972719999991</v>
      </c>
      <c r="AI602">
        <f t="shared" si="210"/>
        <v>0.32702907384246205</v>
      </c>
      <c r="AJ602" s="5">
        <f t="shared" si="211"/>
        <v>44928</v>
      </c>
      <c r="AK602" t="str">
        <f t="shared" si="212"/>
        <v>Jan-2023</v>
      </c>
      <c r="AL602">
        <v>0</v>
      </c>
      <c r="AM602">
        <v>0</v>
      </c>
      <c r="AN602">
        <v>0</v>
      </c>
    </row>
    <row r="603" spans="1:40" x14ac:dyDescent="0.45">
      <c r="A603" s="3" t="s">
        <v>288</v>
      </c>
      <c r="B603" s="5">
        <v>45092</v>
      </c>
      <c r="C603" s="9" t="str">
        <f t="shared" si="201"/>
        <v>Jun-2023</v>
      </c>
      <c r="D603" s="5" t="str">
        <f t="shared" si="202"/>
        <v>2023-Q2</v>
      </c>
      <c r="E603" s="5">
        <v>45100</v>
      </c>
      <c r="F603" s="9">
        <f t="shared" si="213"/>
        <v>8</v>
      </c>
      <c r="G603" s="9" t="str">
        <f t="shared" si="214"/>
        <v>NOT ACHIEVED</v>
      </c>
      <c r="H603" s="3" t="s">
        <v>642</v>
      </c>
      <c r="I603" s="3" t="s">
        <v>654</v>
      </c>
      <c r="J603" s="3" t="s">
        <v>680</v>
      </c>
      <c r="K603" s="13" t="str">
        <f t="shared" si="215"/>
        <v>Americas &gt; USA &gt; San Francisco</v>
      </c>
      <c r="L603" s="3" t="s">
        <v>698</v>
      </c>
      <c r="M603" s="3" t="s">
        <v>704</v>
      </c>
      <c r="N603" s="13" t="str">
        <f t="shared" si="203"/>
        <v>Distributor</v>
      </c>
      <c r="O603" s="3" t="s">
        <v>713</v>
      </c>
      <c r="P603" s="3" t="s">
        <v>726</v>
      </c>
      <c r="Q603" s="13" t="str">
        <f t="shared" si="204"/>
        <v>High</v>
      </c>
      <c r="R603" s="3" t="s">
        <v>1007</v>
      </c>
      <c r="S603" s="7">
        <v>1097.0899999999999</v>
      </c>
      <c r="T603" s="7">
        <f t="shared" si="216"/>
        <v>1261.6534999999999</v>
      </c>
      <c r="U603" s="7">
        <v>2182.31</v>
      </c>
      <c r="V603" s="7">
        <f t="shared" si="205"/>
        <v>2182.31</v>
      </c>
      <c r="W603" s="7">
        <f t="shared" si="217"/>
        <v>2509.6564999999996</v>
      </c>
      <c r="X603" s="16">
        <v>0.112</v>
      </c>
      <c r="Y603" t="str">
        <f t="shared" si="206"/>
        <v>OK</v>
      </c>
      <c r="Z603" s="16">
        <f t="shared" si="218"/>
        <v>0.112</v>
      </c>
      <c r="AA603" s="16">
        <f t="shared" si="219"/>
        <v>0.112</v>
      </c>
      <c r="AB603" s="9">
        <v>9</v>
      </c>
      <c r="AC603" s="9">
        <f t="shared" si="220"/>
        <v>10.799999999999999</v>
      </c>
      <c r="AD603" s="9">
        <f t="shared" si="207"/>
        <v>17441.021520000002</v>
      </c>
      <c r="AE603" s="9">
        <f t="shared" si="221"/>
        <v>30139.970702399994</v>
      </c>
      <c r="AF603" s="9">
        <f t="shared" si="208"/>
        <v>9873.81</v>
      </c>
      <c r="AG603" s="9">
        <f t="shared" si="209"/>
        <v>7567.2115200000026</v>
      </c>
      <c r="AH603" s="9">
        <f t="shared" si="222"/>
        <v>20266.160702399997</v>
      </c>
      <c r="AI603">
        <f t="shared" si="210"/>
        <v>0.43387432962699546</v>
      </c>
      <c r="AJ603" s="5">
        <f t="shared" si="211"/>
        <v>44928</v>
      </c>
      <c r="AK603" t="str">
        <f t="shared" si="212"/>
        <v>Jan-2023</v>
      </c>
      <c r="AL603">
        <v>0</v>
      </c>
      <c r="AM603">
        <v>0</v>
      </c>
      <c r="AN603">
        <v>0</v>
      </c>
    </row>
    <row r="604" spans="1:40" x14ac:dyDescent="0.45">
      <c r="A604" s="3" t="s">
        <v>305</v>
      </c>
      <c r="B604" s="5">
        <v>45097</v>
      </c>
      <c r="C604" s="9" t="str">
        <f t="shared" si="201"/>
        <v>Jun-2023</v>
      </c>
      <c r="D604" s="5" t="str">
        <f t="shared" si="202"/>
        <v>2023-Q2</v>
      </c>
      <c r="E604" s="5">
        <v>45115</v>
      </c>
      <c r="F604" s="9">
        <f t="shared" si="213"/>
        <v>18</v>
      </c>
      <c r="G604" s="9" t="str">
        <f t="shared" si="214"/>
        <v>NOT ACHIEVED</v>
      </c>
      <c r="H604" s="3" t="s">
        <v>642</v>
      </c>
      <c r="I604" s="3" t="s">
        <v>654</v>
      </c>
      <c r="J604" s="3" t="s">
        <v>691</v>
      </c>
      <c r="K604" s="13" t="str">
        <f t="shared" si="215"/>
        <v>Americas &gt; USA &gt; Austin</v>
      </c>
      <c r="L604" s="3" t="s">
        <v>697</v>
      </c>
      <c r="M604" s="3" t="s">
        <v>705</v>
      </c>
      <c r="N604" s="13" t="str">
        <f t="shared" si="203"/>
        <v>Direct</v>
      </c>
      <c r="O604" s="3" t="s">
        <v>715</v>
      </c>
      <c r="P604" s="3" t="s">
        <v>726</v>
      </c>
      <c r="Q604" s="13" t="str">
        <f t="shared" si="204"/>
        <v>Low</v>
      </c>
      <c r="R604" s="3" t="s">
        <v>1024</v>
      </c>
      <c r="S604" s="7">
        <v>337</v>
      </c>
      <c r="T604" s="7">
        <f t="shared" si="216"/>
        <v>387.54999999999995</v>
      </c>
      <c r="U604" s="7">
        <v>511.03</v>
      </c>
      <c r="V604" s="7">
        <f t="shared" si="205"/>
        <v>511.03</v>
      </c>
      <c r="W604" s="7">
        <f t="shared" si="217"/>
        <v>587.68449999999996</v>
      </c>
      <c r="X604" s="16">
        <v>0.108</v>
      </c>
      <c r="Y604" t="str">
        <f t="shared" si="206"/>
        <v>OK</v>
      </c>
      <c r="Z604" s="16">
        <f t="shared" si="218"/>
        <v>0.108</v>
      </c>
      <c r="AA604" s="16">
        <f t="shared" si="219"/>
        <v>0.108</v>
      </c>
      <c r="AB604" s="9">
        <v>7</v>
      </c>
      <c r="AC604" s="9">
        <f t="shared" si="220"/>
        <v>8.4</v>
      </c>
      <c r="AD604" s="9">
        <f t="shared" si="207"/>
        <v>3190.8713200000002</v>
      </c>
      <c r="AE604" s="9">
        <f t="shared" si="221"/>
        <v>5469.6971784000007</v>
      </c>
      <c r="AF604" s="9">
        <f t="shared" si="208"/>
        <v>2359</v>
      </c>
      <c r="AG604" s="9">
        <f t="shared" si="209"/>
        <v>831.8713200000002</v>
      </c>
      <c r="AH604" s="9">
        <f t="shared" si="222"/>
        <v>3110.6971784000007</v>
      </c>
      <c r="AI604">
        <f t="shared" si="210"/>
        <v>0.26070349963219458</v>
      </c>
      <c r="AJ604" s="5">
        <f t="shared" si="211"/>
        <v>44928</v>
      </c>
      <c r="AK604" t="str">
        <f t="shared" si="212"/>
        <v>Jan-2023</v>
      </c>
      <c r="AL604">
        <v>0</v>
      </c>
      <c r="AM604">
        <v>0</v>
      </c>
      <c r="AN604">
        <v>0</v>
      </c>
    </row>
    <row r="605" spans="1:40" x14ac:dyDescent="0.45">
      <c r="A605" s="3" t="s">
        <v>306</v>
      </c>
      <c r="B605" s="5">
        <v>45377</v>
      </c>
      <c r="C605" s="9" t="str">
        <f t="shared" si="201"/>
        <v>Mar-2024</v>
      </c>
      <c r="D605" s="5" t="str">
        <f t="shared" si="202"/>
        <v>2024-Q1</v>
      </c>
      <c r="E605" s="5">
        <v>45387</v>
      </c>
      <c r="F605" s="9">
        <f t="shared" si="213"/>
        <v>10</v>
      </c>
      <c r="G605" s="9" t="str">
        <f t="shared" si="214"/>
        <v>NOT ACHIEVED</v>
      </c>
      <c r="H605" s="3" t="s">
        <v>642</v>
      </c>
      <c r="I605" s="3" t="s">
        <v>654</v>
      </c>
      <c r="J605" s="3" t="s">
        <v>691</v>
      </c>
      <c r="K605" s="13" t="str">
        <f t="shared" si="215"/>
        <v>Americas &gt; USA &gt; Austin</v>
      </c>
      <c r="L605" s="3" t="s">
        <v>698</v>
      </c>
      <c r="M605" s="3" t="s">
        <v>705</v>
      </c>
      <c r="N605" s="13" t="str">
        <f t="shared" si="203"/>
        <v>Direct</v>
      </c>
      <c r="O605" s="3" t="s">
        <v>707</v>
      </c>
      <c r="P605" s="3" t="s">
        <v>726</v>
      </c>
      <c r="Q605" s="13" t="str">
        <f t="shared" si="204"/>
        <v>Low</v>
      </c>
      <c r="R605" s="3" t="s">
        <v>1025</v>
      </c>
      <c r="S605" s="7">
        <v>5.66</v>
      </c>
      <c r="T605" s="7">
        <f t="shared" si="216"/>
        <v>6.5089999999999995</v>
      </c>
      <c r="U605" s="7">
        <v>4.22</v>
      </c>
      <c r="V605" s="7">
        <f t="shared" si="205"/>
        <v>4.22</v>
      </c>
      <c r="W605" s="7">
        <f t="shared" si="217"/>
        <v>4.8529999999999998</v>
      </c>
      <c r="X605" s="16">
        <v>0.11899999999999999</v>
      </c>
      <c r="Y605" t="str">
        <f t="shared" si="206"/>
        <v>OK</v>
      </c>
      <c r="Z605" s="16">
        <f t="shared" si="218"/>
        <v>0.11899999999999999</v>
      </c>
      <c r="AA605" s="16">
        <f t="shared" si="219"/>
        <v>0.11899999999999999</v>
      </c>
      <c r="AB605" s="9">
        <v>18</v>
      </c>
      <c r="AC605" s="9">
        <f t="shared" si="220"/>
        <v>21.599999999999998</v>
      </c>
      <c r="AD605" s="9">
        <f t="shared" si="207"/>
        <v>66.920760000000001</v>
      </c>
      <c r="AE605" s="9">
        <f t="shared" si="221"/>
        <v>117.29895119999998</v>
      </c>
      <c r="AF605" s="9">
        <f t="shared" si="208"/>
        <v>101.88</v>
      </c>
      <c r="AG605" s="9">
        <f t="shared" si="209"/>
        <v>-34.959239999999994</v>
      </c>
      <c r="AH605" s="9">
        <f t="shared" si="222"/>
        <v>15.418951199999981</v>
      </c>
      <c r="AI605">
        <f t="shared" si="210"/>
        <v>-0.52239753403876454</v>
      </c>
      <c r="AJ605" s="5">
        <f t="shared" si="211"/>
        <v>44928</v>
      </c>
      <c r="AK605" t="str">
        <f t="shared" si="212"/>
        <v>Jan-2023</v>
      </c>
      <c r="AL605">
        <v>0</v>
      </c>
      <c r="AM605">
        <v>0</v>
      </c>
      <c r="AN605">
        <v>0</v>
      </c>
    </row>
    <row r="606" spans="1:40" x14ac:dyDescent="0.45">
      <c r="A606" s="3" t="s">
        <v>315</v>
      </c>
      <c r="B606" s="5">
        <v>45795</v>
      </c>
      <c r="C606" s="9" t="str">
        <f t="shared" si="201"/>
        <v>May-2025</v>
      </c>
      <c r="D606" s="5" t="str">
        <f t="shared" si="202"/>
        <v>2025-Q2</v>
      </c>
      <c r="E606" s="5">
        <v>45817</v>
      </c>
      <c r="F606" s="9">
        <f t="shared" si="213"/>
        <v>22</v>
      </c>
      <c r="G606" s="9" t="str">
        <f t="shared" si="214"/>
        <v>NOT ACHIEVED</v>
      </c>
      <c r="H606" s="3" t="s">
        <v>642</v>
      </c>
      <c r="I606" s="3" t="s">
        <v>654</v>
      </c>
      <c r="J606" s="3" t="s">
        <v>694</v>
      </c>
      <c r="K606" s="13" t="str">
        <f t="shared" si="215"/>
        <v>Americas &gt; USA &gt; New York</v>
      </c>
      <c r="L606" s="3" t="s">
        <v>698</v>
      </c>
      <c r="M606" s="3" t="s">
        <v>701</v>
      </c>
      <c r="N606" s="13" t="str">
        <f t="shared" si="203"/>
        <v>Retail</v>
      </c>
      <c r="O606" s="3" t="s">
        <v>716</v>
      </c>
      <c r="P606" s="3" t="s">
        <v>723</v>
      </c>
      <c r="Q606" s="13" t="str">
        <f t="shared" si="204"/>
        <v>Low</v>
      </c>
      <c r="R606" s="3" t="s">
        <v>1034</v>
      </c>
      <c r="S606" s="7">
        <v>382.96</v>
      </c>
      <c r="T606" s="7">
        <f t="shared" si="216"/>
        <v>440.40399999999994</v>
      </c>
      <c r="U606" s="7">
        <v>552.84</v>
      </c>
      <c r="V606" s="7">
        <f t="shared" si="205"/>
        <v>552.84</v>
      </c>
      <c r="W606" s="7">
        <f t="shared" si="217"/>
        <v>635.76599999999996</v>
      </c>
      <c r="X606" s="16">
        <v>0.17599999999999999</v>
      </c>
      <c r="Y606" t="str">
        <f t="shared" si="206"/>
        <v>OK</v>
      </c>
      <c r="Z606" s="16">
        <f t="shared" si="218"/>
        <v>0.17599999999999999</v>
      </c>
      <c r="AA606" s="16">
        <f t="shared" si="219"/>
        <v>0.17599999999999999</v>
      </c>
      <c r="AB606" s="9">
        <v>8</v>
      </c>
      <c r="AC606" s="9">
        <f t="shared" si="220"/>
        <v>9.6</v>
      </c>
      <c r="AD606" s="9">
        <f t="shared" si="207"/>
        <v>3644.3212800000006</v>
      </c>
      <c r="AE606" s="9">
        <f t="shared" si="221"/>
        <v>7177.5438335999988</v>
      </c>
      <c r="AF606" s="9">
        <f t="shared" si="208"/>
        <v>3063.68</v>
      </c>
      <c r="AG606" s="9">
        <f t="shared" si="209"/>
        <v>580.64128000000073</v>
      </c>
      <c r="AH606" s="9">
        <f t="shared" si="222"/>
        <v>4113.8638335999985</v>
      </c>
      <c r="AI606">
        <f t="shared" si="210"/>
        <v>0.15932768693763483</v>
      </c>
      <c r="AJ606" s="5">
        <f t="shared" si="211"/>
        <v>44928</v>
      </c>
      <c r="AK606" t="str">
        <f t="shared" si="212"/>
        <v>Jan-2023</v>
      </c>
      <c r="AL606">
        <v>0</v>
      </c>
      <c r="AM606">
        <v>0</v>
      </c>
      <c r="AN606">
        <v>0</v>
      </c>
    </row>
    <row r="607" spans="1:40" x14ac:dyDescent="0.45">
      <c r="A607" s="3" t="s">
        <v>326</v>
      </c>
      <c r="B607" s="5">
        <v>45748</v>
      </c>
      <c r="C607" s="9" t="str">
        <f t="shared" si="201"/>
        <v>Apr-2025</v>
      </c>
      <c r="D607" s="5" t="str">
        <f t="shared" si="202"/>
        <v>2025-Q2</v>
      </c>
      <c r="E607" s="5">
        <v>45774</v>
      </c>
      <c r="F607" s="9">
        <f t="shared" si="213"/>
        <v>26</v>
      </c>
      <c r="G607" s="9" t="str">
        <f t="shared" si="214"/>
        <v>NOT ACHIEVED</v>
      </c>
      <c r="H607" s="3" t="s">
        <v>642</v>
      </c>
      <c r="I607" s="3" t="s">
        <v>654</v>
      </c>
      <c r="J607" s="3" t="s">
        <v>680</v>
      </c>
      <c r="K607" s="13" t="str">
        <f t="shared" si="215"/>
        <v>Americas &gt; USA &gt; San Francisco</v>
      </c>
      <c r="L607" s="3" t="s">
        <v>695</v>
      </c>
      <c r="M607" s="3" t="s">
        <v>705</v>
      </c>
      <c r="N607" s="13" t="str">
        <f t="shared" si="203"/>
        <v>Direct</v>
      </c>
      <c r="O607" s="3" t="s">
        <v>708</v>
      </c>
      <c r="P607" s="3" t="s">
        <v>726</v>
      </c>
      <c r="Q607" s="13" t="str">
        <f t="shared" si="204"/>
        <v>Low</v>
      </c>
      <c r="R607" s="3" t="s">
        <v>1045</v>
      </c>
      <c r="S607" s="7">
        <v>156.55000000000001</v>
      </c>
      <c r="T607" s="7">
        <f t="shared" si="216"/>
        <v>180.0325</v>
      </c>
      <c r="U607" s="7">
        <v>227.45</v>
      </c>
      <c r="V607" s="7">
        <f t="shared" si="205"/>
        <v>227.45</v>
      </c>
      <c r="W607" s="7">
        <f t="shared" si="217"/>
        <v>261.56749999999994</v>
      </c>
      <c r="X607" s="16">
        <v>1.4E-2</v>
      </c>
      <c r="Y607" t="str">
        <f t="shared" si="206"/>
        <v>OK</v>
      </c>
      <c r="Z607" s="16">
        <f t="shared" si="218"/>
        <v>1.4E-2</v>
      </c>
      <c r="AA607" s="16">
        <f t="shared" si="219"/>
        <v>1.4E-2</v>
      </c>
      <c r="AB607" s="9">
        <v>13</v>
      </c>
      <c r="AC607" s="9">
        <f t="shared" si="220"/>
        <v>15.6</v>
      </c>
      <c r="AD607" s="9">
        <f t="shared" si="207"/>
        <v>2915.4540999999999</v>
      </c>
      <c r="AE607" s="9">
        <f t="shared" si="221"/>
        <v>4137.5793419999991</v>
      </c>
      <c r="AF607" s="9">
        <f t="shared" si="208"/>
        <v>2035.15</v>
      </c>
      <c r="AG607" s="9">
        <f t="shared" si="209"/>
        <v>880.30409999999983</v>
      </c>
      <c r="AH607" s="9">
        <f t="shared" si="222"/>
        <v>2102.429341999999</v>
      </c>
      <c r="AI607">
        <f t="shared" si="210"/>
        <v>0.3019440779396938</v>
      </c>
      <c r="AJ607" s="5">
        <f t="shared" si="211"/>
        <v>44928</v>
      </c>
      <c r="AK607" t="str">
        <f t="shared" si="212"/>
        <v>Jan-2023</v>
      </c>
      <c r="AL607">
        <v>0</v>
      </c>
      <c r="AM607">
        <v>0</v>
      </c>
      <c r="AN607">
        <v>0</v>
      </c>
    </row>
    <row r="608" spans="1:40" x14ac:dyDescent="0.45">
      <c r="A608" s="3" t="s">
        <v>329</v>
      </c>
      <c r="B608" s="5">
        <v>45293</v>
      </c>
      <c r="C608" s="9" t="str">
        <f t="shared" si="201"/>
        <v>Jan-2024</v>
      </c>
      <c r="D608" s="5" t="str">
        <f t="shared" si="202"/>
        <v>2024-Q1</v>
      </c>
      <c r="E608" s="5">
        <v>45298</v>
      </c>
      <c r="F608" s="9">
        <f t="shared" si="213"/>
        <v>5</v>
      </c>
      <c r="G608" s="9" t="str">
        <f t="shared" si="214"/>
        <v>ACHIEVED</v>
      </c>
      <c r="H608" s="3" t="s">
        <v>642</v>
      </c>
      <c r="I608" s="3" t="s">
        <v>654</v>
      </c>
      <c r="J608" s="3" t="s">
        <v>671</v>
      </c>
      <c r="K608" s="13" t="str">
        <f t="shared" si="215"/>
        <v>Americas &gt; USA &gt; Chicago</v>
      </c>
      <c r="L608" s="3" t="s">
        <v>696</v>
      </c>
      <c r="M608" s="3" t="s">
        <v>703</v>
      </c>
      <c r="N608" s="13" t="str">
        <f t="shared" si="203"/>
        <v>Marketplace</v>
      </c>
      <c r="O608" s="3" t="s">
        <v>711</v>
      </c>
      <c r="P608" s="3" t="s">
        <v>723</v>
      </c>
      <c r="Q608" s="13" t="str">
        <f t="shared" si="204"/>
        <v>Low</v>
      </c>
      <c r="R608" s="3" t="s">
        <v>1048</v>
      </c>
      <c r="S608" s="7">
        <v>404.77</v>
      </c>
      <c r="T608" s="7">
        <f t="shared" si="216"/>
        <v>465.48549999999994</v>
      </c>
      <c r="U608" s="7">
        <v>433.88</v>
      </c>
      <c r="V608" s="7">
        <f t="shared" si="205"/>
        <v>433.88</v>
      </c>
      <c r="W608" s="7">
        <f t="shared" si="217"/>
        <v>498.96199999999993</v>
      </c>
      <c r="X608" s="16">
        <v>0.215</v>
      </c>
      <c r="Y608" t="str">
        <f t="shared" si="206"/>
        <v>OK</v>
      </c>
      <c r="Z608" s="16">
        <f t="shared" si="218"/>
        <v>0.215</v>
      </c>
      <c r="AA608" s="16">
        <f t="shared" si="219"/>
        <v>0.215</v>
      </c>
      <c r="AB608" s="9">
        <v>22</v>
      </c>
      <c r="AC608" s="9">
        <f t="shared" si="220"/>
        <v>26.4</v>
      </c>
      <c r="AD608" s="9">
        <f t="shared" si="207"/>
        <v>7493.1076000000012</v>
      </c>
      <c r="AE608" s="9">
        <f t="shared" si="221"/>
        <v>16004.705111999998</v>
      </c>
      <c r="AF608" s="9">
        <f t="shared" si="208"/>
        <v>8904.9399999999987</v>
      </c>
      <c r="AG608" s="9">
        <f t="shared" si="209"/>
        <v>-1411.8323999999975</v>
      </c>
      <c r="AH608" s="9">
        <f t="shared" si="222"/>
        <v>7099.7651119999991</v>
      </c>
      <c r="AI608">
        <f t="shared" si="210"/>
        <v>-0.18841747314558746</v>
      </c>
      <c r="AJ608" s="5">
        <f t="shared" si="211"/>
        <v>44928</v>
      </c>
      <c r="AK608" t="str">
        <f t="shared" si="212"/>
        <v>Jan-2023</v>
      </c>
      <c r="AL608">
        <v>0</v>
      </c>
      <c r="AM608">
        <v>0</v>
      </c>
      <c r="AN608">
        <v>0</v>
      </c>
    </row>
    <row r="609" spans="1:40" x14ac:dyDescent="0.45">
      <c r="A609" s="3" t="s">
        <v>338</v>
      </c>
      <c r="B609" s="5">
        <v>45668</v>
      </c>
      <c r="C609" s="9" t="str">
        <f t="shared" si="201"/>
        <v>Jan-2025</v>
      </c>
      <c r="D609" s="5" t="str">
        <f t="shared" si="202"/>
        <v>2025-Q1</v>
      </c>
      <c r="E609" s="5">
        <v>45680</v>
      </c>
      <c r="F609" s="9">
        <f t="shared" si="213"/>
        <v>12</v>
      </c>
      <c r="G609" s="9" t="str">
        <f t="shared" si="214"/>
        <v>NOT ACHIEVED</v>
      </c>
      <c r="H609" s="3" t="s">
        <v>642</v>
      </c>
      <c r="I609" s="3" t="s">
        <v>654</v>
      </c>
      <c r="J609" s="3" t="s">
        <v>691</v>
      </c>
      <c r="K609" s="13" t="str">
        <f t="shared" si="215"/>
        <v>Americas &gt; USA &gt; Austin</v>
      </c>
      <c r="L609" s="3" t="s">
        <v>698</v>
      </c>
      <c r="M609" s="3" t="s">
        <v>704</v>
      </c>
      <c r="N609" s="13" t="str">
        <f t="shared" si="203"/>
        <v>Distributor</v>
      </c>
      <c r="O609" s="3" t="s">
        <v>716</v>
      </c>
      <c r="P609" s="3" t="s">
        <v>724</v>
      </c>
      <c r="Q609" s="13" t="str">
        <f t="shared" si="204"/>
        <v>Low</v>
      </c>
      <c r="R609" s="3" t="s">
        <v>1057</v>
      </c>
      <c r="S609" s="7">
        <v>100.69</v>
      </c>
      <c r="T609" s="7">
        <f t="shared" si="216"/>
        <v>115.79349999999999</v>
      </c>
      <c r="U609" s="7">
        <v>226.14</v>
      </c>
      <c r="V609" s="7">
        <f t="shared" si="205"/>
        <v>226.14</v>
      </c>
      <c r="W609" s="7">
        <f t="shared" si="217"/>
        <v>260.06099999999998</v>
      </c>
      <c r="X609" s="16">
        <v>6.5000000000000002E-2</v>
      </c>
      <c r="Y609" t="str">
        <f t="shared" si="206"/>
        <v>OK</v>
      </c>
      <c r="Z609" s="16">
        <f t="shared" si="218"/>
        <v>6.5000000000000002E-2</v>
      </c>
      <c r="AA609" s="16">
        <f t="shared" si="219"/>
        <v>6.5000000000000002E-2</v>
      </c>
      <c r="AB609" s="9">
        <v>12</v>
      </c>
      <c r="AC609" s="9">
        <f t="shared" si="220"/>
        <v>14.399999999999999</v>
      </c>
      <c r="AD609" s="9">
        <f t="shared" si="207"/>
        <v>2537.2908000000002</v>
      </c>
      <c r="AE609" s="9">
        <f t="shared" si="221"/>
        <v>3988.2954959999988</v>
      </c>
      <c r="AF609" s="9">
        <f t="shared" si="208"/>
        <v>1208.28</v>
      </c>
      <c r="AG609" s="9">
        <f t="shared" si="209"/>
        <v>1329.0108000000002</v>
      </c>
      <c r="AH609" s="9">
        <f t="shared" si="222"/>
        <v>2780.0154959999991</v>
      </c>
      <c r="AI609">
        <f t="shared" si="210"/>
        <v>0.52379128162999689</v>
      </c>
      <c r="AJ609" s="5">
        <f t="shared" si="211"/>
        <v>44928</v>
      </c>
      <c r="AK609" t="str">
        <f t="shared" si="212"/>
        <v>Jan-2023</v>
      </c>
      <c r="AL609">
        <v>0</v>
      </c>
      <c r="AM609">
        <v>0</v>
      </c>
      <c r="AN609">
        <v>0</v>
      </c>
    </row>
    <row r="610" spans="1:40" x14ac:dyDescent="0.45">
      <c r="A610" s="3" t="s">
        <v>349</v>
      </c>
      <c r="B610" s="5">
        <v>45029</v>
      </c>
      <c r="C610" s="9" t="str">
        <f t="shared" si="201"/>
        <v>Apr-2023</v>
      </c>
      <c r="D610" s="5" t="str">
        <f t="shared" si="202"/>
        <v>2023-Q2</v>
      </c>
      <c r="E610" s="5">
        <v>45034</v>
      </c>
      <c r="F610" s="9">
        <f t="shared" si="213"/>
        <v>5</v>
      </c>
      <c r="G610" s="9" t="str">
        <f t="shared" si="214"/>
        <v>ACHIEVED</v>
      </c>
      <c r="H610" s="3" t="s">
        <v>642</v>
      </c>
      <c r="I610" s="3" t="s">
        <v>654</v>
      </c>
      <c r="J610" s="3" t="s">
        <v>680</v>
      </c>
      <c r="K610" s="13" t="str">
        <f t="shared" si="215"/>
        <v>Americas &gt; USA &gt; San Francisco</v>
      </c>
      <c r="L610" s="3" t="s">
        <v>696</v>
      </c>
      <c r="M610" s="3" t="s">
        <v>703</v>
      </c>
      <c r="N610" s="13" t="str">
        <f t="shared" si="203"/>
        <v>Marketplace</v>
      </c>
      <c r="O610" s="3" t="s">
        <v>709</v>
      </c>
      <c r="P610" s="3" t="s">
        <v>723</v>
      </c>
      <c r="Q610" s="13" t="str">
        <f t="shared" si="204"/>
        <v>Low</v>
      </c>
      <c r="R610" s="3" t="s">
        <v>1068</v>
      </c>
      <c r="S610" s="7">
        <v>32.1</v>
      </c>
      <c r="T610" s="7">
        <f t="shared" si="216"/>
        <v>36.914999999999999</v>
      </c>
      <c r="U610" s="7">
        <v>70.599999999999994</v>
      </c>
      <c r="V610" s="7">
        <f t="shared" si="205"/>
        <v>70.599999999999994</v>
      </c>
      <c r="W610" s="7">
        <f t="shared" si="217"/>
        <v>81.189999999999984</v>
      </c>
      <c r="X610" s="16">
        <v>0.28199999999999997</v>
      </c>
      <c r="Y610" t="str">
        <f t="shared" si="206"/>
        <v>OK</v>
      </c>
      <c r="Z610" s="16">
        <f t="shared" si="218"/>
        <v>0.28199999999999997</v>
      </c>
      <c r="AA610" s="16">
        <f t="shared" si="219"/>
        <v>0.25</v>
      </c>
      <c r="AB610" s="9">
        <v>22</v>
      </c>
      <c r="AC610" s="9">
        <f t="shared" si="220"/>
        <v>26.4</v>
      </c>
      <c r="AD610" s="9">
        <f t="shared" si="207"/>
        <v>1115.1975999999997</v>
      </c>
      <c r="AE610" s="9">
        <f t="shared" si="221"/>
        <v>2679.2699999999991</v>
      </c>
      <c r="AF610" s="9">
        <f t="shared" si="208"/>
        <v>706.2</v>
      </c>
      <c r="AG610" s="9">
        <f t="shared" si="209"/>
        <v>408.99759999999969</v>
      </c>
      <c r="AH610" s="9">
        <f t="shared" si="222"/>
        <v>1973.069999999999</v>
      </c>
      <c r="AI610">
        <f t="shared" si="210"/>
        <v>0.36674899587301818</v>
      </c>
      <c r="AJ610" s="5">
        <f t="shared" si="211"/>
        <v>44928</v>
      </c>
      <c r="AK610" t="str">
        <f t="shared" si="212"/>
        <v>Jan-2023</v>
      </c>
      <c r="AL610">
        <v>0</v>
      </c>
      <c r="AM610">
        <v>0</v>
      </c>
      <c r="AN610">
        <v>0</v>
      </c>
    </row>
    <row r="611" spans="1:40" x14ac:dyDescent="0.45">
      <c r="A611" s="3" t="s">
        <v>376</v>
      </c>
      <c r="B611" s="5">
        <v>45194</v>
      </c>
      <c r="C611" s="9" t="str">
        <f t="shared" si="201"/>
        <v>Sep-2023</v>
      </c>
      <c r="D611" s="5" t="str">
        <f t="shared" si="202"/>
        <v>2023-Q3</v>
      </c>
      <c r="E611" s="5">
        <v>45208</v>
      </c>
      <c r="F611" s="9">
        <f t="shared" si="213"/>
        <v>14</v>
      </c>
      <c r="G611" s="9" t="str">
        <f t="shared" si="214"/>
        <v>NOT ACHIEVED</v>
      </c>
      <c r="H611" s="3" t="s">
        <v>642</v>
      </c>
      <c r="I611" s="3" t="s">
        <v>654</v>
      </c>
      <c r="J611" s="3" t="s">
        <v>694</v>
      </c>
      <c r="K611" s="13" t="str">
        <f t="shared" si="215"/>
        <v>Americas &gt; USA &gt; New York</v>
      </c>
      <c r="L611" s="3" t="s">
        <v>699</v>
      </c>
      <c r="M611" s="3" t="s">
        <v>703</v>
      </c>
      <c r="N611" s="13" t="str">
        <f t="shared" si="203"/>
        <v>Marketplace</v>
      </c>
      <c r="O611" s="3" t="s">
        <v>707</v>
      </c>
      <c r="P611" s="3" t="s">
        <v>725</v>
      </c>
      <c r="Q611" s="13" t="str">
        <f t="shared" si="204"/>
        <v>High</v>
      </c>
      <c r="R611" s="3" t="s">
        <v>1095</v>
      </c>
      <c r="S611" s="7">
        <v>1279.56</v>
      </c>
      <c r="T611" s="7">
        <f t="shared" si="216"/>
        <v>1471.4939999999999</v>
      </c>
      <c r="U611" s="7">
        <v>3083.8</v>
      </c>
      <c r="V611" s="7">
        <f t="shared" si="205"/>
        <v>3083.8</v>
      </c>
      <c r="W611" s="7">
        <f t="shared" si="217"/>
        <v>3546.37</v>
      </c>
      <c r="X611" s="16">
        <v>0.106</v>
      </c>
      <c r="Y611" t="str">
        <f t="shared" si="206"/>
        <v>OK</v>
      </c>
      <c r="Z611" s="16">
        <f t="shared" si="218"/>
        <v>0.106</v>
      </c>
      <c r="AA611" s="16">
        <f t="shared" si="219"/>
        <v>0.106</v>
      </c>
      <c r="AB611" s="9">
        <v>5</v>
      </c>
      <c r="AC611" s="9">
        <f t="shared" si="220"/>
        <v>6</v>
      </c>
      <c r="AD611" s="9">
        <f t="shared" si="207"/>
        <v>13784.586000000001</v>
      </c>
      <c r="AE611" s="9">
        <f t="shared" si="221"/>
        <v>23533.711320000002</v>
      </c>
      <c r="AF611" s="9">
        <f t="shared" si="208"/>
        <v>6397.7999999999993</v>
      </c>
      <c r="AG611" s="9">
        <f t="shared" si="209"/>
        <v>7386.7860000000019</v>
      </c>
      <c r="AH611" s="9">
        <f t="shared" si="222"/>
        <v>17135.911320000003</v>
      </c>
      <c r="AI611">
        <f t="shared" si="210"/>
        <v>0.53587289455047848</v>
      </c>
      <c r="AJ611" s="5">
        <f t="shared" si="211"/>
        <v>44928</v>
      </c>
      <c r="AK611" t="str">
        <f t="shared" si="212"/>
        <v>Jan-2023</v>
      </c>
      <c r="AL611">
        <v>0</v>
      </c>
      <c r="AM611">
        <v>0</v>
      </c>
      <c r="AN611">
        <v>0</v>
      </c>
    </row>
    <row r="612" spans="1:40" x14ac:dyDescent="0.45">
      <c r="A612" s="3" t="s">
        <v>379</v>
      </c>
      <c r="B612" s="5">
        <v>44962</v>
      </c>
      <c r="C612" s="9" t="str">
        <f t="shared" si="201"/>
        <v>Feb-2023</v>
      </c>
      <c r="D612" s="5" t="str">
        <f t="shared" si="202"/>
        <v>2023-Q1</v>
      </c>
      <c r="E612" s="5">
        <v>44985</v>
      </c>
      <c r="F612" s="9">
        <f t="shared" si="213"/>
        <v>23</v>
      </c>
      <c r="G612" s="9" t="str">
        <f t="shared" si="214"/>
        <v>NOT ACHIEVED</v>
      </c>
      <c r="H612" s="3" t="s">
        <v>642</v>
      </c>
      <c r="I612" s="3" t="s">
        <v>654</v>
      </c>
      <c r="J612" s="3" t="s">
        <v>691</v>
      </c>
      <c r="K612" s="13" t="str">
        <f t="shared" si="215"/>
        <v>Americas &gt; USA &gt; Austin</v>
      </c>
      <c r="L612" s="3" t="s">
        <v>697</v>
      </c>
      <c r="M612" s="3" t="s">
        <v>704</v>
      </c>
      <c r="N612" s="13" t="str">
        <f t="shared" si="203"/>
        <v>Distributor</v>
      </c>
      <c r="O612" s="3" t="s">
        <v>710</v>
      </c>
      <c r="P612" s="3" t="s">
        <v>724</v>
      </c>
      <c r="Q612" s="13" t="str">
        <f t="shared" si="204"/>
        <v>Medium</v>
      </c>
      <c r="R612" s="3" t="s">
        <v>1098</v>
      </c>
      <c r="S612" s="7">
        <v>1214.49</v>
      </c>
      <c r="T612" s="7">
        <f t="shared" si="216"/>
        <v>1396.6634999999999</v>
      </c>
      <c r="U612" s="7">
        <v>1533.95</v>
      </c>
      <c r="V612" s="7">
        <f t="shared" si="205"/>
        <v>1533.95</v>
      </c>
      <c r="W612" s="7">
        <f t="shared" si="217"/>
        <v>1764.0425</v>
      </c>
      <c r="X612" s="16">
        <v>0</v>
      </c>
      <c r="Y612" t="str">
        <f t="shared" si="206"/>
        <v>OK</v>
      </c>
      <c r="Z612" s="16">
        <f t="shared" si="218"/>
        <v>0</v>
      </c>
      <c r="AA612" s="16">
        <f t="shared" si="219"/>
        <v>0</v>
      </c>
      <c r="AB612" s="9">
        <v>11</v>
      </c>
      <c r="AC612" s="9">
        <f t="shared" si="220"/>
        <v>13.2</v>
      </c>
      <c r="AD612" s="9">
        <f t="shared" si="207"/>
        <v>16873.45</v>
      </c>
      <c r="AE612" s="9">
        <f t="shared" si="221"/>
        <v>23285.361000000001</v>
      </c>
      <c r="AF612" s="9">
        <f t="shared" si="208"/>
        <v>13359.39</v>
      </c>
      <c r="AG612" s="9">
        <f t="shared" si="209"/>
        <v>3514.0600000000013</v>
      </c>
      <c r="AH612" s="9">
        <f t="shared" si="222"/>
        <v>9925.9710000000014</v>
      </c>
      <c r="AI612">
        <f t="shared" si="210"/>
        <v>0.20825972163369086</v>
      </c>
      <c r="AJ612" s="5">
        <f t="shared" si="211"/>
        <v>44928</v>
      </c>
      <c r="AK612" t="str">
        <f t="shared" si="212"/>
        <v>Jan-2023</v>
      </c>
      <c r="AL612">
        <v>0</v>
      </c>
      <c r="AM612">
        <v>0</v>
      </c>
      <c r="AN612">
        <v>0</v>
      </c>
    </row>
    <row r="613" spans="1:40" x14ac:dyDescent="0.45">
      <c r="A613" s="3" t="s">
        <v>382</v>
      </c>
      <c r="B613" s="5">
        <v>45429</v>
      </c>
      <c r="C613" s="9" t="str">
        <f t="shared" si="201"/>
        <v>May-2024</v>
      </c>
      <c r="D613" s="5" t="str">
        <f t="shared" si="202"/>
        <v>2024-Q2</v>
      </c>
      <c r="E613" s="5">
        <v>45439</v>
      </c>
      <c r="F613" s="9">
        <f t="shared" si="213"/>
        <v>10</v>
      </c>
      <c r="G613" s="9" t="str">
        <f t="shared" si="214"/>
        <v>NOT ACHIEVED</v>
      </c>
      <c r="H613" s="3" t="s">
        <v>642</v>
      </c>
      <c r="I613" s="3" t="s">
        <v>654</v>
      </c>
      <c r="J613" s="3" t="s">
        <v>691</v>
      </c>
      <c r="K613" s="13" t="str">
        <f t="shared" si="215"/>
        <v>Americas &gt; USA &gt; Austin</v>
      </c>
      <c r="L613" s="3" t="s">
        <v>697</v>
      </c>
      <c r="M613" s="3" t="s">
        <v>702</v>
      </c>
      <c r="N613" s="13" t="str">
        <f t="shared" si="203"/>
        <v>Online</v>
      </c>
      <c r="O613" s="3" t="s">
        <v>706</v>
      </c>
      <c r="P613" s="3" t="s">
        <v>724</v>
      </c>
      <c r="Q613" s="13" t="str">
        <f t="shared" si="204"/>
        <v>High</v>
      </c>
      <c r="R613" s="3" t="s">
        <v>1101</v>
      </c>
      <c r="S613" s="7">
        <v>1484.23</v>
      </c>
      <c r="T613" s="7">
        <f t="shared" si="216"/>
        <v>1706.8644999999999</v>
      </c>
      <c r="U613" s="7">
        <v>3472.81</v>
      </c>
      <c r="V613" s="7">
        <f t="shared" si="205"/>
        <v>3472.81</v>
      </c>
      <c r="W613" s="7">
        <f t="shared" si="217"/>
        <v>3993.7314999999994</v>
      </c>
      <c r="X613" s="16">
        <v>0.25600000000000001</v>
      </c>
      <c r="Y613" t="str">
        <f t="shared" si="206"/>
        <v>OK</v>
      </c>
      <c r="Z613" s="16">
        <f t="shared" si="218"/>
        <v>0.25600000000000001</v>
      </c>
      <c r="AA613" s="16">
        <f t="shared" si="219"/>
        <v>0.25</v>
      </c>
      <c r="AB613" s="9">
        <v>12</v>
      </c>
      <c r="AC613" s="9">
        <f t="shared" si="220"/>
        <v>14.399999999999999</v>
      </c>
      <c r="AD613" s="9">
        <f t="shared" si="207"/>
        <v>31005.24768</v>
      </c>
      <c r="AE613" s="9">
        <f t="shared" si="221"/>
        <v>71887.166999999987</v>
      </c>
      <c r="AF613" s="9">
        <f t="shared" si="208"/>
        <v>17810.760000000002</v>
      </c>
      <c r="AG613" s="9">
        <f t="shared" si="209"/>
        <v>13194.487679999998</v>
      </c>
      <c r="AH613" s="9">
        <f t="shared" si="222"/>
        <v>54076.406999999985</v>
      </c>
      <c r="AI613">
        <f t="shared" si="210"/>
        <v>0.42555659661803413</v>
      </c>
      <c r="AJ613" s="5">
        <f t="shared" si="211"/>
        <v>44928</v>
      </c>
      <c r="AK613" t="str">
        <f t="shared" si="212"/>
        <v>Jan-2023</v>
      </c>
      <c r="AL613">
        <v>0</v>
      </c>
      <c r="AM613">
        <v>0</v>
      </c>
      <c r="AN613">
        <v>0</v>
      </c>
    </row>
    <row r="614" spans="1:40" x14ac:dyDescent="0.45">
      <c r="A614" s="3" t="s">
        <v>391</v>
      </c>
      <c r="B614" s="5">
        <v>45097</v>
      </c>
      <c r="C614" s="9" t="str">
        <f t="shared" si="201"/>
        <v>Jun-2023</v>
      </c>
      <c r="D614" s="5" t="str">
        <f t="shared" si="202"/>
        <v>2023-Q2</v>
      </c>
      <c r="E614" s="5">
        <v>45115</v>
      </c>
      <c r="F614" s="9">
        <f t="shared" si="213"/>
        <v>18</v>
      </c>
      <c r="G614" s="9" t="str">
        <f t="shared" si="214"/>
        <v>NOT ACHIEVED</v>
      </c>
      <c r="H614" s="3" t="s">
        <v>642</v>
      </c>
      <c r="I614" s="3" t="s">
        <v>654</v>
      </c>
      <c r="J614" s="3" t="s">
        <v>694</v>
      </c>
      <c r="K614" s="13" t="str">
        <f t="shared" si="215"/>
        <v>Americas &gt; USA &gt; New York</v>
      </c>
      <c r="L614" s="3" t="s">
        <v>698</v>
      </c>
      <c r="M614" s="3" t="s">
        <v>703</v>
      </c>
      <c r="N614" s="13" t="str">
        <f t="shared" si="203"/>
        <v>Marketplace</v>
      </c>
      <c r="O614" s="3" t="s">
        <v>713</v>
      </c>
      <c r="P614" s="3" t="s">
        <v>723</v>
      </c>
      <c r="Q614" s="13" t="str">
        <f t="shared" si="204"/>
        <v>Medium</v>
      </c>
      <c r="R614" s="3" t="s">
        <v>1109</v>
      </c>
      <c r="S614" s="7">
        <v>1145.53</v>
      </c>
      <c r="T614" s="7">
        <f t="shared" si="216"/>
        <v>1317.3594999999998</v>
      </c>
      <c r="U614" s="7">
        <v>1278.3</v>
      </c>
      <c r="V614" s="7">
        <f t="shared" si="205"/>
        <v>1278.3</v>
      </c>
      <c r="W614" s="7">
        <f t="shared" si="217"/>
        <v>1470.0449999999998</v>
      </c>
      <c r="X614" s="16">
        <v>0.09</v>
      </c>
      <c r="Y614" t="str">
        <f t="shared" si="206"/>
        <v>OK</v>
      </c>
      <c r="Z614" s="16">
        <f t="shared" si="218"/>
        <v>0.09</v>
      </c>
      <c r="AA614" s="16">
        <f t="shared" si="219"/>
        <v>0.09</v>
      </c>
      <c r="AB614" s="9">
        <v>41</v>
      </c>
      <c r="AC614" s="9">
        <f t="shared" si="220"/>
        <v>49.199999999999996</v>
      </c>
      <c r="AD614" s="9">
        <f t="shared" si="207"/>
        <v>47693.373</v>
      </c>
      <c r="AE614" s="9">
        <f t="shared" si="221"/>
        <v>78835.573260000005</v>
      </c>
      <c r="AF614" s="9">
        <f t="shared" si="208"/>
        <v>46966.729999999996</v>
      </c>
      <c r="AG614" s="9">
        <f t="shared" si="209"/>
        <v>726.64300000000367</v>
      </c>
      <c r="AH614" s="9">
        <f t="shared" si="222"/>
        <v>31868.843260000009</v>
      </c>
      <c r="AI614">
        <f t="shared" si="210"/>
        <v>1.5235722581416158E-2</v>
      </c>
      <c r="AJ614" s="5">
        <f t="shared" si="211"/>
        <v>44928</v>
      </c>
      <c r="AK614" t="str">
        <f t="shared" si="212"/>
        <v>Jan-2023</v>
      </c>
      <c r="AL614">
        <v>0</v>
      </c>
      <c r="AM614">
        <v>0</v>
      </c>
      <c r="AN614">
        <v>0</v>
      </c>
    </row>
    <row r="615" spans="1:40" x14ac:dyDescent="0.45">
      <c r="A615" s="3" t="s">
        <v>401</v>
      </c>
      <c r="B615" s="5">
        <v>45360</v>
      </c>
      <c r="C615" s="9" t="str">
        <f t="shared" si="201"/>
        <v>Mar-2024</v>
      </c>
      <c r="D615" s="5" t="str">
        <f t="shared" si="202"/>
        <v>2024-Q1</v>
      </c>
      <c r="E615" s="5">
        <v>45377</v>
      </c>
      <c r="F615" s="9">
        <f t="shared" si="213"/>
        <v>17</v>
      </c>
      <c r="G615" s="9" t="str">
        <f t="shared" si="214"/>
        <v>NOT ACHIEVED</v>
      </c>
      <c r="H615" s="3" t="s">
        <v>642</v>
      </c>
      <c r="I615" s="3" t="s">
        <v>654</v>
      </c>
      <c r="J615" s="3" t="s">
        <v>680</v>
      </c>
      <c r="K615" s="13" t="str">
        <f t="shared" si="215"/>
        <v>Americas &gt; USA &gt; San Francisco</v>
      </c>
      <c r="L615" s="3" t="s">
        <v>696</v>
      </c>
      <c r="M615" s="3" t="s">
        <v>705</v>
      </c>
      <c r="N615" s="13" t="str">
        <f t="shared" si="203"/>
        <v>Direct</v>
      </c>
      <c r="O615" s="3" t="s">
        <v>708</v>
      </c>
      <c r="P615" s="3" t="s">
        <v>724</v>
      </c>
      <c r="Q615" s="13" t="str">
        <f t="shared" si="204"/>
        <v>High</v>
      </c>
      <c r="R615" s="3" t="s">
        <v>1119</v>
      </c>
      <c r="S615" s="7">
        <v>1137.4100000000001</v>
      </c>
      <c r="T615" s="7">
        <f t="shared" si="216"/>
        <v>1308.0215000000001</v>
      </c>
      <c r="U615" s="7">
        <v>1680.93</v>
      </c>
      <c r="V615" s="7">
        <f t="shared" si="205"/>
        <v>1680.93</v>
      </c>
      <c r="W615" s="7">
        <f t="shared" si="217"/>
        <v>1933.0694999999998</v>
      </c>
      <c r="X615" s="16">
        <v>0.254</v>
      </c>
      <c r="Y615" t="str">
        <f t="shared" si="206"/>
        <v>OK</v>
      </c>
      <c r="Z615" s="16">
        <f t="shared" si="218"/>
        <v>0.254</v>
      </c>
      <c r="AA615" s="16">
        <f t="shared" si="219"/>
        <v>0.25</v>
      </c>
      <c r="AB615" s="9">
        <v>9</v>
      </c>
      <c r="AC615" s="9">
        <f t="shared" si="220"/>
        <v>10.799999999999999</v>
      </c>
      <c r="AD615" s="9">
        <f t="shared" si="207"/>
        <v>11285.764020000001</v>
      </c>
      <c r="AE615" s="9">
        <f t="shared" si="221"/>
        <v>26096.438249999996</v>
      </c>
      <c r="AF615" s="9">
        <f t="shared" si="208"/>
        <v>10236.69</v>
      </c>
      <c r="AG615" s="9">
        <f t="shared" si="209"/>
        <v>1049.07402</v>
      </c>
      <c r="AH615" s="9">
        <f t="shared" si="222"/>
        <v>15859.748249999995</v>
      </c>
      <c r="AI615">
        <f t="shared" si="210"/>
        <v>9.2955516183121464E-2</v>
      </c>
      <c r="AJ615" s="5">
        <f t="shared" si="211"/>
        <v>44928</v>
      </c>
      <c r="AK615" t="str">
        <f t="shared" si="212"/>
        <v>Jan-2023</v>
      </c>
      <c r="AL615">
        <v>0</v>
      </c>
      <c r="AM615">
        <v>0</v>
      </c>
      <c r="AN615">
        <v>0</v>
      </c>
    </row>
    <row r="616" spans="1:40" x14ac:dyDescent="0.45">
      <c r="A616" s="3" t="s">
        <v>409</v>
      </c>
      <c r="B616" s="5">
        <v>45516</v>
      </c>
      <c r="C616" s="9" t="str">
        <f t="shared" si="201"/>
        <v>Aug-2024</v>
      </c>
      <c r="D616" s="5" t="str">
        <f t="shared" si="202"/>
        <v>2024-Q3</v>
      </c>
      <c r="E616" s="5">
        <v>45519</v>
      </c>
      <c r="F616" s="9">
        <f t="shared" si="213"/>
        <v>3</v>
      </c>
      <c r="G616" s="9" t="str">
        <f t="shared" si="214"/>
        <v>ACHIEVED</v>
      </c>
      <c r="H616" s="3" t="s">
        <v>642</v>
      </c>
      <c r="I616" s="3" t="s">
        <v>654</v>
      </c>
      <c r="J616" s="3" t="s">
        <v>671</v>
      </c>
      <c r="K616" s="13" t="str">
        <f t="shared" si="215"/>
        <v>Americas &gt; USA &gt; Chicago</v>
      </c>
      <c r="L616" s="3" t="s">
        <v>695</v>
      </c>
      <c r="M616" s="3" t="s">
        <v>703</v>
      </c>
      <c r="N616" s="13" t="str">
        <f t="shared" si="203"/>
        <v>Marketplace</v>
      </c>
      <c r="O616" s="3" t="s">
        <v>720</v>
      </c>
      <c r="P616" s="3" t="s">
        <v>722</v>
      </c>
      <c r="Q616" s="13" t="str">
        <f t="shared" si="204"/>
        <v>Medium</v>
      </c>
      <c r="R616" s="3" t="s">
        <v>1127</v>
      </c>
      <c r="S616" s="7">
        <v>850.7</v>
      </c>
      <c r="T616" s="7">
        <f t="shared" si="216"/>
        <v>978.30499999999995</v>
      </c>
      <c r="U616" s="7">
        <v>1118.56</v>
      </c>
      <c r="V616" s="7">
        <f t="shared" si="205"/>
        <v>1118.56</v>
      </c>
      <c r="W616" s="7">
        <f t="shared" si="217"/>
        <v>1286.3439999999998</v>
      </c>
      <c r="X616" s="16">
        <v>0.18</v>
      </c>
      <c r="Y616" t="str">
        <f t="shared" si="206"/>
        <v>OK</v>
      </c>
      <c r="Z616" s="16">
        <f t="shared" si="218"/>
        <v>0.18</v>
      </c>
      <c r="AA616" s="16">
        <f t="shared" si="219"/>
        <v>0.18</v>
      </c>
      <c r="AB616" s="9">
        <v>19</v>
      </c>
      <c r="AC616" s="9">
        <f t="shared" si="220"/>
        <v>22.8</v>
      </c>
      <c r="AD616" s="9">
        <f t="shared" si="207"/>
        <v>17427.164800000002</v>
      </c>
      <c r="AE616" s="9">
        <f t="shared" si="221"/>
        <v>34607.798975999998</v>
      </c>
      <c r="AF616" s="9">
        <f t="shared" si="208"/>
        <v>16163.300000000001</v>
      </c>
      <c r="AG616" s="9">
        <f t="shared" si="209"/>
        <v>1263.8648000000012</v>
      </c>
      <c r="AH616" s="9">
        <f t="shared" si="222"/>
        <v>18444.498975999995</v>
      </c>
      <c r="AI616">
        <f t="shared" si="210"/>
        <v>7.2522685962090688E-2</v>
      </c>
      <c r="AJ616" s="5">
        <f t="shared" si="211"/>
        <v>44928</v>
      </c>
      <c r="AK616" t="str">
        <f t="shared" si="212"/>
        <v>Jan-2023</v>
      </c>
      <c r="AL616">
        <v>0</v>
      </c>
      <c r="AM616">
        <v>0</v>
      </c>
      <c r="AN616">
        <v>0</v>
      </c>
    </row>
    <row r="617" spans="1:40" x14ac:dyDescent="0.45">
      <c r="A617" s="3" t="s">
        <v>429</v>
      </c>
      <c r="B617" s="5">
        <v>45713</v>
      </c>
      <c r="C617" s="9" t="str">
        <f t="shared" si="201"/>
        <v>Feb-2025</v>
      </c>
      <c r="D617" s="5" t="str">
        <f t="shared" si="202"/>
        <v>2025-Q1</v>
      </c>
      <c r="E617" s="5">
        <v>45733</v>
      </c>
      <c r="F617" s="9">
        <f t="shared" si="213"/>
        <v>20</v>
      </c>
      <c r="G617" s="9" t="str">
        <f t="shared" si="214"/>
        <v>NOT ACHIEVED</v>
      </c>
      <c r="H617" s="3" t="s">
        <v>642</v>
      </c>
      <c r="I617" s="3" t="s">
        <v>654</v>
      </c>
      <c r="J617" s="3" t="s">
        <v>680</v>
      </c>
      <c r="K617" s="13" t="str">
        <f t="shared" si="215"/>
        <v>Americas &gt; USA &gt; San Francisco</v>
      </c>
      <c r="L617" s="3" t="s">
        <v>697</v>
      </c>
      <c r="M617" s="3" t="s">
        <v>703</v>
      </c>
      <c r="N617" s="13" t="str">
        <f t="shared" si="203"/>
        <v>Marketplace</v>
      </c>
      <c r="O617" s="3" t="s">
        <v>716</v>
      </c>
      <c r="P617" s="3" t="s">
        <v>724</v>
      </c>
      <c r="Q617" s="13" t="str">
        <f t="shared" si="204"/>
        <v>High</v>
      </c>
      <c r="R617" s="3" t="s">
        <v>1147</v>
      </c>
      <c r="S617" s="7">
        <v>1205.26</v>
      </c>
      <c r="T617" s="7">
        <f t="shared" si="216"/>
        <v>1386.049</v>
      </c>
      <c r="U617" s="7">
        <v>1696.35</v>
      </c>
      <c r="V617" s="7">
        <f t="shared" si="205"/>
        <v>1696.35</v>
      </c>
      <c r="W617" s="7">
        <f t="shared" si="217"/>
        <v>1950.8024999999998</v>
      </c>
      <c r="X617" s="16">
        <v>1.9E-2</v>
      </c>
      <c r="Y617" t="str">
        <f t="shared" si="206"/>
        <v>OK</v>
      </c>
      <c r="Z617" s="16">
        <f t="shared" si="218"/>
        <v>1.9E-2</v>
      </c>
      <c r="AA617" s="16">
        <f t="shared" si="219"/>
        <v>1.9E-2</v>
      </c>
      <c r="AB617" s="9">
        <v>6</v>
      </c>
      <c r="AC617" s="9">
        <f t="shared" si="220"/>
        <v>7.1999999999999993</v>
      </c>
      <c r="AD617" s="9">
        <f t="shared" si="207"/>
        <v>9984.7160999999978</v>
      </c>
      <c r="AE617" s="9">
        <f t="shared" si="221"/>
        <v>14312.647781999995</v>
      </c>
      <c r="AF617" s="9">
        <f t="shared" si="208"/>
        <v>7231.5599999999995</v>
      </c>
      <c r="AG617" s="9">
        <f t="shared" si="209"/>
        <v>2753.1560999999983</v>
      </c>
      <c r="AH617" s="9">
        <f t="shared" si="222"/>
        <v>7081.0877819999951</v>
      </c>
      <c r="AI617">
        <f t="shared" si="210"/>
        <v>0.27573704374028213</v>
      </c>
      <c r="AJ617" s="5">
        <f t="shared" si="211"/>
        <v>44928</v>
      </c>
      <c r="AK617" t="str">
        <f t="shared" si="212"/>
        <v>Jan-2023</v>
      </c>
      <c r="AL617">
        <v>0</v>
      </c>
      <c r="AM617">
        <v>0</v>
      </c>
      <c r="AN617">
        <v>0</v>
      </c>
    </row>
    <row r="618" spans="1:40" x14ac:dyDescent="0.45">
      <c r="A618" s="3" t="s">
        <v>462</v>
      </c>
      <c r="B618" s="5">
        <v>45070</v>
      </c>
      <c r="C618" s="9" t="str">
        <f t="shared" si="201"/>
        <v>May-2023</v>
      </c>
      <c r="D618" s="5" t="str">
        <f t="shared" si="202"/>
        <v>2023-Q2</v>
      </c>
      <c r="E618" s="5">
        <v>45098</v>
      </c>
      <c r="F618" s="9">
        <f t="shared" si="213"/>
        <v>28</v>
      </c>
      <c r="G618" s="9" t="str">
        <f t="shared" si="214"/>
        <v>NOT ACHIEVED</v>
      </c>
      <c r="H618" s="3" t="s">
        <v>642</v>
      </c>
      <c r="I618" s="3" t="s">
        <v>654</v>
      </c>
      <c r="J618" s="3" t="s">
        <v>691</v>
      </c>
      <c r="K618" s="13" t="str">
        <f t="shared" si="215"/>
        <v>Americas &gt; USA &gt; Austin</v>
      </c>
      <c r="L618" s="3" t="s">
        <v>699</v>
      </c>
      <c r="M618" s="3" t="s">
        <v>703</v>
      </c>
      <c r="N618" s="13" t="str">
        <f t="shared" si="203"/>
        <v>Marketplace</v>
      </c>
      <c r="O618" s="3" t="s">
        <v>709</v>
      </c>
      <c r="P618" s="3" t="s">
        <v>726</v>
      </c>
      <c r="Q618" s="13" t="str">
        <f t="shared" si="204"/>
        <v>Medium</v>
      </c>
      <c r="R618" s="3" t="s">
        <v>1180</v>
      </c>
      <c r="S618" s="7">
        <v>813.97</v>
      </c>
      <c r="T618" s="7">
        <f t="shared" si="216"/>
        <v>936.06549999999993</v>
      </c>
      <c r="U618" s="7">
        <v>1568.83</v>
      </c>
      <c r="V618" s="7">
        <f t="shared" si="205"/>
        <v>1568.83</v>
      </c>
      <c r="W618" s="7">
        <f t="shared" si="217"/>
        <v>1804.1544999999999</v>
      </c>
      <c r="X618" s="16">
        <v>1.7000000000000001E-2</v>
      </c>
      <c r="Y618" t="str">
        <f t="shared" si="206"/>
        <v>OK</v>
      </c>
      <c r="Z618" s="16">
        <f t="shared" si="218"/>
        <v>1.7000000000000001E-2</v>
      </c>
      <c r="AA618" s="16">
        <f t="shared" si="219"/>
        <v>1.7000000000000001E-2</v>
      </c>
      <c r="AB618" s="9">
        <v>15</v>
      </c>
      <c r="AC618" s="9">
        <f t="shared" si="220"/>
        <v>18</v>
      </c>
      <c r="AD618" s="9">
        <f t="shared" si="207"/>
        <v>23132.398349999996</v>
      </c>
      <c r="AE618" s="9">
        <f t="shared" si="221"/>
        <v>33026.852276999998</v>
      </c>
      <c r="AF618" s="9">
        <f t="shared" si="208"/>
        <v>12209.550000000001</v>
      </c>
      <c r="AG618" s="9">
        <f t="shared" si="209"/>
        <v>10922.848349999995</v>
      </c>
      <c r="AH618" s="9">
        <f t="shared" si="222"/>
        <v>20817.302276999995</v>
      </c>
      <c r="AI618">
        <f t="shared" si="210"/>
        <v>0.4721883215364911</v>
      </c>
      <c r="AJ618" s="5">
        <f t="shared" si="211"/>
        <v>44928</v>
      </c>
      <c r="AK618" t="str">
        <f t="shared" si="212"/>
        <v>Jan-2023</v>
      </c>
      <c r="AL618">
        <v>0</v>
      </c>
      <c r="AM618">
        <v>0</v>
      </c>
      <c r="AN618">
        <v>0</v>
      </c>
    </row>
    <row r="619" spans="1:40" x14ac:dyDescent="0.45">
      <c r="A619" s="3" t="s">
        <v>503</v>
      </c>
      <c r="B619" s="5">
        <v>45508</v>
      </c>
      <c r="C619" s="9" t="str">
        <f t="shared" si="201"/>
        <v>Aug-2024</v>
      </c>
      <c r="D619" s="5" t="str">
        <f t="shared" si="202"/>
        <v>2024-Q3</v>
      </c>
      <c r="E619" s="5">
        <v>45521</v>
      </c>
      <c r="F619" s="9">
        <f t="shared" si="213"/>
        <v>13</v>
      </c>
      <c r="G619" s="9" t="str">
        <f t="shared" si="214"/>
        <v>NOT ACHIEVED</v>
      </c>
      <c r="H619" s="3" t="s">
        <v>642</v>
      </c>
      <c r="I619" s="3" t="s">
        <v>654</v>
      </c>
      <c r="J619" s="3" t="s">
        <v>691</v>
      </c>
      <c r="K619" s="13" t="str">
        <f t="shared" si="215"/>
        <v>Americas &gt; USA &gt; Austin</v>
      </c>
      <c r="L619" s="3" t="s">
        <v>698</v>
      </c>
      <c r="M619" s="3" t="s">
        <v>701</v>
      </c>
      <c r="N619" s="13" t="str">
        <f t="shared" si="203"/>
        <v>Retail</v>
      </c>
      <c r="O619" s="3" t="s">
        <v>720</v>
      </c>
      <c r="P619" s="3" t="s">
        <v>726</v>
      </c>
      <c r="Q619" s="13" t="str">
        <f t="shared" si="204"/>
        <v>Low</v>
      </c>
      <c r="R619" s="3" t="s">
        <v>1221</v>
      </c>
      <c r="S619" s="7">
        <v>352.79</v>
      </c>
      <c r="T619" s="7">
        <f t="shared" si="216"/>
        <v>405.70850000000002</v>
      </c>
      <c r="U619" s="7">
        <v>754.22</v>
      </c>
      <c r="V619" s="7">
        <f t="shared" si="205"/>
        <v>754.22</v>
      </c>
      <c r="W619" s="7">
        <f t="shared" si="217"/>
        <v>867.35299999999995</v>
      </c>
      <c r="X619" s="16">
        <v>0.113</v>
      </c>
      <c r="Y619" t="str">
        <f t="shared" si="206"/>
        <v>OK</v>
      </c>
      <c r="Z619" s="16">
        <f t="shared" si="218"/>
        <v>0.113</v>
      </c>
      <c r="AA619" s="16">
        <f t="shared" si="219"/>
        <v>0.113</v>
      </c>
      <c r="AB619" s="9">
        <v>7</v>
      </c>
      <c r="AC619" s="9">
        <f t="shared" si="220"/>
        <v>8.4</v>
      </c>
      <c r="AD619" s="9">
        <f t="shared" si="207"/>
        <v>4682.9519799999998</v>
      </c>
      <c r="AE619" s="9">
        <f t="shared" si="221"/>
        <v>8109.0566675999999</v>
      </c>
      <c r="AF619" s="9">
        <f t="shared" si="208"/>
        <v>2469.5300000000002</v>
      </c>
      <c r="AG619" s="9">
        <f t="shared" si="209"/>
        <v>2213.4219799999996</v>
      </c>
      <c r="AH619" s="9">
        <f t="shared" si="222"/>
        <v>5639.5266675999992</v>
      </c>
      <c r="AI619">
        <f t="shared" si="210"/>
        <v>0.47265528014233443</v>
      </c>
      <c r="AJ619" s="5">
        <f t="shared" si="211"/>
        <v>44928</v>
      </c>
      <c r="AK619" t="str">
        <f t="shared" si="212"/>
        <v>Jan-2023</v>
      </c>
      <c r="AL619">
        <v>0</v>
      </c>
      <c r="AM619">
        <v>0</v>
      </c>
      <c r="AN619">
        <v>0</v>
      </c>
    </row>
    <row r="620" spans="1:40" x14ac:dyDescent="0.45">
      <c r="A620" s="3" t="s">
        <v>514</v>
      </c>
      <c r="B620" s="5">
        <v>45774</v>
      </c>
      <c r="C620" s="9" t="str">
        <f t="shared" si="201"/>
        <v>Apr-2025</v>
      </c>
      <c r="D620" s="5" t="str">
        <f t="shared" si="202"/>
        <v>2025-Q2</v>
      </c>
      <c r="E620" s="5">
        <v>45794</v>
      </c>
      <c r="F620" s="9">
        <f t="shared" si="213"/>
        <v>20</v>
      </c>
      <c r="G620" s="9" t="str">
        <f t="shared" si="214"/>
        <v>NOT ACHIEVED</v>
      </c>
      <c r="H620" s="3" t="s">
        <v>642</v>
      </c>
      <c r="I620" s="3" t="s">
        <v>654</v>
      </c>
      <c r="J620" s="3" t="s">
        <v>691</v>
      </c>
      <c r="K620" s="13" t="str">
        <f t="shared" si="215"/>
        <v>Americas &gt; USA &gt; Austin</v>
      </c>
      <c r="L620" s="3" t="s">
        <v>695</v>
      </c>
      <c r="M620" s="3" t="s">
        <v>705</v>
      </c>
      <c r="N620" s="13" t="str">
        <f t="shared" si="203"/>
        <v>Direct</v>
      </c>
      <c r="O620" s="3" t="s">
        <v>719</v>
      </c>
      <c r="P620" s="3" t="s">
        <v>724</v>
      </c>
      <c r="Q620" s="13" t="str">
        <f t="shared" si="204"/>
        <v>High</v>
      </c>
      <c r="R620" s="3" t="s">
        <v>1232</v>
      </c>
      <c r="S620" s="7">
        <v>932.26</v>
      </c>
      <c r="T620" s="7">
        <f t="shared" si="216"/>
        <v>1072.0989999999999</v>
      </c>
      <c r="U620" s="7">
        <v>1624.67</v>
      </c>
      <c r="V620" s="7">
        <f t="shared" si="205"/>
        <v>1624.67</v>
      </c>
      <c r="W620" s="7">
        <f t="shared" si="217"/>
        <v>1868.3705</v>
      </c>
      <c r="X620" s="16">
        <v>0.23499999999999999</v>
      </c>
      <c r="Y620" t="str">
        <f t="shared" si="206"/>
        <v>OK</v>
      </c>
      <c r="Z620" s="16">
        <f t="shared" si="218"/>
        <v>0.23499999999999999</v>
      </c>
      <c r="AA620" s="16">
        <f t="shared" si="219"/>
        <v>0.23499999999999999</v>
      </c>
      <c r="AB620" s="9">
        <v>28</v>
      </c>
      <c r="AC620" s="9">
        <f t="shared" si="220"/>
        <v>33.6</v>
      </c>
      <c r="AD620" s="9">
        <f t="shared" si="207"/>
        <v>34800.431400000001</v>
      </c>
      <c r="AE620" s="9">
        <f t="shared" si="221"/>
        <v>77529.902267999991</v>
      </c>
      <c r="AF620" s="9">
        <f t="shared" si="208"/>
        <v>26103.279999999999</v>
      </c>
      <c r="AG620" s="9">
        <f t="shared" si="209"/>
        <v>8697.1514000000025</v>
      </c>
      <c r="AH620" s="9">
        <f t="shared" si="222"/>
        <v>51426.622267999992</v>
      </c>
      <c r="AI620">
        <f t="shared" si="210"/>
        <v>0.24991504559337163</v>
      </c>
      <c r="AJ620" s="5">
        <f t="shared" si="211"/>
        <v>44928</v>
      </c>
      <c r="AK620" t="str">
        <f t="shared" si="212"/>
        <v>Jan-2023</v>
      </c>
      <c r="AL620">
        <v>0</v>
      </c>
      <c r="AM620">
        <v>0</v>
      </c>
      <c r="AN620">
        <v>0</v>
      </c>
    </row>
    <row r="621" spans="1:40" x14ac:dyDescent="0.45">
      <c r="A621" s="3" t="s">
        <v>519</v>
      </c>
      <c r="B621" s="5">
        <v>45353</v>
      </c>
      <c r="C621" s="9" t="str">
        <f t="shared" si="201"/>
        <v>Mar-2024</v>
      </c>
      <c r="D621" s="5" t="str">
        <f t="shared" si="202"/>
        <v>2024-Q1</v>
      </c>
      <c r="E621" s="5">
        <v>45374</v>
      </c>
      <c r="F621" s="9">
        <f t="shared" si="213"/>
        <v>21</v>
      </c>
      <c r="G621" s="9" t="str">
        <f t="shared" si="214"/>
        <v>NOT ACHIEVED</v>
      </c>
      <c r="H621" s="3" t="s">
        <v>642</v>
      </c>
      <c r="I621" s="3" t="s">
        <v>654</v>
      </c>
      <c r="J621" s="3" t="s">
        <v>671</v>
      </c>
      <c r="K621" s="13" t="str">
        <f t="shared" si="215"/>
        <v>Americas &gt; USA &gt; Chicago</v>
      </c>
      <c r="L621" s="3" t="s">
        <v>699</v>
      </c>
      <c r="M621" s="3" t="s">
        <v>702</v>
      </c>
      <c r="N621" s="13" t="str">
        <f t="shared" si="203"/>
        <v>Online</v>
      </c>
      <c r="O621" s="3" t="s">
        <v>715</v>
      </c>
      <c r="P621" s="3" t="s">
        <v>721</v>
      </c>
      <c r="Q621" s="13" t="str">
        <f t="shared" si="204"/>
        <v>Low</v>
      </c>
      <c r="R621" s="3" t="s">
        <v>1237</v>
      </c>
      <c r="S621" s="7">
        <v>225.01</v>
      </c>
      <c r="T621" s="7">
        <f t="shared" si="216"/>
        <v>258.76149999999996</v>
      </c>
      <c r="U621" s="7">
        <v>333.48</v>
      </c>
      <c r="V621" s="7">
        <f t="shared" si="205"/>
        <v>333.48</v>
      </c>
      <c r="W621" s="7">
        <f t="shared" si="217"/>
        <v>383.50200000000001</v>
      </c>
      <c r="X621" s="16">
        <v>0.11899999999999999</v>
      </c>
      <c r="Y621" t="str">
        <f t="shared" si="206"/>
        <v>OK</v>
      </c>
      <c r="Z621" s="16">
        <f t="shared" si="218"/>
        <v>0.11899999999999999</v>
      </c>
      <c r="AA621" s="16">
        <f t="shared" si="219"/>
        <v>0.11899999999999999</v>
      </c>
      <c r="AB621" s="9">
        <v>12</v>
      </c>
      <c r="AC621" s="9">
        <f t="shared" si="220"/>
        <v>14.399999999999999</v>
      </c>
      <c r="AD621" s="9">
        <f t="shared" si="207"/>
        <v>3525.5505600000001</v>
      </c>
      <c r="AE621" s="9">
        <f t="shared" si="221"/>
        <v>6179.5978271999993</v>
      </c>
      <c r="AF621" s="9">
        <f t="shared" si="208"/>
        <v>2700.12</v>
      </c>
      <c r="AG621" s="9">
        <f t="shared" si="209"/>
        <v>825.43056000000024</v>
      </c>
      <c r="AH621" s="9">
        <f t="shared" si="222"/>
        <v>3479.4778271999994</v>
      </c>
      <c r="AI621">
        <f t="shared" si="210"/>
        <v>0.23412813004729685</v>
      </c>
      <c r="AJ621" s="5">
        <f t="shared" si="211"/>
        <v>44928</v>
      </c>
      <c r="AK621" t="str">
        <f t="shared" si="212"/>
        <v>Jan-2023</v>
      </c>
      <c r="AL621">
        <v>0</v>
      </c>
      <c r="AM621">
        <v>0</v>
      </c>
      <c r="AN621">
        <v>0</v>
      </c>
    </row>
    <row r="622" spans="1:40" x14ac:dyDescent="0.45">
      <c r="A622" s="3" t="s">
        <v>532</v>
      </c>
      <c r="B622" s="5">
        <v>45304</v>
      </c>
      <c r="C622" s="9" t="str">
        <f t="shared" si="201"/>
        <v>Jan-2024</v>
      </c>
      <c r="D622" s="5" t="str">
        <f t="shared" si="202"/>
        <v>2024-Q1</v>
      </c>
      <c r="E622" s="5">
        <v>45306</v>
      </c>
      <c r="F622" s="9">
        <f t="shared" si="213"/>
        <v>2</v>
      </c>
      <c r="G622" s="9" t="str">
        <f t="shared" si="214"/>
        <v>ACHIEVED</v>
      </c>
      <c r="H622" s="3" t="s">
        <v>642</v>
      </c>
      <c r="I622" s="3" t="s">
        <v>654</v>
      </c>
      <c r="J622" s="3" t="s">
        <v>680</v>
      </c>
      <c r="K622" s="13" t="str">
        <f t="shared" si="215"/>
        <v>Americas &gt; USA &gt; San Francisco</v>
      </c>
      <c r="L622" s="3" t="s">
        <v>697</v>
      </c>
      <c r="M622" s="3" t="s">
        <v>705</v>
      </c>
      <c r="N622" s="13" t="str">
        <f t="shared" si="203"/>
        <v>Direct</v>
      </c>
      <c r="O622" s="3" t="s">
        <v>712</v>
      </c>
      <c r="P622" s="3" t="s">
        <v>721</v>
      </c>
      <c r="Q622" s="13" t="str">
        <f t="shared" si="204"/>
        <v>High</v>
      </c>
      <c r="R622" s="3" t="s">
        <v>1250</v>
      </c>
      <c r="S622" s="7">
        <v>1061.3699999999999</v>
      </c>
      <c r="T622" s="7">
        <f t="shared" si="216"/>
        <v>1220.5754999999997</v>
      </c>
      <c r="U622" s="7">
        <v>1938.33</v>
      </c>
      <c r="V622" s="7">
        <f t="shared" si="205"/>
        <v>1938.33</v>
      </c>
      <c r="W622" s="7">
        <f t="shared" si="217"/>
        <v>2229.0794999999998</v>
      </c>
      <c r="X622" s="16">
        <v>0.17</v>
      </c>
      <c r="Y622" t="str">
        <f t="shared" si="206"/>
        <v>OK</v>
      </c>
      <c r="Z622" s="16">
        <f t="shared" si="218"/>
        <v>0.17</v>
      </c>
      <c r="AA622" s="16">
        <f t="shared" si="219"/>
        <v>0.17</v>
      </c>
      <c r="AB622" s="9">
        <v>4</v>
      </c>
      <c r="AC622" s="9">
        <f t="shared" si="220"/>
        <v>4.8</v>
      </c>
      <c r="AD622" s="9">
        <f t="shared" si="207"/>
        <v>6435.2555999999995</v>
      </c>
      <c r="AE622" s="9">
        <f t="shared" si="221"/>
        <v>12518.510471999998</v>
      </c>
      <c r="AF622" s="9">
        <f t="shared" si="208"/>
        <v>4245.4799999999996</v>
      </c>
      <c r="AG622" s="9">
        <f t="shared" si="209"/>
        <v>2189.7755999999999</v>
      </c>
      <c r="AH622" s="9">
        <f t="shared" si="222"/>
        <v>8273.0304719999986</v>
      </c>
      <c r="AI622">
        <f t="shared" si="210"/>
        <v>0.34027795259600879</v>
      </c>
      <c r="AJ622" s="5">
        <f t="shared" si="211"/>
        <v>44928</v>
      </c>
      <c r="AK622" t="str">
        <f t="shared" si="212"/>
        <v>Jan-2023</v>
      </c>
      <c r="AL622">
        <v>0</v>
      </c>
      <c r="AM622">
        <v>0</v>
      </c>
      <c r="AN622">
        <v>0</v>
      </c>
    </row>
    <row r="623" spans="1:40" x14ac:dyDescent="0.45">
      <c r="A623" s="3" t="s">
        <v>545</v>
      </c>
      <c r="B623" s="5">
        <v>45520</v>
      </c>
      <c r="C623" s="9" t="str">
        <f t="shared" si="201"/>
        <v>Aug-2024</v>
      </c>
      <c r="D623" s="5" t="str">
        <f t="shared" si="202"/>
        <v>2024-Q3</v>
      </c>
      <c r="E623" s="5">
        <v>45530</v>
      </c>
      <c r="F623" s="9">
        <f t="shared" si="213"/>
        <v>10</v>
      </c>
      <c r="G623" s="9" t="str">
        <f t="shared" si="214"/>
        <v>NOT ACHIEVED</v>
      </c>
      <c r="H623" s="3" t="s">
        <v>642</v>
      </c>
      <c r="I623" s="3" t="s">
        <v>654</v>
      </c>
      <c r="J623" s="3" t="s">
        <v>671</v>
      </c>
      <c r="K623" s="13" t="str">
        <f t="shared" si="215"/>
        <v>Americas &gt; USA &gt; Chicago</v>
      </c>
      <c r="L623" s="3" t="s">
        <v>695</v>
      </c>
      <c r="M623" s="3" t="s">
        <v>704</v>
      </c>
      <c r="N623" s="13" t="str">
        <f t="shared" si="203"/>
        <v>Distributor</v>
      </c>
      <c r="O623" s="3" t="s">
        <v>710</v>
      </c>
      <c r="P623" s="3" t="s">
        <v>725</v>
      </c>
      <c r="Q623" s="13" t="str">
        <f t="shared" si="204"/>
        <v>High</v>
      </c>
      <c r="R623" s="3" t="s">
        <v>1114</v>
      </c>
      <c r="S623" s="7">
        <v>1291.7</v>
      </c>
      <c r="T623" s="7">
        <f t="shared" si="216"/>
        <v>1485.4549999999999</v>
      </c>
      <c r="U623" s="7">
        <v>2657.84</v>
      </c>
      <c r="V623" s="7">
        <f t="shared" si="205"/>
        <v>2657.84</v>
      </c>
      <c r="W623" s="7">
        <f t="shared" si="217"/>
        <v>3056.5160000000001</v>
      </c>
      <c r="X623" s="16">
        <v>8.6999999999999994E-2</v>
      </c>
      <c r="Y623" t="str">
        <f t="shared" si="206"/>
        <v>OK</v>
      </c>
      <c r="Z623" s="16">
        <f t="shared" si="218"/>
        <v>8.6999999999999994E-2</v>
      </c>
      <c r="AA623" s="16">
        <f t="shared" si="219"/>
        <v>8.6999999999999994E-2</v>
      </c>
      <c r="AB623" s="9">
        <v>21</v>
      </c>
      <c r="AC623" s="9">
        <f t="shared" si="220"/>
        <v>25.2</v>
      </c>
      <c r="AD623" s="9">
        <f t="shared" si="207"/>
        <v>50958.766320000002</v>
      </c>
      <c r="AE623" s="9">
        <f t="shared" si="221"/>
        <v>83725.308878399999</v>
      </c>
      <c r="AF623" s="9">
        <f t="shared" si="208"/>
        <v>27125.7</v>
      </c>
      <c r="AG623" s="9">
        <f t="shared" si="209"/>
        <v>23833.066320000002</v>
      </c>
      <c r="AH623" s="9">
        <f t="shared" si="222"/>
        <v>56599.608878400002</v>
      </c>
      <c r="AI623">
        <f t="shared" si="210"/>
        <v>0.46769315745083367</v>
      </c>
      <c r="AJ623" s="5">
        <f t="shared" si="211"/>
        <v>44928</v>
      </c>
      <c r="AK623" t="str">
        <f t="shared" si="212"/>
        <v>Jan-2023</v>
      </c>
      <c r="AL623">
        <v>0</v>
      </c>
      <c r="AM623">
        <v>0</v>
      </c>
      <c r="AN623">
        <v>0</v>
      </c>
    </row>
    <row r="624" spans="1:40" x14ac:dyDescent="0.45">
      <c r="A624" s="3" t="s">
        <v>553</v>
      </c>
      <c r="B624" s="5">
        <v>45889</v>
      </c>
      <c r="C624" s="9" t="str">
        <f t="shared" si="201"/>
        <v>Aug-2025</v>
      </c>
      <c r="D624" s="5" t="str">
        <f t="shared" si="202"/>
        <v>2025-Q3</v>
      </c>
      <c r="E624" s="5">
        <v>45895</v>
      </c>
      <c r="F624" s="9">
        <f t="shared" si="213"/>
        <v>6</v>
      </c>
      <c r="G624" s="9" t="str">
        <f t="shared" si="214"/>
        <v>ACHIEVED</v>
      </c>
      <c r="H624" s="3" t="s">
        <v>642</v>
      </c>
      <c r="I624" s="3" t="s">
        <v>654</v>
      </c>
      <c r="J624" s="3" t="s">
        <v>694</v>
      </c>
      <c r="K624" s="13" t="str">
        <f t="shared" si="215"/>
        <v>Americas &gt; USA &gt; New York</v>
      </c>
      <c r="L624" s="3" t="s">
        <v>695</v>
      </c>
      <c r="M624" s="3" t="s">
        <v>701</v>
      </c>
      <c r="N624" s="13" t="str">
        <f t="shared" si="203"/>
        <v>Retail</v>
      </c>
      <c r="O624" s="3" t="s">
        <v>718</v>
      </c>
      <c r="P624" s="3" t="s">
        <v>723</v>
      </c>
      <c r="Q624" s="13" t="str">
        <f t="shared" si="204"/>
        <v>High</v>
      </c>
      <c r="R624" s="3" t="s">
        <v>1270</v>
      </c>
      <c r="S624" s="7">
        <v>1304.95</v>
      </c>
      <c r="T624" s="7">
        <f t="shared" si="216"/>
        <v>1500.6924999999999</v>
      </c>
      <c r="U624" s="7">
        <v>1712.03</v>
      </c>
      <c r="V624" s="7">
        <f t="shared" si="205"/>
        <v>1712.03</v>
      </c>
      <c r="W624" s="7">
        <f t="shared" si="217"/>
        <v>1968.8344999999997</v>
      </c>
      <c r="X624" s="16">
        <v>0.21199999999999999</v>
      </c>
      <c r="Y624" t="str">
        <f t="shared" si="206"/>
        <v>OK</v>
      </c>
      <c r="Z624" s="16">
        <f t="shared" si="218"/>
        <v>0.21199999999999999</v>
      </c>
      <c r="AA624" s="16">
        <f t="shared" si="219"/>
        <v>0.21199999999999999</v>
      </c>
      <c r="AB624" s="9">
        <v>8</v>
      </c>
      <c r="AC624" s="9">
        <f t="shared" si="220"/>
        <v>9.6</v>
      </c>
      <c r="AD624" s="9">
        <f t="shared" si="207"/>
        <v>10792.637119999999</v>
      </c>
      <c r="AE624" s="9">
        <f t="shared" si="221"/>
        <v>22907.783174399996</v>
      </c>
      <c r="AF624" s="9">
        <f t="shared" si="208"/>
        <v>10439.6</v>
      </c>
      <c r="AG624" s="9">
        <f t="shared" si="209"/>
        <v>353.03711999999905</v>
      </c>
      <c r="AH624" s="9">
        <f t="shared" si="222"/>
        <v>12468.183174399996</v>
      </c>
      <c r="AI624">
        <f t="shared" si="210"/>
        <v>3.2710922833287949E-2</v>
      </c>
      <c r="AJ624" s="5">
        <f t="shared" si="211"/>
        <v>44928</v>
      </c>
      <c r="AK624" t="str">
        <f t="shared" si="212"/>
        <v>Jan-2023</v>
      </c>
      <c r="AL624">
        <v>0</v>
      </c>
      <c r="AM624">
        <v>0</v>
      </c>
      <c r="AN624">
        <v>0</v>
      </c>
    </row>
    <row r="625" spans="1:40" x14ac:dyDescent="0.45">
      <c r="A625" s="3" t="s">
        <v>566</v>
      </c>
      <c r="B625" s="5">
        <v>45362</v>
      </c>
      <c r="C625" s="9" t="str">
        <f t="shared" si="201"/>
        <v>Mar-2024</v>
      </c>
      <c r="D625" s="5" t="str">
        <f t="shared" si="202"/>
        <v>2024-Q1</v>
      </c>
      <c r="E625" s="5">
        <v>45380</v>
      </c>
      <c r="F625" s="9">
        <f t="shared" si="213"/>
        <v>18</v>
      </c>
      <c r="G625" s="9" t="str">
        <f t="shared" si="214"/>
        <v>NOT ACHIEVED</v>
      </c>
      <c r="H625" s="3" t="s">
        <v>642</v>
      </c>
      <c r="I625" s="3" t="s">
        <v>654</v>
      </c>
      <c r="J625" s="3" t="s">
        <v>694</v>
      </c>
      <c r="K625" s="13" t="str">
        <f t="shared" si="215"/>
        <v>Americas &gt; USA &gt; New York</v>
      </c>
      <c r="L625" s="3" t="s">
        <v>695</v>
      </c>
      <c r="M625" s="3" t="s">
        <v>701</v>
      </c>
      <c r="N625" s="13" t="str">
        <f t="shared" si="203"/>
        <v>Retail</v>
      </c>
      <c r="O625" s="3" t="s">
        <v>718</v>
      </c>
      <c r="P625" s="3" t="s">
        <v>726</v>
      </c>
      <c r="Q625" s="13" t="str">
        <f t="shared" si="204"/>
        <v>Medium</v>
      </c>
      <c r="R625" s="3" t="s">
        <v>1283</v>
      </c>
      <c r="S625" s="7">
        <v>710.98</v>
      </c>
      <c r="T625" s="7">
        <f t="shared" si="216"/>
        <v>817.62699999999995</v>
      </c>
      <c r="U625" s="7">
        <v>1481.45</v>
      </c>
      <c r="V625" s="7">
        <f t="shared" si="205"/>
        <v>1481.45</v>
      </c>
      <c r="W625" s="7">
        <f t="shared" si="217"/>
        <v>1703.6675</v>
      </c>
      <c r="X625" s="16">
        <v>0.21099999999999999</v>
      </c>
      <c r="Y625" t="str">
        <f t="shared" si="206"/>
        <v>OK</v>
      </c>
      <c r="Z625" s="16">
        <f t="shared" si="218"/>
        <v>0.21099999999999999</v>
      </c>
      <c r="AA625" s="16">
        <f t="shared" si="219"/>
        <v>0.21099999999999999</v>
      </c>
      <c r="AB625" s="9">
        <v>9</v>
      </c>
      <c r="AC625" s="9">
        <f t="shared" si="220"/>
        <v>10.799999999999999</v>
      </c>
      <c r="AD625" s="9">
        <f t="shared" si="207"/>
        <v>10519.776450000001</v>
      </c>
      <c r="AE625" s="9">
        <f t="shared" si="221"/>
        <v>22281.926498999997</v>
      </c>
      <c r="AF625" s="9">
        <f t="shared" si="208"/>
        <v>6398.82</v>
      </c>
      <c r="AG625" s="9">
        <f t="shared" si="209"/>
        <v>4120.9564500000015</v>
      </c>
      <c r="AH625" s="9">
        <f t="shared" si="222"/>
        <v>15883.106498999998</v>
      </c>
      <c r="AI625">
        <f t="shared" si="210"/>
        <v>0.39173422264120461</v>
      </c>
      <c r="AJ625" s="5">
        <f t="shared" si="211"/>
        <v>44928</v>
      </c>
      <c r="AK625" t="str">
        <f t="shared" si="212"/>
        <v>Jan-2023</v>
      </c>
      <c r="AL625">
        <v>0</v>
      </c>
      <c r="AM625">
        <v>0</v>
      </c>
      <c r="AN625">
        <v>0</v>
      </c>
    </row>
    <row r="626" spans="1:40" x14ac:dyDescent="0.45">
      <c r="A626" s="3" t="s">
        <v>569</v>
      </c>
      <c r="B626" s="5">
        <v>45590</v>
      </c>
      <c r="C626" s="9" t="str">
        <f t="shared" si="201"/>
        <v>Oct-2024</v>
      </c>
      <c r="D626" s="5" t="str">
        <f t="shared" si="202"/>
        <v>2024-Q4</v>
      </c>
      <c r="E626" s="5">
        <v>45601</v>
      </c>
      <c r="F626" s="9">
        <f t="shared" si="213"/>
        <v>11</v>
      </c>
      <c r="G626" s="9" t="str">
        <f t="shared" si="214"/>
        <v>NOT ACHIEVED</v>
      </c>
      <c r="H626" s="3" t="s">
        <v>642</v>
      </c>
      <c r="I626" s="3" t="s">
        <v>654</v>
      </c>
      <c r="J626" s="3" t="s">
        <v>694</v>
      </c>
      <c r="K626" s="13" t="str">
        <f t="shared" si="215"/>
        <v>Americas &gt; USA &gt; New York</v>
      </c>
      <c r="L626" s="3" t="s">
        <v>695</v>
      </c>
      <c r="M626" s="3" t="s">
        <v>704</v>
      </c>
      <c r="N626" s="13" t="str">
        <f t="shared" si="203"/>
        <v>Distributor</v>
      </c>
      <c r="O626" s="3" t="s">
        <v>719</v>
      </c>
      <c r="P626" s="3" t="s">
        <v>721</v>
      </c>
      <c r="Q626" s="13" t="str">
        <f t="shared" si="204"/>
        <v>Low</v>
      </c>
      <c r="R626" s="3" t="s">
        <v>1286</v>
      </c>
      <c r="S626" s="7">
        <v>446.66</v>
      </c>
      <c r="T626" s="7">
        <f t="shared" si="216"/>
        <v>513.65899999999999</v>
      </c>
      <c r="U626" s="7">
        <v>527.64</v>
      </c>
      <c r="V626" s="7">
        <f t="shared" si="205"/>
        <v>527.64</v>
      </c>
      <c r="W626" s="7">
        <f t="shared" si="217"/>
        <v>606.78599999999994</v>
      </c>
      <c r="X626" s="16">
        <v>0.14499999999999999</v>
      </c>
      <c r="Y626" t="str">
        <f t="shared" si="206"/>
        <v>OK</v>
      </c>
      <c r="Z626" s="16">
        <f t="shared" si="218"/>
        <v>0.14499999999999999</v>
      </c>
      <c r="AA626" s="16">
        <f t="shared" si="219"/>
        <v>0.14499999999999999</v>
      </c>
      <c r="AB626" s="9">
        <v>15</v>
      </c>
      <c r="AC626" s="9">
        <f t="shared" si="220"/>
        <v>18</v>
      </c>
      <c r="AD626" s="9">
        <f t="shared" si="207"/>
        <v>6766.9829999999993</v>
      </c>
      <c r="AE626" s="9">
        <f t="shared" si="221"/>
        <v>12505.85946</v>
      </c>
      <c r="AF626" s="9">
        <f t="shared" si="208"/>
        <v>6699.9000000000005</v>
      </c>
      <c r="AG626" s="9">
        <f t="shared" si="209"/>
        <v>67.082999999998719</v>
      </c>
      <c r="AH626" s="9">
        <f t="shared" si="222"/>
        <v>5805.9594599999991</v>
      </c>
      <c r="AI626">
        <f t="shared" si="210"/>
        <v>9.9132804087137105E-3</v>
      </c>
      <c r="AJ626" s="5">
        <f t="shared" si="211"/>
        <v>44928</v>
      </c>
      <c r="AK626" t="str">
        <f t="shared" si="212"/>
        <v>Jan-2023</v>
      </c>
      <c r="AL626">
        <v>0</v>
      </c>
      <c r="AM626">
        <v>0</v>
      </c>
      <c r="AN626">
        <v>0</v>
      </c>
    </row>
    <row r="627" spans="1:40" x14ac:dyDescent="0.45">
      <c r="A627" s="3" t="s">
        <v>577</v>
      </c>
      <c r="B627" s="5">
        <v>45342</v>
      </c>
      <c r="C627" s="9" t="str">
        <f t="shared" si="201"/>
        <v>Feb-2024</v>
      </c>
      <c r="D627" s="5" t="str">
        <f t="shared" si="202"/>
        <v>2024-Q1</v>
      </c>
      <c r="E627" s="5">
        <v>45342</v>
      </c>
      <c r="F627" s="9">
        <f t="shared" si="213"/>
        <v>0</v>
      </c>
      <c r="G627" s="9" t="str">
        <f t="shared" si="214"/>
        <v>ACHIEVED</v>
      </c>
      <c r="H627" s="3" t="s">
        <v>642</v>
      </c>
      <c r="I627" s="3" t="s">
        <v>654</v>
      </c>
      <c r="J627" s="3" t="s">
        <v>694</v>
      </c>
      <c r="K627" s="13" t="str">
        <f t="shared" si="215"/>
        <v>Americas &gt; USA &gt; New York</v>
      </c>
      <c r="L627" s="3" t="s">
        <v>700</v>
      </c>
      <c r="M627" s="3" t="s">
        <v>702</v>
      </c>
      <c r="N627" s="13" t="str">
        <f t="shared" si="203"/>
        <v>Online</v>
      </c>
      <c r="O627" s="3" t="s">
        <v>706</v>
      </c>
      <c r="P627" s="3" t="s">
        <v>723</v>
      </c>
      <c r="Q627" s="13" t="str">
        <f t="shared" si="204"/>
        <v>High</v>
      </c>
      <c r="R627" s="3" t="s">
        <v>1294</v>
      </c>
      <c r="S627" s="7">
        <v>1407.05</v>
      </c>
      <c r="T627" s="7">
        <f t="shared" si="216"/>
        <v>1618.1074999999998</v>
      </c>
      <c r="U627" s="7">
        <v>2858.93</v>
      </c>
      <c r="V627" s="7">
        <f t="shared" si="205"/>
        <v>2858.93</v>
      </c>
      <c r="W627" s="7">
        <f t="shared" si="217"/>
        <v>3287.7694999999994</v>
      </c>
      <c r="X627" s="16">
        <v>0</v>
      </c>
      <c r="Y627" t="str">
        <f t="shared" si="206"/>
        <v>OK</v>
      </c>
      <c r="Z627" s="16">
        <f t="shared" si="218"/>
        <v>0</v>
      </c>
      <c r="AA627" s="16">
        <f t="shared" si="219"/>
        <v>0</v>
      </c>
      <c r="AB627" s="9">
        <v>12</v>
      </c>
      <c r="AC627" s="9">
        <f t="shared" si="220"/>
        <v>14.399999999999999</v>
      </c>
      <c r="AD627" s="9">
        <f t="shared" si="207"/>
        <v>34307.159999999996</v>
      </c>
      <c r="AE627" s="9">
        <f t="shared" si="221"/>
        <v>47343.880799999984</v>
      </c>
      <c r="AF627" s="9">
        <f t="shared" si="208"/>
        <v>16884.599999999999</v>
      </c>
      <c r="AG627" s="9">
        <f t="shared" si="209"/>
        <v>17422.559999999998</v>
      </c>
      <c r="AH627" s="9">
        <f t="shared" si="222"/>
        <v>30459.280799999986</v>
      </c>
      <c r="AI627">
        <f t="shared" si="210"/>
        <v>0.50784034586366222</v>
      </c>
      <c r="AJ627" s="5">
        <f t="shared" si="211"/>
        <v>44928</v>
      </c>
      <c r="AK627" t="str">
        <f t="shared" si="212"/>
        <v>Jan-2023</v>
      </c>
      <c r="AL627">
        <v>0</v>
      </c>
      <c r="AM627">
        <v>0</v>
      </c>
      <c r="AN627">
        <v>0</v>
      </c>
    </row>
    <row r="628" spans="1:40" x14ac:dyDescent="0.45">
      <c r="A628" s="3" t="s">
        <v>594</v>
      </c>
      <c r="B628" s="5">
        <v>45049</v>
      </c>
      <c r="C628" s="9" t="str">
        <f t="shared" si="201"/>
        <v>May-2023</v>
      </c>
      <c r="D628" s="5" t="str">
        <f t="shared" si="202"/>
        <v>2023-Q2</v>
      </c>
      <c r="E628" s="5">
        <v>45062</v>
      </c>
      <c r="F628" s="9">
        <f t="shared" si="213"/>
        <v>13</v>
      </c>
      <c r="G628" s="9" t="str">
        <f t="shared" si="214"/>
        <v>NOT ACHIEVED</v>
      </c>
      <c r="H628" s="3" t="s">
        <v>642</v>
      </c>
      <c r="I628" s="3" t="s">
        <v>654</v>
      </c>
      <c r="J628" s="3" t="s">
        <v>694</v>
      </c>
      <c r="K628" s="13" t="str">
        <f t="shared" si="215"/>
        <v>Americas &gt; USA &gt; New York</v>
      </c>
      <c r="L628" s="3" t="s">
        <v>695</v>
      </c>
      <c r="M628" s="3" t="s">
        <v>703</v>
      </c>
      <c r="N628" s="13" t="str">
        <f t="shared" si="203"/>
        <v>Marketplace</v>
      </c>
      <c r="O628" s="3" t="s">
        <v>710</v>
      </c>
      <c r="P628" s="3" t="s">
        <v>724</v>
      </c>
      <c r="Q628" s="13" t="str">
        <f t="shared" si="204"/>
        <v>Low</v>
      </c>
      <c r="R628" s="3" t="s">
        <v>1311</v>
      </c>
      <c r="S628" s="7">
        <v>64.5</v>
      </c>
      <c r="T628" s="7">
        <f t="shared" si="216"/>
        <v>74.174999999999997</v>
      </c>
      <c r="U628" s="7">
        <v>123.62</v>
      </c>
      <c r="V628" s="7">
        <f t="shared" si="205"/>
        <v>123.62</v>
      </c>
      <c r="W628" s="7">
        <f t="shared" si="217"/>
        <v>142.16299999999998</v>
      </c>
      <c r="X628" s="16">
        <v>0</v>
      </c>
      <c r="Y628" t="str">
        <f t="shared" si="206"/>
        <v>OK</v>
      </c>
      <c r="Z628" s="16">
        <f t="shared" si="218"/>
        <v>0</v>
      </c>
      <c r="AA628" s="16">
        <f t="shared" si="219"/>
        <v>0</v>
      </c>
      <c r="AB628" s="9">
        <v>3</v>
      </c>
      <c r="AC628" s="9">
        <f t="shared" si="220"/>
        <v>3.5999999999999996</v>
      </c>
      <c r="AD628" s="9">
        <f t="shared" si="207"/>
        <v>370.86</v>
      </c>
      <c r="AE628" s="9">
        <f t="shared" si="221"/>
        <v>511.78679999999991</v>
      </c>
      <c r="AF628" s="9">
        <f t="shared" si="208"/>
        <v>193.5</v>
      </c>
      <c r="AG628" s="9">
        <f t="shared" si="209"/>
        <v>177.36</v>
      </c>
      <c r="AH628" s="9">
        <f t="shared" si="222"/>
        <v>318.28679999999991</v>
      </c>
      <c r="AI628">
        <f t="shared" si="210"/>
        <v>0.47823976702798904</v>
      </c>
      <c r="AJ628" s="5">
        <f t="shared" si="211"/>
        <v>44928</v>
      </c>
      <c r="AK628" t="str">
        <f t="shared" si="212"/>
        <v>Jan-2023</v>
      </c>
      <c r="AL628">
        <v>0</v>
      </c>
      <c r="AM628">
        <v>0</v>
      </c>
      <c r="AN628">
        <v>0</v>
      </c>
    </row>
    <row r="629" spans="1:40" x14ac:dyDescent="0.45">
      <c r="A629" s="3" t="s">
        <v>600</v>
      </c>
      <c r="B629" s="5">
        <v>44984</v>
      </c>
      <c r="C629" s="9" t="str">
        <f t="shared" si="201"/>
        <v>Feb-2023</v>
      </c>
      <c r="D629" s="5" t="str">
        <f t="shared" si="202"/>
        <v>2023-Q1</v>
      </c>
      <c r="E629" s="5">
        <v>44989</v>
      </c>
      <c r="F629" s="9">
        <f t="shared" si="213"/>
        <v>5</v>
      </c>
      <c r="G629" s="9" t="str">
        <f t="shared" si="214"/>
        <v>ACHIEVED</v>
      </c>
      <c r="H629" s="3" t="s">
        <v>642</v>
      </c>
      <c r="I629" s="3" t="s">
        <v>654</v>
      </c>
      <c r="J629" s="3" t="s">
        <v>680</v>
      </c>
      <c r="K629" s="13" t="str">
        <f t="shared" si="215"/>
        <v>Americas &gt; USA &gt; San Francisco</v>
      </c>
      <c r="L629" s="3" t="s">
        <v>697</v>
      </c>
      <c r="M629" s="3" t="s">
        <v>702</v>
      </c>
      <c r="N629" s="13" t="str">
        <f t="shared" si="203"/>
        <v>Online</v>
      </c>
      <c r="O629" s="3" t="s">
        <v>710</v>
      </c>
      <c r="P629" s="3" t="s">
        <v>723</v>
      </c>
      <c r="Q629" s="13" t="str">
        <f t="shared" si="204"/>
        <v>High</v>
      </c>
      <c r="R629" s="3" t="s">
        <v>1317</v>
      </c>
      <c r="S629" s="7">
        <v>1015.91</v>
      </c>
      <c r="T629" s="7">
        <f t="shared" si="216"/>
        <v>1168.2964999999999</v>
      </c>
      <c r="U629" s="7">
        <v>2331.48</v>
      </c>
      <c r="V629" s="7">
        <f t="shared" si="205"/>
        <v>2331.48</v>
      </c>
      <c r="W629" s="7">
        <f t="shared" si="217"/>
        <v>2681.2019999999998</v>
      </c>
      <c r="X629" s="16">
        <v>0.14599999999999999</v>
      </c>
      <c r="Y629" t="str">
        <f t="shared" si="206"/>
        <v>OK</v>
      </c>
      <c r="Z629" s="16">
        <f t="shared" si="218"/>
        <v>0.14599999999999999</v>
      </c>
      <c r="AA629" s="16">
        <f t="shared" si="219"/>
        <v>0.14599999999999999</v>
      </c>
      <c r="AB629" s="9">
        <v>26</v>
      </c>
      <c r="AC629" s="9">
        <f t="shared" si="220"/>
        <v>31.2</v>
      </c>
      <c r="AD629" s="9">
        <f t="shared" si="207"/>
        <v>51768.181920000003</v>
      </c>
      <c r="AE629" s="9">
        <f t="shared" si="221"/>
        <v>95866.913750399995</v>
      </c>
      <c r="AF629" s="9">
        <f t="shared" si="208"/>
        <v>26413.66</v>
      </c>
      <c r="AG629" s="9">
        <f t="shared" si="209"/>
        <v>25354.521920000003</v>
      </c>
      <c r="AH629" s="9">
        <f t="shared" si="222"/>
        <v>69453.253750399992</v>
      </c>
      <c r="AI629">
        <f t="shared" si="210"/>
        <v>0.48977037592669626</v>
      </c>
      <c r="AJ629" s="5">
        <f t="shared" si="211"/>
        <v>44928</v>
      </c>
      <c r="AK629" t="str">
        <f t="shared" si="212"/>
        <v>Jan-2023</v>
      </c>
      <c r="AL629">
        <v>0</v>
      </c>
      <c r="AM629">
        <v>0</v>
      </c>
      <c r="AN629">
        <v>0</v>
      </c>
    </row>
    <row r="630" spans="1:40" x14ac:dyDescent="0.45">
      <c r="A630" s="3" t="s">
        <v>618</v>
      </c>
      <c r="B630" s="5">
        <v>45032</v>
      </c>
      <c r="C630" s="9" t="str">
        <f t="shared" si="201"/>
        <v>Apr-2023</v>
      </c>
      <c r="D630" s="5" t="str">
        <f t="shared" si="202"/>
        <v>2023-Q2</v>
      </c>
      <c r="E630" s="5">
        <v>45039</v>
      </c>
      <c r="F630" s="9">
        <f t="shared" si="213"/>
        <v>7</v>
      </c>
      <c r="G630" s="9" t="str">
        <f t="shared" si="214"/>
        <v>ACHIEVED</v>
      </c>
      <c r="H630" s="3" t="s">
        <v>642</v>
      </c>
      <c r="I630" s="3" t="s">
        <v>654</v>
      </c>
      <c r="J630" s="3" t="s">
        <v>691</v>
      </c>
      <c r="K630" s="13" t="str">
        <f t="shared" si="215"/>
        <v>Americas &gt; USA &gt; Austin</v>
      </c>
      <c r="L630" s="3" t="s">
        <v>695</v>
      </c>
      <c r="M630" s="3" t="s">
        <v>704</v>
      </c>
      <c r="N630" s="13" t="str">
        <f t="shared" si="203"/>
        <v>Distributor</v>
      </c>
      <c r="O630" s="3" t="s">
        <v>713</v>
      </c>
      <c r="P630" s="3" t="s">
        <v>722</v>
      </c>
      <c r="Q630" s="13" t="str">
        <f t="shared" si="204"/>
        <v>Medium</v>
      </c>
      <c r="R630" s="3" t="s">
        <v>1335</v>
      </c>
      <c r="S630" s="7">
        <v>1099.1500000000001</v>
      </c>
      <c r="T630" s="7">
        <f t="shared" si="216"/>
        <v>1264.0225</v>
      </c>
      <c r="U630" s="7">
        <v>1431.37</v>
      </c>
      <c r="V630" s="7">
        <f t="shared" si="205"/>
        <v>1431.37</v>
      </c>
      <c r="W630" s="7">
        <f t="shared" si="217"/>
        <v>1646.0754999999997</v>
      </c>
      <c r="X630" s="16">
        <v>0.104</v>
      </c>
      <c r="Y630" t="str">
        <f t="shared" si="206"/>
        <v>OK</v>
      </c>
      <c r="Z630" s="16">
        <f t="shared" si="218"/>
        <v>0.104</v>
      </c>
      <c r="AA630" s="16">
        <f t="shared" si="219"/>
        <v>0.104</v>
      </c>
      <c r="AB630" s="9">
        <v>8</v>
      </c>
      <c r="AC630" s="9">
        <f t="shared" si="220"/>
        <v>9.6</v>
      </c>
      <c r="AD630" s="9">
        <f t="shared" si="207"/>
        <v>10260.060159999999</v>
      </c>
      <c r="AE630" s="9">
        <f t="shared" si="221"/>
        <v>17445.766579199997</v>
      </c>
      <c r="AF630" s="9">
        <f t="shared" si="208"/>
        <v>8793.2000000000007</v>
      </c>
      <c r="AG630" s="9">
        <f t="shared" si="209"/>
        <v>1466.8601599999984</v>
      </c>
      <c r="AH630" s="9">
        <f t="shared" si="222"/>
        <v>8652.5665791999963</v>
      </c>
      <c r="AI630">
        <f t="shared" si="210"/>
        <v>0.14296798821109433</v>
      </c>
      <c r="AJ630" s="5">
        <f t="shared" si="211"/>
        <v>44928</v>
      </c>
      <c r="AK630" t="str">
        <f t="shared" si="212"/>
        <v>Jan-2023</v>
      </c>
      <c r="AL630">
        <v>0</v>
      </c>
      <c r="AM630">
        <v>0</v>
      </c>
      <c r="AN630">
        <v>0</v>
      </c>
    </row>
    <row r="631" spans="1:40" x14ac:dyDescent="0.45">
      <c r="A631" s="3" t="s">
        <v>619</v>
      </c>
      <c r="B631" s="5">
        <v>45323</v>
      </c>
      <c r="C631" s="9" t="str">
        <f t="shared" si="201"/>
        <v>Feb-2024</v>
      </c>
      <c r="D631" s="5" t="str">
        <f t="shared" si="202"/>
        <v>2024-Q1</v>
      </c>
      <c r="E631" s="5">
        <v>45323</v>
      </c>
      <c r="F631" s="9">
        <f t="shared" si="213"/>
        <v>0</v>
      </c>
      <c r="G631" s="9" t="str">
        <f t="shared" si="214"/>
        <v>ACHIEVED</v>
      </c>
      <c r="H631" s="3" t="s">
        <v>642</v>
      </c>
      <c r="I631" s="3" t="s">
        <v>654</v>
      </c>
      <c r="J631" s="3" t="s">
        <v>691</v>
      </c>
      <c r="K631" s="13" t="str">
        <f t="shared" si="215"/>
        <v>Americas &gt; USA &gt; Austin</v>
      </c>
      <c r="L631" s="3" t="s">
        <v>698</v>
      </c>
      <c r="M631" s="3" t="s">
        <v>704</v>
      </c>
      <c r="N631" s="13" t="str">
        <f t="shared" si="203"/>
        <v>Distributor</v>
      </c>
      <c r="O631" s="3" t="s">
        <v>716</v>
      </c>
      <c r="P631" s="3" t="s">
        <v>722</v>
      </c>
      <c r="Q631" s="13" t="str">
        <f t="shared" si="204"/>
        <v>Medium</v>
      </c>
      <c r="R631" s="3" t="s">
        <v>1336</v>
      </c>
      <c r="S631" s="7">
        <v>714.43</v>
      </c>
      <c r="T631" s="7">
        <f t="shared" si="216"/>
        <v>821.59449999999993</v>
      </c>
      <c r="U631" s="7">
        <v>1595.52</v>
      </c>
      <c r="V631" s="7">
        <f t="shared" si="205"/>
        <v>1595.52</v>
      </c>
      <c r="W631" s="7">
        <f t="shared" si="217"/>
        <v>1834.8479999999997</v>
      </c>
      <c r="X631" s="16">
        <v>0.19400000000000001</v>
      </c>
      <c r="Y631" t="str">
        <f t="shared" si="206"/>
        <v>OK</v>
      </c>
      <c r="Z631" s="16">
        <f t="shared" si="218"/>
        <v>0.19400000000000001</v>
      </c>
      <c r="AA631" s="16">
        <f t="shared" si="219"/>
        <v>0.19400000000000001</v>
      </c>
      <c r="AB631" s="9">
        <v>14</v>
      </c>
      <c r="AC631" s="9">
        <f t="shared" si="220"/>
        <v>16.8</v>
      </c>
      <c r="AD631" s="9">
        <f t="shared" si="207"/>
        <v>18003.847679999999</v>
      </c>
      <c r="AE631" s="9">
        <f t="shared" si="221"/>
        <v>36805.583001599996</v>
      </c>
      <c r="AF631" s="9">
        <f t="shared" si="208"/>
        <v>10002.019999999999</v>
      </c>
      <c r="AG631" s="9">
        <f t="shared" si="209"/>
        <v>8001.8276800000003</v>
      </c>
      <c r="AH631" s="9">
        <f t="shared" si="222"/>
        <v>26803.5630016</v>
      </c>
      <c r="AI631">
        <f t="shared" si="210"/>
        <v>0.44445097638151093</v>
      </c>
      <c r="AJ631" s="5">
        <f t="shared" si="211"/>
        <v>44928</v>
      </c>
      <c r="AK631" t="str">
        <f t="shared" si="212"/>
        <v>Jan-2023</v>
      </c>
      <c r="AL631">
        <v>0</v>
      </c>
      <c r="AM631">
        <v>0</v>
      </c>
      <c r="AN631">
        <v>0</v>
      </c>
    </row>
    <row r="632" spans="1:40" x14ac:dyDescent="0.45">
      <c r="A632" s="3" t="s">
        <v>620</v>
      </c>
      <c r="B632" s="5">
        <v>45584</v>
      </c>
      <c r="C632" s="9" t="str">
        <f t="shared" si="201"/>
        <v>Oct-2024</v>
      </c>
      <c r="D632" s="5" t="str">
        <f t="shared" si="202"/>
        <v>2024-Q4</v>
      </c>
      <c r="E632" s="5">
        <v>45602</v>
      </c>
      <c r="F632" s="9">
        <f t="shared" si="213"/>
        <v>18</v>
      </c>
      <c r="G632" s="9" t="str">
        <f t="shared" si="214"/>
        <v>NOT ACHIEVED</v>
      </c>
      <c r="H632" s="3" t="s">
        <v>642</v>
      </c>
      <c r="I632" s="3" t="s">
        <v>654</v>
      </c>
      <c r="J632" s="3" t="s">
        <v>671</v>
      </c>
      <c r="K632" s="13" t="str">
        <f t="shared" si="215"/>
        <v>Americas &gt; USA &gt; Chicago</v>
      </c>
      <c r="L632" s="3" t="s">
        <v>696</v>
      </c>
      <c r="M632" s="3">
        <v>0</v>
      </c>
      <c r="N632" s="13">
        <f t="shared" si="203"/>
        <v>0</v>
      </c>
      <c r="O632" s="3" t="s">
        <v>706</v>
      </c>
      <c r="P632" s="3" t="s">
        <v>726</v>
      </c>
      <c r="Q632" s="13" t="str">
        <f t="shared" si="204"/>
        <v>Medium</v>
      </c>
      <c r="R632" s="3" t="s">
        <v>1337</v>
      </c>
      <c r="S632" s="7">
        <v>942.02</v>
      </c>
      <c r="T632" s="7">
        <f t="shared" si="216"/>
        <v>1083.3229999999999</v>
      </c>
      <c r="U632" s="7">
        <v>1028.46</v>
      </c>
      <c r="V632" s="7">
        <f t="shared" si="205"/>
        <v>1028.46</v>
      </c>
      <c r="W632" s="7">
        <f t="shared" si="217"/>
        <v>1182.729</v>
      </c>
      <c r="X632" s="16">
        <v>0</v>
      </c>
      <c r="Y632" t="str">
        <f t="shared" si="206"/>
        <v>OK</v>
      </c>
      <c r="Z632" s="16">
        <f t="shared" si="218"/>
        <v>0</v>
      </c>
      <c r="AA632" s="16">
        <f t="shared" si="219"/>
        <v>0</v>
      </c>
      <c r="AB632" s="9">
        <v>9</v>
      </c>
      <c r="AC632" s="9">
        <f t="shared" si="220"/>
        <v>10.799999999999999</v>
      </c>
      <c r="AD632" s="9">
        <f t="shared" si="207"/>
        <v>9256.14</v>
      </c>
      <c r="AE632" s="9">
        <f t="shared" si="221"/>
        <v>12773.473199999999</v>
      </c>
      <c r="AF632" s="9">
        <f t="shared" si="208"/>
        <v>8478.18</v>
      </c>
      <c r="AG632" s="9">
        <f t="shared" si="209"/>
        <v>777.95999999999913</v>
      </c>
      <c r="AH632" s="9">
        <f t="shared" si="222"/>
        <v>4295.2931999999983</v>
      </c>
      <c r="AI632">
        <f t="shared" si="210"/>
        <v>8.4047994088248354E-2</v>
      </c>
      <c r="AJ632" s="5">
        <f t="shared" si="211"/>
        <v>44928</v>
      </c>
      <c r="AK632" t="str">
        <f t="shared" si="212"/>
        <v>Jan-2023</v>
      </c>
      <c r="AL632">
        <v>0</v>
      </c>
      <c r="AM632">
        <v>0</v>
      </c>
      <c r="AN632">
        <v>0</v>
      </c>
    </row>
    <row r="633" spans="1:40" x14ac:dyDescent="0.45">
      <c r="G633" s="29">
        <f>COUNTIF(G2:G632,"ACHIEVED")</f>
        <v>172</v>
      </c>
      <c r="AD633" s="27">
        <f>SUM(AD2:AD632)</f>
        <v>10917569.569679989</v>
      </c>
      <c r="AE633" s="27">
        <f>SUM(AE2:AE632)</f>
        <v>19282678.580878232</v>
      </c>
      <c r="AG633" s="27">
        <f>SUM(AG2:AG632)</f>
        <v>3421374.359679997</v>
      </c>
      <c r="AI633" s="24">
        <f>SUM(AI2:AI632)</f>
        <v>155.48941355903798</v>
      </c>
    </row>
    <row r="634" spans="1:40" x14ac:dyDescent="0.45">
      <c r="G634" s="28"/>
    </row>
    <row r="635" spans="1:40" x14ac:dyDescent="0.45">
      <c r="G635" s="30">
        <f>172/632*100%</f>
        <v>0.27215189873417722</v>
      </c>
    </row>
  </sheetData>
  <autoFilter ref="O1:O632"/>
  <sortState ref="A1:AP633">
    <sortCondition ref="I1"/>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1:B70"/>
  <sheetViews>
    <sheetView tabSelected="1" workbookViewId="0">
      <selection activeCell="O9" sqref="O9"/>
    </sheetView>
  </sheetViews>
  <sheetFormatPr defaultRowHeight="14.25" x14ac:dyDescent="0.45"/>
  <cols>
    <col min="1" max="16384" width="9.06640625" style="32"/>
  </cols>
  <sheetData>
    <row r="61" spans="2:2" x14ac:dyDescent="0.45">
      <c r="B61" s="33" t="s">
        <v>1533</v>
      </c>
    </row>
    <row r="62" spans="2:2" x14ac:dyDescent="0.45">
      <c r="B62" s="32" t="s">
        <v>1534</v>
      </c>
    </row>
    <row r="63" spans="2:2" x14ac:dyDescent="0.45">
      <c r="B63" s="32" t="s">
        <v>1535</v>
      </c>
    </row>
    <row r="64" spans="2:2" x14ac:dyDescent="0.45">
      <c r="B64" s="32" t="s">
        <v>1536</v>
      </c>
    </row>
    <row r="65" spans="2:2" x14ac:dyDescent="0.45">
      <c r="B65" s="32" t="s">
        <v>1537</v>
      </c>
    </row>
    <row r="66" spans="2:2" x14ac:dyDescent="0.45">
      <c r="B66" s="32" t="s">
        <v>1538</v>
      </c>
    </row>
    <row r="67" spans="2:2" x14ac:dyDescent="0.45">
      <c r="B67" s="32" t="s">
        <v>1539</v>
      </c>
    </row>
    <row r="68" spans="2:2" x14ac:dyDescent="0.45">
      <c r="B68" s="32" t="s">
        <v>1540</v>
      </c>
    </row>
    <row r="69" spans="2:2" x14ac:dyDescent="0.45">
      <c r="B69" s="32" t="s">
        <v>1541</v>
      </c>
    </row>
    <row r="70" spans="2:2" x14ac:dyDescent="0.45">
      <c r="B70" s="32" t="s">
        <v>1542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Brief</vt:lpstr>
      <vt:lpstr>COHORT ANALYSIS</vt:lpstr>
      <vt:lpstr>REVENUE&amp;ORDER</vt:lpstr>
      <vt:lpstr>MONTH &amp;ORDER</vt:lpstr>
      <vt:lpstr>SALES PERSON PRODUCTIVITY</vt:lpstr>
      <vt:lpstr>CHANNEL MIX&amp;CANNIBILIZATION</vt:lpstr>
      <vt:lpstr>DISC&gt;20%SALESP</vt:lpstr>
      <vt:lpstr>REVENUE BY MONTH</vt:lpstr>
      <vt:lpstr>Profit by region and channel</vt:lpstr>
      <vt:lpstr>Top 10 SKU</vt:lpstr>
      <vt:lpstr>ABC 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2026-02-01T08:51:54Z</dcterms:modified>
</cp:coreProperties>
</file>